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W:\01_重要文書フォルダ（保存期間１年以上）\04_燃費班\16_HP公表（燃費評価、低排認定）\1_３月公表（自動車燃費一覧、燃費ランキング）\R6.3\5～13○\"/>
    </mc:Choice>
  </mc:AlternateContent>
  <xr:revisionPtr revIDLastSave="0" documentId="8_{BE2EEAB7-C199-4D8C-8F77-EACE9B9C38C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uso" sheetId="3" r:id="rId1"/>
    <sheet name="Hino" sheetId="4" r:id="rId2"/>
    <sheet name="Isuzu" sheetId="1" r:id="rId3"/>
    <sheet name="Mazda" sheetId="2" r:id="rId4"/>
    <sheet name="Nissan" sheetId="5" r:id="rId5"/>
    <sheet name="Toyota" sheetId="6" r:id="rId6"/>
    <sheet name="UD" sheetId="7" r:id="rId7"/>
    <sheet name="Volvo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123Graph_APRJ別負荷予測" localSheetId="1" hidden="1">#REF!</definedName>
    <definedName name="__123Graph_APRJ別負荷予測" hidden="1">#REF!</definedName>
    <definedName name="__123Graph_Aλ" localSheetId="1" hidden="1">[5]諸元まとめ!#REF!</definedName>
    <definedName name="__123Graph_Aλ" hidden="1">[5]諸元まとめ!#REF!</definedName>
    <definedName name="__123Graph_A燃費" localSheetId="1" hidden="1">[5]諸元まとめ!#REF!</definedName>
    <definedName name="__123Graph_A燃費" hidden="1">[5]諸元まとめ!#REF!</definedName>
    <definedName name="__123Graph_BPRJ別負荷予測" localSheetId="1" hidden="1">#REF!</definedName>
    <definedName name="__123Graph_BPRJ別負荷予測" hidden="1">#REF!</definedName>
    <definedName name="__123Graph_CPRJ別負荷予測" localSheetId="1" hidden="1">#REF!</definedName>
    <definedName name="__123Graph_CPRJ別負荷予測" hidden="1">#REF!</definedName>
    <definedName name="__123Graph_Cﾎﾞｱ×ｽﾄﾛｰｸ" localSheetId="1" hidden="1">[5]諸元まとめ!#REF!</definedName>
    <definedName name="__123Graph_Cﾎﾞｱ×ｽﾄﾛｰｸ" hidden="1">[5]諸元まとめ!#REF!</definedName>
    <definedName name="__123Graph_DPRJ別負荷予測" localSheetId="1" hidden="1">#REF!</definedName>
    <definedName name="__123Graph_DPRJ別負荷予測" hidden="1">#REF!</definedName>
    <definedName name="__123Graph_E" localSheetId="1" hidden="1">[5]諸元まとめ!#REF!</definedName>
    <definedName name="__123Graph_E" hidden="1">[5]諸元まとめ!#REF!</definedName>
    <definedName name="__123Graph_EPMEﾄﾙｸ" localSheetId="1" hidden="1">[5]諸元まとめ!#REF!</definedName>
    <definedName name="__123Graph_EPMEﾄﾙｸ" hidden="1">[5]諸元まとめ!#REF!</definedName>
    <definedName name="__123Graph_EPME出力" localSheetId="1" hidden="1">[5]諸元まとめ!#REF!</definedName>
    <definedName name="__123Graph_EPME出力" hidden="1">[5]諸元まとめ!#REF!</definedName>
    <definedName name="__123Graph_EPRJ別負荷予測" localSheetId="1" hidden="1">#REF!</definedName>
    <definedName name="__123Graph_EPRJ別負荷予測" hidden="1">#REF!</definedName>
    <definedName name="__123Graph_Eλ" localSheetId="1" hidden="1">[5]諸元まとめ!#REF!</definedName>
    <definedName name="__123Graph_Eλ" hidden="1">[5]諸元まとめ!#REF!</definedName>
    <definedName name="__123Graph_EｸﾗﾝｸJP径" localSheetId="1" hidden="1">[5]諸元まとめ!#REF!</definedName>
    <definedName name="__123Graph_EｸﾗﾝｸJP径" hidden="1">[5]諸元まとめ!#REF!</definedName>
    <definedName name="__123Graph_EトルクTI" localSheetId="1" hidden="1">[5]諸元まとめ!#REF!</definedName>
    <definedName name="__123Graph_EトルクTI" hidden="1">[5]諸元まとめ!#REF!</definedName>
    <definedName name="__123Graph_Eﾋﾟｽﾄﾝｽﾋﾟｰﾄﾞ" localSheetId="1" hidden="1">[5]諸元まとめ!#REF!</definedName>
    <definedName name="__123Graph_Eﾋﾟｽﾄﾝｽﾋﾟｰﾄﾞ" hidden="1">[5]諸元まとめ!#REF!</definedName>
    <definedName name="__123Graph_Eﾎﾞｱ×ｽﾄﾛｰｸ" hidden="1">[5]諸元まとめ!#REF!</definedName>
    <definedName name="__123Graph_E出力TI" hidden="1">[5]諸元まとめ!#REF!</definedName>
    <definedName name="__123Graph_E燃費" hidden="1">[5]諸元まとめ!#REF!</definedName>
    <definedName name="__123Graph_F" hidden="1">[5]諸元まとめ!#REF!</definedName>
    <definedName name="__123Graph_FPMEﾄﾙｸ" hidden="1">[5]諸元まとめ!#REF!</definedName>
    <definedName name="__123Graph_FPME出力" hidden="1">[5]諸元まとめ!#REF!</definedName>
    <definedName name="__123Graph_FトルクTI" hidden="1">[5]諸元まとめ!#REF!</definedName>
    <definedName name="__123Graph_Fﾋﾟｽﾄﾝｽﾋﾟｰﾄﾞ" hidden="1">[5]諸元まとめ!#REF!</definedName>
    <definedName name="__123Graph_Fﾎﾞｱ×ｽﾄﾛｰｸ" hidden="1">[5]諸元まとめ!#REF!</definedName>
    <definedName name="__123Graph_F出力TI" hidden="1">[5]諸元まとめ!#REF!</definedName>
    <definedName name="__123Graph_XPRJ別負荷予測" localSheetId="1" hidden="1">#REF!</definedName>
    <definedName name="__123Graph_XPRJ別負荷予測" hidden="1">#REF!</definedName>
    <definedName name="_100__123Graph_Bｸﾞﾗﾌ_3" localSheetId="1" hidden="1">#REF!</definedName>
    <definedName name="_100__123Graph_Bｸﾞﾗﾌ_3" hidden="1">#REF!</definedName>
    <definedName name="_103__123Graph_Bｸﾞﾗﾌ_30" localSheetId="1" hidden="1">#REF!</definedName>
    <definedName name="_103__123Graph_Bｸﾞﾗﾌ_30" hidden="1">#REF!</definedName>
    <definedName name="_106__123Graph_Bｸﾞﾗﾌ_31" hidden="1">#REF!</definedName>
    <definedName name="_109__123Graph_Bｸﾞﾗﾌ_4" hidden="1">[6]バス!$C$6:$C$47</definedName>
    <definedName name="_112__123Graph_Bｸﾞﾗﾌ_5" hidden="1">[6]バス!$CY$20:$CY$46</definedName>
    <definedName name="_115__123Graph_Bｸﾞﾗﾌ_6" hidden="1">[6]バス!$DC$37:$EC$37</definedName>
    <definedName name="_118__123Graph_Bｸﾞﾗﾌ_7" localSheetId="1" hidden="1">#REF!</definedName>
    <definedName name="_118__123Graph_Bｸﾞﾗﾌ_7" hidden="1">#REF!</definedName>
    <definedName name="_12__123Graph_Aｸﾞﾗﾌ_12" localSheetId="1" hidden="1">#REF!</definedName>
    <definedName name="_12__123Graph_Aｸﾞﾗﾌ_12" hidden="1">#REF!</definedName>
    <definedName name="_121__123Graph_Bｸﾞﾗﾌ_8" localSheetId="1" hidden="1">#REF!</definedName>
    <definedName name="_121__123Graph_Bｸﾞﾗﾌ_8" hidden="1">#REF!</definedName>
    <definedName name="_123GRAGP" hidden="1">#REF!</definedName>
    <definedName name="_123GRAPH" hidden="1">[7]バス!$DC$38:$EC$38</definedName>
    <definedName name="_124__123Graph_Bｸﾞﾗﾌ_9" localSheetId="1" hidden="1">#REF!</definedName>
    <definedName name="_124__123Graph_Bｸﾞﾗﾌ_9" hidden="1">#REF!</definedName>
    <definedName name="_127__123Graph_Cｸﾞﾗﾌ_1" localSheetId="1" hidden="1">#REF!</definedName>
    <definedName name="_127__123Graph_Cｸﾞﾗﾌ_1" hidden="1">#REF!</definedName>
    <definedName name="_130__123Graph_Cｸﾞﾗﾌ_10" localSheetId="1" hidden="1">#REF!</definedName>
    <definedName name="_130__123Graph_Cｸﾞﾗﾌ_10" hidden="1">#REF!</definedName>
    <definedName name="_133__123Graph_Cｸﾞﾗﾌ_11" hidden="1">#REF!</definedName>
    <definedName name="_136__123Graph_Cｸﾞﾗﾌ_12" hidden="1">#REF!</definedName>
    <definedName name="_139__123Graph_Cｸﾞﾗﾌ_13" hidden="1">#REF!</definedName>
    <definedName name="_142__123Graph_Cｸﾞﾗﾌ_14" hidden="1">#REF!</definedName>
    <definedName name="_143__123Graph_Cｸﾞﾗﾌ_15" hidden="1">#REF!</definedName>
    <definedName name="_144__123Graph_Cｸﾞﾗﾌ_16" hidden="1">#REF!</definedName>
    <definedName name="_145__123Graph_Cｸﾞﾗﾌ_17" hidden="1">#REF!</definedName>
    <definedName name="_146__123Graph_Cｸﾞﾗﾌ_18" hidden="1">#REF!</definedName>
    <definedName name="_147__123Graph_Cｸﾞﾗﾌ_19" hidden="1">#REF!</definedName>
    <definedName name="_15__123Graph_Aｸﾞﾗﾌ_13" hidden="1">#REF!</definedName>
    <definedName name="_150__123Graph_Cｸﾞﾗﾌ_2" hidden="1">#REF!</definedName>
    <definedName name="_151__123Graph_Cｸﾞﾗﾌ_20" hidden="1">#REF!</definedName>
    <definedName name="_152__123Graph_Cｸﾞﾗﾌ_21" hidden="1">#REF!</definedName>
    <definedName name="_153__123Graph_Cｸﾞﾗﾌ_22" hidden="1">#REF!</definedName>
    <definedName name="_154__123Graph_Cｸﾞﾗﾌ_24" hidden="1">#REF!</definedName>
    <definedName name="_155__123Graph_Cｸﾞﾗﾌ_25" hidden="1">#REF!</definedName>
    <definedName name="_158__123Graph_Cｸﾞﾗﾌ_26" hidden="1">#REF!</definedName>
    <definedName name="_159__123Graph_Cｸﾞﾗﾌ_27" hidden="1">#REF!</definedName>
    <definedName name="_162__123Graph_Cｸﾞﾗﾌ_3" hidden="1">#REF!</definedName>
    <definedName name="_165__123Graph_Cｸﾞﾗﾌ_4" hidden="1">[6]バス!$C$66:$C$107</definedName>
    <definedName name="_168__123Graph_Cｸﾞﾗﾌ_5" hidden="1">[6]バス!$CZ$20:$CZ$46</definedName>
    <definedName name="_171__123Graph_Cｸﾞﾗﾌ_6" hidden="1">[6]バス!$DC$38:$EC$38</definedName>
    <definedName name="_174__123Graph_Cｸﾞﾗﾌ_7" localSheetId="1" hidden="1">#REF!</definedName>
    <definedName name="_174__123Graph_Cｸﾞﾗﾌ_7" hidden="1">#REF!</definedName>
    <definedName name="_177__123Graph_Cｸﾞﾗﾌ_8" localSheetId="1" hidden="1">#REF!</definedName>
    <definedName name="_177__123Graph_Cｸﾞﾗﾌ_8" hidden="1">#REF!</definedName>
    <definedName name="_18__123Graph_Aｸﾞﾗﾌ_14" localSheetId="1" hidden="1">#REF!</definedName>
    <definedName name="_18__123Graph_Aｸﾞﾗﾌ_14" hidden="1">#REF!</definedName>
    <definedName name="_180__123Graph_Cｸﾞﾗﾌ_9" hidden="1">#REF!</definedName>
    <definedName name="_185__123Graph_Cﾎﾞｱ_ｺﾝﾌﾟﾊｲﾄ" hidden="1">[5]諸元まとめ!#REF!</definedName>
    <definedName name="_188__123Graph_Dｸﾞﾗﾌ_1" localSheetId="1" hidden="1">#REF!</definedName>
    <definedName name="_188__123Graph_Dｸﾞﾗﾌ_1" hidden="1">#REF!</definedName>
    <definedName name="_19__123Graph_Aｸﾞﾗﾌ_15" localSheetId="1" hidden="1">#REF!</definedName>
    <definedName name="_19__123Graph_Aｸﾞﾗﾌ_15" hidden="1">#REF!</definedName>
    <definedName name="_191__123Graph_Dｸﾞﾗﾌ_10" localSheetId="1" hidden="1">#REF!</definedName>
    <definedName name="_191__123Graph_Dｸﾞﾗﾌ_10" hidden="1">#REF!</definedName>
    <definedName name="_194__123Graph_Dｸﾞﾗﾌ_11" hidden="1">#REF!</definedName>
    <definedName name="_197__123Graph_Dｸﾞﾗﾌ_12" hidden="1">#REF!</definedName>
    <definedName name="_20__123Graph_Aｸﾞﾗﾌ_16" hidden="1">#REF!</definedName>
    <definedName name="_200__123Graph_Dｸﾞﾗﾌ_13" hidden="1">#REF!</definedName>
    <definedName name="_203__123Graph_Dｸﾞﾗﾌ_14" hidden="1">#REF!</definedName>
    <definedName name="_204__123Graph_Dｸﾞﾗﾌ_15" hidden="1">#REF!</definedName>
    <definedName name="_205__123Graph_Dｸﾞﾗﾌ_16" hidden="1">#REF!</definedName>
    <definedName name="_206__123Graph_Dｸﾞﾗﾌ_17" hidden="1">#REF!</definedName>
    <definedName name="_207__123Graph_Dｸﾞﾗﾌ_18" hidden="1">#REF!</definedName>
    <definedName name="_208__123Graph_Dｸﾞﾗﾌ_19" hidden="1">#REF!</definedName>
    <definedName name="_21__123Graph_Aｸﾞﾗﾌ_17" hidden="1">#REF!</definedName>
    <definedName name="_211__123Graph_Dｸﾞﾗﾌ_2" hidden="1">#REF!</definedName>
    <definedName name="_212__123Graph_Dｸﾞﾗﾌ_20" hidden="1">#REF!</definedName>
    <definedName name="_213__123Graph_Dｸﾞﾗﾌ_21" hidden="1">#REF!</definedName>
    <definedName name="_214__123Graph_Dｸﾞﾗﾌ_22" hidden="1">#REF!</definedName>
    <definedName name="_215__123Graph_Dｸﾞﾗﾌ_24" hidden="1">#REF!</definedName>
    <definedName name="_216__123Graph_Dｸﾞﾗﾌ_25" hidden="1">#REF!</definedName>
    <definedName name="_219__123Graph_Dｸﾞﾗﾌ_26" hidden="1">#REF!</definedName>
    <definedName name="_22__123Graph_Aｸﾞﾗﾌ_18" hidden="1">#REF!</definedName>
    <definedName name="_220__123Graph_Dｸﾞﾗﾌ_27" hidden="1">#REF!</definedName>
    <definedName name="_223__123Graph_Dｸﾞﾗﾌ_3" hidden="1">#REF!</definedName>
    <definedName name="_226__123Graph_Dｸﾞﾗﾌ_4" hidden="1">[6]バス!$C$186:$C$227</definedName>
    <definedName name="_229__123Graph_Dｸﾞﾗﾌ_5" hidden="1">[6]バス!$DA$20:$DA$46</definedName>
    <definedName name="_23__123Graph_Aｸﾞﾗﾌ_19" localSheetId="1" hidden="1">#REF!</definedName>
    <definedName name="_23__123Graph_Aｸﾞﾗﾌ_19" hidden="1">#REF!</definedName>
    <definedName name="_230__123Graph_Dｸﾞﾗﾌ_6" localSheetId="1" hidden="1">#REF!</definedName>
    <definedName name="_230__123Graph_Dｸﾞﾗﾌ_6" hidden="1">#REF!</definedName>
    <definedName name="_233__123Graph_Dｸﾞﾗﾌ_7" localSheetId="1" hidden="1">#REF!</definedName>
    <definedName name="_233__123Graph_Dｸﾞﾗﾌ_7" hidden="1">#REF!</definedName>
    <definedName name="_234__123Graph_Dｸﾞﾗﾌ_8" hidden="1">#REF!</definedName>
    <definedName name="_237__123Graph_Dｸﾞﾗﾌ_9" hidden="1">#REF!</definedName>
    <definedName name="_240__123Graph_Eｸﾞﾗﾌ_1" hidden="1">#REF!</definedName>
    <definedName name="_243__123Graph_Eｸﾞﾗﾌ_10" hidden="1">#REF!</definedName>
    <definedName name="_246__123Graph_Eｸﾞﾗﾌ_11" hidden="1">#REF!</definedName>
    <definedName name="_249__123Graph_Eｸﾞﾗﾌ_12" hidden="1">#REF!</definedName>
    <definedName name="_252__123Graph_Eｸﾞﾗﾌ_13" localSheetId="1" hidden="1">#REF!</definedName>
    <definedName name="_252__123Graph_Eｸﾞﾗﾌ_13" hidden="1">#REF!</definedName>
    <definedName name="_255__123Graph_Eｸﾞﾗﾌ_14" hidden="1">#REF!</definedName>
    <definedName name="_256__123Graph_Eｸﾞﾗﾌ_15" hidden="1">#REF!</definedName>
    <definedName name="_257__123Graph_Eｸﾞﾗﾌ_16" hidden="1">#REF!</definedName>
    <definedName name="_258__123Graph_Eｸﾞﾗﾌ_17" hidden="1">#REF!</definedName>
    <definedName name="_259__123Graph_Eｸﾞﾗﾌ_18" hidden="1">#REF!</definedName>
    <definedName name="_26__123Graph_Aｸﾞﾗﾌ_2" hidden="1">#REF!</definedName>
    <definedName name="_260__123Graph_Eｸﾞﾗﾌ_19" hidden="1">#REF!</definedName>
    <definedName name="_263__123Graph_Eｸﾞﾗﾌ_2" localSheetId="1" hidden="1">#REF!</definedName>
    <definedName name="_263__123Graph_Eｸﾞﾗﾌ_2" hidden="1">#REF!</definedName>
    <definedName name="_264__123Graph_Eｸﾞﾗﾌ_20" hidden="1">#REF!</definedName>
    <definedName name="_265__123Graph_Eｸﾞﾗﾌ_21" hidden="1">#REF!</definedName>
    <definedName name="_266__123Graph_Eｸﾞﾗﾌ_22" hidden="1">#REF!</definedName>
    <definedName name="_267__123Graph_Eｸﾞﾗﾌ_24" hidden="1">#REF!</definedName>
    <definedName name="_268__123Graph_Eｸﾞﾗﾌ_25" hidden="1">#REF!</definedName>
    <definedName name="_27__123Graph_Aｸﾞﾗﾌ_20" hidden="1">#REF!</definedName>
    <definedName name="_271__123Graph_Eｸﾞﾗﾌ_26" hidden="1">#REF!</definedName>
    <definedName name="_272__123Graph_Eｸﾞﾗﾌ_27" hidden="1">#REF!</definedName>
    <definedName name="_275__123Graph_Eｸﾞﾗﾌ_3" hidden="1">#REF!</definedName>
    <definedName name="_278__123Graph_Eｸﾞﾗﾌ_4" hidden="1">#REF!</definedName>
    <definedName name="_28__123Graph_Aｸﾞﾗﾌ_21" hidden="1">#REF!</definedName>
    <definedName name="_281__123Graph_Eｸﾞﾗﾌ_5" hidden="1">#REF!</definedName>
    <definedName name="_284__123Graph_Eｸﾞﾗﾌ_6" hidden="1">#REF!</definedName>
    <definedName name="_287__123Graph_Eｸﾞﾗﾌ_7" hidden="1">#REF!</definedName>
    <definedName name="_288__123Graph_Eｸﾞﾗﾌ_8" hidden="1">#REF!</definedName>
    <definedName name="_29__123Graph_Aｸﾞﾗﾌ_22" hidden="1">#REF!</definedName>
    <definedName name="_291__123Graph_Eｸﾞﾗﾌ_9" hidden="1">#REF!</definedName>
    <definedName name="_296__123Graph_Eｽﾄﾛｰｸ_ｺﾝﾛｯﾄﾞ長" hidden="1">[5]諸元まとめ!#REF!</definedName>
    <definedName name="_3__123Graph_Aｸﾞﾗﾌ_1" localSheetId="1" hidden="1">#REF!</definedName>
    <definedName name="_3__123Graph_Aｸﾞﾗﾌ_1" hidden="1">#REF!</definedName>
    <definedName name="_30__123Graph_Aｸﾞﾗﾌ_24" localSheetId="1" hidden="1">#REF!</definedName>
    <definedName name="_30__123Graph_Aｸﾞﾗﾌ_24" hidden="1">#REF!</definedName>
    <definedName name="_301__123Graph_Eﾎﾞｱ_ｺﾝﾌﾟﾊｲﾄ" localSheetId="1" hidden="1">[5]諸元まとめ!#REF!</definedName>
    <definedName name="_301__123Graph_Eﾎﾞｱ_ｺﾝﾌﾟﾊｲﾄ" hidden="1">[5]諸元まとめ!#REF!</definedName>
    <definedName name="_304__123Graph_Fｸﾞﾗﾌ_1" localSheetId="1" hidden="1">#REF!</definedName>
    <definedName name="_304__123Graph_Fｸﾞﾗﾌ_1" hidden="1">#REF!</definedName>
    <definedName name="_307__123Graph_Fｸﾞﾗﾌ_10" localSheetId="1" hidden="1">#REF!</definedName>
    <definedName name="_307__123Graph_Fｸﾞﾗﾌ_10" hidden="1">#REF!</definedName>
    <definedName name="_31__123Graph_Aｸﾞﾗﾌ_25" localSheetId="1" hidden="1">#REF!</definedName>
    <definedName name="_31__123Graph_Aｸﾞﾗﾌ_25" hidden="1">#REF!</definedName>
    <definedName name="_310__123Graph_Fｸﾞﾗﾌ_11" hidden="1">#REF!</definedName>
    <definedName name="_313__123Graph_Fｸﾞﾗﾌ_12" hidden="1">#REF!</definedName>
    <definedName name="_316__123Graph_Fｸﾞﾗﾌ_13" hidden="1">#REF!</definedName>
    <definedName name="_319__123Graph_Fｸﾞﾗﾌ_14" hidden="1">#REF!</definedName>
    <definedName name="_320__123Graph_Fｸﾞﾗﾌ_15" hidden="1">#REF!</definedName>
    <definedName name="_321__123Graph_Fｸﾞﾗﾌ_16" hidden="1">#REF!</definedName>
    <definedName name="_322__123Graph_Fｸﾞﾗﾌ_17" hidden="1">#REF!</definedName>
    <definedName name="_323__123Graph_Fｸﾞﾗﾌ_18" hidden="1">#REF!</definedName>
    <definedName name="_324__123Graph_Fｸﾞﾗﾌ_19" hidden="1">#REF!</definedName>
    <definedName name="_327__123Graph_Fｸﾞﾗﾌ_2" hidden="1">#REF!</definedName>
    <definedName name="_328__123Graph_Fｸﾞﾗﾌ_20" hidden="1">#REF!</definedName>
    <definedName name="_329__123Graph_Fｸﾞﾗﾌ_21" hidden="1">#REF!</definedName>
    <definedName name="_330__123Graph_Fｸﾞﾗﾌ_22" hidden="1">#REF!</definedName>
    <definedName name="_331__123Graph_Fｸﾞﾗﾌ_24" hidden="1">#REF!</definedName>
    <definedName name="_332__123Graph_Fｸﾞﾗﾌ_25" hidden="1">#REF!</definedName>
    <definedName name="_335__123Graph_Fｸﾞﾗﾌ_26" hidden="1">#REF!</definedName>
    <definedName name="_336__123Graph_Fｸﾞﾗﾌ_27" hidden="1">#REF!</definedName>
    <definedName name="_339__123Graph_Fｸﾞﾗﾌ_3" hidden="1">#REF!</definedName>
    <definedName name="_34__123Graph_Aｸﾞﾗﾌ_26" hidden="1">#REF!</definedName>
    <definedName name="_342__123Graph_Fｸﾞﾗﾌ_4" hidden="1">#REF!</definedName>
    <definedName name="_345__123Graph_Fｸﾞﾗﾌ_5" hidden="1">#REF!</definedName>
    <definedName name="_346__123Graph_Fｸﾞﾗﾌ_6" hidden="1">#REF!</definedName>
    <definedName name="_347__123Graph_Fｸﾞﾗﾌ_7" hidden="1">#REF!</definedName>
    <definedName name="_348__123Graph_Fｸﾞﾗﾌ_8" hidden="1">#REF!</definedName>
    <definedName name="_35__123Graph_Aｸﾞﾗﾌ_27" hidden="1">#REF!</definedName>
    <definedName name="_351__123Graph_Fｸﾞﾗﾌ_9" hidden="1">#REF!</definedName>
    <definedName name="_356__123Graph_Fﾎﾞｱ_ｺﾝﾌﾟﾊｲﾄ" hidden="1">[5]諸元まとめ!#REF!</definedName>
    <definedName name="_359__123Graph_LBL_Aｸﾞﾗﾌ_7" localSheetId="1" hidden="1">#REF!</definedName>
    <definedName name="_359__123Graph_LBL_Aｸﾞﾗﾌ_7" hidden="1">#REF!</definedName>
    <definedName name="_362__123Graph_LBL_Aｸﾞﾗﾌ_8" localSheetId="1" hidden="1">#REF!</definedName>
    <definedName name="_362__123Graph_LBL_Aｸﾞﾗﾌ_8" hidden="1">#REF!</definedName>
    <definedName name="_365__123Graph_LBL_Bｸﾞﾗﾌ_7" localSheetId="1" hidden="1">#REF!</definedName>
    <definedName name="_365__123Graph_LBL_Bｸﾞﾗﾌ_7" hidden="1">#REF!</definedName>
    <definedName name="_368__123Graph_LBL_Bｸﾞﾗﾌ_8" hidden="1">#REF!</definedName>
    <definedName name="_371__123Graph_LBL_Cｸﾞﾗﾌ_3" hidden="1">#REF!</definedName>
    <definedName name="_374__123Graph_LBL_Cｸﾞﾗﾌ_7" hidden="1">#REF!</definedName>
    <definedName name="_377__123Graph_LBL_Cｸﾞﾗﾌ_8" hidden="1">#REF!</definedName>
    <definedName name="_38__123Graph_Aｸﾞﾗﾌ_3" hidden="1">#REF!</definedName>
    <definedName name="_380__123Graph_LBL_Dｸﾞﾗﾌ_3" hidden="1">#REF!</definedName>
    <definedName name="_383__123Graph_LBL_Dｸﾞﾗﾌ_7" hidden="1">#REF!</definedName>
    <definedName name="_386__123Graph_LBL_Eｸﾞﾗﾌ_3" hidden="1">#REF!</definedName>
    <definedName name="_389__123Graph_LBL_Eｸﾞﾗﾌ_7" hidden="1">#REF!</definedName>
    <definedName name="_392__123Graph_LBL_Fｸﾞﾗﾌ_3" hidden="1">#REF!</definedName>
    <definedName name="_395__123Graph_Xｸﾞﾗﾌ_1" hidden="1">#REF!</definedName>
    <definedName name="_396__123Graph_Xｸﾞﾗﾌ_10" hidden="1">#REF!</definedName>
    <definedName name="_397__123Graph_Xｸﾞﾗﾌ_11" hidden="1">#REF!</definedName>
    <definedName name="_400__123Graph_Xｸﾞﾗﾌ_12" hidden="1">#REF!</definedName>
    <definedName name="_403__123Graph_Xｸﾞﾗﾌ_13" hidden="1">#REF!</definedName>
    <definedName name="_406__123Graph_Xｸﾞﾗﾌ_14" hidden="1">#REF!</definedName>
    <definedName name="_407__123Graph_Xｸﾞﾗﾌ_15" hidden="1">#REF!</definedName>
    <definedName name="_408__123Graph_Xｸﾞﾗﾌ_16" hidden="1">#REF!</definedName>
    <definedName name="_409__123Graph_Xｸﾞﾗﾌ_17" hidden="1">#REF!</definedName>
    <definedName name="_41__123Graph_Aｸﾞﾗﾌ_30" hidden="1">#REF!</definedName>
    <definedName name="_410__123Graph_Xｸﾞﾗﾌ_18" hidden="1">#REF!</definedName>
    <definedName name="_411__123Graph_Xｸﾞﾗﾌ_19" hidden="1">#REF!</definedName>
    <definedName name="_414__123Graph_Xｸﾞﾗﾌ_2" hidden="1">#REF!</definedName>
    <definedName name="_415__123Graph_Xｸﾞﾗﾌ_20" hidden="1">#REF!</definedName>
    <definedName name="_416__123Graph_Xｸﾞﾗﾌ_21" hidden="1">#REF!</definedName>
    <definedName name="_417__123Graph_Xｸﾞﾗﾌ_22" hidden="1">#REF!</definedName>
    <definedName name="_418__123Graph_Xｸﾞﾗﾌ_24" hidden="1">#REF!</definedName>
    <definedName name="_419__123Graph_Xｸﾞﾗﾌ_25" hidden="1">#REF!</definedName>
    <definedName name="_422__123Graph_Xｸﾞﾗﾌ_26" hidden="1">#REF!</definedName>
    <definedName name="_423__123Graph_Xｸﾞﾗﾌ_27" hidden="1">#REF!</definedName>
    <definedName name="_426__123Graph_Xｸﾞﾗﾌ_3" hidden="1">#REF!</definedName>
    <definedName name="_429__123Graph_Xｸﾞﾗﾌ_31" hidden="1">#REF!</definedName>
    <definedName name="_430__123Graph_Xｸﾞﾗﾌ_4" hidden="1">#REF!</definedName>
    <definedName name="_433__123Graph_Xｸﾞﾗﾌ_5" hidden="1">[6]バス!$CX$20:$CX$46</definedName>
    <definedName name="_436__123Graph_Xｸﾞﾗﾌ_6" hidden="1">[6]バス!$DC$35:$EC$35</definedName>
    <definedName name="_437__123Graph_Xｸﾞﾗﾌ_7" localSheetId="1" hidden="1">#REF!</definedName>
    <definedName name="_437__123Graph_Xｸﾞﾗﾌ_7" hidden="1">#REF!</definedName>
    <definedName name="_44__123Graph_Aｸﾞﾗﾌ_31" localSheetId="1" hidden="1">#REF!</definedName>
    <definedName name="_44__123Graph_Aｸﾞﾗﾌ_31" hidden="1">#REF!</definedName>
    <definedName name="_440__123Graph_Xｸﾞﾗﾌ_8" localSheetId="1" hidden="1">#REF!</definedName>
    <definedName name="_440__123Graph_Xｸﾞﾗﾌ_8" hidden="1">#REF!</definedName>
    <definedName name="_443__123Graph_Xｸﾞﾗﾌ_9" hidden="1">#REF!</definedName>
    <definedName name="_47__123Graph_Aｸﾞﾗﾌ_4" hidden="1">#REF!</definedName>
    <definedName name="_50__123Graph_Aｸﾞﾗﾌ_5" hidden="1">#REF!</definedName>
    <definedName name="_53__123Graph_Aｸﾞﾗﾌ_6" hidden="1">[6]バス!$DC$36:$EC$36</definedName>
    <definedName name="_56__123Graph_Aｸﾞﾗﾌ_7" localSheetId="1" hidden="1">#REF!</definedName>
    <definedName name="_56__123Graph_Aｸﾞﾗﾌ_7" hidden="1">#REF!</definedName>
    <definedName name="_59__123Graph_Aｸﾞﾗﾌ_8" localSheetId="1" hidden="1">#REF!</definedName>
    <definedName name="_59__123Graph_Aｸﾞﾗﾌ_8" hidden="1">#REF!</definedName>
    <definedName name="_6__123Graph_Aｸﾞﾗﾌ_10" localSheetId="1" hidden="1">#REF!</definedName>
    <definedName name="_6__123Graph_Aｸﾞﾗﾌ_10" hidden="1">#REF!</definedName>
    <definedName name="_62__123Graph_Aｸﾞﾗﾌ_9" hidden="1">#REF!</definedName>
    <definedName name="_65__123Graph_Bｸﾞﾗﾌ_1" hidden="1">#REF!</definedName>
    <definedName name="_68__123Graph_Bｸﾞﾗﾌ_10" hidden="1">#REF!</definedName>
    <definedName name="_71__123Graph_Bｸﾞﾗﾌ_11" hidden="1">#REF!</definedName>
    <definedName name="_74__123Graph_Bｸﾞﾗﾌ_12" hidden="1">#REF!</definedName>
    <definedName name="_77__123Graph_Bｸﾞﾗﾌ_13" hidden="1">#REF!</definedName>
    <definedName name="_80__123Graph_Bｸﾞﾗﾌ_14" hidden="1">#REF!</definedName>
    <definedName name="_81__123Graph_Bｸﾞﾗﾌ_15" hidden="1">#REF!</definedName>
    <definedName name="_82__123Graph_Bｸﾞﾗﾌ_16" hidden="1">#REF!</definedName>
    <definedName name="_83__123Graph_Bｸﾞﾗﾌ_17" hidden="1">#REF!</definedName>
    <definedName name="_84__123Graph_Bｸﾞﾗﾌ_18" hidden="1">#REF!</definedName>
    <definedName name="_85__123Graph_Bｸﾞﾗﾌ_19" hidden="1">#REF!</definedName>
    <definedName name="_88__123Graph_Bｸﾞﾗﾌ_2" hidden="1">#REF!</definedName>
    <definedName name="_89__123Graph_Bｸﾞﾗﾌ_20" hidden="1">#REF!</definedName>
    <definedName name="_9__123Graph_Aｸﾞﾗﾌ_11" hidden="1">#REF!</definedName>
    <definedName name="_90__123Graph_Bｸﾞﾗﾌ_21" hidden="1">#REF!</definedName>
    <definedName name="_91__123Graph_Bｸﾞﾗﾌ_22" hidden="1">#REF!</definedName>
    <definedName name="_92__123Graph_Bｸﾞﾗﾌ_24" hidden="1">#REF!</definedName>
    <definedName name="_93__123Graph_Bｸﾞﾗﾌ_25" hidden="1">#REF!</definedName>
    <definedName name="_96__123Graph_Bｸﾞﾗﾌ_26" hidden="1">#REF!</definedName>
    <definedName name="_97__123Graph_Bｸﾞﾗﾌ_27" hidden="1">#REF!</definedName>
    <definedName name="_Fill" hidden="1">#REF!</definedName>
    <definedName name="_xlnm._FilterDatabase" localSheetId="0" hidden="1">Fuso!$A$8:$V$9</definedName>
    <definedName name="_xlnm._FilterDatabase" localSheetId="1" hidden="1">Hino!$A$8:$V$9</definedName>
    <definedName name="_xlnm._FilterDatabase" localSheetId="2" hidden="1">Isuzu!$A$8:$V$1101</definedName>
    <definedName name="_xlnm._FilterDatabase" localSheetId="3" hidden="1">Mazda!$A$8:$V$358</definedName>
    <definedName name="_xlnm._FilterDatabase" localSheetId="4" hidden="1">Nissan!$A$8:$V$362</definedName>
    <definedName name="_xlnm._FilterDatabase" localSheetId="5" hidden="1">Toyota!$A$8:$W$182</definedName>
    <definedName name="_xlnm._FilterDatabase" localSheetId="6" hidden="1">UD!$A$8:$V$9</definedName>
    <definedName name="_xlnm._FilterDatabase" localSheetId="7" hidden="1">Volvo!$A$8:$Y$8</definedName>
    <definedName name="_Key1" localSheetId="1" hidden="1">#REF!</definedName>
    <definedName name="_Key1" hidden="1">#REF!</definedName>
    <definedName name="_Key2" hidden="1">[8]仕入住原!$B$501</definedName>
    <definedName name="_Order1" hidden="1">255</definedName>
    <definedName name="_Order2" hidden="1">255</definedName>
    <definedName name="_Parse_In" hidden="1">'[9]bs is'!$B$116:$B$165</definedName>
    <definedName name="_Parse_Out" hidden="1">'[9]bs is'!$V$122:$AA$171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ort" hidden="1">#REF!</definedName>
    <definedName name="FF" hidden="1">#REF!</definedName>
    <definedName name="ｇｄさ" hidden="1">#REF!</definedName>
    <definedName name="GURAHU7" hidden="1">[10]バス!$DA$20:$DA$46</definedName>
    <definedName name="ｇｗｇ" localSheetId="1" hidden="1">#REF!</definedName>
    <definedName name="ｇｗｇ" hidden="1">#REF!</definedName>
    <definedName name="Module1.社内配布用印刷" localSheetId="0">[1]!Module1.社内配布用印刷</definedName>
    <definedName name="Module1.社内配布用印刷" localSheetId="1">[1]!Module1.社内配布用印刷</definedName>
    <definedName name="Module1.社内配布用印刷" localSheetId="2">[1]!Module1.社内配布用印刷</definedName>
    <definedName name="Module1.社内配布用印刷" localSheetId="3">[1]!Module1.社内配布用印刷</definedName>
    <definedName name="Module1.社内配布用印刷" localSheetId="4">[1]!Module1.社内配布用印刷</definedName>
    <definedName name="Module1.社内配布用印刷" localSheetId="5">[1]!Module1.社内配布用印刷</definedName>
    <definedName name="Module1.社内配布用印刷" localSheetId="6">[1]!Module1.社内配布用印刷</definedName>
    <definedName name="Module1.社内配布用印刷" localSheetId="7">[1]!Module1.社内配布用印刷</definedName>
    <definedName name="Module1.社内配布用印刷">[1]!Module1.社内配布用印刷</definedName>
    <definedName name="Module1.提出用印刷" localSheetId="0">[1]!Module1.提出用印刷</definedName>
    <definedName name="Module1.提出用印刷" localSheetId="1">[1]!Module1.提出用印刷</definedName>
    <definedName name="Module1.提出用印刷" localSheetId="2">[1]!Module1.提出用印刷</definedName>
    <definedName name="Module1.提出用印刷" localSheetId="3">[1]!Module1.提出用印刷</definedName>
    <definedName name="Module1.提出用印刷" localSheetId="4">[1]!Module1.提出用印刷</definedName>
    <definedName name="Module1.提出用印刷" localSheetId="5">[1]!Module1.提出用印刷</definedName>
    <definedName name="Module1.提出用印刷" localSheetId="6">[1]!Module1.提出用印刷</definedName>
    <definedName name="Module1.提出用印刷" localSheetId="7">[1]!Module1.提出用印刷</definedName>
    <definedName name="Module1.提出用印刷">[1]!Module1.提出用印刷</definedName>
    <definedName name="_xlnm.Print_Area" localSheetId="0">Fuso!$A$2:$V$372</definedName>
    <definedName name="_xlnm.Print_Area" localSheetId="1">Hino!$A$2:$V$689</definedName>
    <definedName name="_xlnm.Print_Area" localSheetId="2">Isuzu!$A$2:$V$1164</definedName>
    <definedName name="_xlnm.Print_Area" localSheetId="3">Mazda!$A$2:$V$362</definedName>
    <definedName name="_xlnm.Print_Area" localSheetId="4">Nissan!$A$2:$V$367</definedName>
    <definedName name="_xlnm.Print_Area" localSheetId="5">Toyota!$A$2:$V$337</definedName>
    <definedName name="_xlnm.Print_Area" localSheetId="6">UD!$A$2:$V$382</definedName>
    <definedName name="_xlnm.Print_Area" localSheetId="7">Volvo!$A$2:$V$85</definedName>
    <definedName name="_xlnm.Print_Titles" localSheetId="0">Fuso!$3:$8</definedName>
    <definedName name="_xlnm.Print_Titles" localSheetId="1">Hino!$2:$8</definedName>
    <definedName name="_xlnm.Print_Titles" localSheetId="2">Isuzu!$3:$8</definedName>
    <definedName name="_xlnm.Print_Titles" localSheetId="3">Mazda!$3:$8</definedName>
    <definedName name="_xlnm.Print_Titles" localSheetId="4">Nissan!$3:$8</definedName>
    <definedName name="_xlnm.Print_Titles" localSheetId="5">Toyota!$3:$8</definedName>
    <definedName name="_xlnm.Print_Titles" localSheetId="6">UD!$3:$8</definedName>
    <definedName name="_xlnm.Print_Titles" localSheetId="7">Volvo!$2:$8</definedName>
    <definedName name="_xlnm.Print_Titles">[2]乗用・ＲＶ車!$1:$7</definedName>
    <definedName name="グラフ" localSheetId="1" hidden="1">#REF!</definedName>
    <definedName name="グラフ" hidden="1">#REF!</definedName>
    <definedName name="グラフ2" hidden="1">[10]バス!$CY$20:$CY$46</definedName>
    <definedName name="グラフ3" localSheetId="1" hidden="1">#REF!</definedName>
    <definedName name="グラフ3" hidden="1">#REF!</definedName>
    <definedName name="ぐらふ３" localSheetId="1" hidden="1">#REF!</definedName>
    <definedName name="ぐらふ３" hidden="1">#REF!</definedName>
    <definedName name="グラフ4" hidden="1">[10]バス!$C$66:$C$107</definedName>
    <definedName name="グラフ６" hidden="1">[10]バス!$DC$38:$EC$38</definedName>
    <definedName name="ぐらふ６" hidden="1">[10]バス!$DC$35:$EC$35</definedName>
    <definedName name="けＹ" localSheetId="1" hidden="1">#REF!</definedName>
    <definedName name="けＹ" hidden="1">#REF!</definedName>
    <definedName name="そＲＴ" localSheetId="1" hidden="1">#REF!</definedName>
    <definedName name="そＲＴ" hidden="1">#REF!</definedName>
    <definedName name="た" localSheetId="1" hidden="1">#REF!</definedName>
    <definedName name="た" hidden="1">#REF!</definedName>
    <definedName name="だ" hidden="1">#REF!</definedName>
    <definedName name="っｄ">[3]!社内配布用印刷</definedName>
    <definedName name="ふぁ" localSheetId="1" hidden="1">#REF!</definedName>
    <definedName name="ふぁ" hidden="1">#REF!</definedName>
    <definedName name="へあ" localSheetId="1" hidden="1">#REF!</definedName>
    <definedName name="へあ" hidden="1">#REF!</definedName>
    <definedName name="削" localSheetId="4">[3]!社内配布用印刷</definedName>
    <definedName name="削">[3]!社内配布用印刷</definedName>
    <definedName name="削除" localSheetId="4">[1]!Module1.社内配布用印刷</definedName>
    <definedName name="削除">[1]!Module1.社内配布用印刷</definedName>
    <definedName name="削除した" localSheetId="4">[1]!Module1.提出用印刷</definedName>
    <definedName name="削除した">[1]!Module1.提出用印刷</definedName>
    <definedName name="削除したもの" localSheetId="4">[1]!新型構変選択</definedName>
    <definedName name="削除したもの">[1]!新型構変選択</definedName>
    <definedName name="削除中" localSheetId="4">[1]!製作者選択</definedName>
    <definedName name="削除中">[1]!製作者選択</definedName>
    <definedName name="社内配布用印刷" localSheetId="0">[3]!社内配布用印刷</definedName>
    <definedName name="社内配布用印刷" localSheetId="1">[3]!社内配布用印刷</definedName>
    <definedName name="社内配布用印刷" localSheetId="2">[3]!社内配布用印刷</definedName>
    <definedName name="社内配布用印刷" localSheetId="3">[3]!社内配布用印刷</definedName>
    <definedName name="社内配布用印刷" localSheetId="4">[3]!社内配布用印刷</definedName>
    <definedName name="社内配布用印刷" localSheetId="5">[3]!社内配布用印刷</definedName>
    <definedName name="社内配布用印刷" localSheetId="6">[3]!社内配布用印刷</definedName>
    <definedName name="社内配布用印刷" localSheetId="7">[3]!社内配布用印刷</definedName>
    <definedName name="社内配布用印刷">[3]!社内配布用印刷</definedName>
    <definedName name="乗用115_以上" localSheetId="5">#REF!</definedName>
    <definedName name="乗用115_以上">#REF!</definedName>
    <definedName name="新型構変選択" localSheetId="0">[1]!新型構変選択</definedName>
    <definedName name="新型構変選択" localSheetId="1">[1]!新型構変選択</definedName>
    <definedName name="新型構変選択" localSheetId="2">[1]!新型構変選択</definedName>
    <definedName name="新型構変選択" localSheetId="3">[1]!新型構変選択</definedName>
    <definedName name="新型構変選択" localSheetId="4">[1]!新型構変選択</definedName>
    <definedName name="新型構変選択" localSheetId="5">[1]!新型構変選択</definedName>
    <definedName name="新型構変選択" localSheetId="6">[1]!新型構変選択</definedName>
    <definedName name="新型構変選択" localSheetId="7">[1]!新型構変選択</definedName>
    <definedName name="新型構変選択">[1]!新型構変選択</definedName>
    <definedName name="製作者選択" localSheetId="0">[1]!製作者選択</definedName>
    <definedName name="製作者選択" localSheetId="1">[1]!製作者選択</definedName>
    <definedName name="製作者選択" localSheetId="2">[1]!製作者選択</definedName>
    <definedName name="製作者選択" localSheetId="3">[1]!製作者選択</definedName>
    <definedName name="製作者選択" localSheetId="4">[1]!製作者選択</definedName>
    <definedName name="製作者選択" localSheetId="5">[1]!製作者選択</definedName>
    <definedName name="製作者選択" localSheetId="6">[1]!製作者選択</definedName>
    <definedName name="製作者選択" localSheetId="7">[1]!製作者選択</definedName>
    <definedName name="製作者選択">[1]!製作者選択</definedName>
    <definedName name="提出用印刷" localSheetId="0">[3]!提出用印刷</definedName>
    <definedName name="提出用印刷" localSheetId="1">[3]!提出用印刷</definedName>
    <definedName name="提出用印刷" localSheetId="2">[3]!提出用印刷</definedName>
    <definedName name="提出用印刷" localSheetId="3">[3]!提出用印刷</definedName>
    <definedName name="提出用印刷" localSheetId="4">[3]!提出用印刷</definedName>
    <definedName name="提出用印刷" localSheetId="5">[3]!提出用印刷</definedName>
    <definedName name="提出用印刷" localSheetId="6">[3]!提出用印刷</definedName>
    <definedName name="提出用印刷" localSheetId="7">[3]!提出用印刷</definedName>
    <definedName name="提出用印刷">[3]!提出用印刷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8" l="1"/>
  <c r="V9" i="8"/>
  <c r="O10" i="8"/>
  <c r="V10" i="8"/>
  <c r="O11" i="8"/>
  <c r="V11" i="8"/>
  <c r="O12" i="8"/>
  <c r="V12" i="8"/>
  <c r="O13" i="8"/>
  <c r="V13" i="8"/>
  <c r="O14" i="8"/>
  <c r="V14" i="8"/>
  <c r="O15" i="8"/>
  <c r="V15" i="8"/>
  <c r="O16" i="8"/>
  <c r="V16" i="8"/>
  <c r="O17" i="8"/>
  <c r="V17" i="8"/>
  <c r="O18" i="8"/>
  <c r="V18" i="8"/>
  <c r="O19" i="8"/>
  <c r="V19" i="8"/>
  <c r="O20" i="8"/>
  <c r="V20" i="8"/>
  <c r="O21" i="8"/>
  <c r="V21" i="8"/>
  <c r="O22" i="8"/>
  <c r="V22" i="8"/>
  <c r="O23" i="8"/>
  <c r="V23" i="8"/>
  <c r="O24" i="8"/>
  <c r="V24" i="8"/>
  <c r="O25" i="8"/>
  <c r="V25" i="8"/>
  <c r="O26" i="8"/>
  <c r="V26" i="8"/>
  <c r="O27" i="8"/>
  <c r="V27" i="8"/>
  <c r="O28" i="8"/>
  <c r="V28" i="8"/>
  <c r="O29" i="8"/>
  <c r="V29" i="8"/>
  <c r="O30" i="8"/>
  <c r="V30" i="8"/>
  <c r="O31" i="8"/>
  <c r="V31" i="8"/>
  <c r="O32" i="8"/>
  <c r="V32" i="8"/>
  <c r="O33" i="8"/>
  <c r="V33" i="8"/>
  <c r="O34" i="8"/>
  <c r="V34" i="8"/>
  <c r="O35" i="8"/>
  <c r="V35" i="8"/>
  <c r="O36" i="8"/>
  <c r="V36" i="8"/>
  <c r="O37" i="8"/>
  <c r="V37" i="8"/>
  <c r="O38" i="8"/>
  <c r="V38" i="8"/>
  <c r="O39" i="8"/>
  <c r="V39" i="8"/>
  <c r="O40" i="8"/>
  <c r="V40" i="8"/>
  <c r="O41" i="8"/>
  <c r="V41" i="8"/>
  <c r="O42" i="8"/>
  <c r="V42" i="8"/>
  <c r="O43" i="8"/>
  <c r="V43" i="8"/>
  <c r="O44" i="8"/>
  <c r="V44" i="8"/>
  <c r="O45" i="8"/>
  <c r="V45" i="8"/>
  <c r="O46" i="8"/>
  <c r="V46" i="8"/>
  <c r="O47" i="8"/>
  <c r="V47" i="8"/>
  <c r="O48" i="8"/>
  <c r="V48" i="8"/>
  <c r="O49" i="8"/>
  <c r="V49" i="8"/>
  <c r="O50" i="8"/>
  <c r="V50" i="8"/>
  <c r="O51" i="8"/>
  <c r="V51" i="8"/>
  <c r="O52" i="8"/>
  <c r="V52" i="8"/>
  <c r="O53" i="8"/>
  <c r="V53" i="8"/>
  <c r="O54" i="8"/>
  <c r="V54" i="8"/>
  <c r="O55" i="8"/>
  <c r="V55" i="8"/>
  <c r="O56" i="8"/>
  <c r="V56" i="8"/>
  <c r="O57" i="8"/>
  <c r="V57" i="8"/>
  <c r="O58" i="8"/>
  <c r="V58" i="8"/>
  <c r="O59" i="8"/>
  <c r="V59" i="8"/>
  <c r="O60" i="8"/>
  <c r="V60" i="8"/>
  <c r="O61" i="8"/>
  <c r="V61" i="8"/>
  <c r="O62" i="8"/>
  <c r="V62" i="8"/>
  <c r="O63" i="8"/>
  <c r="V63" i="8"/>
  <c r="O64" i="8"/>
  <c r="V64" i="8"/>
  <c r="O65" i="8"/>
  <c r="V65" i="8"/>
  <c r="O66" i="8"/>
  <c r="V66" i="8"/>
  <c r="O67" i="8"/>
  <c r="V67" i="8"/>
  <c r="O68" i="8"/>
  <c r="V68" i="8"/>
  <c r="O69" i="8"/>
  <c r="V69" i="8"/>
  <c r="O70" i="8"/>
  <c r="V70" i="8"/>
  <c r="O71" i="8"/>
  <c r="V71" i="8"/>
  <c r="O72" i="8"/>
  <c r="V72" i="8"/>
  <c r="O73" i="8"/>
  <c r="V73" i="8"/>
  <c r="O74" i="8"/>
  <c r="V74" i="8"/>
  <c r="O75" i="8"/>
  <c r="V75" i="8"/>
  <c r="O76" i="8"/>
  <c r="V76" i="8"/>
  <c r="O77" i="8"/>
  <c r="V77" i="8"/>
  <c r="O78" i="8"/>
  <c r="V78" i="8"/>
  <c r="O79" i="8"/>
  <c r="V79" i="8"/>
  <c r="O80" i="8"/>
  <c r="V80" i="8"/>
  <c r="O9" i="7"/>
  <c r="V9" i="7"/>
  <c r="O10" i="7"/>
  <c r="V10" i="7"/>
  <c r="O11" i="7"/>
  <c r="V11" i="7"/>
  <c r="O12" i="7"/>
  <c r="V12" i="7"/>
  <c r="O13" i="7"/>
  <c r="V13" i="7"/>
  <c r="O14" i="7"/>
  <c r="V14" i="7"/>
  <c r="O15" i="7"/>
  <c r="V15" i="7"/>
  <c r="O16" i="7"/>
  <c r="V16" i="7"/>
  <c r="O17" i="7"/>
  <c r="V17" i="7"/>
  <c r="O18" i="7"/>
  <c r="V18" i="7"/>
  <c r="O19" i="7"/>
  <c r="V19" i="7"/>
  <c r="O20" i="7"/>
  <c r="V20" i="7"/>
  <c r="O21" i="7"/>
  <c r="V21" i="7"/>
  <c r="O22" i="7"/>
  <c r="V22" i="7"/>
  <c r="O23" i="7"/>
  <c r="V23" i="7"/>
  <c r="O24" i="7"/>
  <c r="V24" i="7"/>
  <c r="O25" i="7"/>
  <c r="V25" i="7"/>
  <c r="O26" i="7"/>
  <c r="V26" i="7"/>
  <c r="O27" i="7"/>
  <c r="V27" i="7"/>
  <c r="O28" i="7"/>
  <c r="V28" i="7"/>
  <c r="O29" i="7"/>
  <c r="V29" i="7"/>
  <c r="O30" i="7"/>
  <c r="V30" i="7"/>
  <c r="O31" i="7"/>
  <c r="V31" i="7"/>
  <c r="O32" i="7"/>
  <c r="V32" i="7"/>
  <c r="O33" i="7"/>
  <c r="V33" i="7"/>
  <c r="O34" i="7"/>
  <c r="V34" i="7"/>
  <c r="O35" i="7"/>
  <c r="V35" i="7"/>
  <c r="O36" i="7"/>
  <c r="V36" i="7"/>
  <c r="O37" i="7"/>
  <c r="V37" i="7"/>
  <c r="O38" i="7"/>
  <c r="V38" i="7"/>
  <c r="O39" i="7"/>
  <c r="V39" i="7"/>
  <c r="O40" i="7"/>
  <c r="V40" i="7"/>
  <c r="O41" i="7"/>
  <c r="V41" i="7"/>
  <c r="O42" i="7"/>
  <c r="V42" i="7"/>
  <c r="O43" i="7"/>
  <c r="V43" i="7"/>
  <c r="O44" i="7"/>
  <c r="V44" i="7"/>
  <c r="O45" i="7"/>
  <c r="V45" i="7"/>
  <c r="O46" i="7"/>
  <c r="V46" i="7"/>
  <c r="O47" i="7"/>
  <c r="V47" i="7"/>
  <c r="O48" i="7"/>
  <c r="V48" i="7"/>
  <c r="O49" i="7"/>
  <c r="V49" i="7"/>
  <c r="O50" i="7"/>
  <c r="V50" i="7"/>
  <c r="O51" i="7"/>
  <c r="V51" i="7"/>
  <c r="O52" i="7"/>
  <c r="V52" i="7"/>
  <c r="O53" i="7"/>
  <c r="V53" i="7"/>
  <c r="O54" i="7"/>
  <c r="V54" i="7"/>
  <c r="O55" i="7"/>
  <c r="V55" i="7"/>
  <c r="O56" i="7"/>
  <c r="V56" i="7"/>
  <c r="O57" i="7"/>
  <c r="V57" i="7"/>
  <c r="O58" i="7"/>
  <c r="V58" i="7"/>
  <c r="O59" i="7"/>
  <c r="V59" i="7"/>
  <c r="O60" i="7"/>
  <c r="V60" i="7"/>
  <c r="O61" i="7"/>
  <c r="V61" i="7"/>
  <c r="O62" i="7"/>
  <c r="V62" i="7"/>
  <c r="O63" i="7"/>
  <c r="V63" i="7"/>
  <c r="O64" i="7"/>
  <c r="V64" i="7"/>
  <c r="O65" i="7"/>
  <c r="V65" i="7"/>
  <c r="O66" i="7"/>
  <c r="V66" i="7"/>
  <c r="O67" i="7"/>
  <c r="V67" i="7"/>
  <c r="O68" i="7"/>
  <c r="V68" i="7"/>
  <c r="O69" i="7"/>
  <c r="V69" i="7"/>
  <c r="O70" i="7"/>
  <c r="V70" i="7"/>
  <c r="O71" i="7"/>
  <c r="V71" i="7"/>
  <c r="O72" i="7"/>
  <c r="V72" i="7"/>
  <c r="O73" i="7"/>
  <c r="V73" i="7"/>
  <c r="O74" i="7"/>
  <c r="V74" i="7"/>
  <c r="O75" i="7"/>
  <c r="V75" i="7"/>
  <c r="O76" i="7"/>
  <c r="V76" i="7"/>
  <c r="O77" i="7"/>
  <c r="V77" i="7"/>
  <c r="O78" i="7"/>
  <c r="V78" i="7"/>
  <c r="O79" i="7"/>
  <c r="V79" i="7"/>
  <c r="O80" i="7"/>
  <c r="V80" i="7"/>
  <c r="O81" i="7"/>
  <c r="V81" i="7"/>
  <c r="O82" i="7"/>
  <c r="V82" i="7"/>
  <c r="O83" i="7"/>
  <c r="V83" i="7"/>
  <c r="O84" i="7"/>
  <c r="V84" i="7"/>
  <c r="O85" i="7"/>
  <c r="V85" i="7"/>
  <c r="O86" i="7"/>
  <c r="V86" i="7"/>
  <c r="O87" i="7"/>
  <c r="V87" i="7"/>
  <c r="O88" i="7"/>
  <c r="V88" i="7"/>
  <c r="O89" i="7"/>
  <c r="V89" i="7"/>
  <c r="O90" i="7"/>
  <c r="V90" i="7"/>
  <c r="O91" i="7"/>
  <c r="V91" i="7"/>
  <c r="O92" i="7"/>
  <c r="V92" i="7"/>
  <c r="O93" i="7"/>
  <c r="V93" i="7"/>
  <c r="O94" i="7"/>
  <c r="V94" i="7"/>
  <c r="O95" i="7"/>
  <c r="V95" i="7"/>
  <c r="O96" i="7"/>
  <c r="V96" i="7"/>
  <c r="O97" i="7"/>
  <c r="V97" i="7"/>
  <c r="O98" i="7"/>
  <c r="V98" i="7"/>
  <c r="O99" i="7"/>
  <c r="V99" i="7"/>
  <c r="O100" i="7"/>
  <c r="V100" i="7"/>
  <c r="O101" i="7"/>
  <c r="V101" i="7"/>
  <c r="O102" i="7"/>
  <c r="V102" i="7"/>
  <c r="O103" i="7"/>
  <c r="V103" i="7"/>
  <c r="O104" i="7"/>
  <c r="V104" i="7"/>
  <c r="O105" i="7"/>
  <c r="V105" i="7"/>
  <c r="O106" i="7"/>
  <c r="V106" i="7"/>
  <c r="O107" i="7"/>
  <c r="V107" i="7"/>
  <c r="O108" i="7"/>
  <c r="V108" i="7"/>
  <c r="O109" i="7"/>
  <c r="V109" i="7"/>
  <c r="O110" i="7"/>
  <c r="V110" i="7"/>
  <c r="O111" i="7"/>
  <c r="V111" i="7"/>
  <c r="O112" i="7"/>
  <c r="V112" i="7"/>
  <c r="O113" i="7"/>
  <c r="V113" i="7"/>
  <c r="O114" i="7"/>
  <c r="V114" i="7"/>
  <c r="O115" i="7"/>
  <c r="V115" i="7"/>
  <c r="O116" i="7"/>
  <c r="V116" i="7"/>
  <c r="O117" i="7"/>
  <c r="V117" i="7"/>
  <c r="O118" i="7"/>
  <c r="V118" i="7"/>
  <c r="O119" i="7"/>
  <c r="V119" i="7"/>
  <c r="O120" i="7"/>
  <c r="V120" i="7"/>
  <c r="O121" i="7"/>
  <c r="V121" i="7"/>
  <c r="O122" i="7"/>
  <c r="V122" i="7"/>
  <c r="O123" i="7"/>
  <c r="V123" i="7"/>
  <c r="O124" i="7"/>
  <c r="V124" i="7"/>
  <c r="O125" i="7"/>
  <c r="V125" i="7"/>
  <c r="O126" i="7"/>
  <c r="V126" i="7"/>
  <c r="O127" i="7"/>
  <c r="V127" i="7"/>
  <c r="O128" i="7"/>
  <c r="V128" i="7"/>
  <c r="O129" i="7"/>
  <c r="V129" i="7"/>
  <c r="O130" i="7"/>
  <c r="V130" i="7"/>
  <c r="O131" i="7"/>
  <c r="V131" i="7"/>
  <c r="O132" i="7"/>
  <c r="V132" i="7"/>
  <c r="O133" i="7"/>
  <c r="V133" i="7"/>
  <c r="O134" i="7"/>
  <c r="V134" i="7"/>
  <c r="O135" i="7"/>
  <c r="V135" i="7"/>
  <c r="O136" i="7"/>
  <c r="V136" i="7"/>
  <c r="O137" i="7"/>
  <c r="V137" i="7"/>
  <c r="O138" i="7"/>
  <c r="V138" i="7"/>
  <c r="O139" i="7"/>
  <c r="V139" i="7"/>
  <c r="O140" i="7"/>
  <c r="V140" i="7"/>
  <c r="O141" i="7"/>
  <c r="V141" i="7"/>
  <c r="O142" i="7"/>
  <c r="V142" i="7"/>
  <c r="O143" i="7"/>
  <c r="V143" i="7"/>
  <c r="O144" i="7"/>
  <c r="V144" i="7"/>
  <c r="O145" i="7"/>
  <c r="V145" i="7"/>
  <c r="O146" i="7"/>
  <c r="V146" i="7"/>
  <c r="O147" i="7"/>
  <c r="V147" i="7"/>
  <c r="O148" i="7"/>
  <c r="V148" i="7"/>
  <c r="O149" i="7"/>
  <c r="V149" i="7"/>
  <c r="O150" i="7"/>
  <c r="V150" i="7"/>
  <c r="O151" i="7"/>
  <c r="V151" i="7"/>
  <c r="O152" i="7"/>
  <c r="V152" i="7"/>
  <c r="O153" i="7"/>
  <c r="V153" i="7"/>
  <c r="O154" i="7"/>
  <c r="V154" i="7"/>
  <c r="O155" i="7"/>
  <c r="V155" i="7"/>
  <c r="O156" i="7"/>
  <c r="V156" i="7"/>
  <c r="O157" i="7"/>
  <c r="V157" i="7"/>
  <c r="O158" i="7"/>
  <c r="V158" i="7"/>
  <c r="O159" i="7"/>
  <c r="V159" i="7"/>
  <c r="O160" i="7"/>
  <c r="V160" i="7"/>
  <c r="O161" i="7"/>
  <c r="V161" i="7"/>
  <c r="O162" i="7"/>
  <c r="V162" i="7"/>
  <c r="O163" i="7"/>
  <c r="V163" i="7"/>
  <c r="O164" i="7"/>
  <c r="V164" i="7"/>
  <c r="O165" i="7"/>
  <c r="V165" i="7"/>
  <c r="O166" i="7"/>
  <c r="V166" i="7"/>
  <c r="O167" i="7"/>
  <c r="V167" i="7"/>
  <c r="O168" i="7"/>
  <c r="V168" i="7"/>
  <c r="O169" i="7"/>
  <c r="V169" i="7"/>
  <c r="O170" i="7"/>
  <c r="V170" i="7"/>
  <c r="O171" i="7"/>
  <c r="V171" i="7"/>
  <c r="O172" i="7"/>
  <c r="V172" i="7"/>
  <c r="O173" i="7"/>
  <c r="V173" i="7"/>
  <c r="O174" i="7"/>
  <c r="V174" i="7"/>
  <c r="O175" i="7"/>
  <c r="V175" i="7"/>
  <c r="O176" i="7"/>
  <c r="V176" i="7"/>
  <c r="O177" i="7"/>
  <c r="V177" i="7"/>
  <c r="O178" i="7"/>
  <c r="V178" i="7"/>
  <c r="O179" i="7"/>
  <c r="V179" i="7"/>
  <c r="O180" i="7"/>
  <c r="V180" i="7"/>
  <c r="O181" i="7"/>
  <c r="V181" i="7"/>
  <c r="O182" i="7"/>
  <c r="V182" i="7"/>
  <c r="O183" i="7"/>
  <c r="V183" i="7"/>
  <c r="O184" i="7"/>
  <c r="V184" i="7"/>
  <c r="O185" i="7"/>
  <c r="V185" i="7"/>
  <c r="O186" i="7"/>
  <c r="V186" i="7"/>
  <c r="O187" i="7"/>
  <c r="V187" i="7"/>
  <c r="O188" i="7"/>
  <c r="V188" i="7"/>
  <c r="O189" i="7"/>
  <c r="V189" i="7"/>
  <c r="O190" i="7"/>
  <c r="V190" i="7"/>
  <c r="O191" i="7"/>
  <c r="V191" i="7"/>
  <c r="O192" i="7"/>
  <c r="V192" i="7"/>
  <c r="O193" i="7"/>
  <c r="V193" i="7"/>
  <c r="O194" i="7"/>
  <c r="V194" i="7"/>
  <c r="O195" i="7"/>
  <c r="V195" i="7"/>
  <c r="O196" i="7"/>
  <c r="V196" i="7"/>
  <c r="O197" i="7"/>
  <c r="V197" i="7"/>
  <c r="O198" i="7"/>
  <c r="V198" i="7"/>
  <c r="O199" i="7"/>
  <c r="V199" i="7"/>
  <c r="O200" i="7"/>
  <c r="V200" i="7"/>
  <c r="O201" i="7"/>
  <c r="V201" i="7"/>
  <c r="O202" i="7"/>
  <c r="V202" i="7"/>
  <c r="O203" i="7"/>
  <c r="V203" i="7"/>
  <c r="O204" i="7"/>
  <c r="V204" i="7"/>
  <c r="O205" i="7"/>
  <c r="V205" i="7"/>
  <c r="O206" i="7"/>
  <c r="V206" i="7"/>
  <c r="O207" i="7"/>
  <c r="V207" i="7"/>
  <c r="O208" i="7"/>
  <c r="V208" i="7"/>
  <c r="O209" i="7"/>
  <c r="V209" i="7"/>
  <c r="O210" i="7"/>
  <c r="V210" i="7"/>
  <c r="O211" i="7"/>
  <c r="V211" i="7"/>
  <c r="O212" i="7"/>
  <c r="V212" i="7"/>
  <c r="O213" i="7"/>
  <c r="V213" i="7"/>
  <c r="O214" i="7"/>
  <c r="V214" i="7"/>
  <c r="O215" i="7"/>
  <c r="V215" i="7"/>
  <c r="O216" i="7"/>
  <c r="V216" i="7"/>
  <c r="O217" i="7"/>
  <c r="V217" i="7"/>
  <c r="O218" i="7"/>
  <c r="V218" i="7"/>
  <c r="O219" i="7"/>
  <c r="V219" i="7"/>
  <c r="O220" i="7"/>
  <c r="V220" i="7"/>
  <c r="O221" i="7"/>
  <c r="V221" i="7"/>
  <c r="O222" i="7"/>
  <c r="V222" i="7"/>
  <c r="O223" i="7"/>
  <c r="V223" i="7"/>
  <c r="O224" i="7"/>
  <c r="V224" i="7"/>
  <c r="O225" i="7"/>
  <c r="V225" i="7"/>
  <c r="O226" i="7"/>
  <c r="V226" i="7"/>
  <c r="O227" i="7"/>
  <c r="V227" i="7"/>
  <c r="O228" i="7"/>
  <c r="V228" i="7"/>
  <c r="O229" i="7"/>
  <c r="V229" i="7"/>
  <c r="O230" i="7"/>
  <c r="V230" i="7"/>
  <c r="O231" i="7"/>
  <c r="V231" i="7"/>
  <c r="O232" i="7"/>
  <c r="V232" i="7"/>
  <c r="O233" i="7"/>
  <c r="V233" i="7"/>
  <c r="O234" i="7"/>
  <c r="V234" i="7"/>
  <c r="O235" i="7"/>
  <c r="V235" i="7"/>
  <c r="O236" i="7"/>
  <c r="V236" i="7"/>
  <c r="O237" i="7"/>
  <c r="V237" i="7"/>
  <c r="O238" i="7"/>
  <c r="V238" i="7"/>
  <c r="O239" i="7"/>
  <c r="V239" i="7"/>
  <c r="O240" i="7"/>
  <c r="V240" i="7"/>
  <c r="O241" i="7"/>
  <c r="V241" i="7"/>
  <c r="O242" i="7"/>
  <c r="V242" i="7"/>
  <c r="O243" i="7"/>
  <c r="V243" i="7"/>
  <c r="O244" i="7"/>
  <c r="V244" i="7"/>
  <c r="O245" i="7"/>
  <c r="V245" i="7"/>
  <c r="O246" i="7"/>
  <c r="V246" i="7"/>
  <c r="O247" i="7"/>
  <c r="V247" i="7"/>
  <c r="O248" i="7"/>
  <c r="V248" i="7"/>
  <c r="O249" i="7"/>
  <c r="V249" i="7"/>
  <c r="O250" i="7"/>
  <c r="V250" i="7"/>
  <c r="O251" i="7"/>
  <c r="V251" i="7"/>
  <c r="O252" i="7"/>
  <c r="V252" i="7"/>
  <c r="O253" i="7"/>
  <c r="V253" i="7"/>
  <c r="O254" i="7"/>
  <c r="V254" i="7"/>
  <c r="O255" i="7"/>
  <c r="V255" i="7"/>
  <c r="O256" i="7"/>
  <c r="V256" i="7"/>
  <c r="O257" i="7"/>
  <c r="V257" i="7"/>
  <c r="O258" i="7"/>
  <c r="V258" i="7"/>
  <c r="O259" i="7"/>
  <c r="V259" i="7"/>
  <c r="O260" i="7"/>
  <c r="V260" i="7"/>
  <c r="O261" i="7"/>
  <c r="V261" i="7"/>
  <c r="O262" i="7"/>
  <c r="V262" i="7"/>
  <c r="O263" i="7"/>
  <c r="V263" i="7"/>
  <c r="O264" i="7"/>
  <c r="V264" i="7"/>
  <c r="O265" i="7"/>
  <c r="V265" i="7"/>
  <c r="O266" i="7"/>
  <c r="V266" i="7"/>
  <c r="O267" i="7"/>
  <c r="V267" i="7"/>
  <c r="O268" i="7"/>
  <c r="V268" i="7"/>
  <c r="O269" i="7"/>
  <c r="V269" i="7"/>
  <c r="O270" i="7"/>
  <c r="V270" i="7"/>
  <c r="O271" i="7"/>
  <c r="V271" i="7"/>
  <c r="O272" i="7"/>
  <c r="V272" i="7"/>
  <c r="O273" i="7"/>
  <c r="V273" i="7"/>
  <c r="O274" i="7"/>
  <c r="V274" i="7"/>
  <c r="O275" i="7"/>
  <c r="V275" i="7"/>
  <c r="O276" i="7"/>
  <c r="V276" i="7"/>
  <c r="O277" i="7"/>
  <c r="V277" i="7"/>
  <c r="O278" i="7"/>
  <c r="V278" i="7"/>
  <c r="O279" i="7"/>
  <c r="V279" i="7"/>
  <c r="O280" i="7"/>
  <c r="V280" i="7"/>
  <c r="O281" i="7"/>
  <c r="V281" i="7"/>
  <c r="O282" i="7"/>
  <c r="V282" i="7"/>
  <c r="O283" i="7"/>
  <c r="V283" i="7"/>
  <c r="O284" i="7"/>
  <c r="V284" i="7"/>
  <c r="O285" i="7"/>
  <c r="V285" i="7"/>
  <c r="O286" i="7"/>
  <c r="V286" i="7"/>
  <c r="O287" i="7"/>
  <c r="V287" i="7"/>
  <c r="O288" i="7"/>
  <c r="V288" i="7"/>
  <c r="O289" i="7"/>
  <c r="V289" i="7"/>
  <c r="O290" i="7"/>
  <c r="V290" i="7"/>
  <c r="O291" i="7"/>
  <c r="V291" i="7"/>
  <c r="O292" i="7"/>
  <c r="V292" i="7"/>
  <c r="O293" i="7"/>
  <c r="V293" i="7"/>
  <c r="O294" i="7"/>
  <c r="V294" i="7"/>
  <c r="O295" i="7"/>
  <c r="V295" i="7"/>
  <c r="O296" i="7"/>
  <c r="V296" i="7"/>
  <c r="O297" i="7"/>
  <c r="V297" i="7"/>
  <c r="O298" i="7"/>
  <c r="V298" i="7"/>
  <c r="O299" i="7"/>
  <c r="V299" i="7"/>
  <c r="O300" i="7"/>
  <c r="V300" i="7"/>
  <c r="O301" i="7"/>
  <c r="V301" i="7"/>
  <c r="O302" i="7"/>
  <c r="V302" i="7"/>
  <c r="O303" i="7"/>
  <c r="V303" i="7"/>
  <c r="O304" i="7"/>
  <c r="V304" i="7"/>
  <c r="O305" i="7"/>
  <c r="V305" i="7"/>
  <c r="O306" i="7"/>
  <c r="V306" i="7"/>
  <c r="O307" i="7"/>
  <c r="V307" i="7"/>
  <c r="O308" i="7"/>
  <c r="V308" i="7"/>
  <c r="O309" i="7"/>
  <c r="V309" i="7"/>
  <c r="O310" i="7"/>
  <c r="V310" i="7"/>
  <c r="O311" i="7"/>
  <c r="V311" i="7"/>
  <c r="O312" i="7"/>
  <c r="V312" i="7"/>
  <c r="O313" i="7"/>
  <c r="V313" i="7"/>
  <c r="O314" i="7"/>
  <c r="V314" i="7"/>
  <c r="O315" i="7"/>
  <c r="V315" i="7"/>
  <c r="O316" i="7"/>
  <c r="V316" i="7"/>
  <c r="O317" i="7"/>
  <c r="V317" i="7"/>
  <c r="O318" i="7"/>
  <c r="V318" i="7"/>
  <c r="O319" i="7"/>
  <c r="V319" i="7"/>
  <c r="O320" i="7"/>
  <c r="V320" i="7"/>
  <c r="O321" i="7"/>
  <c r="V321" i="7"/>
  <c r="O322" i="7"/>
  <c r="V322" i="7"/>
  <c r="O323" i="7"/>
  <c r="V323" i="7"/>
  <c r="O324" i="7"/>
  <c r="V324" i="7"/>
  <c r="O325" i="7"/>
  <c r="V325" i="7"/>
  <c r="O326" i="7"/>
  <c r="V326" i="7"/>
  <c r="O327" i="7"/>
  <c r="V327" i="7"/>
  <c r="O328" i="7"/>
  <c r="V328" i="7"/>
  <c r="O329" i="7"/>
  <c r="V329" i="7"/>
  <c r="O330" i="7"/>
  <c r="V330" i="7"/>
  <c r="O331" i="7"/>
  <c r="V331" i="7"/>
  <c r="O332" i="7"/>
  <c r="V332" i="7"/>
  <c r="O333" i="7"/>
  <c r="V333" i="7"/>
  <c r="O334" i="7"/>
  <c r="V334" i="7"/>
  <c r="O335" i="7"/>
  <c r="V335" i="7"/>
  <c r="O336" i="7"/>
  <c r="V336" i="7"/>
  <c r="O337" i="7"/>
  <c r="V337" i="7"/>
  <c r="O338" i="7"/>
  <c r="V338" i="7"/>
  <c r="O339" i="7"/>
  <c r="V339" i="7"/>
  <c r="O340" i="7"/>
  <c r="V340" i="7"/>
  <c r="O341" i="7"/>
  <c r="V341" i="7"/>
  <c r="O342" i="7"/>
  <c r="V342" i="7"/>
  <c r="O343" i="7"/>
  <c r="V343" i="7"/>
  <c r="O344" i="7"/>
  <c r="V344" i="7"/>
  <c r="O345" i="7"/>
  <c r="V345" i="7"/>
  <c r="O346" i="7"/>
  <c r="V346" i="7"/>
  <c r="O347" i="7"/>
  <c r="V347" i="7"/>
  <c r="O348" i="7"/>
  <c r="V348" i="7"/>
  <c r="O349" i="7"/>
  <c r="V349" i="7"/>
  <c r="O350" i="7"/>
  <c r="V350" i="7"/>
  <c r="O351" i="7"/>
  <c r="V351" i="7"/>
  <c r="O352" i="7"/>
  <c r="V352" i="7"/>
  <c r="O353" i="7"/>
  <c r="V353" i="7"/>
  <c r="O354" i="7"/>
  <c r="V354" i="7"/>
  <c r="O355" i="7"/>
  <c r="V355" i="7"/>
  <c r="O356" i="7"/>
  <c r="V356" i="7"/>
  <c r="O357" i="7"/>
  <c r="V357" i="7"/>
  <c r="O358" i="7"/>
  <c r="V358" i="7"/>
  <c r="O359" i="7"/>
  <c r="V359" i="7"/>
  <c r="O360" i="7"/>
  <c r="V360" i="7"/>
  <c r="O361" i="7"/>
  <c r="V361" i="7"/>
  <c r="O362" i="7"/>
  <c r="V362" i="7"/>
  <c r="O363" i="7"/>
  <c r="V363" i="7"/>
  <c r="O364" i="7"/>
  <c r="V364" i="7"/>
  <c r="O365" i="7"/>
  <c r="V365" i="7"/>
  <c r="O366" i="7"/>
  <c r="V366" i="7"/>
  <c r="O367" i="7"/>
  <c r="V367" i="7"/>
  <c r="O368" i="7"/>
  <c r="V368" i="7"/>
  <c r="O369" i="7"/>
  <c r="V369" i="7"/>
  <c r="O370" i="7"/>
  <c r="V370" i="7"/>
  <c r="O371" i="7"/>
  <c r="V371" i="7"/>
  <c r="O372" i="7"/>
  <c r="V372" i="7"/>
  <c r="O373" i="7"/>
  <c r="V373" i="7"/>
  <c r="O374" i="7"/>
  <c r="V374" i="7"/>
  <c r="O9" i="6"/>
  <c r="V9" i="6"/>
  <c r="O10" i="6"/>
  <c r="V10" i="6"/>
  <c r="O11" i="6"/>
  <c r="V11" i="6"/>
  <c r="O12" i="6"/>
  <c r="V12" i="6"/>
  <c r="O13" i="6"/>
  <c r="V13" i="6"/>
  <c r="O14" i="6"/>
  <c r="V14" i="6"/>
  <c r="O15" i="6"/>
  <c r="V15" i="6"/>
  <c r="O16" i="6"/>
  <c r="V16" i="6"/>
  <c r="O17" i="6"/>
  <c r="V17" i="6"/>
  <c r="O18" i="6"/>
  <c r="V18" i="6"/>
  <c r="O19" i="6"/>
  <c r="V19" i="6"/>
  <c r="O20" i="6"/>
  <c r="V20" i="6"/>
  <c r="O21" i="6"/>
  <c r="V21" i="6"/>
  <c r="O22" i="6"/>
  <c r="V22" i="6"/>
  <c r="O23" i="6"/>
  <c r="V23" i="6"/>
  <c r="O24" i="6"/>
  <c r="V24" i="6"/>
  <c r="O25" i="6"/>
  <c r="V25" i="6"/>
  <c r="O26" i="6"/>
  <c r="V26" i="6"/>
  <c r="O27" i="6"/>
  <c r="V27" i="6"/>
  <c r="O28" i="6"/>
  <c r="V28" i="6"/>
  <c r="O29" i="6"/>
  <c r="V29" i="6"/>
  <c r="O30" i="6"/>
  <c r="V30" i="6"/>
  <c r="O31" i="6"/>
  <c r="V31" i="6"/>
  <c r="O32" i="6"/>
  <c r="V32" i="6"/>
  <c r="O33" i="6"/>
  <c r="V33" i="6"/>
  <c r="O34" i="6"/>
  <c r="V34" i="6"/>
  <c r="O35" i="6"/>
  <c r="V35" i="6"/>
  <c r="O36" i="6"/>
  <c r="V36" i="6"/>
  <c r="O37" i="6"/>
  <c r="V37" i="6"/>
  <c r="O38" i="6"/>
  <c r="V38" i="6"/>
  <c r="O39" i="6"/>
  <c r="V39" i="6"/>
  <c r="O40" i="6"/>
  <c r="V40" i="6"/>
  <c r="O41" i="6"/>
  <c r="V41" i="6"/>
  <c r="O42" i="6"/>
  <c r="V42" i="6"/>
  <c r="O43" i="6"/>
  <c r="V43" i="6"/>
  <c r="O44" i="6"/>
  <c r="V44" i="6"/>
  <c r="O45" i="6"/>
  <c r="V45" i="6"/>
  <c r="O46" i="6"/>
  <c r="V46" i="6"/>
  <c r="O47" i="6"/>
  <c r="V47" i="6"/>
  <c r="O48" i="6"/>
  <c r="V48" i="6"/>
  <c r="O49" i="6"/>
  <c r="V49" i="6"/>
  <c r="O50" i="6"/>
  <c r="V50" i="6"/>
  <c r="O51" i="6"/>
  <c r="V51" i="6"/>
  <c r="O52" i="6"/>
  <c r="V52" i="6"/>
  <c r="O53" i="6"/>
  <c r="V53" i="6"/>
  <c r="O54" i="6"/>
  <c r="V54" i="6"/>
  <c r="O55" i="6"/>
  <c r="V55" i="6"/>
  <c r="O56" i="6"/>
  <c r="V56" i="6"/>
  <c r="O57" i="6"/>
  <c r="V57" i="6"/>
  <c r="O58" i="6"/>
  <c r="V58" i="6"/>
  <c r="O59" i="6"/>
  <c r="V59" i="6"/>
  <c r="O60" i="6"/>
  <c r="V60" i="6"/>
  <c r="O61" i="6"/>
  <c r="V61" i="6"/>
  <c r="O62" i="6"/>
  <c r="V62" i="6"/>
  <c r="O63" i="6"/>
  <c r="V63" i="6"/>
  <c r="O64" i="6"/>
  <c r="V64" i="6"/>
  <c r="O65" i="6"/>
  <c r="V65" i="6"/>
  <c r="O66" i="6"/>
  <c r="V66" i="6"/>
  <c r="O67" i="6"/>
  <c r="V67" i="6"/>
  <c r="O68" i="6"/>
  <c r="V68" i="6"/>
  <c r="O69" i="6"/>
  <c r="V69" i="6"/>
  <c r="O70" i="6"/>
  <c r="V70" i="6"/>
  <c r="O71" i="6"/>
  <c r="V71" i="6"/>
  <c r="O72" i="6"/>
  <c r="V72" i="6"/>
  <c r="O73" i="6"/>
  <c r="V73" i="6"/>
  <c r="O74" i="6"/>
  <c r="V74" i="6"/>
  <c r="O75" i="6"/>
  <c r="V75" i="6"/>
  <c r="O76" i="6"/>
  <c r="V76" i="6"/>
  <c r="O77" i="6"/>
  <c r="V77" i="6"/>
  <c r="O78" i="6"/>
  <c r="V78" i="6"/>
  <c r="O79" i="6"/>
  <c r="V79" i="6"/>
  <c r="O80" i="6"/>
  <c r="V80" i="6"/>
  <c r="O81" i="6"/>
  <c r="V81" i="6"/>
  <c r="O82" i="6"/>
  <c r="V82" i="6"/>
  <c r="O83" i="6"/>
  <c r="V83" i="6"/>
  <c r="O84" i="6"/>
  <c r="V84" i="6"/>
  <c r="O85" i="6"/>
  <c r="V85" i="6"/>
  <c r="O86" i="6"/>
  <c r="V86" i="6"/>
  <c r="O87" i="6"/>
  <c r="V87" i="6"/>
  <c r="O88" i="6"/>
  <c r="V88" i="6"/>
  <c r="O89" i="6"/>
  <c r="V89" i="6"/>
  <c r="O90" i="6"/>
  <c r="V90" i="6"/>
  <c r="O91" i="6"/>
  <c r="V91" i="6"/>
  <c r="O92" i="6"/>
  <c r="V92" i="6"/>
  <c r="O93" i="6"/>
  <c r="V93" i="6"/>
  <c r="O94" i="6"/>
  <c r="V94" i="6"/>
  <c r="O95" i="6"/>
  <c r="V95" i="6"/>
  <c r="O96" i="6"/>
  <c r="V96" i="6"/>
  <c r="O97" i="6"/>
  <c r="V97" i="6"/>
  <c r="O98" i="6"/>
  <c r="V98" i="6"/>
  <c r="O99" i="6"/>
  <c r="V99" i="6"/>
  <c r="O100" i="6"/>
  <c r="V100" i="6"/>
  <c r="O101" i="6"/>
  <c r="V101" i="6"/>
  <c r="O102" i="6"/>
  <c r="V102" i="6"/>
  <c r="O103" i="6"/>
  <c r="V103" i="6"/>
  <c r="O104" i="6"/>
  <c r="V104" i="6"/>
  <c r="O105" i="6"/>
  <c r="V105" i="6"/>
  <c r="O106" i="6"/>
  <c r="V106" i="6"/>
  <c r="O107" i="6"/>
  <c r="V107" i="6"/>
  <c r="O108" i="6"/>
  <c r="V108" i="6"/>
  <c r="O109" i="6"/>
  <c r="V109" i="6"/>
  <c r="O110" i="6"/>
  <c r="V110" i="6"/>
  <c r="O111" i="6"/>
  <c r="V111" i="6"/>
  <c r="O112" i="6"/>
  <c r="V112" i="6"/>
  <c r="O113" i="6"/>
  <c r="V113" i="6"/>
  <c r="O114" i="6"/>
  <c r="V114" i="6"/>
  <c r="O115" i="6"/>
  <c r="V115" i="6"/>
  <c r="O116" i="6"/>
  <c r="V116" i="6"/>
  <c r="O117" i="6"/>
  <c r="V117" i="6"/>
  <c r="O118" i="6"/>
  <c r="V118" i="6"/>
  <c r="O119" i="6"/>
  <c r="V119" i="6"/>
  <c r="O120" i="6"/>
  <c r="V120" i="6"/>
  <c r="O121" i="6"/>
  <c r="V121" i="6"/>
  <c r="O122" i="6"/>
  <c r="V122" i="6"/>
  <c r="O123" i="6"/>
  <c r="V123" i="6"/>
  <c r="O124" i="6"/>
  <c r="V124" i="6"/>
  <c r="O125" i="6"/>
  <c r="V125" i="6"/>
  <c r="O126" i="6"/>
  <c r="V126" i="6"/>
  <c r="O127" i="6"/>
  <c r="V127" i="6"/>
  <c r="O128" i="6"/>
  <c r="V128" i="6"/>
  <c r="O129" i="6"/>
  <c r="V129" i="6"/>
  <c r="O130" i="6"/>
  <c r="V130" i="6"/>
  <c r="O131" i="6"/>
  <c r="V131" i="6"/>
  <c r="O132" i="6"/>
  <c r="V132" i="6"/>
  <c r="O133" i="6"/>
  <c r="V133" i="6"/>
  <c r="O134" i="6"/>
  <c r="V134" i="6"/>
  <c r="O135" i="6"/>
  <c r="V135" i="6"/>
  <c r="O136" i="6"/>
  <c r="V136" i="6"/>
  <c r="O137" i="6"/>
  <c r="V137" i="6"/>
  <c r="O138" i="6"/>
  <c r="V138" i="6"/>
  <c r="O139" i="6"/>
  <c r="V139" i="6"/>
  <c r="O140" i="6"/>
  <c r="V140" i="6"/>
  <c r="O141" i="6"/>
  <c r="V141" i="6"/>
  <c r="O142" i="6"/>
  <c r="V142" i="6"/>
  <c r="O143" i="6"/>
  <c r="V143" i="6"/>
  <c r="O144" i="6"/>
  <c r="V144" i="6"/>
  <c r="O145" i="6"/>
  <c r="V145" i="6"/>
  <c r="O146" i="6"/>
  <c r="V146" i="6"/>
  <c r="O147" i="6"/>
  <c r="V147" i="6"/>
  <c r="O148" i="6"/>
  <c r="V148" i="6"/>
  <c r="O149" i="6"/>
  <c r="V149" i="6"/>
  <c r="O150" i="6"/>
  <c r="V150" i="6"/>
  <c r="O151" i="6"/>
  <c r="V151" i="6"/>
  <c r="O152" i="6"/>
  <c r="V152" i="6"/>
  <c r="O153" i="6"/>
  <c r="V153" i="6"/>
  <c r="O154" i="6"/>
  <c r="V154" i="6"/>
  <c r="O155" i="6"/>
  <c r="V155" i="6"/>
  <c r="O156" i="6"/>
  <c r="V156" i="6"/>
  <c r="O157" i="6"/>
  <c r="V157" i="6"/>
  <c r="O158" i="6"/>
  <c r="V158" i="6"/>
  <c r="O159" i="6"/>
  <c r="V159" i="6"/>
  <c r="O160" i="6"/>
  <c r="V160" i="6"/>
  <c r="O161" i="6"/>
  <c r="V161" i="6"/>
  <c r="O162" i="6"/>
  <c r="V162" i="6"/>
  <c r="O163" i="6"/>
  <c r="V163" i="6"/>
  <c r="O164" i="6"/>
  <c r="V164" i="6"/>
  <c r="O165" i="6"/>
  <c r="V165" i="6"/>
  <c r="O166" i="6"/>
  <c r="V166" i="6"/>
  <c r="O167" i="6"/>
  <c r="V167" i="6"/>
  <c r="O168" i="6"/>
  <c r="V168" i="6"/>
  <c r="O169" i="6"/>
  <c r="V169" i="6"/>
  <c r="O170" i="6"/>
  <c r="V170" i="6"/>
  <c r="O171" i="6"/>
  <c r="V171" i="6"/>
  <c r="O172" i="6"/>
  <c r="V172" i="6"/>
  <c r="O173" i="6"/>
  <c r="V173" i="6"/>
  <c r="O174" i="6"/>
  <c r="V174" i="6"/>
  <c r="O175" i="6"/>
  <c r="V175" i="6"/>
  <c r="O176" i="6"/>
  <c r="V176" i="6"/>
  <c r="O177" i="6"/>
  <c r="V177" i="6"/>
  <c r="O178" i="6"/>
  <c r="V178" i="6"/>
  <c r="O179" i="6"/>
  <c r="V179" i="6"/>
  <c r="O180" i="6"/>
  <c r="V180" i="6"/>
  <c r="O181" i="6"/>
  <c r="V181" i="6"/>
  <c r="O182" i="6"/>
  <c r="V182" i="6"/>
  <c r="O183" i="6"/>
  <c r="V183" i="6"/>
  <c r="O184" i="6"/>
  <c r="V184" i="6"/>
  <c r="O185" i="6"/>
  <c r="V185" i="6"/>
  <c r="O186" i="6"/>
  <c r="V186" i="6"/>
  <c r="O187" i="6"/>
  <c r="V187" i="6"/>
  <c r="O188" i="6"/>
  <c r="V188" i="6"/>
  <c r="O189" i="6"/>
  <c r="V189" i="6"/>
  <c r="O190" i="6"/>
  <c r="V190" i="6"/>
  <c r="O191" i="6"/>
  <c r="V191" i="6"/>
  <c r="O192" i="6"/>
  <c r="V192" i="6"/>
  <c r="O193" i="6"/>
  <c r="V193" i="6"/>
  <c r="O194" i="6"/>
  <c r="V194" i="6"/>
  <c r="O195" i="6"/>
  <c r="V195" i="6"/>
  <c r="O196" i="6"/>
  <c r="V196" i="6"/>
  <c r="O197" i="6"/>
  <c r="V197" i="6"/>
  <c r="O198" i="6"/>
  <c r="V198" i="6"/>
  <c r="O199" i="6"/>
  <c r="V199" i="6"/>
  <c r="O200" i="6"/>
  <c r="V200" i="6"/>
  <c r="O201" i="6"/>
  <c r="V201" i="6"/>
  <c r="O202" i="6"/>
  <c r="V202" i="6"/>
  <c r="O203" i="6"/>
  <c r="V203" i="6"/>
  <c r="O204" i="6"/>
  <c r="V204" i="6"/>
  <c r="O205" i="6"/>
  <c r="V205" i="6"/>
  <c r="O206" i="6"/>
  <c r="V206" i="6"/>
  <c r="O207" i="6"/>
  <c r="V207" i="6"/>
  <c r="O208" i="6"/>
  <c r="V208" i="6"/>
  <c r="O209" i="6"/>
  <c r="V209" i="6"/>
  <c r="O210" i="6"/>
  <c r="V210" i="6"/>
  <c r="O211" i="6"/>
  <c r="V211" i="6"/>
  <c r="O212" i="6"/>
  <c r="V212" i="6"/>
  <c r="O213" i="6"/>
  <c r="V213" i="6"/>
  <c r="O214" i="6"/>
  <c r="V214" i="6"/>
  <c r="O215" i="6"/>
  <c r="V215" i="6"/>
  <c r="O216" i="6"/>
  <c r="V216" i="6"/>
  <c r="O217" i="6"/>
  <c r="V217" i="6"/>
  <c r="O218" i="6"/>
  <c r="V218" i="6"/>
  <c r="O219" i="6"/>
  <c r="V219" i="6"/>
  <c r="O220" i="6"/>
  <c r="V220" i="6"/>
  <c r="O221" i="6"/>
  <c r="V221" i="6"/>
  <c r="O222" i="6"/>
  <c r="V222" i="6"/>
  <c r="O223" i="6"/>
  <c r="V223" i="6"/>
  <c r="O224" i="6"/>
  <c r="V224" i="6"/>
  <c r="O225" i="6"/>
  <c r="V225" i="6"/>
  <c r="O226" i="6"/>
  <c r="V226" i="6"/>
  <c r="O227" i="6"/>
  <c r="V227" i="6"/>
  <c r="O228" i="6"/>
  <c r="V228" i="6"/>
  <c r="O229" i="6"/>
  <c r="V229" i="6"/>
  <c r="O230" i="6"/>
  <c r="V230" i="6"/>
  <c r="O231" i="6"/>
  <c r="V231" i="6"/>
  <c r="O232" i="6"/>
  <c r="V232" i="6"/>
  <c r="O233" i="6"/>
  <c r="V233" i="6"/>
  <c r="O234" i="6"/>
  <c r="V234" i="6"/>
  <c r="O235" i="6"/>
  <c r="V235" i="6"/>
  <c r="O236" i="6"/>
  <c r="V236" i="6"/>
  <c r="O237" i="6"/>
  <c r="V237" i="6"/>
  <c r="O238" i="6"/>
  <c r="V238" i="6"/>
  <c r="O239" i="6"/>
  <c r="V239" i="6"/>
  <c r="O240" i="6"/>
  <c r="V240" i="6"/>
  <c r="O241" i="6"/>
  <c r="V241" i="6"/>
  <c r="O242" i="6"/>
  <c r="V242" i="6"/>
  <c r="O243" i="6"/>
  <c r="V243" i="6"/>
  <c r="O244" i="6"/>
  <c r="V244" i="6"/>
  <c r="O245" i="6"/>
  <c r="V245" i="6"/>
  <c r="O246" i="6"/>
  <c r="V246" i="6"/>
  <c r="O247" i="6"/>
  <c r="V247" i="6"/>
  <c r="O248" i="6"/>
  <c r="V248" i="6"/>
  <c r="O249" i="6"/>
  <c r="V249" i="6"/>
  <c r="O250" i="6"/>
  <c r="V250" i="6"/>
  <c r="O251" i="6"/>
  <c r="V251" i="6"/>
  <c r="O252" i="6"/>
  <c r="V252" i="6"/>
  <c r="O253" i="6"/>
  <c r="V253" i="6"/>
  <c r="O254" i="6"/>
  <c r="V254" i="6"/>
  <c r="O255" i="6"/>
  <c r="V255" i="6"/>
  <c r="O256" i="6"/>
  <c r="V256" i="6"/>
  <c r="O257" i="6"/>
  <c r="V257" i="6"/>
  <c r="O258" i="6"/>
  <c r="V258" i="6"/>
  <c r="O259" i="6"/>
  <c r="V259" i="6"/>
  <c r="O260" i="6"/>
  <c r="V260" i="6"/>
  <c r="O261" i="6"/>
  <c r="V261" i="6"/>
  <c r="O262" i="6"/>
  <c r="V262" i="6"/>
  <c r="O263" i="6"/>
  <c r="V263" i="6"/>
  <c r="O264" i="6"/>
  <c r="V264" i="6"/>
  <c r="O265" i="6"/>
  <c r="V265" i="6"/>
  <c r="O266" i="6"/>
  <c r="V266" i="6"/>
  <c r="O267" i="6"/>
  <c r="V267" i="6"/>
  <c r="O268" i="6"/>
  <c r="V268" i="6"/>
  <c r="O269" i="6"/>
  <c r="V269" i="6"/>
  <c r="O270" i="6"/>
  <c r="V270" i="6"/>
  <c r="O271" i="6"/>
  <c r="V271" i="6"/>
  <c r="O272" i="6"/>
  <c r="V272" i="6"/>
  <c r="O273" i="6"/>
  <c r="V273" i="6"/>
  <c r="O274" i="6"/>
  <c r="V274" i="6"/>
  <c r="O275" i="6"/>
  <c r="V275" i="6"/>
  <c r="O276" i="6"/>
  <c r="V276" i="6"/>
  <c r="O277" i="6"/>
  <c r="V277" i="6"/>
  <c r="O278" i="6"/>
  <c r="V278" i="6"/>
  <c r="O279" i="6"/>
  <c r="V279" i="6"/>
  <c r="O280" i="6"/>
  <c r="V280" i="6"/>
  <c r="O281" i="6"/>
  <c r="V281" i="6"/>
  <c r="O282" i="6"/>
  <c r="V282" i="6"/>
  <c r="O283" i="6"/>
  <c r="V283" i="6"/>
  <c r="O284" i="6"/>
  <c r="V284" i="6"/>
  <c r="O285" i="6"/>
  <c r="V285" i="6"/>
  <c r="O286" i="6"/>
  <c r="V286" i="6"/>
  <c r="O287" i="6"/>
  <c r="V287" i="6"/>
  <c r="O288" i="6"/>
  <c r="V288" i="6"/>
  <c r="O289" i="6"/>
  <c r="V289" i="6"/>
  <c r="O290" i="6"/>
  <c r="V290" i="6"/>
  <c r="O291" i="6"/>
  <c r="V291" i="6"/>
  <c r="O292" i="6"/>
  <c r="V292" i="6"/>
  <c r="O293" i="6"/>
  <c r="V293" i="6"/>
  <c r="O294" i="6"/>
  <c r="V294" i="6"/>
  <c r="O295" i="6"/>
  <c r="V295" i="6"/>
  <c r="O296" i="6"/>
  <c r="V296" i="6"/>
  <c r="O297" i="6"/>
  <c r="V297" i="6"/>
  <c r="O298" i="6"/>
  <c r="V298" i="6"/>
  <c r="O299" i="6"/>
  <c r="V299" i="6"/>
  <c r="O300" i="6"/>
  <c r="V300" i="6"/>
  <c r="O301" i="6"/>
  <c r="V301" i="6"/>
  <c r="O302" i="6"/>
  <c r="V302" i="6"/>
  <c r="O303" i="6"/>
  <c r="V303" i="6"/>
  <c r="O304" i="6"/>
  <c r="V304" i="6"/>
  <c r="O305" i="6"/>
  <c r="V305" i="6"/>
  <c r="O306" i="6"/>
  <c r="V306" i="6"/>
  <c r="O307" i="6"/>
  <c r="V307" i="6"/>
  <c r="O308" i="6"/>
  <c r="V308" i="6"/>
  <c r="O309" i="6"/>
  <c r="V309" i="6"/>
  <c r="O310" i="6"/>
  <c r="V310" i="6"/>
  <c r="O311" i="6"/>
  <c r="V311" i="6"/>
  <c r="O312" i="6"/>
  <c r="V312" i="6"/>
  <c r="O313" i="6"/>
  <c r="V313" i="6"/>
  <c r="O314" i="6"/>
  <c r="V314" i="6"/>
  <c r="O315" i="6"/>
  <c r="V315" i="6"/>
  <c r="O316" i="6"/>
  <c r="V316" i="6"/>
  <c r="O317" i="6"/>
  <c r="V317" i="6"/>
  <c r="O318" i="6"/>
  <c r="V318" i="6"/>
  <c r="O319" i="6"/>
  <c r="V319" i="6"/>
  <c r="O320" i="6"/>
  <c r="V320" i="6"/>
  <c r="O321" i="6"/>
  <c r="V321" i="6"/>
  <c r="O322" i="6"/>
  <c r="V322" i="6"/>
  <c r="O323" i="6"/>
  <c r="V323" i="6"/>
  <c r="O324" i="6"/>
  <c r="V324" i="6"/>
  <c r="O325" i="6"/>
  <c r="V325" i="6"/>
  <c r="O326" i="6"/>
  <c r="V326" i="6"/>
  <c r="O327" i="6"/>
  <c r="V327" i="6"/>
  <c r="O328" i="6"/>
  <c r="V328" i="6"/>
  <c r="O329" i="6"/>
  <c r="V329" i="6"/>
  <c r="O330" i="6"/>
  <c r="V330" i="6"/>
  <c r="O331" i="6"/>
  <c r="V331" i="6"/>
  <c r="O332" i="6"/>
  <c r="V332" i="6"/>
  <c r="O333" i="6"/>
  <c r="V333" i="6"/>
  <c r="O9" i="5"/>
  <c r="V9" i="5"/>
  <c r="O10" i="5"/>
  <c r="V10" i="5"/>
  <c r="O11" i="5"/>
  <c r="V11" i="5"/>
  <c r="O12" i="5"/>
  <c r="V12" i="5"/>
  <c r="O13" i="5"/>
  <c r="V13" i="5"/>
  <c r="O14" i="5"/>
  <c r="V14" i="5"/>
  <c r="O15" i="5"/>
  <c r="V15" i="5"/>
  <c r="O16" i="5"/>
  <c r="V16" i="5"/>
  <c r="O17" i="5"/>
  <c r="V17" i="5"/>
  <c r="O18" i="5"/>
  <c r="V18" i="5"/>
  <c r="O19" i="5"/>
  <c r="V19" i="5"/>
  <c r="O20" i="5"/>
  <c r="V20" i="5"/>
  <c r="O21" i="5"/>
  <c r="V21" i="5"/>
  <c r="O22" i="5"/>
  <c r="V22" i="5"/>
  <c r="O23" i="5"/>
  <c r="V23" i="5"/>
  <c r="O24" i="5"/>
  <c r="V24" i="5"/>
  <c r="O25" i="5"/>
  <c r="V25" i="5"/>
  <c r="O26" i="5"/>
  <c r="V26" i="5"/>
  <c r="O27" i="5"/>
  <c r="V27" i="5"/>
  <c r="O28" i="5"/>
  <c r="V28" i="5"/>
  <c r="O29" i="5"/>
  <c r="V29" i="5"/>
  <c r="O30" i="5"/>
  <c r="V30" i="5"/>
  <c r="O31" i="5"/>
  <c r="V31" i="5"/>
  <c r="O32" i="5"/>
  <c r="V32" i="5"/>
  <c r="O33" i="5"/>
  <c r="V33" i="5"/>
  <c r="O34" i="5"/>
  <c r="V34" i="5"/>
  <c r="O35" i="5"/>
  <c r="V35" i="5"/>
  <c r="O36" i="5"/>
  <c r="V36" i="5"/>
  <c r="O37" i="5"/>
  <c r="V37" i="5"/>
  <c r="O38" i="5"/>
  <c r="V38" i="5"/>
  <c r="O39" i="5"/>
  <c r="V39" i="5"/>
  <c r="O40" i="5"/>
  <c r="V40" i="5"/>
  <c r="O41" i="5"/>
  <c r="V41" i="5"/>
  <c r="O42" i="5"/>
  <c r="V42" i="5"/>
  <c r="O43" i="5"/>
  <c r="V43" i="5"/>
  <c r="O44" i="5"/>
  <c r="V44" i="5"/>
  <c r="O45" i="5"/>
  <c r="V45" i="5"/>
  <c r="O46" i="5"/>
  <c r="V46" i="5"/>
  <c r="O47" i="5"/>
  <c r="V47" i="5"/>
  <c r="O48" i="5"/>
  <c r="V48" i="5"/>
  <c r="O49" i="5"/>
  <c r="V49" i="5"/>
  <c r="O50" i="5"/>
  <c r="V50" i="5"/>
  <c r="O51" i="5"/>
  <c r="V51" i="5"/>
  <c r="O52" i="5"/>
  <c r="V52" i="5"/>
  <c r="O53" i="5"/>
  <c r="V53" i="5"/>
  <c r="O54" i="5"/>
  <c r="V54" i="5"/>
  <c r="O55" i="5"/>
  <c r="V55" i="5"/>
  <c r="O56" i="5"/>
  <c r="V56" i="5"/>
  <c r="O57" i="5"/>
  <c r="V57" i="5"/>
  <c r="O58" i="5"/>
  <c r="V58" i="5"/>
  <c r="O59" i="5"/>
  <c r="V59" i="5"/>
  <c r="O60" i="5"/>
  <c r="V60" i="5"/>
  <c r="O61" i="5"/>
  <c r="V61" i="5"/>
  <c r="O62" i="5"/>
  <c r="V62" i="5"/>
  <c r="O63" i="5"/>
  <c r="V63" i="5"/>
  <c r="O64" i="5"/>
  <c r="V64" i="5"/>
  <c r="O65" i="5"/>
  <c r="V65" i="5"/>
  <c r="O66" i="5"/>
  <c r="V66" i="5"/>
  <c r="O67" i="5"/>
  <c r="V67" i="5"/>
  <c r="O68" i="5"/>
  <c r="V68" i="5"/>
  <c r="O69" i="5"/>
  <c r="V69" i="5"/>
  <c r="O70" i="5"/>
  <c r="V70" i="5"/>
  <c r="O71" i="5"/>
  <c r="V71" i="5"/>
  <c r="O72" i="5"/>
  <c r="V72" i="5"/>
  <c r="O73" i="5"/>
  <c r="V73" i="5"/>
  <c r="O74" i="5"/>
  <c r="V74" i="5"/>
  <c r="O75" i="5"/>
  <c r="V75" i="5"/>
  <c r="O76" i="5"/>
  <c r="V76" i="5"/>
  <c r="O77" i="5"/>
  <c r="V77" i="5"/>
  <c r="O78" i="5"/>
  <c r="V78" i="5"/>
  <c r="O79" i="5"/>
  <c r="V79" i="5"/>
  <c r="O80" i="5"/>
  <c r="V80" i="5"/>
  <c r="O81" i="5"/>
  <c r="V81" i="5"/>
  <c r="O82" i="5"/>
  <c r="V82" i="5"/>
  <c r="O83" i="5"/>
  <c r="V83" i="5"/>
  <c r="O84" i="5"/>
  <c r="V84" i="5"/>
  <c r="O85" i="5"/>
  <c r="V85" i="5"/>
  <c r="O86" i="5"/>
  <c r="V86" i="5"/>
  <c r="O87" i="5"/>
  <c r="V87" i="5"/>
  <c r="O88" i="5"/>
  <c r="V88" i="5"/>
  <c r="O89" i="5"/>
  <c r="V89" i="5"/>
  <c r="O90" i="5"/>
  <c r="V90" i="5"/>
  <c r="O91" i="5"/>
  <c r="V91" i="5"/>
  <c r="O92" i="5"/>
  <c r="V92" i="5"/>
  <c r="O93" i="5"/>
  <c r="V93" i="5"/>
  <c r="O94" i="5"/>
  <c r="V94" i="5"/>
  <c r="O95" i="5"/>
  <c r="V95" i="5"/>
  <c r="O96" i="5"/>
  <c r="V96" i="5"/>
  <c r="O97" i="5"/>
  <c r="V97" i="5"/>
  <c r="O98" i="5"/>
  <c r="V98" i="5"/>
  <c r="O99" i="5"/>
  <c r="V99" i="5"/>
  <c r="O100" i="5"/>
  <c r="V100" i="5"/>
  <c r="O101" i="5"/>
  <c r="V101" i="5"/>
  <c r="O102" i="5"/>
  <c r="V102" i="5"/>
  <c r="O103" i="5"/>
  <c r="V103" i="5"/>
  <c r="O104" i="5"/>
  <c r="V104" i="5"/>
  <c r="O105" i="5"/>
  <c r="V105" i="5"/>
  <c r="O106" i="5"/>
  <c r="V106" i="5"/>
  <c r="O107" i="5"/>
  <c r="V107" i="5"/>
  <c r="O108" i="5"/>
  <c r="V108" i="5"/>
  <c r="O109" i="5"/>
  <c r="V109" i="5"/>
  <c r="O110" i="5"/>
  <c r="V110" i="5"/>
  <c r="O111" i="5"/>
  <c r="V111" i="5"/>
  <c r="O112" i="5"/>
  <c r="V112" i="5"/>
  <c r="O113" i="5"/>
  <c r="V113" i="5"/>
  <c r="O114" i="5"/>
  <c r="V114" i="5"/>
  <c r="O115" i="5"/>
  <c r="V115" i="5"/>
  <c r="O116" i="5"/>
  <c r="V116" i="5"/>
  <c r="O117" i="5"/>
  <c r="V117" i="5"/>
  <c r="O118" i="5"/>
  <c r="V118" i="5"/>
  <c r="O119" i="5"/>
  <c r="V119" i="5"/>
  <c r="O120" i="5"/>
  <c r="V120" i="5"/>
  <c r="O121" i="5"/>
  <c r="V121" i="5"/>
  <c r="O122" i="5"/>
  <c r="V122" i="5"/>
  <c r="O123" i="5"/>
  <c r="V123" i="5"/>
  <c r="O124" i="5"/>
  <c r="V124" i="5"/>
  <c r="O125" i="5"/>
  <c r="V125" i="5"/>
  <c r="O126" i="5"/>
  <c r="V126" i="5"/>
  <c r="O127" i="5"/>
  <c r="V127" i="5"/>
  <c r="O128" i="5"/>
  <c r="V128" i="5"/>
  <c r="O129" i="5"/>
  <c r="V129" i="5"/>
  <c r="O130" i="5"/>
  <c r="V130" i="5"/>
  <c r="O131" i="5"/>
  <c r="V131" i="5"/>
  <c r="O132" i="5"/>
  <c r="V132" i="5"/>
  <c r="O133" i="5"/>
  <c r="V133" i="5"/>
  <c r="O134" i="5"/>
  <c r="V134" i="5"/>
  <c r="O135" i="5"/>
  <c r="V135" i="5"/>
  <c r="O136" i="5"/>
  <c r="V136" i="5"/>
  <c r="O137" i="5"/>
  <c r="V137" i="5"/>
  <c r="O138" i="5"/>
  <c r="V138" i="5"/>
  <c r="O139" i="5"/>
  <c r="V139" i="5"/>
  <c r="O140" i="5"/>
  <c r="V140" i="5"/>
  <c r="O141" i="5"/>
  <c r="V141" i="5"/>
  <c r="O142" i="5"/>
  <c r="V142" i="5"/>
  <c r="O143" i="5"/>
  <c r="V143" i="5"/>
  <c r="O144" i="5"/>
  <c r="V144" i="5"/>
  <c r="O145" i="5"/>
  <c r="V145" i="5"/>
  <c r="O146" i="5"/>
  <c r="V146" i="5"/>
  <c r="O147" i="5"/>
  <c r="V147" i="5"/>
  <c r="O148" i="5"/>
  <c r="V148" i="5"/>
  <c r="O149" i="5"/>
  <c r="V149" i="5"/>
  <c r="O150" i="5"/>
  <c r="V150" i="5"/>
  <c r="O151" i="5"/>
  <c r="V151" i="5"/>
  <c r="O152" i="5"/>
  <c r="V152" i="5"/>
  <c r="O153" i="5"/>
  <c r="V153" i="5"/>
  <c r="O154" i="5"/>
  <c r="V154" i="5"/>
  <c r="O155" i="5"/>
  <c r="V155" i="5"/>
  <c r="O156" i="5"/>
  <c r="V156" i="5"/>
  <c r="O157" i="5"/>
  <c r="V157" i="5"/>
  <c r="O158" i="5"/>
  <c r="V158" i="5"/>
  <c r="O159" i="5"/>
  <c r="V159" i="5"/>
  <c r="O160" i="5"/>
  <c r="V160" i="5"/>
  <c r="O161" i="5"/>
  <c r="V161" i="5"/>
  <c r="O162" i="5"/>
  <c r="V162" i="5"/>
  <c r="O163" i="5"/>
  <c r="V163" i="5"/>
  <c r="O164" i="5"/>
  <c r="V164" i="5"/>
  <c r="O165" i="5"/>
  <c r="V165" i="5"/>
  <c r="O166" i="5"/>
  <c r="V166" i="5"/>
  <c r="O167" i="5"/>
  <c r="V167" i="5"/>
  <c r="O168" i="5"/>
  <c r="V168" i="5"/>
  <c r="O169" i="5"/>
  <c r="V169" i="5"/>
  <c r="O170" i="5"/>
  <c r="V170" i="5"/>
  <c r="O171" i="5"/>
  <c r="V171" i="5"/>
  <c r="O172" i="5"/>
  <c r="V172" i="5"/>
  <c r="O173" i="5"/>
  <c r="V173" i="5"/>
  <c r="O174" i="5"/>
  <c r="V174" i="5"/>
  <c r="O175" i="5"/>
  <c r="V175" i="5"/>
  <c r="O176" i="5"/>
  <c r="V176" i="5"/>
  <c r="O177" i="5"/>
  <c r="V177" i="5"/>
  <c r="O178" i="5"/>
  <c r="V178" i="5"/>
  <c r="O179" i="5"/>
  <c r="V179" i="5"/>
  <c r="O180" i="5"/>
  <c r="V180" i="5"/>
  <c r="O181" i="5"/>
  <c r="V181" i="5"/>
  <c r="O182" i="5"/>
  <c r="V182" i="5"/>
  <c r="O183" i="5"/>
  <c r="V183" i="5"/>
  <c r="O184" i="5"/>
  <c r="V184" i="5"/>
  <c r="O185" i="5"/>
  <c r="V185" i="5"/>
  <c r="O186" i="5"/>
  <c r="V186" i="5"/>
  <c r="O187" i="5"/>
  <c r="V187" i="5"/>
  <c r="O188" i="5"/>
  <c r="V188" i="5"/>
  <c r="O189" i="5"/>
  <c r="V189" i="5"/>
  <c r="O190" i="5"/>
  <c r="V190" i="5"/>
  <c r="O191" i="5"/>
  <c r="V191" i="5"/>
  <c r="O192" i="5"/>
  <c r="V192" i="5"/>
  <c r="O193" i="5"/>
  <c r="V193" i="5"/>
  <c r="O194" i="5"/>
  <c r="V194" i="5"/>
  <c r="O195" i="5"/>
  <c r="V195" i="5"/>
  <c r="O196" i="5"/>
  <c r="V196" i="5"/>
  <c r="O197" i="5"/>
  <c r="V197" i="5"/>
  <c r="O198" i="5"/>
  <c r="V198" i="5"/>
  <c r="O199" i="5"/>
  <c r="V199" i="5"/>
  <c r="O200" i="5"/>
  <c r="V200" i="5"/>
  <c r="O201" i="5"/>
  <c r="V201" i="5"/>
  <c r="O202" i="5"/>
  <c r="V202" i="5"/>
  <c r="O203" i="5"/>
  <c r="V203" i="5"/>
  <c r="O204" i="5"/>
  <c r="V204" i="5"/>
  <c r="O205" i="5"/>
  <c r="V205" i="5"/>
  <c r="O206" i="5"/>
  <c r="V206" i="5"/>
  <c r="O207" i="5"/>
  <c r="V207" i="5"/>
  <c r="O208" i="5"/>
  <c r="V208" i="5"/>
  <c r="O209" i="5"/>
  <c r="V209" i="5"/>
  <c r="O210" i="5"/>
  <c r="V210" i="5"/>
  <c r="O211" i="5"/>
  <c r="V211" i="5"/>
  <c r="O212" i="5"/>
  <c r="V212" i="5"/>
  <c r="O213" i="5"/>
  <c r="V213" i="5"/>
  <c r="O214" i="5"/>
  <c r="V214" i="5"/>
  <c r="O215" i="5"/>
  <c r="V215" i="5"/>
  <c r="O216" i="5"/>
  <c r="V216" i="5"/>
  <c r="O217" i="5"/>
  <c r="V217" i="5"/>
  <c r="O218" i="5"/>
  <c r="V218" i="5"/>
  <c r="O219" i="5"/>
  <c r="V219" i="5"/>
  <c r="O220" i="5"/>
  <c r="V220" i="5"/>
  <c r="O221" i="5"/>
  <c r="V221" i="5"/>
  <c r="O222" i="5"/>
  <c r="V222" i="5"/>
  <c r="O223" i="5"/>
  <c r="V223" i="5"/>
  <c r="O224" i="5"/>
  <c r="V224" i="5"/>
  <c r="O225" i="5"/>
  <c r="V225" i="5"/>
  <c r="O226" i="5"/>
  <c r="V226" i="5"/>
  <c r="O227" i="5"/>
  <c r="V227" i="5"/>
  <c r="O228" i="5"/>
  <c r="V228" i="5"/>
  <c r="O229" i="5"/>
  <c r="V229" i="5"/>
  <c r="O230" i="5"/>
  <c r="V230" i="5"/>
  <c r="O231" i="5"/>
  <c r="V231" i="5"/>
  <c r="O232" i="5"/>
  <c r="V232" i="5"/>
  <c r="O233" i="5"/>
  <c r="V233" i="5"/>
  <c r="O234" i="5"/>
  <c r="V234" i="5"/>
  <c r="O235" i="5"/>
  <c r="V235" i="5"/>
  <c r="O236" i="5"/>
  <c r="V236" i="5"/>
  <c r="O237" i="5"/>
  <c r="V237" i="5"/>
  <c r="O238" i="5"/>
  <c r="V238" i="5"/>
  <c r="O239" i="5"/>
  <c r="V239" i="5"/>
  <c r="O240" i="5"/>
  <c r="V240" i="5"/>
  <c r="O241" i="5"/>
  <c r="V241" i="5"/>
  <c r="O242" i="5"/>
  <c r="V242" i="5"/>
  <c r="O243" i="5"/>
  <c r="V243" i="5"/>
  <c r="O244" i="5"/>
  <c r="V244" i="5"/>
  <c r="O245" i="5"/>
  <c r="V245" i="5"/>
  <c r="O246" i="5"/>
  <c r="V246" i="5"/>
  <c r="O247" i="5"/>
  <c r="V247" i="5"/>
  <c r="O248" i="5"/>
  <c r="V248" i="5"/>
  <c r="O249" i="5"/>
  <c r="V249" i="5"/>
  <c r="O250" i="5"/>
  <c r="V250" i="5"/>
  <c r="O251" i="5"/>
  <c r="V251" i="5"/>
  <c r="O252" i="5"/>
  <c r="V252" i="5"/>
  <c r="O253" i="5"/>
  <c r="V253" i="5"/>
  <c r="O254" i="5"/>
  <c r="V254" i="5"/>
  <c r="O255" i="5"/>
  <c r="V255" i="5"/>
  <c r="O256" i="5"/>
  <c r="V256" i="5"/>
  <c r="O257" i="5"/>
  <c r="V257" i="5"/>
  <c r="O258" i="5"/>
  <c r="V258" i="5"/>
  <c r="O259" i="5"/>
  <c r="V259" i="5"/>
  <c r="O260" i="5"/>
  <c r="V260" i="5"/>
  <c r="O261" i="5"/>
  <c r="V261" i="5"/>
  <c r="O262" i="5"/>
  <c r="V262" i="5"/>
  <c r="O263" i="5"/>
  <c r="V263" i="5"/>
  <c r="O264" i="5"/>
  <c r="V264" i="5"/>
  <c r="O265" i="5"/>
  <c r="V265" i="5"/>
  <c r="O266" i="5"/>
  <c r="V266" i="5"/>
  <c r="O267" i="5"/>
  <c r="V267" i="5"/>
  <c r="O268" i="5"/>
  <c r="V268" i="5"/>
  <c r="O269" i="5"/>
  <c r="V269" i="5"/>
  <c r="O270" i="5"/>
  <c r="V270" i="5"/>
  <c r="O271" i="5"/>
  <c r="V271" i="5"/>
  <c r="O272" i="5"/>
  <c r="V272" i="5"/>
  <c r="O273" i="5"/>
  <c r="V273" i="5"/>
  <c r="O274" i="5"/>
  <c r="V274" i="5"/>
  <c r="O275" i="5"/>
  <c r="V275" i="5"/>
  <c r="O276" i="5"/>
  <c r="V276" i="5"/>
  <c r="O277" i="5"/>
  <c r="V277" i="5"/>
  <c r="O278" i="5"/>
  <c r="V278" i="5"/>
  <c r="O279" i="5"/>
  <c r="V279" i="5"/>
  <c r="O280" i="5"/>
  <c r="V280" i="5"/>
  <c r="O281" i="5"/>
  <c r="V281" i="5"/>
  <c r="O282" i="5"/>
  <c r="V282" i="5"/>
  <c r="O283" i="5"/>
  <c r="V283" i="5"/>
  <c r="O284" i="5"/>
  <c r="V284" i="5"/>
  <c r="O285" i="5"/>
  <c r="V285" i="5"/>
  <c r="O286" i="5"/>
  <c r="V286" i="5"/>
  <c r="O287" i="5"/>
  <c r="V287" i="5"/>
  <c r="O288" i="5"/>
  <c r="V288" i="5"/>
  <c r="O289" i="5"/>
  <c r="V289" i="5"/>
  <c r="O290" i="5"/>
  <c r="V290" i="5"/>
  <c r="O291" i="5"/>
  <c r="V291" i="5"/>
  <c r="O292" i="5"/>
  <c r="V292" i="5"/>
  <c r="O293" i="5"/>
  <c r="V293" i="5"/>
  <c r="O294" i="5"/>
  <c r="V294" i="5"/>
  <c r="O295" i="5"/>
  <c r="V295" i="5"/>
  <c r="O296" i="5"/>
  <c r="V296" i="5"/>
  <c r="O297" i="5"/>
  <c r="V297" i="5"/>
  <c r="O298" i="5"/>
  <c r="V298" i="5"/>
  <c r="O299" i="5"/>
  <c r="V299" i="5"/>
  <c r="O300" i="5"/>
  <c r="V300" i="5"/>
  <c r="O301" i="5"/>
  <c r="V301" i="5"/>
  <c r="O302" i="5"/>
  <c r="V302" i="5"/>
  <c r="O303" i="5"/>
  <c r="V303" i="5"/>
  <c r="O304" i="5"/>
  <c r="V304" i="5"/>
  <c r="O305" i="5"/>
  <c r="V305" i="5"/>
  <c r="O306" i="5"/>
  <c r="V306" i="5"/>
  <c r="O307" i="5"/>
  <c r="V307" i="5"/>
  <c r="O308" i="5"/>
  <c r="V308" i="5"/>
  <c r="O309" i="5"/>
  <c r="V309" i="5"/>
  <c r="O310" i="5"/>
  <c r="V310" i="5"/>
  <c r="O311" i="5"/>
  <c r="V311" i="5"/>
  <c r="O312" i="5"/>
  <c r="V312" i="5"/>
  <c r="O313" i="5"/>
  <c r="V313" i="5"/>
  <c r="O314" i="5"/>
  <c r="V314" i="5"/>
  <c r="O315" i="5"/>
  <c r="V315" i="5"/>
  <c r="O316" i="5"/>
  <c r="V316" i="5"/>
  <c r="O317" i="5"/>
  <c r="V317" i="5"/>
  <c r="O318" i="5"/>
  <c r="V318" i="5"/>
  <c r="O319" i="5"/>
  <c r="V319" i="5"/>
  <c r="O320" i="5"/>
  <c r="V320" i="5"/>
  <c r="O321" i="5"/>
  <c r="V321" i="5"/>
  <c r="O322" i="5"/>
  <c r="V322" i="5"/>
  <c r="O323" i="5"/>
  <c r="V323" i="5"/>
  <c r="O324" i="5"/>
  <c r="V324" i="5"/>
  <c r="O325" i="5"/>
  <c r="V325" i="5"/>
  <c r="O326" i="5"/>
  <c r="V326" i="5"/>
  <c r="O327" i="5"/>
  <c r="V327" i="5"/>
  <c r="O328" i="5"/>
  <c r="V328" i="5"/>
  <c r="O329" i="5"/>
  <c r="V329" i="5"/>
  <c r="O330" i="5"/>
  <c r="V330" i="5"/>
  <c r="O331" i="5"/>
  <c r="V331" i="5"/>
  <c r="O332" i="5"/>
  <c r="V332" i="5"/>
  <c r="O333" i="5"/>
  <c r="V333" i="5"/>
  <c r="O334" i="5"/>
  <c r="V334" i="5"/>
  <c r="O335" i="5"/>
  <c r="V335" i="5"/>
  <c r="O336" i="5"/>
  <c r="V336" i="5"/>
  <c r="O337" i="5"/>
  <c r="V337" i="5"/>
  <c r="O338" i="5"/>
  <c r="V338" i="5"/>
  <c r="O339" i="5"/>
  <c r="V339" i="5"/>
  <c r="O340" i="5"/>
  <c r="V340" i="5"/>
  <c r="O341" i="5"/>
  <c r="V341" i="5"/>
  <c r="O342" i="5"/>
  <c r="V342" i="5"/>
  <c r="O343" i="5"/>
  <c r="V343" i="5"/>
  <c r="O344" i="5"/>
  <c r="V344" i="5"/>
  <c r="O345" i="5"/>
  <c r="V345" i="5"/>
  <c r="O346" i="5"/>
  <c r="V346" i="5"/>
  <c r="O347" i="5"/>
  <c r="V347" i="5"/>
  <c r="O348" i="5"/>
  <c r="V348" i="5"/>
  <c r="O349" i="5"/>
  <c r="V349" i="5"/>
  <c r="O350" i="5"/>
  <c r="V350" i="5"/>
  <c r="O351" i="5"/>
  <c r="V351" i="5"/>
  <c r="O352" i="5"/>
  <c r="V352" i="5"/>
  <c r="O353" i="5"/>
  <c r="V353" i="5"/>
  <c r="O354" i="5"/>
  <c r="V354" i="5"/>
  <c r="O355" i="5"/>
  <c r="V355" i="5"/>
  <c r="O356" i="5"/>
  <c r="V356" i="5"/>
  <c r="O357" i="5"/>
  <c r="V357" i="5"/>
  <c r="O358" i="5"/>
  <c r="V358" i="5"/>
  <c r="O359" i="5"/>
  <c r="V359" i="5"/>
  <c r="O360" i="5"/>
  <c r="V360" i="5"/>
  <c r="O361" i="5"/>
  <c r="V361" i="5"/>
  <c r="O362" i="5"/>
  <c r="V362" i="5"/>
  <c r="O9" i="4"/>
  <c r="V9" i="4"/>
  <c r="O10" i="4"/>
  <c r="V10" i="4"/>
  <c r="O11" i="4"/>
  <c r="V11" i="4"/>
  <c r="O12" i="4"/>
  <c r="V12" i="4"/>
  <c r="O13" i="4"/>
  <c r="V13" i="4"/>
  <c r="O14" i="4"/>
  <c r="V14" i="4"/>
  <c r="O15" i="4"/>
  <c r="V15" i="4"/>
  <c r="O16" i="4"/>
  <c r="V16" i="4"/>
  <c r="O17" i="4"/>
  <c r="V17" i="4"/>
  <c r="O18" i="4"/>
  <c r="V18" i="4"/>
  <c r="O19" i="4"/>
  <c r="V19" i="4"/>
  <c r="O20" i="4"/>
  <c r="V20" i="4"/>
  <c r="O21" i="4"/>
  <c r="V21" i="4"/>
  <c r="O22" i="4"/>
  <c r="V22" i="4"/>
  <c r="O23" i="4"/>
  <c r="V23" i="4"/>
  <c r="O24" i="4"/>
  <c r="V24" i="4"/>
  <c r="O25" i="4"/>
  <c r="V25" i="4"/>
  <c r="O26" i="4"/>
  <c r="V26" i="4"/>
  <c r="O27" i="4"/>
  <c r="V27" i="4"/>
  <c r="O28" i="4"/>
  <c r="V28" i="4"/>
  <c r="O29" i="4"/>
  <c r="V29" i="4"/>
  <c r="O30" i="4"/>
  <c r="V30" i="4"/>
  <c r="O31" i="4"/>
  <c r="V31" i="4"/>
  <c r="O32" i="4"/>
  <c r="V32" i="4"/>
  <c r="O33" i="4"/>
  <c r="V33" i="4"/>
  <c r="O34" i="4"/>
  <c r="V34" i="4"/>
  <c r="O35" i="4"/>
  <c r="V35" i="4"/>
  <c r="O36" i="4"/>
  <c r="V36" i="4"/>
  <c r="O37" i="4"/>
  <c r="V37" i="4"/>
  <c r="O38" i="4"/>
  <c r="V38" i="4"/>
  <c r="O39" i="4"/>
  <c r="V39" i="4"/>
  <c r="O40" i="4"/>
  <c r="V40" i="4"/>
  <c r="O41" i="4"/>
  <c r="V41" i="4"/>
  <c r="O42" i="4"/>
  <c r="V42" i="4"/>
  <c r="O43" i="4"/>
  <c r="V43" i="4"/>
  <c r="O44" i="4"/>
  <c r="V44" i="4"/>
  <c r="O45" i="4"/>
  <c r="V45" i="4"/>
  <c r="O46" i="4"/>
  <c r="V46" i="4"/>
  <c r="O47" i="4"/>
  <c r="V47" i="4"/>
  <c r="O48" i="4"/>
  <c r="V48" i="4"/>
  <c r="O49" i="4"/>
  <c r="V49" i="4"/>
  <c r="O50" i="4"/>
  <c r="V50" i="4"/>
  <c r="O51" i="4"/>
  <c r="V51" i="4"/>
  <c r="O52" i="4"/>
  <c r="V52" i="4"/>
  <c r="O53" i="4"/>
  <c r="V53" i="4"/>
  <c r="O54" i="4"/>
  <c r="V54" i="4"/>
  <c r="O55" i="4"/>
  <c r="V55" i="4"/>
  <c r="O56" i="4"/>
  <c r="V56" i="4"/>
  <c r="O57" i="4"/>
  <c r="V57" i="4"/>
  <c r="O58" i="4"/>
  <c r="V58" i="4"/>
  <c r="O59" i="4"/>
  <c r="V59" i="4"/>
  <c r="O60" i="4"/>
  <c r="V60" i="4"/>
  <c r="O61" i="4"/>
  <c r="V61" i="4"/>
  <c r="O62" i="4"/>
  <c r="V62" i="4"/>
  <c r="O63" i="4"/>
  <c r="V63" i="4"/>
  <c r="O64" i="4"/>
  <c r="V64" i="4"/>
  <c r="O65" i="4"/>
  <c r="V65" i="4"/>
  <c r="O66" i="4"/>
  <c r="V66" i="4"/>
  <c r="O67" i="4"/>
  <c r="V67" i="4"/>
  <c r="O68" i="4"/>
  <c r="V68" i="4"/>
  <c r="O69" i="4"/>
  <c r="V69" i="4"/>
  <c r="O70" i="4"/>
  <c r="V70" i="4"/>
  <c r="O71" i="4"/>
  <c r="V71" i="4"/>
  <c r="O72" i="4"/>
  <c r="V72" i="4"/>
  <c r="O73" i="4"/>
  <c r="V73" i="4"/>
  <c r="O74" i="4"/>
  <c r="V74" i="4"/>
  <c r="O75" i="4"/>
  <c r="V75" i="4"/>
  <c r="O76" i="4"/>
  <c r="V76" i="4"/>
  <c r="O77" i="4"/>
  <c r="V77" i="4"/>
  <c r="O78" i="4"/>
  <c r="V78" i="4"/>
  <c r="O79" i="4"/>
  <c r="V79" i="4"/>
  <c r="O80" i="4"/>
  <c r="V80" i="4"/>
  <c r="O81" i="4"/>
  <c r="V81" i="4"/>
  <c r="O82" i="4"/>
  <c r="V82" i="4"/>
  <c r="O83" i="4"/>
  <c r="V83" i="4"/>
  <c r="O84" i="4"/>
  <c r="V84" i="4"/>
  <c r="O85" i="4"/>
  <c r="V85" i="4"/>
  <c r="O86" i="4"/>
  <c r="V86" i="4"/>
  <c r="O87" i="4"/>
  <c r="V87" i="4"/>
  <c r="O88" i="4"/>
  <c r="V88" i="4"/>
  <c r="O89" i="4"/>
  <c r="V89" i="4"/>
  <c r="O90" i="4"/>
  <c r="V90" i="4"/>
  <c r="O91" i="4"/>
  <c r="V91" i="4"/>
  <c r="O92" i="4"/>
  <c r="V92" i="4"/>
  <c r="O93" i="4"/>
  <c r="V93" i="4"/>
  <c r="O94" i="4"/>
  <c r="V94" i="4"/>
  <c r="O95" i="4"/>
  <c r="V95" i="4"/>
  <c r="O96" i="4"/>
  <c r="V96" i="4"/>
  <c r="O97" i="4"/>
  <c r="V97" i="4"/>
  <c r="O98" i="4"/>
  <c r="V98" i="4"/>
  <c r="O99" i="4"/>
  <c r="V99" i="4"/>
  <c r="O100" i="4"/>
  <c r="V100" i="4"/>
  <c r="O101" i="4"/>
  <c r="V101" i="4"/>
  <c r="O102" i="4"/>
  <c r="V102" i="4"/>
  <c r="O103" i="4"/>
  <c r="V103" i="4"/>
  <c r="O104" i="4"/>
  <c r="V104" i="4"/>
  <c r="O105" i="4"/>
  <c r="V105" i="4"/>
  <c r="O106" i="4"/>
  <c r="V106" i="4"/>
  <c r="O107" i="4"/>
  <c r="V107" i="4"/>
  <c r="O108" i="4"/>
  <c r="V108" i="4"/>
  <c r="O109" i="4"/>
  <c r="V109" i="4"/>
  <c r="O110" i="4"/>
  <c r="V110" i="4"/>
  <c r="O111" i="4"/>
  <c r="V111" i="4"/>
  <c r="O112" i="4"/>
  <c r="V112" i="4"/>
  <c r="O113" i="4"/>
  <c r="V113" i="4"/>
  <c r="O114" i="4"/>
  <c r="V114" i="4"/>
  <c r="O115" i="4"/>
  <c r="V115" i="4"/>
  <c r="O116" i="4"/>
  <c r="V116" i="4"/>
  <c r="O117" i="4"/>
  <c r="V117" i="4"/>
  <c r="O118" i="4"/>
  <c r="V118" i="4"/>
  <c r="O119" i="4"/>
  <c r="V119" i="4"/>
  <c r="O120" i="4"/>
  <c r="V120" i="4"/>
  <c r="O121" i="4"/>
  <c r="V121" i="4"/>
  <c r="O122" i="4"/>
  <c r="V122" i="4"/>
  <c r="O123" i="4"/>
  <c r="V123" i="4"/>
  <c r="O124" i="4"/>
  <c r="V124" i="4"/>
  <c r="O125" i="4"/>
  <c r="V125" i="4"/>
  <c r="O126" i="4"/>
  <c r="V126" i="4"/>
  <c r="O127" i="4"/>
  <c r="V127" i="4"/>
  <c r="O128" i="4"/>
  <c r="V128" i="4"/>
  <c r="O129" i="4"/>
  <c r="V129" i="4"/>
  <c r="O130" i="4"/>
  <c r="V130" i="4"/>
  <c r="O131" i="4"/>
  <c r="V131" i="4"/>
  <c r="O132" i="4"/>
  <c r="V132" i="4"/>
  <c r="O133" i="4"/>
  <c r="V133" i="4"/>
  <c r="O134" i="4"/>
  <c r="V134" i="4"/>
  <c r="O135" i="4"/>
  <c r="V135" i="4"/>
  <c r="O136" i="4"/>
  <c r="V136" i="4"/>
  <c r="O137" i="4"/>
  <c r="V137" i="4"/>
  <c r="O138" i="4"/>
  <c r="V138" i="4"/>
  <c r="O139" i="4"/>
  <c r="V139" i="4"/>
  <c r="O140" i="4"/>
  <c r="V140" i="4"/>
  <c r="O141" i="4"/>
  <c r="V141" i="4"/>
  <c r="O142" i="4"/>
  <c r="V142" i="4"/>
  <c r="O143" i="4"/>
  <c r="V143" i="4"/>
  <c r="O144" i="4"/>
  <c r="V144" i="4"/>
  <c r="O145" i="4"/>
  <c r="V145" i="4"/>
  <c r="O146" i="4"/>
  <c r="V146" i="4"/>
  <c r="O147" i="4"/>
  <c r="V147" i="4"/>
  <c r="O148" i="4"/>
  <c r="V148" i="4"/>
  <c r="O149" i="4"/>
  <c r="V149" i="4"/>
  <c r="O150" i="4"/>
  <c r="V150" i="4"/>
  <c r="O151" i="4"/>
  <c r="V151" i="4"/>
  <c r="O152" i="4"/>
  <c r="V152" i="4"/>
  <c r="O153" i="4"/>
  <c r="V153" i="4"/>
  <c r="O154" i="4"/>
  <c r="V154" i="4"/>
  <c r="O155" i="4"/>
  <c r="V155" i="4"/>
  <c r="O156" i="4"/>
  <c r="V156" i="4"/>
  <c r="O157" i="4"/>
  <c r="V157" i="4"/>
  <c r="O158" i="4"/>
  <c r="V158" i="4"/>
  <c r="O159" i="4"/>
  <c r="V159" i="4"/>
  <c r="O160" i="4"/>
  <c r="V160" i="4"/>
  <c r="O161" i="4"/>
  <c r="V161" i="4"/>
  <c r="O162" i="4"/>
  <c r="V162" i="4"/>
  <c r="O163" i="4"/>
  <c r="V163" i="4"/>
  <c r="O164" i="4"/>
  <c r="V164" i="4"/>
  <c r="O165" i="4"/>
  <c r="V165" i="4"/>
  <c r="O166" i="4"/>
  <c r="V166" i="4"/>
  <c r="O167" i="4"/>
  <c r="V167" i="4"/>
  <c r="O168" i="4"/>
  <c r="V168" i="4"/>
  <c r="O169" i="4"/>
  <c r="V169" i="4"/>
  <c r="O170" i="4"/>
  <c r="V170" i="4"/>
  <c r="O171" i="4"/>
  <c r="V171" i="4"/>
  <c r="O172" i="4"/>
  <c r="V172" i="4"/>
  <c r="O173" i="4"/>
  <c r="V173" i="4"/>
  <c r="O174" i="4"/>
  <c r="V174" i="4"/>
  <c r="O175" i="4"/>
  <c r="V175" i="4"/>
  <c r="O176" i="4"/>
  <c r="V176" i="4"/>
  <c r="O177" i="4"/>
  <c r="V177" i="4"/>
  <c r="O178" i="4"/>
  <c r="V178" i="4"/>
  <c r="O179" i="4"/>
  <c r="V179" i="4"/>
  <c r="O180" i="4"/>
  <c r="V180" i="4"/>
  <c r="O181" i="4"/>
  <c r="V181" i="4"/>
  <c r="O182" i="4"/>
  <c r="V182" i="4"/>
  <c r="O183" i="4"/>
  <c r="V183" i="4"/>
  <c r="O184" i="4"/>
  <c r="V184" i="4"/>
  <c r="O185" i="4"/>
  <c r="V185" i="4"/>
  <c r="O186" i="4"/>
  <c r="V186" i="4"/>
  <c r="O187" i="4"/>
  <c r="V187" i="4"/>
  <c r="O188" i="4"/>
  <c r="V188" i="4"/>
  <c r="O189" i="4"/>
  <c r="V189" i="4"/>
  <c r="O190" i="4"/>
  <c r="V190" i="4"/>
  <c r="O191" i="4"/>
  <c r="V191" i="4"/>
  <c r="O192" i="4"/>
  <c r="V192" i="4"/>
  <c r="O193" i="4"/>
  <c r="V193" i="4"/>
  <c r="O194" i="4"/>
  <c r="V194" i="4"/>
  <c r="O195" i="4"/>
  <c r="V195" i="4"/>
  <c r="O196" i="4"/>
  <c r="V196" i="4"/>
  <c r="O197" i="4"/>
  <c r="V197" i="4"/>
  <c r="O198" i="4"/>
  <c r="V198" i="4"/>
  <c r="O199" i="4"/>
  <c r="V199" i="4"/>
  <c r="O200" i="4"/>
  <c r="V200" i="4"/>
  <c r="O201" i="4"/>
  <c r="V201" i="4"/>
  <c r="O202" i="4"/>
  <c r="V202" i="4"/>
  <c r="O203" i="4"/>
  <c r="V203" i="4"/>
  <c r="O204" i="4"/>
  <c r="V204" i="4"/>
  <c r="O205" i="4"/>
  <c r="V205" i="4"/>
  <c r="O206" i="4"/>
  <c r="V206" i="4"/>
  <c r="O207" i="4"/>
  <c r="V207" i="4"/>
  <c r="O208" i="4"/>
  <c r="V208" i="4"/>
  <c r="O209" i="4"/>
  <c r="V209" i="4"/>
  <c r="O210" i="4"/>
  <c r="V210" i="4"/>
  <c r="O211" i="4"/>
  <c r="V211" i="4"/>
  <c r="O212" i="4"/>
  <c r="V212" i="4"/>
  <c r="O213" i="4"/>
  <c r="V213" i="4"/>
  <c r="O214" i="4"/>
  <c r="V214" i="4"/>
  <c r="O215" i="4"/>
  <c r="V215" i="4"/>
  <c r="O216" i="4"/>
  <c r="V216" i="4"/>
  <c r="O217" i="4"/>
  <c r="V217" i="4"/>
  <c r="O218" i="4"/>
  <c r="V218" i="4"/>
  <c r="O219" i="4"/>
  <c r="V219" i="4"/>
  <c r="O220" i="4"/>
  <c r="V220" i="4"/>
  <c r="O221" i="4"/>
  <c r="V221" i="4"/>
  <c r="O222" i="4"/>
  <c r="V222" i="4"/>
  <c r="O223" i="4"/>
  <c r="V223" i="4"/>
  <c r="O224" i="4"/>
  <c r="V224" i="4"/>
  <c r="O225" i="4"/>
  <c r="V225" i="4"/>
  <c r="O226" i="4"/>
  <c r="V226" i="4"/>
  <c r="O227" i="4"/>
  <c r="V227" i="4"/>
  <c r="O228" i="4"/>
  <c r="V228" i="4"/>
  <c r="O229" i="4"/>
  <c r="V229" i="4"/>
  <c r="O230" i="4"/>
  <c r="V230" i="4"/>
  <c r="O231" i="4"/>
  <c r="V231" i="4"/>
  <c r="O232" i="4"/>
  <c r="V232" i="4"/>
  <c r="O233" i="4"/>
  <c r="V233" i="4"/>
  <c r="O234" i="4"/>
  <c r="V234" i="4"/>
  <c r="O235" i="4"/>
  <c r="V235" i="4"/>
  <c r="O236" i="4"/>
  <c r="V236" i="4"/>
  <c r="O237" i="4"/>
  <c r="V237" i="4"/>
  <c r="O238" i="4"/>
  <c r="V238" i="4"/>
  <c r="O239" i="4"/>
  <c r="V239" i="4"/>
  <c r="O240" i="4"/>
  <c r="V240" i="4"/>
  <c r="O241" i="4"/>
  <c r="V241" i="4"/>
  <c r="O242" i="4"/>
  <c r="V242" i="4"/>
  <c r="O243" i="4"/>
  <c r="V243" i="4"/>
  <c r="O244" i="4"/>
  <c r="V244" i="4"/>
  <c r="O245" i="4"/>
  <c r="V245" i="4"/>
  <c r="O246" i="4"/>
  <c r="V246" i="4"/>
  <c r="O247" i="4"/>
  <c r="V247" i="4"/>
  <c r="O248" i="4"/>
  <c r="V248" i="4"/>
  <c r="O249" i="4"/>
  <c r="V249" i="4"/>
  <c r="O250" i="4"/>
  <c r="V250" i="4"/>
  <c r="O251" i="4"/>
  <c r="V251" i="4"/>
  <c r="O252" i="4"/>
  <c r="V252" i="4"/>
  <c r="O253" i="4"/>
  <c r="V253" i="4"/>
  <c r="O254" i="4"/>
  <c r="V254" i="4"/>
  <c r="O255" i="4"/>
  <c r="V255" i="4"/>
  <c r="O256" i="4"/>
  <c r="V256" i="4"/>
  <c r="O257" i="4"/>
  <c r="V257" i="4"/>
  <c r="O258" i="4"/>
  <c r="V258" i="4"/>
  <c r="O259" i="4"/>
  <c r="V259" i="4"/>
  <c r="O260" i="4"/>
  <c r="V260" i="4"/>
  <c r="O261" i="4"/>
  <c r="V261" i="4"/>
  <c r="O262" i="4"/>
  <c r="V262" i="4"/>
  <c r="O263" i="4"/>
  <c r="V263" i="4"/>
  <c r="O264" i="4"/>
  <c r="V264" i="4"/>
  <c r="O265" i="4"/>
  <c r="V265" i="4"/>
  <c r="O266" i="4"/>
  <c r="V266" i="4"/>
  <c r="O267" i="4"/>
  <c r="V267" i="4"/>
  <c r="O268" i="4"/>
  <c r="V268" i="4"/>
  <c r="O269" i="4"/>
  <c r="V269" i="4"/>
  <c r="O270" i="4"/>
  <c r="V270" i="4"/>
  <c r="O271" i="4"/>
  <c r="V271" i="4"/>
  <c r="O272" i="4"/>
  <c r="V272" i="4"/>
  <c r="O273" i="4"/>
  <c r="V273" i="4"/>
  <c r="O274" i="4"/>
  <c r="V274" i="4"/>
  <c r="O275" i="4"/>
  <c r="V275" i="4"/>
  <c r="O276" i="4"/>
  <c r="V276" i="4"/>
  <c r="O277" i="4"/>
  <c r="V277" i="4"/>
  <c r="O278" i="4"/>
  <c r="V278" i="4"/>
  <c r="O279" i="4"/>
  <c r="V279" i="4"/>
  <c r="O280" i="4"/>
  <c r="V280" i="4"/>
  <c r="O281" i="4"/>
  <c r="V281" i="4"/>
  <c r="O282" i="4"/>
  <c r="V282" i="4"/>
  <c r="O283" i="4"/>
  <c r="V283" i="4"/>
  <c r="O284" i="4"/>
  <c r="V284" i="4"/>
  <c r="O285" i="4"/>
  <c r="V285" i="4"/>
  <c r="O286" i="4"/>
  <c r="V286" i="4"/>
  <c r="O287" i="4"/>
  <c r="V287" i="4"/>
  <c r="O288" i="4"/>
  <c r="V288" i="4"/>
  <c r="O289" i="4"/>
  <c r="V289" i="4"/>
  <c r="O290" i="4"/>
  <c r="V290" i="4"/>
  <c r="O291" i="4"/>
  <c r="V291" i="4"/>
  <c r="O292" i="4"/>
  <c r="V292" i="4"/>
  <c r="O293" i="4"/>
  <c r="V293" i="4"/>
  <c r="O294" i="4"/>
  <c r="V294" i="4"/>
  <c r="O295" i="4"/>
  <c r="V295" i="4"/>
  <c r="O296" i="4"/>
  <c r="V296" i="4"/>
  <c r="O297" i="4"/>
  <c r="V297" i="4"/>
  <c r="O298" i="4"/>
  <c r="V298" i="4"/>
  <c r="O299" i="4"/>
  <c r="V299" i="4"/>
  <c r="O300" i="4"/>
  <c r="V300" i="4"/>
  <c r="O301" i="4"/>
  <c r="V301" i="4"/>
  <c r="O302" i="4"/>
  <c r="V302" i="4"/>
  <c r="O303" i="4"/>
  <c r="V303" i="4"/>
  <c r="O304" i="4"/>
  <c r="V304" i="4"/>
  <c r="O305" i="4"/>
  <c r="V305" i="4"/>
  <c r="O306" i="4"/>
  <c r="V306" i="4"/>
  <c r="O307" i="4"/>
  <c r="V307" i="4"/>
  <c r="O308" i="4"/>
  <c r="V308" i="4"/>
  <c r="O309" i="4"/>
  <c r="V309" i="4"/>
  <c r="O310" i="4"/>
  <c r="V310" i="4"/>
  <c r="O311" i="4"/>
  <c r="V311" i="4"/>
  <c r="O312" i="4"/>
  <c r="V312" i="4"/>
  <c r="O313" i="4"/>
  <c r="V313" i="4"/>
  <c r="O314" i="4"/>
  <c r="V314" i="4"/>
  <c r="O315" i="4"/>
  <c r="V315" i="4"/>
  <c r="O316" i="4"/>
  <c r="V316" i="4"/>
  <c r="O317" i="4"/>
  <c r="V317" i="4"/>
  <c r="O318" i="4"/>
  <c r="V318" i="4"/>
  <c r="O319" i="4"/>
  <c r="V319" i="4"/>
  <c r="O320" i="4"/>
  <c r="V320" i="4"/>
  <c r="O321" i="4"/>
  <c r="V321" i="4"/>
  <c r="O322" i="4"/>
  <c r="V322" i="4"/>
  <c r="O323" i="4"/>
  <c r="V323" i="4"/>
  <c r="O324" i="4"/>
  <c r="V324" i="4"/>
  <c r="O325" i="4"/>
  <c r="V325" i="4"/>
  <c r="O326" i="4"/>
  <c r="V326" i="4"/>
  <c r="O327" i="4"/>
  <c r="V327" i="4"/>
  <c r="O328" i="4"/>
  <c r="V328" i="4"/>
  <c r="O329" i="4"/>
  <c r="V329" i="4"/>
  <c r="O330" i="4"/>
  <c r="V330" i="4"/>
  <c r="O331" i="4"/>
  <c r="V331" i="4"/>
  <c r="O332" i="4"/>
  <c r="V332" i="4"/>
  <c r="O333" i="4"/>
  <c r="V333" i="4"/>
  <c r="O334" i="4"/>
  <c r="V334" i="4"/>
  <c r="O335" i="4"/>
  <c r="V335" i="4"/>
  <c r="O336" i="4"/>
  <c r="V336" i="4"/>
  <c r="O337" i="4"/>
  <c r="V337" i="4"/>
  <c r="O338" i="4"/>
  <c r="V338" i="4"/>
  <c r="O339" i="4"/>
  <c r="V339" i="4"/>
  <c r="O340" i="4"/>
  <c r="V340" i="4"/>
  <c r="O341" i="4"/>
  <c r="V341" i="4"/>
  <c r="O342" i="4"/>
  <c r="V342" i="4"/>
  <c r="O343" i="4"/>
  <c r="V343" i="4"/>
  <c r="O344" i="4"/>
  <c r="V344" i="4"/>
  <c r="O345" i="4"/>
  <c r="V345" i="4"/>
  <c r="O346" i="4"/>
  <c r="V346" i="4"/>
  <c r="O347" i="4"/>
  <c r="V347" i="4"/>
  <c r="O348" i="4"/>
  <c r="V348" i="4"/>
  <c r="O349" i="4"/>
  <c r="V349" i="4"/>
  <c r="O350" i="4"/>
  <c r="V350" i="4"/>
  <c r="O351" i="4"/>
  <c r="V351" i="4"/>
  <c r="O352" i="4"/>
  <c r="V352" i="4"/>
  <c r="O353" i="4"/>
  <c r="V353" i="4"/>
  <c r="O354" i="4"/>
  <c r="V354" i="4"/>
  <c r="O355" i="4"/>
  <c r="V355" i="4"/>
  <c r="O356" i="4"/>
  <c r="V356" i="4"/>
  <c r="O357" i="4"/>
  <c r="V357" i="4"/>
  <c r="O358" i="4"/>
  <c r="V358" i="4"/>
  <c r="O359" i="4"/>
  <c r="V359" i="4"/>
  <c r="O360" i="4"/>
  <c r="V360" i="4"/>
  <c r="O361" i="4"/>
  <c r="V361" i="4"/>
  <c r="O362" i="4"/>
  <c r="V362" i="4"/>
  <c r="O363" i="4"/>
  <c r="V363" i="4"/>
  <c r="O364" i="4"/>
  <c r="V364" i="4"/>
  <c r="O365" i="4"/>
  <c r="V365" i="4"/>
  <c r="O366" i="4"/>
  <c r="V366" i="4"/>
  <c r="O367" i="4"/>
  <c r="V367" i="4"/>
  <c r="O368" i="4"/>
  <c r="V368" i="4"/>
  <c r="O369" i="4"/>
  <c r="V369" i="4"/>
  <c r="O370" i="4"/>
  <c r="V370" i="4"/>
  <c r="O371" i="4"/>
  <c r="V371" i="4"/>
  <c r="O372" i="4"/>
  <c r="V372" i="4"/>
  <c r="O373" i="4"/>
  <c r="V373" i="4"/>
  <c r="O374" i="4"/>
  <c r="V374" i="4"/>
  <c r="O375" i="4"/>
  <c r="V375" i="4"/>
  <c r="O376" i="4"/>
  <c r="V376" i="4"/>
  <c r="O377" i="4"/>
  <c r="V377" i="4"/>
  <c r="O378" i="4"/>
  <c r="V378" i="4"/>
  <c r="O379" i="4"/>
  <c r="V379" i="4"/>
  <c r="O380" i="4"/>
  <c r="V380" i="4"/>
  <c r="O381" i="4"/>
  <c r="V381" i="4"/>
  <c r="O382" i="4"/>
  <c r="V382" i="4"/>
  <c r="O383" i="4"/>
  <c r="V383" i="4"/>
  <c r="O384" i="4"/>
  <c r="V384" i="4"/>
  <c r="O385" i="4"/>
  <c r="V385" i="4"/>
  <c r="O386" i="4"/>
  <c r="V386" i="4"/>
  <c r="O387" i="4"/>
  <c r="V387" i="4"/>
  <c r="O388" i="4"/>
  <c r="V388" i="4"/>
  <c r="O389" i="4"/>
  <c r="V389" i="4"/>
  <c r="O390" i="4"/>
  <c r="V390" i="4"/>
  <c r="O391" i="4"/>
  <c r="V391" i="4"/>
  <c r="O392" i="4"/>
  <c r="V392" i="4"/>
  <c r="O393" i="4"/>
  <c r="V393" i="4"/>
  <c r="O394" i="4"/>
  <c r="V394" i="4"/>
  <c r="O395" i="4"/>
  <c r="V395" i="4"/>
  <c r="O396" i="4"/>
  <c r="V396" i="4"/>
  <c r="O397" i="4"/>
  <c r="V397" i="4"/>
  <c r="O398" i="4"/>
  <c r="V398" i="4"/>
  <c r="O399" i="4"/>
  <c r="V399" i="4"/>
  <c r="O400" i="4"/>
  <c r="V400" i="4"/>
  <c r="O401" i="4"/>
  <c r="V401" i="4"/>
  <c r="O402" i="4"/>
  <c r="V402" i="4"/>
  <c r="O403" i="4"/>
  <c r="V403" i="4"/>
  <c r="O404" i="4"/>
  <c r="V404" i="4"/>
  <c r="O405" i="4"/>
  <c r="V405" i="4"/>
  <c r="O406" i="4"/>
  <c r="V406" i="4"/>
  <c r="O407" i="4"/>
  <c r="V407" i="4"/>
  <c r="O408" i="4"/>
  <c r="V408" i="4"/>
  <c r="O409" i="4"/>
  <c r="V409" i="4"/>
  <c r="O410" i="4"/>
  <c r="V410" i="4"/>
  <c r="O411" i="4"/>
  <c r="V411" i="4"/>
  <c r="O412" i="4"/>
  <c r="V412" i="4"/>
  <c r="O413" i="4"/>
  <c r="V413" i="4"/>
  <c r="O414" i="4"/>
  <c r="V414" i="4"/>
  <c r="O415" i="4"/>
  <c r="V415" i="4"/>
  <c r="O416" i="4"/>
  <c r="V416" i="4"/>
  <c r="O417" i="4"/>
  <c r="V417" i="4"/>
  <c r="O418" i="4"/>
  <c r="V418" i="4"/>
  <c r="O419" i="4"/>
  <c r="V419" i="4"/>
  <c r="O420" i="4"/>
  <c r="V420" i="4"/>
  <c r="O421" i="4"/>
  <c r="V421" i="4"/>
  <c r="O422" i="4"/>
  <c r="V422" i="4"/>
  <c r="O423" i="4"/>
  <c r="V423" i="4"/>
  <c r="O424" i="4"/>
  <c r="V424" i="4"/>
  <c r="O425" i="4"/>
  <c r="V425" i="4"/>
  <c r="O426" i="4"/>
  <c r="V426" i="4"/>
  <c r="O427" i="4"/>
  <c r="V427" i="4"/>
  <c r="O428" i="4"/>
  <c r="V428" i="4"/>
  <c r="O429" i="4"/>
  <c r="V429" i="4"/>
  <c r="O430" i="4"/>
  <c r="V430" i="4"/>
  <c r="O431" i="4"/>
  <c r="V431" i="4"/>
  <c r="O432" i="4"/>
  <c r="V432" i="4"/>
  <c r="O433" i="4"/>
  <c r="V433" i="4"/>
  <c r="O434" i="4"/>
  <c r="V434" i="4"/>
  <c r="O435" i="4"/>
  <c r="V435" i="4"/>
  <c r="O436" i="4"/>
  <c r="V436" i="4"/>
  <c r="O437" i="4"/>
  <c r="V437" i="4"/>
  <c r="O438" i="4"/>
  <c r="V438" i="4"/>
  <c r="O439" i="4"/>
  <c r="V439" i="4"/>
  <c r="O440" i="4"/>
  <c r="V440" i="4"/>
  <c r="O441" i="4"/>
  <c r="V441" i="4"/>
  <c r="O442" i="4"/>
  <c r="V442" i="4"/>
  <c r="O443" i="4"/>
  <c r="V443" i="4"/>
  <c r="O444" i="4"/>
  <c r="V444" i="4"/>
  <c r="O445" i="4"/>
  <c r="V445" i="4"/>
  <c r="O446" i="4"/>
  <c r="V446" i="4"/>
  <c r="O447" i="4"/>
  <c r="V447" i="4"/>
  <c r="O448" i="4"/>
  <c r="V448" i="4"/>
  <c r="O449" i="4"/>
  <c r="V449" i="4"/>
  <c r="O450" i="4"/>
  <c r="V450" i="4"/>
  <c r="O451" i="4"/>
  <c r="V451" i="4"/>
  <c r="O452" i="4"/>
  <c r="V452" i="4"/>
  <c r="O453" i="4"/>
  <c r="V453" i="4"/>
  <c r="O454" i="4"/>
  <c r="V454" i="4"/>
  <c r="O455" i="4"/>
  <c r="V455" i="4"/>
  <c r="O456" i="4"/>
  <c r="V456" i="4"/>
  <c r="O457" i="4"/>
  <c r="V457" i="4"/>
  <c r="O458" i="4"/>
  <c r="V458" i="4"/>
  <c r="O459" i="4"/>
  <c r="V459" i="4"/>
  <c r="O460" i="4"/>
  <c r="V460" i="4"/>
  <c r="O461" i="4"/>
  <c r="V461" i="4"/>
  <c r="O462" i="4"/>
  <c r="V462" i="4"/>
  <c r="O463" i="4"/>
  <c r="V463" i="4"/>
  <c r="O464" i="4"/>
  <c r="V464" i="4"/>
  <c r="O465" i="4"/>
  <c r="V465" i="4"/>
  <c r="O466" i="4"/>
  <c r="V466" i="4"/>
  <c r="O467" i="4"/>
  <c r="V467" i="4"/>
  <c r="O468" i="4"/>
  <c r="V468" i="4"/>
  <c r="O469" i="4"/>
  <c r="V469" i="4"/>
  <c r="O470" i="4"/>
  <c r="V470" i="4"/>
  <c r="O471" i="4"/>
  <c r="V471" i="4"/>
  <c r="O472" i="4"/>
  <c r="V472" i="4"/>
  <c r="O473" i="4"/>
  <c r="V473" i="4"/>
  <c r="O474" i="4"/>
  <c r="V474" i="4"/>
  <c r="O475" i="4"/>
  <c r="V475" i="4"/>
  <c r="O476" i="4"/>
  <c r="V476" i="4"/>
  <c r="O477" i="4"/>
  <c r="V477" i="4"/>
  <c r="O478" i="4"/>
  <c r="V478" i="4"/>
  <c r="O479" i="4"/>
  <c r="V479" i="4"/>
  <c r="O480" i="4"/>
  <c r="V480" i="4"/>
  <c r="O481" i="4"/>
  <c r="V481" i="4"/>
  <c r="O482" i="4"/>
  <c r="V482" i="4"/>
  <c r="O483" i="4"/>
  <c r="V483" i="4"/>
  <c r="O484" i="4"/>
  <c r="V484" i="4"/>
  <c r="O485" i="4"/>
  <c r="V485" i="4"/>
  <c r="O486" i="4"/>
  <c r="V486" i="4"/>
  <c r="O487" i="4"/>
  <c r="V487" i="4"/>
  <c r="O488" i="4"/>
  <c r="V488" i="4"/>
  <c r="O489" i="4"/>
  <c r="V489" i="4"/>
  <c r="O490" i="4"/>
  <c r="V490" i="4"/>
  <c r="O491" i="4"/>
  <c r="V491" i="4"/>
  <c r="O492" i="4"/>
  <c r="V492" i="4"/>
  <c r="O493" i="4"/>
  <c r="V493" i="4"/>
  <c r="O494" i="4"/>
  <c r="V494" i="4"/>
  <c r="O495" i="4"/>
  <c r="V495" i="4"/>
  <c r="O496" i="4"/>
  <c r="V496" i="4"/>
  <c r="O497" i="4"/>
  <c r="V497" i="4"/>
  <c r="O498" i="4"/>
  <c r="V498" i="4"/>
  <c r="O499" i="4"/>
  <c r="V499" i="4"/>
  <c r="O500" i="4"/>
  <c r="V500" i="4"/>
  <c r="O501" i="4"/>
  <c r="V501" i="4"/>
  <c r="O502" i="4"/>
  <c r="V502" i="4"/>
  <c r="O503" i="4"/>
  <c r="V503" i="4"/>
  <c r="O504" i="4"/>
  <c r="V504" i="4"/>
  <c r="O505" i="4"/>
  <c r="V505" i="4"/>
  <c r="O506" i="4"/>
  <c r="V506" i="4"/>
  <c r="O507" i="4"/>
  <c r="V507" i="4"/>
  <c r="O508" i="4"/>
  <c r="V508" i="4"/>
  <c r="O509" i="4"/>
  <c r="V509" i="4"/>
  <c r="O510" i="4"/>
  <c r="V510" i="4"/>
  <c r="O511" i="4"/>
  <c r="V511" i="4"/>
  <c r="O512" i="4"/>
  <c r="V512" i="4"/>
  <c r="O513" i="4"/>
  <c r="V513" i="4"/>
  <c r="O514" i="4"/>
  <c r="V514" i="4"/>
  <c r="O515" i="4"/>
  <c r="V515" i="4"/>
  <c r="O516" i="4"/>
  <c r="V516" i="4"/>
  <c r="O517" i="4"/>
  <c r="V517" i="4"/>
  <c r="O518" i="4"/>
  <c r="V518" i="4"/>
  <c r="O519" i="4"/>
  <c r="V519" i="4"/>
  <c r="O520" i="4"/>
  <c r="V520" i="4"/>
  <c r="O521" i="4"/>
  <c r="V521" i="4"/>
  <c r="O522" i="4"/>
  <c r="V522" i="4"/>
  <c r="O523" i="4"/>
  <c r="V523" i="4"/>
  <c r="O524" i="4"/>
  <c r="V524" i="4"/>
  <c r="O525" i="4"/>
  <c r="V525" i="4"/>
  <c r="O526" i="4"/>
  <c r="V526" i="4"/>
  <c r="O527" i="4"/>
  <c r="V527" i="4"/>
  <c r="O528" i="4"/>
  <c r="V528" i="4"/>
  <c r="O529" i="4"/>
  <c r="V529" i="4"/>
  <c r="O530" i="4"/>
  <c r="V530" i="4"/>
  <c r="O531" i="4"/>
  <c r="V531" i="4"/>
  <c r="O532" i="4"/>
  <c r="V532" i="4"/>
  <c r="O533" i="4"/>
  <c r="V533" i="4"/>
  <c r="O534" i="4"/>
  <c r="V534" i="4"/>
  <c r="O535" i="4"/>
  <c r="V535" i="4"/>
  <c r="O536" i="4"/>
  <c r="V536" i="4"/>
  <c r="O537" i="4"/>
  <c r="V537" i="4"/>
  <c r="O538" i="4"/>
  <c r="V538" i="4"/>
  <c r="O539" i="4"/>
  <c r="V539" i="4"/>
  <c r="O540" i="4"/>
  <c r="V540" i="4"/>
  <c r="O541" i="4"/>
  <c r="V541" i="4"/>
  <c r="O542" i="4"/>
  <c r="V542" i="4"/>
  <c r="O543" i="4"/>
  <c r="V543" i="4"/>
  <c r="O544" i="4"/>
  <c r="V544" i="4"/>
  <c r="O545" i="4"/>
  <c r="V545" i="4"/>
  <c r="O546" i="4"/>
  <c r="V546" i="4"/>
  <c r="O547" i="4"/>
  <c r="V547" i="4"/>
  <c r="O548" i="4"/>
  <c r="V548" i="4"/>
  <c r="O549" i="4"/>
  <c r="V549" i="4"/>
  <c r="O550" i="4"/>
  <c r="V550" i="4"/>
  <c r="O551" i="4"/>
  <c r="V551" i="4"/>
  <c r="O552" i="4"/>
  <c r="V552" i="4"/>
  <c r="O553" i="4"/>
  <c r="V553" i="4"/>
  <c r="O554" i="4"/>
  <c r="V554" i="4"/>
  <c r="O555" i="4"/>
  <c r="V555" i="4"/>
  <c r="O556" i="4"/>
  <c r="V556" i="4"/>
  <c r="O557" i="4"/>
  <c r="V557" i="4"/>
  <c r="O558" i="4"/>
  <c r="V558" i="4"/>
  <c r="O559" i="4"/>
  <c r="V559" i="4"/>
  <c r="O560" i="4"/>
  <c r="V560" i="4"/>
  <c r="O561" i="4"/>
  <c r="V561" i="4"/>
  <c r="O562" i="4"/>
  <c r="V562" i="4"/>
  <c r="O563" i="4"/>
  <c r="V563" i="4"/>
  <c r="O564" i="4"/>
  <c r="V564" i="4"/>
  <c r="O565" i="4"/>
  <c r="V565" i="4"/>
  <c r="O566" i="4"/>
  <c r="V566" i="4"/>
  <c r="O567" i="4"/>
  <c r="V567" i="4"/>
  <c r="O568" i="4"/>
  <c r="V568" i="4"/>
  <c r="O569" i="4"/>
  <c r="V569" i="4"/>
  <c r="O570" i="4"/>
  <c r="V570" i="4"/>
  <c r="O571" i="4"/>
  <c r="V571" i="4"/>
  <c r="O572" i="4"/>
  <c r="V572" i="4"/>
  <c r="O573" i="4"/>
  <c r="V573" i="4"/>
  <c r="O574" i="4"/>
  <c r="V574" i="4"/>
  <c r="O575" i="4"/>
  <c r="V575" i="4"/>
  <c r="O576" i="4"/>
  <c r="V576" i="4"/>
  <c r="O577" i="4"/>
  <c r="V577" i="4"/>
  <c r="O578" i="4"/>
  <c r="V578" i="4"/>
  <c r="O579" i="4"/>
  <c r="V579" i="4"/>
  <c r="O580" i="4"/>
  <c r="V580" i="4"/>
  <c r="O581" i="4"/>
  <c r="V581" i="4"/>
  <c r="O582" i="4"/>
  <c r="V582" i="4"/>
  <c r="O583" i="4"/>
  <c r="V583" i="4"/>
  <c r="O584" i="4"/>
  <c r="V584" i="4"/>
  <c r="O585" i="4"/>
  <c r="V585" i="4"/>
  <c r="O586" i="4"/>
  <c r="V586" i="4"/>
  <c r="O587" i="4"/>
  <c r="V587" i="4"/>
  <c r="O588" i="4"/>
  <c r="V588" i="4"/>
  <c r="O589" i="4"/>
  <c r="V589" i="4"/>
  <c r="O590" i="4"/>
  <c r="V590" i="4"/>
  <c r="O591" i="4"/>
  <c r="V591" i="4"/>
  <c r="O592" i="4"/>
  <c r="V592" i="4"/>
  <c r="O593" i="4"/>
  <c r="V593" i="4"/>
  <c r="O594" i="4"/>
  <c r="V594" i="4"/>
  <c r="O595" i="4"/>
  <c r="V595" i="4"/>
  <c r="O596" i="4"/>
  <c r="V596" i="4"/>
  <c r="O597" i="4"/>
  <c r="V597" i="4"/>
  <c r="O598" i="4"/>
  <c r="V598" i="4"/>
  <c r="O599" i="4"/>
  <c r="V599" i="4"/>
  <c r="O600" i="4"/>
  <c r="V600" i="4"/>
  <c r="O601" i="4"/>
  <c r="V601" i="4"/>
  <c r="O602" i="4"/>
  <c r="V602" i="4"/>
  <c r="O603" i="4"/>
  <c r="V603" i="4"/>
  <c r="O604" i="4"/>
  <c r="V604" i="4"/>
  <c r="O605" i="4"/>
  <c r="V605" i="4"/>
  <c r="O606" i="4"/>
  <c r="V606" i="4"/>
  <c r="O607" i="4"/>
  <c r="V607" i="4"/>
  <c r="O608" i="4"/>
  <c r="V608" i="4"/>
  <c r="O609" i="4"/>
  <c r="V609" i="4"/>
  <c r="O610" i="4"/>
  <c r="V610" i="4"/>
  <c r="O611" i="4"/>
  <c r="V611" i="4"/>
  <c r="O612" i="4"/>
  <c r="V612" i="4"/>
  <c r="O613" i="4"/>
  <c r="V613" i="4"/>
  <c r="O614" i="4"/>
  <c r="V614" i="4"/>
  <c r="O615" i="4"/>
  <c r="V615" i="4"/>
  <c r="O616" i="4"/>
  <c r="V616" i="4"/>
  <c r="O617" i="4"/>
  <c r="V617" i="4"/>
  <c r="O618" i="4"/>
  <c r="V618" i="4"/>
  <c r="O619" i="4"/>
  <c r="V619" i="4"/>
  <c r="O620" i="4"/>
  <c r="V620" i="4"/>
  <c r="O621" i="4"/>
  <c r="V621" i="4"/>
  <c r="O622" i="4"/>
  <c r="V622" i="4"/>
  <c r="O623" i="4"/>
  <c r="V623" i="4"/>
  <c r="O624" i="4"/>
  <c r="V624" i="4"/>
  <c r="O625" i="4"/>
  <c r="V625" i="4"/>
  <c r="O626" i="4"/>
  <c r="V626" i="4"/>
  <c r="O627" i="4"/>
  <c r="V627" i="4"/>
  <c r="O628" i="4"/>
  <c r="V628" i="4"/>
  <c r="O629" i="4"/>
  <c r="V629" i="4"/>
  <c r="O630" i="4"/>
  <c r="V630" i="4"/>
  <c r="O631" i="4"/>
  <c r="V631" i="4"/>
  <c r="O632" i="4"/>
  <c r="V632" i="4"/>
  <c r="O633" i="4"/>
  <c r="V633" i="4"/>
  <c r="O634" i="4"/>
  <c r="V634" i="4"/>
  <c r="O635" i="4"/>
  <c r="V635" i="4"/>
  <c r="O636" i="4"/>
  <c r="V636" i="4"/>
  <c r="O637" i="4"/>
  <c r="V637" i="4"/>
  <c r="O638" i="4"/>
  <c r="V638" i="4"/>
  <c r="O639" i="4"/>
  <c r="V639" i="4"/>
  <c r="O640" i="4"/>
  <c r="V640" i="4"/>
  <c r="O641" i="4"/>
  <c r="V641" i="4"/>
  <c r="O642" i="4"/>
  <c r="V642" i="4"/>
  <c r="O643" i="4"/>
  <c r="V643" i="4"/>
  <c r="O644" i="4"/>
  <c r="V644" i="4"/>
  <c r="O645" i="4"/>
  <c r="V645" i="4"/>
  <c r="O646" i="4"/>
  <c r="V646" i="4"/>
  <c r="O647" i="4"/>
  <c r="V647" i="4"/>
  <c r="O648" i="4"/>
  <c r="V648" i="4"/>
  <c r="O649" i="4"/>
  <c r="V649" i="4"/>
  <c r="O650" i="4"/>
  <c r="V650" i="4"/>
  <c r="O651" i="4"/>
  <c r="V651" i="4"/>
  <c r="O652" i="4"/>
  <c r="V652" i="4"/>
  <c r="O653" i="4"/>
  <c r="V653" i="4"/>
  <c r="O654" i="4"/>
  <c r="V654" i="4"/>
  <c r="O655" i="4"/>
  <c r="V655" i="4"/>
  <c r="O656" i="4"/>
  <c r="V656" i="4"/>
  <c r="O657" i="4"/>
  <c r="V657" i="4"/>
  <c r="O658" i="4"/>
  <c r="V658" i="4"/>
  <c r="O659" i="4"/>
  <c r="V659" i="4"/>
  <c r="O660" i="4"/>
  <c r="V660" i="4"/>
  <c r="O661" i="4"/>
  <c r="V661" i="4"/>
  <c r="O662" i="4"/>
  <c r="V662" i="4"/>
  <c r="O663" i="4"/>
  <c r="V663" i="4"/>
  <c r="O664" i="4"/>
  <c r="V664" i="4"/>
  <c r="O665" i="4"/>
  <c r="V665" i="4"/>
  <c r="O666" i="4"/>
  <c r="V666" i="4"/>
  <c r="O667" i="4"/>
  <c r="V667" i="4"/>
  <c r="O668" i="4"/>
  <c r="V668" i="4"/>
  <c r="O669" i="4"/>
  <c r="V669" i="4"/>
  <c r="O670" i="4"/>
  <c r="V670" i="4"/>
  <c r="O671" i="4"/>
  <c r="V671" i="4"/>
  <c r="O672" i="4"/>
  <c r="V672" i="4"/>
  <c r="O673" i="4"/>
  <c r="V673" i="4"/>
  <c r="O674" i="4"/>
  <c r="V674" i="4"/>
  <c r="O675" i="4"/>
  <c r="V675" i="4"/>
  <c r="O676" i="4"/>
  <c r="V676" i="4"/>
  <c r="O677" i="4"/>
  <c r="V677" i="4"/>
  <c r="O678" i="4"/>
  <c r="V678" i="4"/>
  <c r="O679" i="4"/>
  <c r="V679" i="4"/>
  <c r="O680" i="4"/>
  <c r="V680" i="4"/>
  <c r="O681" i="4"/>
  <c r="V681" i="4"/>
  <c r="O682" i="4"/>
  <c r="V682" i="4"/>
  <c r="O683" i="4"/>
  <c r="V683" i="4"/>
  <c r="O9" i="3"/>
  <c r="V9" i="3"/>
  <c r="O10" i="3"/>
  <c r="V10" i="3"/>
  <c r="O11" i="3"/>
  <c r="V11" i="3"/>
  <c r="O12" i="3"/>
  <c r="V12" i="3"/>
  <c r="O13" i="3"/>
  <c r="V13" i="3"/>
  <c r="O14" i="3"/>
  <c r="V14" i="3"/>
  <c r="O15" i="3"/>
  <c r="V15" i="3"/>
  <c r="O16" i="3"/>
  <c r="V16" i="3"/>
  <c r="O17" i="3"/>
  <c r="V17" i="3"/>
  <c r="O18" i="3"/>
  <c r="V18" i="3"/>
  <c r="O19" i="3"/>
  <c r="V19" i="3"/>
  <c r="O20" i="3"/>
  <c r="V20" i="3"/>
  <c r="O21" i="3"/>
  <c r="V21" i="3"/>
  <c r="O22" i="3"/>
  <c r="V22" i="3"/>
  <c r="O23" i="3"/>
  <c r="V23" i="3"/>
  <c r="O24" i="3"/>
  <c r="V24" i="3"/>
  <c r="O25" i="3"/>
  <c r="V25" i="3"/>
  <c r="O26" i="3"/>
  <c r="V26" i="3"/>
  <c r="O27" i="3"/>
  <c r="V27" i="3"/>
  <c r="O28" i="3"/>
  <c r="V28" i="3"/>
  <c r="O29" i="3"/>
  <c r="V29" i="3"/>
  <c r="O30" i="3"/>
  <c r="V30" i="3"/>
  <c r="O31" i="3"/>
  <c r="V31" i="3"/>
  <c r="O32" i="3"/>
  <c r="V32" i="3"/>
  <c r="O33" i="3"/>
  <c r="V33" i="3"/>
  <c r="O34" i="3"/>
  <c r="V34" i="3"/>
  <c r="O35" i="3"/>
  <c r="V35" i="3"/>
  <c r="O36" i="3"/>
  <c r="V36" i="3"/>
  <c r="O37" i="3"/>
  <c r="V37" i="3"/>
  <c r="O38" i="3"/>
  <c r="V38" i="3"/>
  <c r="O39" i="3"/>
  <c r="V39" i="3"/>
  <c r="O40" i="3"/>
  <c r="V40" i="3"/>
  <c r="O41" i="3"/>
  <c r="V41" i="3"/>
  <c r="O42" i="3"/>
  <c r="V42" i="3"/>
  <c r="O43" i="3"/>
  <c r="V43" i="3"/>
  <c r="O44" i="3"/>
  <c r="V44" i="3"/>
  <c r="O45" i="3"/>
  <c r="V45" i="3"/>
  <c r="O46" i="3"/>
  <c r="V46" i="3"/>
  <c r="O47" i="3"/>
  <c r="V47" i="3"/>
  <c r="O48" i="3"/>
  <c r="V48" i="3"/>
  <c r="O49" i="3"/>
  <c r="V49" i="3"/>
  <c r="O50" i="3"/>
  <c r="V50" i="3"/>
  <c r="O51" i="3"/>
  <c r="V51" i="3"/>
  <c r="O52" i="3"/>
  <c r="V52" i="3"/>
  <c r="O53" i="3"/>
  <c r="V53" i="3"/>
  <c r="O54" i="3"/>
  <c r="V54" i="3"/>
  <c r="O55" i="3"/>
  <c r="V55" i="3"/>
  <c r="O56" i="3"/>
  <c r="V56" i="3"/>
  <c r="O57" i="3"/>
  <c r="V57" i="3"/>
  <c r="O58" i="3"/>
  <c r="V58" i="3"/>
  <c r="O59" i="3"/>
  <c r="V59" i="3"/>
  <c r="O60" i="3"/>
  <c r="V60" i="3"/>
  <c r="O61" i="3"/>
  <c r="V61" i="3"/>
  <c r="O62" i="3"/>
  <c r="V62" i="3"/>
  <c r="O63" i="3"/>
  <c r="V63" i="3"/>
  <c r="O64" i="3"/>
  <c r="V64" i="3"/>
  <c r="O65" i="3"/>
  <c r="V65" i="3"/>
  <c r="O66" i="3"/>
  <c r="V66" i="3"/>
  <c r="O67" i="3"/>
  <c r="V67" i="3"/>
  <c r="O68" i="3"/>
  <c r="V68" i="3"/>
  <c r="O69" i="3"/>
  <c r="V69" i="3"/>
  <c r="O70" i="3"/>
  <c r="V70" i="3"/>
  <c r="O71" i="3"/>
  <c r="V71" i="3"/>
  <c r="O72" i="3"/>
  <c r="V72" i="3"/>
  <c r="O73" i="3"/>
  <c r="V73" i="3"/>
  <c r="O74" i="3"/>
  <c r="V74" i="3"/>
  <c r="O75" i="3"/>
  <c r="V75" i="3"/>
  <c r="O76" i="3"/>
  <c r="V76" i="3"/>
  <c r="O77" i="3"/>
  <c r="V77" i="3"/>
  <c r="O78" i="3"/>
  <c r="V78" i="3"/>
  <c r="O79" i="3"/>
  <c r="V79" i="3"/>
  <c r="O80" i="3"/>
  <c r="V80" i="3"/>
  <c r="O81" i="3"/>
  <c r="V81" i="3"/>
  <c r="O82" i="3"/>
  <c r="V82" i="3"/>
  <c r="O83" i="3"/>
  <c r="V83" i="3"/>
  <c r="O84" i="3"/>
  <c r="V84" i="3"/>
  <c r="O85" i="3"/>
  <c r="V85" i="3"/>
  <c r="O86" i="3"/>
  <c r="V86" i="3"/>
  <c r="O87" i="3"/>
  <c r="V87" i="3"/>
  <c r="O88" i="3"/>
  <c r="V88" i="3"/>
  <c r="O89" i="3"/>
  <c r="V89" i="3"/>
  <c r="O90" i="3"/>
  <c r="V90" i="3"/>
  <c r="O91" i="3"/>
  <c r="V91" i="3"/>
  <c r="O92" i="3"/>
  <c r="V92" i="3"/>
  <c r="O93" i="3"/>
  <c r="V93" i="3"/>
  <c r="O94" i="3"/>
  <c r="V94" i="3"/>
  <c r="O95" i="3"/>
  <c r="V95" i="3"/>
  <c r="O96" i="3"/>
  <c r="V96" i="3"/>
  <c r="O97" i="3"/>
  <c r="V97" i="3"/>
  <c r="O98" i="3"/>
  <c r="V98" i="3"/>
  <c r="O99" i="3"/>
  <c r="V99" i="3"/>
  <c r="O100" i="3"/>
  <c r="V100" i="3"/>
  <c r="O101" i="3"/>
  <c r="V101" i="3"/>
  <c r="O102" i="3"/>
  <c r="V102" i="3"/>
  <c r="O103" i="3"/>
  <c r="V103" i="3"/>
  <c r="O104" i="3"/>
  <c r="V104" i="3"/>
  <c r="O105" i="3"/>
  <c r="V105" i="3"/>
  <c r="O106" i="3"/>
  <c r="V106" i="3"/>
  <c r="O107" i="3"/>
  <c r="V107" i="3"/>
  <c r="O108" i="3"/>
  <c r="V108" i="3"/>
  <c r="O109" i="3"/>
  <c r="V109" i="3"/>
  <c r="O110" i="3"/>
  <c r="V110" i="3"/>
  <c r="O111" i="3"/>
  <c r="V111" i="3"/>
  <c r="O112" i="3"/>
  <c r="V112" i="3"/>
  <c r="O113" i="3"/>
  <c r="V113" i="3"/>
  <c r="O114" i="3"/>
  <c r="V114" i="3"/>
  <c r="O115" i="3"/>
  <c r="V115" i="3"/>
  <c r="O116" i="3"/>
  <c r="V116" i="3"/>
  <c r="O117" i="3"/>
  <c r="V117" i="3"/>
  <c r="O118" i="3"/>
  <c r="V118" i="3"/>
  <c r="O119" i="3"/>
  <c r="V119" i="3"/>
  <c r="O120" i="3"/>
  <c r="V120" i="3"/>
  <c r="O121" i="3"/>
  <c r="V121" i="3"/>
  <c r="O122" i="3"/>
  <c r="V122" i="3"/>
  <c r="O123" i="3"/>
  <c r="V123" i="3"/>
  <c r="O124" i="3"/>
  <c r="V124" i="3"/>
  <c r="O125" i="3"/>
  <c r="V125" i="3"/>
  <c r="O126" i="3"/>
  <c r="V126" i="3"/>
  <c r="O127" i="3"/>
  <c r="V127" i="3"/>
  <c r="O128" i="3"/>
  <c r="V128" i="3"/>
  <c r="O129" i="3"/>
  <c r="V129" i="3"/>
  <c r="O130" i="3"/>
  <c r="V130" i="3"/>
  <c r="O131" i="3"/>
  <c r="V131" i="3"/>
  <c r="O132" i="3"/>
  <c r="V132" i="3"/>
  <c r="O133" i="3"/>
  <c r="V133" i="3"/>
  <c r="O134" i="3"/>
  <c r="V134" i="3"/>
  <c r="O135" i="3"/>
  <c r="V135" i="3"/>
  <c r="O136" i="3"/>
  <c r="V136" i="3"/>
  <c r="O137" i="3"/>
  <c r="V137" i="3"/>
  <c r="O138" i="3"/>
  <c r="V138" i="3"/>
  <c r="O139" i="3"/>
  <c r="V139" i="3"/>
  <c r="O140" i="3"/>
  <c r="V140" i="3"/>
  <c r="O141" i="3"/>
  <c r="V141" i="3"/>
  <c r="O142" i="3"/>
  <c r="V142" i="3"/>
  <c r="O143" i="3"/>
  <c r="V143" i="3"/>
  <c r="O144" i="3"/>
  <c r="V144" i="3"/>
  <c r="O145" i="3"/>
  <c r="V145" i="3"/>
  <c r="O146" i="3"/>
  <c r="V146" i="3"/>
  <c r="O147" i="3"/>
  <c r="V147" i="3"/>
  <c r="O148" i="3"/>
  <c r="V148" i="3"/>
  <c r="O149" i="3"/>
  <c r="V149" i="3"/>
  <c r="O150" i="3"/>
  <c r="V150" i="3"/>
  <c r="O151" i="3"/>
  <c r="V151" i="3"/>
  <c r="O152" i="3"/>
  <c r="V152" i="3"/>
  <c r="O153" i="3"/>
  <c r="V153" i="3"/>
  <c r="O154" i="3"/>
  <c r="V154" i="3"/>
  <c r="O155" i="3"/>
  <c r="V155" i="3"/>
  <c r="O156" i="3"/>
  <c r="V156" i="3"/>
  <c r="O157" i="3"/>
  <c r="V157" i="3"/>
  <c r="O158" i="3"/>
  <c r="V158" i="3"/>
  <c r="O159" i="3"/>
  <c r="V159" i="3"/>
  <c r="O160" i="3"/>
  <c r="V160" i="3"/>
  <c r="O161" i="3"/>
  <c r="V161" i="3"/>
  <c r="O162" i="3"/>
  <c r="V162" i="3"/>
  <c r="O163" i="3"/>
  <c r="V163" i="3"/>
  <c r="O164" i="3"/>
  <c r="V164" i="3"/>
  <c r="O165" i="3"/>
  <c r="V165" i="3"/>
  <c r="O166" i="3"/>
  <c r="V166" i="3"/>
  <c r="O167" i="3"/>
  <c r="V167" i="3"/>
  <c r="O168" i="3"/>
  <c r="V168" i="3"/>
  <c r="O169" i="3"/>
  <c r="V169" i="3"/>
  <c r="O170" i="3"/>
  <c r="V170" i="3"/>
  <c r="O171" i="3"/>
  <c r="V171" i="3"/>
  <c r="O172" i="3"/>
  <c r="V172" i="3"/>
  <c r="O173" i="3"/>
  <c r="V173" i="3"/>
  <c r="O174" i="3"/>
  <c r="V174" i="3"/>
  <c r="O175" i="3"/>
  <c r="V175" i="3"/>
  <c r="O176" i="3"/>
  <c r="V176" i="3"/>
  <c r="O177" i="3"/>
  <c r="V177" i="3"/>
  <c r="O178" i="3"/>
  <c r="V178" i="3"/>
  <c r="O179" i="3"/>
  <c r="V179" i="3"/>
  <c r="O180" i="3"/>
  <c r="V180" i="3"/>
  <c r="O181" i="3"/>
  <c r="V181" i="3"/>
  <c r="O182" i="3"/>
  <c r="V182" i="3"/>
  <c r="O183" i="3"/>
  <c r="V183" i="3"/>
  <c r="O184" i="3"/>
  <c r="V184" i="3"/>
  <c r="O185" i="3"/>
  <c r="V185" i="3"/>
  <c r="O186" i="3"/>
  <c r="V186" i="3"/>
  <c r="O187" i="3"/>
  <c r="V187" i="3"/>
  <c r="O188" i="3"/>
  <c r="V188" i="3"/>
  <c r="O189" i="3"/>
  <c r="V189" i="3"/>
  <c r="O190" i="3"/>
  <c r="V190" i="3"/>
  <c r="O191" i="3"/>
  <c r="V191" i="3"/>
  <c r="O192" i="3"/>
  <c r="V192" i="3"/>
  <c r="O193" i="3"/>
  <c r="V193" i="3"/>
  <c r="O194" i="3"/>
  <c r="V194" i="3"/>
  <c r="O195" i="3"/>
  <c r="V195" i="3"/>
  <c r="O196" i="3"/>
  <c r="V196" i="3"/>
  <c r="O197" i="3"/>
  <c r="V197" i="3"/>
  <c r="O198" i="3"/>
  <c r="V198" i="3"/>
  <c r="O199" i="3"/>
  <c r="V199" i="3"/>
  <c r="O200" i="3"/>
  <c r="V200" i="3"/>
  <c r="O201" i="3"/>
  <c r="V201" i="3"/>
  <c r="O202" i="3"/>
  <c r="V202" i="3"/>
  <c r="O203" i="3"/>
  <c r="V203" i="3"/>
  <c r="O204" i="3"/>
  <c r="V204" i="3"/>
  <c r="O205" i="3"/>
  <c r="V205" i="3"/>
  <c r="O206" i="3"/>
  <c r="V206" i="3"/>
  <c r="O207" i="3"/>
  <c r="V207" i="3"/>
  <c r="O208" i="3"/>
  <c r="V208" i="3"/>
  <c r="O209" i="3"/>
  <c r="V209" i="3"/>
  <c r="O210" i="3"/>
  <c r="V210" i="3"/>
  <c r="O211" i="3"/>
  <c r="V211" i="3"/>
  <c r="O212" i="3"/>
  <c r="V212" i="3"/>
  <c r="O213" i="3"/>
  <c r="V213" i="3"/>
  <c r="O214" i="3"/>
  <c r="V214" i="3"/>
  <c r="O215" i="3"/>
  <c r="V215" i="3"/>
  <c r="O216" i="3"/>
  <c r="V216" i="3"/>
  <c r="O217" i="3"/>
  <c r="V217" i="3"/>
  <c r="O218" i="3"/>
  <c r="V218" i="3"/>
  <c r="O219" i="3"/>
  <c r="V219" i="3"/>
  <c r="O220" i="3"/>
  <c r="V220" i="3"/>
  <c r="O221" i="3"/>
  <c r="V221" i="3"/>
  <c r="O222" i="3"/>
  <c r="V222" i="3"/>
  <c r="O223" i="3"/>
  <c r="V223" i="3"/>
  <c r="O224" i="3"/>
  <c r="V224" i="3"/>
  <c r="O225" i="3"/>
  <c r="V225" i="3"/>
  <c r="O226" i="3"/>
  <c r="V226" i="3"/>
  <c r="O227" i="3"/>
  <c r="V227" i="3"/>
  <c r="O228" i="3"/>
  <c r="V228" i="3"/>
  <c r="O229" i="3"/>
  <c r="V229" i="3"/>
  <c r="O230" i="3"/>
  <c r="V230" i="3"/>
  <c r="O231" i="3"/>
  <c r="V231" i="3"/>
  <c r="O232" i="3"/>
  <c r="V232" i="3"/>
  <c r="O233" i="3"/>
  <c r="V233" i="3"/>
  <c r="O234" i="3"/>
  <c r="V234" i="3"/>
  <c r="O235" i="3"/>
  <c r="V235" i="3"/>
  <c r="O236" i="3"/>
  <c r="V236" i="3"/>
  <c r="O237" i="3"/>
  <c r="V237" i="3"/>
  <c r="O238" i="3"/>
  <c r="V238" i="3"/>
  <c r="O239" i="3"/>
  <c r="V239" i="3"/>
  <c r="O240" i="3"/>
  <c r="V240" i="3"/>
  <c r="O241" i="3"/>
  <c r="V241" i="3"/>
  <c r="O242" i="3"/>
  <c r="V242" i="3"/>
  <c r="O243" i="3"/>
  <c r="V243" i="3"/>
  <c r="O244" i="3"/>
  <c r="V244" i="3"/>
  <c r="O245" i="3"/>
  <c r="V245" i="3"/>
  <c r="O246" i="3"/>
  <c r="V246" i="3"/>
  <c r="O247" i="3"/>
  <c r="V247" i="3"/>
  <c r="O248" i="3"/>
  <c r="V248" i="3"/>
  <c r="O249" i="3"/>
  <c r="V249" i="3"/>
  <c r="O250" i="3"/>
  <c r="V250" i="3"/>
  <c r="O251" i="3"/>
  <c r="V251" i="3"/>
  <c r="O252" i="3"/>
  <c r="V252" i="3"/>
  <c r="O253" i="3"/>
  <c r="V253" i="3"/>
  <c r="O254" i="3"/>
  <c r="V254" i="3"/>
  <c r="O255" i="3"/>
  <c r="V255" i="3"/>
  <c r="O256" i="3"/>
  <c r="V256" i="3"/>
  <c r="O257" i="3"/>
  <c r="V257" i="3"/>
  <c r="O258" i="3"/>
  <c r="V258" i="3"/>
  <c r="O259" i="3"/>
  <c r="V259" i="3"/>
  <c r="O260" i="3"/>
  <c r="V260" i="3"/>
  <c r="O261" i="3"/>
  <c r="V261" i="3"/>
  <c r="O262" i="3"/>
  <c r="V262" i="3"/>
  <c r="O263" i="3"/>
  <c r="V263" i="3"/>
  <c r="O264" i="3"/>
  <c r="V264" i="3"/>
  <c r="O265" i="3"/>
  <c r="V265" i="3"/>
  <c r="O266" i="3"/>
  <c r="V266" i="3"/>
  <c r="O267" i="3"/>
  <c r="V267" i="3"/>
  <c r="O268" i="3"/>
  <c r="V268" i="3"/>
  <c r="O269" i="3"/>
  <c r="V269" i="3"/>
  <c r="O270" i="3"/>
  <c r="V270" i="3"/>
  <c r="O271" i="3"/>
  <c r="V271" i="3"/>
  <c r="O272" i="3"/>
  <c r="V272" i="3"/>
  <c r="O273" i="3"/>
  <c r="V273" i="3"/>
  <c r="O274" i="3"/>
  <c r="V274" i="3"/>
  <c r="O275" i="3"/>
  <c r="V275" i="3"/>
  <c r="O276" i="3"/>
  <c r="V276" i="3"/>
  <c r="O277" i="3"/>
  <c r="V277" i="3"/>
  <c r="O278" i="3"/>
  <c r="V278" i="3"/>
  <c r="O279" i="3"/>
  <c r="V279" i="3"/>
  <c r="O280" i="3"/>
  <c r="V280" i="3"/>
  <c r="O281" i="3"/>
  <c r="V281" i="3"/>
  <c r="O282" i="3"/>
  <c r="V282" i="3"/>
  <c r="O283" i="3"/>
  <c r="V283" i="3"/>
  <c r="O284" i="3"/>
  <c r="V284" i="3"/>
  <c r="O285" i="3"/>
  <c r="V285" i="3"/>
  <c r="O286" i="3"/>
  <c r="V286" i="3"/>
  <c r="O287" i="3"/>
  <c r="V287" i="3"/>
  <c r="O288" i="3"/>
  <c r="V288" i="3"/>
  <c r="O289" i="3"/>
  <c r="V289" i="3"/>
  <c r="O290" i="3"/>
  <c r="V290" i="3"/>
  <c r="O291" i="3"/>
  <c r="V291" i="3"/>
  <c r="O292" i="3"/>
  <c r="V292" i="3"/>
  <c r="O293" i="3"/>
  <c r="V293" i="3"/>
  <c r="O294" i="3"/>
  <c r="V294" i="3"/>
  <c r="O295" i="3"/>
  <c r="V295" i="3"/>
  <c r="O296" i="3"/>
  <c r="V296" i="3"/>
  <c r="O297" i="3"/>
  <c r="V297" i="3"/>
  <c r="O298" i="3"/>
  <c r="V298" i="3"/>
  <c r="O299" i="3"/>
  <c r="V299" i="3"/>
  <c r="O300" i="3"/>
  <c r="V300" i="3"/>
  <c r="O301" i="3"/>
  <c r="V301" i="3"/>
  <c r="O302" i="3"/>
  <c r="V302" i="3"/>
  <c r="O303" i="3"/>
  <c r="V303" i="3"/>
  <c r="O304" i="3"/>
  <c r="V304" i="3"/>
  <c r="O305" i="3"/>
  <c r="V305" i="3"/>
  <c r="O306" i="3"/>
  <c r="V306" i="3"/>
  <c r="O307" i="3"/>
  <c r="V307" i="3"/>
  <c r="O308" i="3"/>
  <c r="V308" i="3"/>
  <c r="O309" i="3"/>
  <c r="V309" i="3"/>
  <c r="O310" i="3"/>
  <c r="V310" i="3"/>
  <c r="O311" i="3"/>
  <c r="V311" i="3"/>
  <c r="O312" i="3"/>
  <c r="V312" i="3"/>
  <c r="O313" i="3"/>
  <c r="V313" i="3"/>
  <c r="O314" i="3"/>
  <c r="V314" i="3"/>
  <c r="O315" i="3"/>
  <c r="V315" i="3"/>
  <c r="O316" i="3"/>
  <c r="V316" i="3"/>
  <c r="O317" i="3"/>
  <c r="V317" i="3"/>
  <c r="O318" i="3"/>
  <c r="V318" i="3"/>
  <c r="O319" i="3"/>
  <c r="V319" i="3"/>
  <c r="O320" i="3"/>
  <c r="V320" i="3"/>
  <c r="O321" i="3"/>
  <c r="V321" i="3"/>
  <c r="O322" i="3"/>
  <c r="V322" i="3"/>
  <c r="O323" i="3"/>
  <c r="V323" i="3"/>
  <c r="O324" i="3"/>
  <c r="V324" i="3"/>
  <c r="O325" i="3"/>
  <c r="V325" i="3"/>
  <c r="O326" i="3"/>
  <c r="V326" i="3"/>
  <c r="O327" i="3"/>
  <c r="V327" i="3"/>
  <c r="O328" i="3"/>
  <c r="V328" i="3"/>
  <c r="O329" i="3"/>
  <c r="V329" i="3"/>
  <c r="O330" i="3"/>
  <c r="V330" i="3"/>
  <c r="O331" i="3"/>
  <c r="V331" i="3"/>
  <c r="O332" i="3"/>
  <c r="V332" i="3"/>
  <c r="O333" i="3"/>
  <c r="V333" i="3"/>
  <c r="O334" i="3"/>
  <c r="V334" i="3"/>
  <c r="O335" i="3"/>
  <c r="V335" i="3"/>
  <c r="O336" i="3"/>
  <c r="V336" i="3"/>
  <c r="O337" i="3"/>
  <c r="V337" i="3"/>
  <c r="O338" i="3"/>
  <c r="V338" i="3"/>
  <c r="O339" i="3"/>
  <c r="V339" i="3"/>
  <c r="O340" i="3"/>
  <c r="V340" i="3"/>
  <c r="O341" i="3"/>
  <c r="V341" i="3"/>
  <c r="O342" i="3"/>
  <c r="V342" i="3"/>
  <c r="O343" i="3"/>
  <c r="V343" i="3"/>
  <c r="O344" i="3"/>
  <c r="V344" i="3"/>
  <c r="O345" i="3"/>
  <c r="V345" i="3"/>
  <c r="O346" i="3"/>
  <c r="V346" i="3"/>
  <c r="O347" i="3"/>
  <c r="V347" i="3"/>
  <c r="O348" i="3"/>
  <c r="V348" i="3"/>
  <c r="O349" i="3"/>
  <c r="V349" i="3"/>
  <c r="O350" i="3"/>
  <c r="V350" i="3"/>
  <c r="O351" i="3"/>
  <c r="V351" i="3"/>
  <c r="O352" i="3"/>
  <c r="V352" i="3"/>
  <c r="O353" i="3"/>
  <c r="V353" i="3"/>
  <c r="O354" i="3"/>
  <c r="V354" i="3"/>
  <c r="O355" i="3"/>
  <c r="V355" i="3"/>
  <c r="O356" i="3"/>
  <c r="V356" i="3"/>
  <c r="O357" i="3"/>
  <c r="V357" i="3"/>
  <c r="O358" i="3"/>
  <c r="V358" i="3"/>
  <c r="O359" i="3"/>
  <c r="V359" i="3"/>
  <c r="O360" i="3"/>
  <c r="V360" i="3"/>
  <c r="O9" i="2"/>
  <c r="V9" i="2"/>
  <c r="O10" i="2"/>
  <c r="V10" i="2"/>
  <c r="O11" i="2"/>
  <c r="V11" i="2"/>
  <c r="O12" i="2"/>
  <c r="V12" i="2"/>
  <c r="O13" i="2"/>
  <c r="V13" i="2"/>
  <c r="O14" i="2"/>
  <c r="V14" i="2"/>
  <c r="O15" i="2"/>
  <c r="V15" i="2"/>
  <c r="O16" i="2"/>
  <c r="V16" i="2"/>
  <c r="O17" i="2"/>
  <c r="V17" i="2"/>
  <c r="O18" i="2"/>
  <c r="V18" i="2"/>
  <c r="O19" i="2"/>
  <c r="V19" i="2"/>
  <c r="O20" i="2"/>
  <c r="V20" i="2"/>
  <c r="O21" i="2"/>
  <c r="V21" i="2"/>
  <c r="O22" i="2"/>
  <c r="V22" i="2"/>
  <c r="O23" i="2"/>
  <c r="V23" i="2"/>
  <c r="O24" i="2"/>
  <c r="V24" i="2"/>
  <c r="O25" i="2"/>
  <c r="V25" i="2"/>
  <c r="O26" i="2"/>
  <c r="V26" i="2"/>
  <c r="O27" i="2"/>
  <c r="V27" i="2"/>
  <c r="O28" i="2"/>
  <c r="V28" i="2"/>
  <c r="O29" i="2"/>
  <c r="V29" i="2"/>
  <c r="O30" i="2"/>
  <c r="V30" i="2"/>
  <c r="O31" i="2"/>
  <c r="V31" i="2"/>
  <c r="O32" i="2"/>
  <c r="V32" i="2"/>
  <c r="O33" i="2"/>
  <c r="V33" i="2"/>
  <c r="O34" i="2"/>
  <c r="V34" i="2"/>
  <c r="O35" i="2"/>
  <c r="V35" i="2"/>
  <c r="O36" i="2"/>
  <c r="V36" i="2"/>
  <c r="O37" i="2"/>
  <c r="V37" i="2"/>
  <c r="O38" i="2"/>
  <c r="V38" i="2"/>
  <c r="O39" i="2"/>
  <c r="V39" i="2"/>
  <c r="O40" i="2"/>
  <c r="V40" i="2"/>
  <c r="O41" i="2"/>
  <c r="V41" i="2"/>
  <c r="O42" i="2"/>
  <c r="V42" i="2"/>
  <c r="O43" i="2"/>
  <c r="V43" i="2"/>
  <c r="O44" i="2"/>
  <c r="V44" i="2"/>
  <c r="O45" i="2"/>
  <c r="V45" i="2"/>
  <c r="O46" i="2"/>
  <c r="V46" i="2"/>
  <c r="O47" i="2"/>
  <c r="V47" i="2"/>
  <c r="O48" i="2"/>
  <c r="V48" i="2"/>
  <c r="O49" i="2"/>
  <c r="V49" i="2"/>
  <c r="O50" i="2"/>
  <c r="V50" i="2"/>
  <c r="O51" i="2"/>
  <c r="V51" i="2"/>
  <c r="O52" i="2"/>
  <c r="V52" i="2"/>
  <c r="O53" i="2"/>
  <c r="V53" i="2"/>
  <c r="O54" i="2"/>
  <c r="V54" i="2"/>
  <c r="O55" i="2"/>
  <c r="V55" i="2"/>
  <c r="O56" i="2"/>
  <c r="V56" i="2"/>
  <c r="O57" i="2"/>
  <c r="V57" i="2"/>
  <c r="O58" i="2"/>
  <c r="V58" i="2"/>
  <c r="O59" i="2"/>
  <c r="V59" i="2"/>
  <c r="O60" i="2"/>
  <c r="V60" i="2"/>
  <c r="O61" i="2"/>
  <c r="V61" i="2"/>
  <c r="O62" i="2"/>
  <c r="V62" i="2"/>
  <c r="O63" i="2"/>
  <c r="V63" i="2"/>
  <c r="O64" i="2"/>
  <c r="V64" i="2"/>
  <c r="O65" i="2"/>
  <c r="V65" i="2"/>
  <c r="O66" i="2"/>
  <c r="V66" i="2"/>
  <c r="O67" i="2"/>
  <c r="V67" i="2"/>
  <c r="O68" i="2"/>
  <c r="V68" i="2"/>
  <c r="O69" i="2"/>
  <c r="V69" i="2"/>
  <c r="O70" i="2"/>
  <c r="V70" i="2"/>
  <c r="O71" i="2"/>
  <c r="V71" i="2"/>
  <c r="O72" i="2"/>
  <c r="V72" i="2"/>
  <c r="O73" i="2"/>
  <c r="V73" i="2"/>
  <c r="O74" i="2"/>
  <c r="V74" i="2"/>
  <c r="O75" i="2"/>
  <c r="V75" i="2"/>
  <c r="O76" i="2"/>
  <c r="V76" i="2"/>
  <c r="O77" i="2"/>
  <c r="V77" i="2"/>
  <c r="O78" i="2"/>
  <c r="V78" i="2"/>
  <c r="O79" i="2"/>
  <c r="V79" i="2"/>
  <c r="O80" i="2"/>
  <c r="V80" i="2"/>
  <c r="O81" i="2"/>
  <c r="V81" i="2"/>
  <c r="O82" i="2"/>
  <c r="V82" i="2"/>
  <c r="O83" i="2"/>
  <c r="V83" i="2"/>
  <c r="O84" i="2"/>
  <c r="V84" i="2"/>
  <c r="O85" i="2"/>
  <c r="V85" i="2"/>
  <c r="O86" i="2"/>
  <c r="V86" i="2"/>
  <c r="O87" i="2"/>
  <c r="V87" i="2"/>
  <c r="O88" i="2"/>
  <c r="V88" i="2"/>
  <c r="O89" i="2"/>
  <c r="V89" i="2"/>
  <c r="O90" i="2"/>
  <c r="V90" i="2"/>
  <c r="O91" i="2"/>
  <c r="V91" i="2"/>
  <c r="O92" i="2"/>
  <c r="V92" i="2"/>
  <c r="O93" i="2"/>
  <c r="V93" i="2"/>
  <c r="O94" i="2"/>
  <c r="V94" i="2"/>
  <c r="O95" i="2"/>
  <c r="V95" i="2"/>
  <c r="O96" i="2"/>
  <c r="V96" i="2"/>
  <c r="O97" i="2"/>
  <c r="V97" i="2"/>
  <c r="O98" i="2"/>
  <c r="V98" i="2"/>
  <c r="O99" i="2"/>
  <c r="V99" i="2"/>
  <c r="O100" i="2"/>
  <c r="V100" i="2"/>
  <c r="O101" i="2"/>
  <c r="V101" i="2"/>
  <c r="O102" i="2"/>
  <c r="V102" i="2"/>
  <c r="O103" i="2"/>
  <c r="V103" i="2"/>
  <c r="O104" i="2"/>
  <c r="V104" i="2"/>
  <c r="O105" i="2"/>
  <c r="V105" i="2"/>
  <c r="O106" i="2"/>
  <c r="V106" i="2"/>
  <c r="O107" i="2"/>
  <c r="V107" i="2"/>
  <c r="O108" i="2"/>
  <c r="V108" i="2"/>
  <c r="O109" i="2"/>
  <c r="V109" i="2"/>
  <c r="O110" i="2"/>
  <c r="V110" i="2"/>
  <c r="O111" i="2"/>
  <c r="V111" i="2"/>
  <c r="O112" i="2"/>
  <c r="V112" i="2"/>
  <c r="O113" i="2"/>
  <c r="V113" i="2"/>
  <c r="O114" i="2"/>
  <c r="V114" i="2"/>
  <c r="O115" i="2"/>
  <c r="V115" i="2"/>
  <c r="O116" i="2"/>
  <c r="V116" i="2"/>
  <c r="O117" i="2"/>
  <c r="V117" i="2"/>
  <c r="O118" i="2"/>
  <c r="V118" i="2"/>
  <c r="O119" i="2"/>
  <c r="V119" i="2"/>
  <c r="O120" i="2"/>
  <c r="V120" i="2"/>
  <c r="O121" i="2"/>
  <c r="V121" i="2"/>
  <c r="O122" i="2"/>
  <c r="V122" i="2"/>
  <c r="O123" i="2"/>
  <c r="V123" i="2"/>
  <c r="O124" i="2"/>
  <c r="V124" i="2"/>
  <c r="O125" i="2"/>
  <c r="V125" i="2"/>
  <c r="O126" i="2"/>
  <c r="V126" i="2"/>
  <c r="O127" i="2"/>
  <c r="V127" i="2"/>
  <c r="O128" i="2"/>
  <c r="V128" i="2"/>
  <c r="O129" i="2"/>
  <c r="V129" i="2"/>
  <c r="O130" i="2"/>
  <c r="V130" i="2"/>
  <c r="O131" i="2"/>
  <c r="V131" i="2"/>
  <c r="O132" i="2"/>
  <c r="V132" i="2"/>
  <c r="O133" i="2"/>
  <c r="V133" i="2"/>
  <c r="O134" i="2"/>
  <c r="V134" i="2"/>
  <c r="O135" i="2"/>
  <c r="V135" i="2"/>
  <c r="O136" i="2"/>
  <c r="V136" i="2"/>
  <c r="O137" i="2"/>
  <c r="V137" i="2"/>
  <c r="O138" i="2"/>
  <c r="V138" i="2"/>
  <c r="O139" i="2"/>
  <c r="V139" i="2"/>
  <c r="O140" i="2"/>
  <c r="V140" i="2"/>
  <c r="O141" i="2"/>
  <c r="V141" i="2"/>
  <c r="O142" i="2"/>
  <c r="V142" i="2"/>
  <c r="O143" i="2"/>
  <c r="V143" i="2"/>
  <c r="O144" i="2"/>
  <c r="V144" i="2"/>
  <c r="O145" i="2"/>
  <c r="V145" i="2"/>
  <c r="O146" i="2"/>
  <c r="V146" i="2"/>
  <c r="O147" i="2"/>
  <c r="V147" i="2"/>
  <c r="O148" i="2"/>
  <c r="V148" i="2"/>
  <c r="O149" i="2"/>
  <c r="V149" i="2"/>
  <c r="O150" i="2"/>
  <c r="V150" i="2"/>
  <c r="O151" i="2"/>
  <c r="V151" i="2"/>
  <c r="O152" i="2"/>
  <c r="V152" i="2"/>
  <c r="O153" i="2"/>
  <c r="V153" i="2"/>
  <c r="O154" i="2"/>
  <c r="V154" i="2"/>
  <c r="O155" i="2"/>
  <c r="V155" i="2"/>
  <c r="O156" i="2"/>
  <c r="V156" i="2"/>
  <c r="O157" i="2"/>
  <c r="V157" i="2"/>
  <c r="O158" i="2"/>
  <c r="V158" i="2"/>
  <c r="O159" i="2"/>
  <c r="V159" i="2"/>
  <c r="O160" i="2"/>
  <c r="V160" i="2"/>
  <c r="O161" i="2"/>
  <c r="V161" i="2"/>
  <c r="O162" i="2"/>
  <c r="V162" i="2"/>
  <c r="O163" i="2"/>
  <c r="V163" i="2"/>
  <c r="O164" i="2"/>
  <c r="V164" i="2"/>
  <c r="O165" i="2"/>
  <c r="V165" i="2"/>
  <c r="O166" i="2"/>
  <c r="V166" i="2"/>
  <c r="O167" i="2"/>
  <c r="V167" i="2"/>
  <c r="O168" i="2"/>
  <c r="V168" i="2"/>
  <c r="O169" i="2"/>
  <c r="V169" i="2"/>
  <c r="O170" i="2"/>
  <c r="V170" i="2"/>
  <c r="O171" i="2"/>
  <c r="V171" i="2"/>
  <c r="O172" i="2"/>
  <c r="V172" i="2"/>
  <c r="O173" i="2"/>
  <c r="V173" i="2"/>
  <c r="O174" i="2"/>
  <c r="V174" i="2"/>
  <c r="O175" i="2"/>
  <c r="V175" i="2"/>
  <c r="O176" i="2"/>
  <c r="V176" i="2"/>
  <c r="O177" i="2"/>
  <c r="V177" i="2"/>
  <c r="O178" i="2"/>
  <c r="V178" i="2"/>
  <c r="O179" i="2"/>
  <c r="V179" i="2"/>
  <c r="O180" i="2"/>
  <c r="V180" i="2"/>
  <c r="O181" i="2"/>
  <c r="V181" i="2"/>
  <c r="O182" i="2"/>
  <c r="V182" i="2"/>
  <c r="O183" i="2"/>
  <c r="V183" i="2"/>
  <c r="O184" i="2"/>
  <c r="V184" i="2"/>
  <c r="O185" i="2"/>
  <c r="V185" i="2"/>
  <c r="O186" i="2"/>
  <c r="V186" i="2"/>
  <c r="O187" i="2"/>
  <c r="V187" i="2"/>
  <c r="O188" i="2"/>
  <c r="V188" i="2"/>
  <c r="O189" i="2"/>
  <c r="V189" i="2"/>
  <c r="O190" i="2"/>
  <c r="V190" i="2"/>
  <c r="O191" i="2"/>
  <c r="V191" i="2"/>
  <c r="O192" i="2"/>
  <c r="V192" i="2"/>
  <c r="O193" i="2"/>
  <c r="V193" i="2"/>
  <c r="O194" i="2"/>
  <c r="V194" i="2"/>
  <c r="O195" i="2"/>
  <c r="V195" i="2"/>
  <c r="O196" i="2"/>
  <c r="V196" i="2"/>
  <c r="O197" i="2"/>
  <c r="V197" i="2"/>
  <c r="O198" i="2"/>
  <c r="V198" i="2"/>
  <c r="O199" i="2"/>
  <c r="V199" i="2"/>
  <c r="O200" i="2"/>
  <c r="V200" i="2"/>
  <c r="O201" i="2"/>
  <c r="V201" i="2"/>
  <c r="O202" i="2"/>
  <c r="V202" i="2"/>
  <c r="O203" i="2"/>
  <c r="V203" i="2"/>
  <c r="O204" i="2"/>
  <c r="V204" i="2"/>
  <c r="O205" i="2"/>
  <c r="V205" i="2"/>
  <c r="O206" i="2"/>
  <c r="V206" i="2"/>
  <c r="O207" i="2"/>
  <c r="V207" i="2"/>
  <c r="O208" i="2"/>
  <c r="V208" i="2"/>
  <c r="O209" i="2"/>
  <c r="V209" i="2"/>
  <c r="O210" i="2"/>
  <c r="V210" i="2"/>
  <c r="O211" i="2"/>
  <c r="V211" i="2"/>
  <c r="O212" i="2"/>
  <c r="V212" i="2"/>
  <c r="O213" i="2"/>
  <c r="V213" i="2"/>
  <c r="O214" i="2"/>
  <c r="V214" i="2"/>
  <c r="O215" i="2"/>
  <c r="V215" i="2"/>
  <c r="O216" i="2"/>
  <c r="V216" i="2"/>
  <c r="O217" i="2"/>
  <c r="V217" i="2"/>
  <c r="O218" i="2"/>
  <c r="V218" i="2"/>
  <c r="O219" i="2"/>
  <c r="V219" i="2"/>
  <c r="O220" i="2"/>
  <c r="V220" i="2"/>
  <c r="O221" i="2"/>
  <c r="V221" i="2"/>
  <c r="O222" i="2"/>
  <c r="V222" i="2"/>
  <c r="O223" i="2"/>
  <c r="V223" i="2"/>
  <c r="O224" i="2"/>
  <c r="V224" i="2"/>
  <c r="O225" i="2"/>
  <c r="V225" i="2"/>
  <c r="O226" i="2"/>
  <c r="V226" i="2"/>
  <c r="O227" i="2"/>
  <c r="V227" i="2"/>
  <c r="O228" i="2"/>
  <c r="V228" i="2"/>
  <c r="O229" i="2"/>
  <c r="V229" i="2"/>
  <c r="O230" i="2"/>
  <c r="V230" i="2"/>
  <c r="O231" i="2"/>
  <c r="V231" i="2"/>
  <c r="O232" i="2"/>
  <c r="V232" i="2"/>
  <c r="O233" i="2"/>
  <c r="V233" i="2"/>
  <c r="O234" i="2"/>
  <c r="V234" i="2"/>
  <c r="O235" i="2"/>
  <c r="V235" i="2"/>
  <c r="O236" i="2"/>
  <c r="V236" i="2"/>
  <c r="O237" i="2"/>
  <c r="V237" i="2"/>
  <c r="O238" i="2"/>
  <c r="V238" i="2"/>
  <c r="O239" i="2"/>
  <c r="V239" i="2"/>
  <c r="O240" i="2"/>
  <c r="V240" i="2"/>
  <c r="O241" i="2"/>
  <c r="V241" i="2"/>
  <c r="O242" i="2"/>
  <c r="V242" i="2"/>
  <c r="O243" i="2"/>
  <c r="V243" i="2"/>
  <c r="O244" i="2"/>
  <c r="V244" i="2"/>
  <c r="O245" i="2"/>
  <c r="V245" i="2"/>
  <c r="O246" i="2"/>
  <c r="V246" i="2"/>
  <c r="O247" i="2"/>
  <c r="V247" i="2"/>
  <c r="O248" i="2"/>
  <c r="V248" i="2"/>
  <c r="O249" i="2"/>
  <c r="V249" i="2"/>
  <c r="O250" i="2"/>
  <c r="V250" i="2"/>
  <c r="O251" i="2"/>
  <c r="V251" i="2"/>
  <c r="O252" i="2"/>
  <c r="V252" i="2"/>
  <c r="O253" i="2"/>
  <c r="V253" i="2"/>
  <c r="O254" i="2"/>
  <c r="V254" i="2"/>
  <c r="O255" i="2"/>
  <c r="V255" i="2"/>
  <c r="O256" i="2"/>
  <c r="V256" i="2"/>
  <c r="O257" i="2"/>
  <c r="V257" i="2"/>
  <c r="O258" i="2"/>
  <c r="V258" i="2"/>
  <c r="O259" i="2"/>
  <c r="V259" i="2"/>
  <c r="O260" i="2"/>
  <c r="V260" i="2"/>
  <c r="O261" i="2"/>
  <c r="V261" i="2"/>
  <c r="O262" i="2"/>
  <c r="V262" i="2"/>
  <c r="O263" i="2"/>
  <c r="V263" i="2"/>
  <c r="O264" i="2"/>
  <c r="V264" i="2"/>
  <c r="O265" i="2"/>
  <c r="V265" i="2"/>
  <c r="O266" i="2"/>
  <c r="V266" i="2"/>
  <c r="O267" i="2"/>
  <c r="V267" i="2"/>
  <c r="O268" i="2"/>
  <c r="V268" i="2"/>
  <c r="O269" i="2"/>
  <c r="V269" i="2"/>
  <c r="O270" i="2"/>
  <c r="V270" i="2"/>
  <c r="O271" i="2"/>
  <c r="V271" i="2"/>
  <c r="O272" i="2"/>
  <c r="V272" i="2"/>
  <c r="O273" i="2"/>
  <c r="V273" i="2"/>
  <c r="O274" i="2"/>
  <c r="V274" i="2"/>
  <c r="O275" i="2"/>
  <c r="V275" i="2"/>
  <c r="O276" i="2"/>
  <c r="V276" i="2"/>
  <c r="O277" i="2"/>
  <c r="V277" i="2"/>
  <c r="O278" i="2"/>
  <c r="V278" i="2"/>
  <c r="O279" i="2"/>
  <c r="V279" i="2"/>
  <c r="O280" i="2"/>
  <c r="V280" i="2"/>
  <c r="O281" i="2"/>
  <c r="V281" i="2"/>
  <c r="O282" i="2"/>
  <c r="V282" i="2"/>
  <c r="O283" i="2"/>
  <c r="V283" i="2"/>
  <c r="O284" i="2"/>
  <c r="V284" i="2"/>
  <c r="O285" i="2"/>
  <c r="V285" i="2"/>
  <c r="O286" i="2"/>
  <c r="V286" i="2"/>
  <c r="O287" i="2"/>
  <c r="V287" i="2"/>
  <c r="O288" i="2"/>
  <c r="V288" i="2"/>
  <c r="O289" i="2"/>
  <c r="V289" i="2"/>
  <c r="O290" i="2"/>
  <c r="V290" i="2"/>
  <c r="O291" i="2"/>
  <c r="V291" i="2"/>
  <c r="O292" i="2"/>
  <c r="V292" i="2"/>
  <c r="O293" i="2"/>
  <c r="V293" i="2"/>
  <c r="O294" i="2"/>
  <c r="V294" i="2"/>
  <c r="O295" i="2"/>
  <c r="V295" i="2"/>
  <c r="O296" i="2"/>
  <c r="V296" i="2"/>
  <c r="O297" i="2"/>
  <c r="V297" i="2"/>
  <c r="O298" i="2"/>
  <c r="V298" i="2"/>
  <c r="O299" i="2"/>
  <c r="V299" i="2"/>
  <c r="O300" i="2"/>
  <c r="V300" i="2"/>
  <c r="O301" i="2"/>
  <c r="V301" i="2"/>
  <c r="O302" i="2"/>
  <c r="V302" i="2"/>
  <c r="O303" i="2"/>
  <c r="V303" i="2"/>
  <c r="O304" i="2"/>
  <c r="V304" i="2"/>
  <c r="O305" i="2"/>
  <c r="V305" i="2"/>
  <c r="O306" i="2"/>
  <c r="V306" i="2"/>
  <c r="O307" i="2"/>
  <c r="V307" i="2"/>
  <c r="O308" i="2"/>
  <c r="V308" i="2"/>
  <c r="O309" i="2"/>
  <c r="V309" i="2"/>
  <c r="O310" i="2"/>
  <c r="V310" i="2"/>
  <c r="O311" i="2"/>
  <c r="V311" i="2"/>
  <c r="O312" i="2"/>
  <c r="V312" i="2"/>
  <c r="O313" i="2"/>
  <c r="V313" i="2"/>
  <c r="O314" i="2"/>
  <c r="V314" i="2"/>
  <c r="O315" i="2"/>
  <c r="V315" i="2"/>
  <c r="O316" i="2"/>
  <c r="V316" i="2"/>
  <c r="O317" i="2"/>
  <c r="V317" i="2"/>
  <c r="O318" i="2"/>
  <c r="V318" i="2"/>
  <c r="O319" i="2"/>
  <c r="V319" i="2"/>
  <c r="O320" i="2"/>
  <c r="V320" i="2"/>
  <c r="O321" i="2"/>
  <c r="V321" i="2"/>
  <c r="O322" i="2"/>
  <c r="V322" i="2"/>
  <c r="O323" i="2"/>
  <c r="V323" i="2"/>
  <c r="O324" i="2"/>
  <c r="V324" i="2"/>
  <c r="O325" i="2"/>
  <c r="V325" i="2"/>
  <c r="O326" i="2"/>
  <c r="V326" i="2"/>
  <c r="O327" i="2"/>
  <c r="V327" i="2"/>
  <c r="O328" i="2"/>
  <c r="V328" i="2"/>
  <c r="O329" i="2"/>
  <c r="V329" i="2"/>
  <c r="O330" i="2"/>
  <c r="V330" i="2"/>
  <c r="O331" i="2"/>
  <c r="V331" i="2"/>
  <c r="O332" i="2"/>
  <c r="V332" i="2"/>
  <c r="O333" i="2"/>
  <c r="V333" i="2"/>
  <c r="O334" i="2"/>
  <c r="V334" i="2"/>
  <c r="O335" i="2"/>
  <c r="V335" i="2"/>
  <c r="O336" i="2"/>
  <c r="V336" i="2"/>
  <c r="O337" i="2"/>
  <c r="V337" i="2"/>
  <c r="O338" i="2"/>
  <c r="V338" i="2"/>
  <c r="O339" i="2"/>
  <c r="V339" i="2"/>
  <c r="O340" i="2"/>
  <c r="V340" i="2"/>
  <c r="O341" i="2"/>
  <c r="V341" i="2"/>
  <c r="O342" i="2"/>
  <c r="V342" i="2"/>
  <c r="O343" i="2"/>
  <c r="V343" i="2"/>
  <c r="O344" i="2"/>
  <c r="V344" i="2"/>
  <c r="O345" i="2"/>
  <c r="V345" i="2"/>
  <c r="O346" i="2"/>
  <c r="V346" i="2"/>
  <c r="O347" i="2"/>
  <c r="V347" i="2"/>
  <c r="O348" i="2"/>
  <c r="V348" i="2"/>
  <c r="O349" i="2"/>
  <c r="V349" i="2"/>
  <c r="O350" i="2"/>
  <c r="V350" i="2"/>
  <c r="O351" i="2"/>
  <c r="V351" i="2"/>
  <c r="O352" i="2"/>
  <c r="V352" i="2"/>
  <c r="O353" i="2"/>
  <c r="V353" i="2"/>
  <c r="O354" i="2"/>
  <c r="V354" i="2"/>
  <c r="O355" i="2"/>
  <c r="V355" i="2"/>
  <c r="O356" i="2"/>
  <c r="V356" i="2"/>
  <c r="O357" i="2"/>
  <c r="V357" i="2"/>
  <c r="O358" i="2"/>
  <c r="V358" i="2"/>
  <c r="V1149" i="1"/>
  <c r="O1149" i="1"/>
  <c r="V1148" i="1"/>
  <c r="O1148" i="1"/>
  <c r="V1147" i="1"/>
  <c r="O1147" i="1"/>
  <c r="V1146" i="1"/>
  <c r="O1146" i="1"/>
  <c r="V1145" i="1"/>
  <c r="O1145" i="1"/>
  <c r="V1144" i="1"/>
  <c r="O1144" i="1"/>
  <c r="V1143" i="1"/>
  <c r="O1143" i="1"/>
  <c r="V1142" i="1"/>
  <c r="O1142" i="1"/>
  <c r="V1141" i="1"/>
  <c r="O1141" i="1"/>
  <c r="V1140" i="1"/>
  <c r="O1140" i="1"/>
  <c r="V1139" i="1"/>
  <c r="O1139" i="1"/>
  <c r="V1138" i="1"/>
  <c r="O1138" i="1"/>
  <c r="V1137" i="1"/>
  <c r="O1137" i="1"/>
  <c r="V1136" i="1"/>
  <c r="O1136" i="1"/>
  <c r="V1135" i="1"/>
  <c r="O1135" i="1"/>
  <c r="V1134" i="1"/>
  <c r="O1134" i="1"/>
  <c r="V1133" i="1"/>
  <c r="O1133" i="1"/>
  <c r="V1132" i="1"/>
  <c r="O1132" i="1"/>
  <c r="V1131" i="1"/>
  <c r="O1131" i="1"/>
  <c r="V1130" i="1"/>
  <c r="O1130" i="1"/>
  <c r="V1129" i="1"/>
  <c r="O1129" i="1"/>
  <c r="V1128" i="1"/>
  <c r="O1128" i="1"/>
  <c r="V1127" i="1"/>
  <c r="O1127" i="1"/>
  <c r="V1126" i="1"/>
  <c r="O1126" i="1"/>
  <c r="V1125" i="1"/>
  <c r="O1125" i="1"/>
  <c r="V1124" i="1"/>
  <c r="O1124" i="1"/>
  <c r="V1123" i="1"/>
  <c r="O1123" i="1"/>
  <c r="V1122" i="1"/>
  <c r="O1122" i="1"/>
  <c r="V1121" i="1"/>
  <c r="O1121" i="1"/>
  <c r="V1120" i="1"/>
  <c r="O1120" i="1"/>
  <c r="V1119" i="1"/>
  <c r="O1119" i="1"/>
  <c r="V1118" i="1"/>
  <c r="O1118" i="1"/>
  <c r="V1117" i="1"/>
  <c r="O1117" i="1"/>
  <c r="V1116" i="1"/>
  <c r="O1116" i="1"/>
  <c r="V1115" i="1"/>
  <c r="O1115" i="1"/>
  <c r="V1114" i="1"/>
  <c r="O1114" i="1"/>
  <c r="V1113" i="1"/>
  <c r="O1113" i="1"/>
  <c r="V1112" i="1"/>
  <c r="O1112" i="1"/>
  <c r="V1111" i="1"/>
  <c r="O1111" i="1"/>
  <c r="V1110" i="1"/>
  <c r="O1110" i="1"/>
  <c r="V1109" i="1"/>
  <c r="O1109" i="1"/>
  <c r="V1108" i="1"/>
  <c r="O1108" i="1"/>
  <c r="V1107" i="1"/>
  <c r="O1107" i="1"/>
  <c r="V1106" i="1"/>
  <c r="O1106" i="1"/>
  <c r="V1105" i="1"/>
  <c r="O1105" i="1"/>
  <c r="V1104" i="1"/>
  <c r="O1104" i="1"/>
  <c r="V1103" i="1"/>
  <c r="O1103" i="1"/>
  <c r="V1102" i="1"/>
  <c r="O1102" i="1"/>
  <c r="V1101" i="1"/>
  <c r="O1101" i="1"/>
  <c r="V1100" i="1"/>
  <c r="O1100" i="1"/>
  <c r="V1099" i="1"/>
  <c r="O1099" i="1"/>
  <c r="V1098" i="1"/>
  <c r="O1098" i="1"/>
  <c r="V1097" i="1"/>
  <c r="O1097" i="1"/>
  <c r="V1096" i="1"/>
  <c r="O1096" i="1"/>
  <c r="V1095" i="1"/>
  <c r="O1095" i="1"/>
  <c r="V1094" i="1"/>
  <c r="O1094" i="1"/>
  <c r="V1093" i="1"/>
  <c r="O1093" i="1"/>
  <c r="V1092" i="1"/>
  <c r="O1092" i="1"/>
  <c r="V1091" i="1"/>
  <c r="O1091" i="1"/>
  <c r="V1090" i="1"/>
  <c r="O1090" i="1"/>
  <c r="V1089" i="1"/>
  <c r="O1089" i="1"/>
  <c r="V1088" i="1"/>
  <c r="O1088" i="1"/>
  <c r="V1087" i="1"/>
  <c r="O1087" i="1"/>
  <c r="V1086" i="1"/>
  <c r="O1086" i="1"/>
  <c r="V1085" i="1"/>
  <c r="O1085" i="1"/>
  <c r="V1084" i="1"/>
  <c r="O1084" i="1"/>
  <c r="V1083" i="1"/>
  <c r="O1083" i="1"/>
  <c r="V1082" i="1"/>
  <c r="O1082" i="1"/>
  <c r="V1081" i="1"/>
  <c r="O1081" i="1"/>
  <c r="V1080" i="1"/>
  <c r="O1080" i="1"/>
  <c r="V1079" i="1"/>
  <c r="O1079" i="1"/>
  <c r="V1078" i="1"/>
  <c r="O1078" i="1"/>
  <c r="V1077" i="1"/>
  <c r="O1077" i="1"/>
  <c r="V1076" i="1"/>
  <c r="O1076" i="1"/>
  <c r="V1075" i="1"/>
  <c r="O1075" i="1"/>
  <c r="V1074" i="1"/>
  <c r="O1074" i="1"/>
  <c r="V1073" i="1"/>
  <c r="O1073" i="1"/>
  <c r="V1072" i="1"/>
  <c r="O1072" i="1"/>
  <c r="V1071" i="1"/>
  <c r="O1071" i="1"/>
  <c r="V1070" i="1"/>
  <c r="O1070" i="1"/>
  <c r="V1069" i="1"/>
  <c r="O1069" i="1"/>
  <c r="V1068" i="1"/>
  <c r="O1068" i="1"/>
  <c r="V1067" i="1"/>
  <c r="O1067" i="1"/>
  <c r="V1066" i="1"/>
  <c r="O1066" i="1"/>
  <c r="V1065" i="1"/>
  <c r="O1065" i="1"/>
  <c r="V1064" i="1"/>
  <c r="O1064" i="1"/>
  <c r="V1063" i="1"/>
  <c r="O1063" i="1"/>
  <c r="V1062" i="1"/>
  <c r="O1062" i="1"/>
  <c r="V1061" i="1"/>
  <c r="O1061" i="1"/>
  <c r="V1060" i="1"/>
  <c r="O1060" i="1"/>
  <c r="V1059" i="1"/>
  <c r="O1059" i="1"/>
  <c r="V1058" i="1"/>
  <c r="O1058" i="1"/>
  <c r="V1057" i="1"/>
  <c r="O1057" i="1"/>
  <c r="V1056" i="1"/>
  <c r="O1056" i="1"/>
  <c r="V1055" i="1"/>
  <c r="O1055" i="1"/>
  <c r="V1054" i="1"/>
  <c r="O1054" i="1"/>
  <c r="V1053" i="1"/>
  <c r="O1053" i="1"/>
  <c r="V1052" i="1"/>
  <c r="O1052" i="1"/>
  <c r="V1051" i="1"/>
  <c r="O1051" i="1"/>
  <c r="V1050" i="1"/>
  <c r="O1050" i="1"/>
  <c r="V1049" i="1"/>
  <c r="O1049" i="1"/>
  <c r="V1048" i="1"/>
  <c r="O1048" i="1"/>
  <c r="V1047" i="1"/>
  <c r="O1047" i="1"/>
  <c r="V1046" i="1"/>
  <c r="O1046" i="1"/>
  <c r="V1045" i="1"/>
  <c r="O1045" i="1"/>
  <c r="V1044" i="1"/>
  <c r="O1044" i="1"/>
  <c r="V1043" i="1"/>
  <c r="O1043" i="1"/>
  <c r="V1042" i="1"/>
  <c r="O1042" i="1"/>
  <c r="V1041" i="1"/>
  <c r="O1041" i="1"/>
  <c r="V1040" i="1"/>
  <c r="O1040" i="1"/>
  <c r="V1039" i="1"/>
  <c r="O1039" i="1"/>
  <c r="V1038" i="1"/>
  <c r="O1038" i="1"/>
  <c r="V1037" i="1"/>
  <c r="O1037" i="1"/>
  <c r="V1036" i="1"/>
  <c r="O1036" i="1"/>
  <c r="V1035" i="1"/>
  <c r="O1035" i="1"/>
  <c r="V1034" i="1"/>
  <c r="O1034" i="1"/>
  <c r="V1033" i="1"/>
  <c r="O1033" i="1"/>
  <c r="V1032" i="1"/>
  <c r="O1032" i="1"/>
  <c r="V1031" i="1"/>
  <c r="O1031" i="1"/>
  <c r="V1030" i="1"/>
  <c r="O1030" i="1"/>
  <c r="V1029" i="1"/>
  <c r="O1029" i="1"/>
  <c r="V1028" i="1"/>
  <c r="O1028" i="1"/>
  <c r="V1027" i="1"/>
  <c r="O1027" i="1"/>
  <c r="V1026" i="1"/>
  <c r="O1026" i="1"/>
  <c r="V1025" i="1"/>
  <c r="O1025" i="1"/>
  <c r="V1024" i="1"/>
  <c r="O1024" i="1"/>
  <c r="V1023" i="1"/>
  <c r="O1023" i="1"/>
  <c r="V1022" i="1"/>
  <c r="O1022" i="1"/>
  <c r="V1021" i="1"/>
  <c r="O1021" i="1"/>
  <c r="V1020" i="1"/>
  <c r="O1020" i="1"/>
  <c r="V1019" i="1"/>
  <c r="O1019" i="1"/>
  <c r="V1018" i="1"/>
  <c r="O1018" i="1"/>
  <c r="V1017" i="1"/>
  <c r="O1017" i="1"/>
  <c r="V1016" i="1"/>
  <c r="O1016" i="1"/>
  <c r="V1015" i="1"/>
  <c r="O1015" i="1"/>
  <c r="V1014" i="1"/>
  <c r="O1014" i="1"/>
  <c r="V1013" i="1"/>
  <c r="O1013" i="1"/>
  <c r="V1012" i="1"/>
  <c r="O1012" i="1"/>
  <c r="V1011" i="1"/>
  <c r="O1011" i="1"/>
  <c r="V1010" i="1"/>
  <c r="O1010" i="1"/>
  <c r="V1009" i="1"/>
  <c r="O1009" i="1"/>
  <c r="V1008" i="1"/>
  <c r="O1008" i="1"/>
  <c r="V1007" i="1"/>
  <c r="O1007" i="1"/>
  <c r="V1006" i="1"/>
  <c r="O1006" i="1"/>
  <c r="V1005" i="1"/>
  <c r="O1005" i="1"/>
  <c r="V1004" i="1"/>
  <c r="O1004" i="1"/>
  <c r="V1003" i="1"/>
  <c r="O1003" i="1"/>
  <c r="V1002" i="1"/>
  <c r="O1002" i="1"/>
  <c r="V1001" i="1"/>
  <c r="O1001" i="1"/>
  <c r="V1000" i="1"/>
  <c r="O1000" i="1"/>
  <c r="V999" i="1"/>
  <c r="O999" i="1"/>
  <c r="V998" i="1"/>
  <c r="O998" i="1"/>
  <c r="V997" i="1"/>
  <c r="O997" i="1"/>
  <c r="V996" i="1"/>
  <c r="O996" i="1"/>
  <c r="V995" i="1"/>
  <c r="O995" i="1"/>
  <c r="V994" i="1"/>
  <c r="O994" i="1"/>
  <c r="V993" i="1"/>
  <c r="O993" i="1"/>
  <c r="V992" i="1"/>
  <c r="O992" i="1"/>
  <c r="V991" i="1"/>
  <c r="O991" i="1"/>
  <c r="V990" i="1"/>
  <c r="O990" i="1"/>
  <c r="V989" i="1"/>
  <c r="O989" i="1"/>
  <c r="V988" i="1"/>
  <c r="O988" i="1"/>
  <c r="V987" i="1"/>
  <c r="O987" i="1"/>
  <c r="V986" i="1"/>
  <c r="O986" i="1"/>
  <c r="V985" i="1"/>
  <c r="O985" i="1"/>
  <c r="V984" i="1"/>
  <c r="O984" i="1"/>
  <c r="V983" i="1"/>
  <c r="O983" i="1"/>
  <c r="V982" i="1"/>
  <c r="O982" i="1"/>
  <c r="V981" i="1"/>
  <c r="O981" i="1"/>
  <c r="V980" i="1"/>
  <c r="O980" i="1"/>
  <c r="V979" i="1"/>
  <c r="O979" i="1"/>
  <c r="V978" i="1"/>
  <c r="O978" i="1"/>
  <c r="V977" i="1"/>
  <c r="O977" i="1"/>
  <c r="V976" i="1"/>
  <c r="O976" i="1"/>
  <c r="V975" i="1"/>
  <c r="O975" i="1"/>
  <c r="V974" i="1"/>
  <c r="O974" i="1"/>
  <c r="V973" i="1"/>
  <c r="O973" i="1"/>
  <c r="V972" i="1"/>
  <c r="O972" i="1"/>
  <c r="V971" i="1"/>
  <c r="O971" i="1"/>
  <c r="V970" i="1"/>
  <c r="O970" i="1"/>
  <c r="V969" i="1"/>
  <c r="O969" i="1"/>
  <c r="V968" i="1"/>
  <c r="O968" i="1"/>
  <c r="V967" i="1"/>
  <c r="O967" i="1"/>
  <c r="V966" i="1"/>
  <c r="O966" i="1"/>
  <c r="V965" i="1"/>
  <c r="O965" i="1"/>
  <c r="V964" i="1"/>
  <c r="O964" i="1"/>
  <c r="V963" i="1"/>
  <c r="O963" i="1"/>
  <c r="V962" i="1"/>
  <c r="O962" i="1"/>
  <c r="V961" i="1"/>
  <c r="O961" i="1"/>
  <c r="V960" i="1"/>
  <c r="O960" i="1"/>
  <c r="V959" i="1"/>
  <c r="O959" i="1"/>
  <c r="V958" i="1"/>
  <c r="O958" i="1"/>
  <c r="V957" i="1"/>
  <c r="O957" i="1"/>
  <c r="V956" i="1"/>
  <c r="O956" i="1"/>
  <c r="V955" i="1"/>
  <c r="O955" i="1"/>
  <c r="V954" i="1"/>
  <c r="O954" i="1"/>
  <c r="V953" i="1"/>
  <c r="O953" i="1"/>
  <c r="V952" i="1"/>
  <c r="O952" i="1"/>
  <c r="V951" i="1"/>
  <c r="O951" i="1"/>
  <c r="V950" i="1"/>
  <c r="O950" i="1"/>
  <c r="V949" i="1"/>
  <c r="O949" i="1"/>
  <c r="V948" i="1"/>
  <c r="O948" i="1"/>
  <c r="V947" i="1"/>
  <c r="O947" i="1"/>
  <c r="V946" i="1"/>
  <c r="O946" i="1"/>
  <c r="V945" i="1"/>
  <c r="O945" i="1"/>
  <c r="V944" i="1"/>
  <c r="O944" i="1"/>
  <c r="V943" i="1"/>
  <c r="O943" i="1"/>
  <c r="V942" i="1"/>
  <c r="O942" i="1"/>
  <c r="V941" i="1"/>
  <c r="O941" i="1"/>
  <c r="V940" i="1"/>
  <c r="O940" i="1"/>
  <c r="V939" i="1"/>
  <c r="O939" i="1"/>
  <c r="V938" i="1"/>
  <c r="O938" i="1"/>
  <c r="V937" i="1"/>
  <c r="O937" i="1"/>
  <c r="V936" i="1"/>
  <c r="O936" i="1"/>
  <c r="V935" i="1"/>
  <c r="O935" i="1"/>
  <c r="V934" i="1"/>
  <c r="O934" i="1"/>
  <c r="V933" i="1"/>
  <c r="O933" i="1"/>
  <c r="V932" i="1"/>
  <c r="O932" i="1"/>
  <c r="V931" i="1"/>
  <c r="O931" i="1"/>
  <c r="V930" i="1"/>
  <c r="O930" i="1"/>
  <c r="V929" i="1"/>
  <c r="O929" i="1"/>
  <c r="V928" i="1"/>
  <c r="O928" i="1"/>
  <c r="V927" i="1"/>
  <c r="O927" i="1"/>
  <c r="V926" i="1"/>
  <c r="O926" i="1"/>
  <c r="V925" i="1"/>
  <c r="O925" i="1"/>
  <c r="V924" i="1"/>
  <c r="O924" i="1"/>
  <c r="V923" i="1"/>
  <c r="O923" i="1"/>
  <c r="V922" i="1"/>
  <c r="O922" i="1"/>
  <c r="V921" i="1"/>
  <c r="O921" i="1"/>
  <c r="V920" i="1"/>
  <c r="O920" i="1"/>
  <c r="V919" i="1"/>
  <c r="O919" i="1"/>
  <c r="V918" i="1"/>
  <c r="O918" i="1"/>
  <c r="V917" i="1"/>
  <c r="O917" i="1"/>
  <c r="V916" i="1"/>
  <c r="O916" i="1"/>
  <c r="V915" i="1"/>
  <c r="O915" i="1"/>
  <c r="V914" i="1"/>
  <c r="O914" i="1"/>
  <c r="V913" i="1"/>
  <c r="O913" i="1"/>
  <c r="V912" i="1"/>
  <c r="O912" i="1"/>
  <c r="V911" i="1"/>
  <c r="O911" i="1"/>
  <c r="V910" i="1"/>
  <c r="O910" i="1"/>
  <c r="V909" i="1"/>
  <c r="O909" i="1"/>
  <c r="V908" i="1"/>
  <c r="O908" i="1"/>
  <c r="V907" i="1"/>
  <c r="O907" i="1"/>
  <c r="V906" i="1"/>
  <c r="O906" i="1"/>
  <c r="V905" i="1"/>
  <c r="O905" i="1"/>
  <c r="V904" i="1"/>
  <c r="O904" i="1"/>
  <c r="V903" i="1"/>
  <c r="O903" i="1"/>
  <c r="V902" i="1"/>
  <c r="O902" i="1"/>
  <c r="V901" i="1"/>
  <c r="O901" i="1"/>
  <c r="V900" i="1"/>
  <c r="O900" i="1"/>
  <c r="V899" i="1"/>
  <c r="O899" i="1"/>
  <c r="V898" i="1"/>
  <c r="O898" i="1"/>
  <c r="V897" i="1"/>
  <c r="O897" i="1"/>
  <c r="V896" i="1"/>
  <c r="O896" i="1"/>
  <c r="V895" i="1"/>
  <c r="O895" i="1"/>
  <c r="V894" i="1"/>
  <c r="O894" i="1"/>
  <c r="V893" i="1"/>
  <c r="O893" i="1"/>
  <c r="V892" i="1"/>
  <c r="O892" i="1"/>
  <c r="V891" i="1"/>
  <c r="O891" i="1"/>
  <c r="V890" i="1"/>
  <c r="O890" i="1"/>
  <c r="V889" i="1"/>
  <c r="O889" i="1"/>
  <c r="V888" i="1"/>
  <c r="O888" i="1"/>
  <c r="V887" i="1"/>
  <c r="O887" i="1"/>
  <c r="V886" i="1"/>
  <c r="O886" i="1"/>
  <c r="V885" i="1"/>
  <c r="O885" i="1"/>
  <c r="V884" i="1"/>
  <c r="O884" i="1"/>
  <c r="V883" i="1"/>
  <c r="O883" i="1"/>
  <c r="V882" i="1"/>
  <c r="O882" i="1"/>
  <c r="V881" i="1"/>
  <c r="O881" i="1"/>
  <c r="V880" i="1"/>
  <c r="O880" i="1"/>
  <c r="V879" i="1"/>
  <c r="O879" i="1"/>
  <c r="V878" i="1"/>
  <c r="O878" i="1"/>
  <c r="V877" i="1"/>
  <c r="O877" i="1"/>
  <c r="V876" i="1"/>
  <c r="O876" i="1"/>
  <c r="V875" i="1"/>
  <c r="O875" i="1"/>
  <c r="V874" i="1"/>
  <c r="O874" i="1"/>
  <c r="V873" i="1"/>
  <c r="O873" i="1"/>
  <c r="V872" i="1"/>
  <c r="O872" i="1"/>
  <c r="V871" i="1"/>
  <c r="O871" i="1"/>
  <c r="V870" i="1"/>
  <c r="O870" i="1"/>
  <c r="V869" i="1"/>
  <c r="O869" i="1"/>
  <c r="V868" i="1"/>
  <c r="O868" i="1"/>
  <c r="V867" i="1"/>
  <c r="O867" i="1"/>
  <c r="V866" i="1"/>
  <c r="O866" i="1"/>
  <c r="V865" i="1"/>
  <c r="O865" i="1"/>
  <c r="V864" i="1"/>
  <c r="O864" i="1"/>
  <c r="V863" i="1"/>
  <c r="O863" i="1"/>
  <c r="V862" i="1"/>
  <c r="O862" i="1"/>
  <c r="V861" i="1"/>
  <c r="O861" i="1"/>
  <c r="V860" i="1"/>
  <c r="O860" i="1"/>
  <c r="V859" i="1"/>
  <c r="O859" i="1"/>
  <c r="V858" i="1"/>
  <c r="O858" i="1"/>
  <c r="V857" i="1"/>
  <c r="O857" i="1"/>
  <c r="V856" i="1"/>
  <c r="O856" i="1"/>
  <c r="V855" i="1"/>
  <c r="O855" i="1"/>
  <c r="V854" i="1"/>
  <c r="O854" i="1"/>
  <c r="V853" i="1"/>
  <c r="O853" i="1"/>
  <c r="V852" i="1"/>
  <c r="O852" i="1"/>
  <c r="V851" i="1"/>
  <c r="O851" i="1"/>
  <c r="V850" i="1"/>
  <c r="O850" i="1"/>
  <c r="V849" i="1"/>
  <c r="O849" i="1"/>
  <c r="V848" i="1"/>
  <c r="O848" i="1"/>
  <c r="V847" i="1"/>
  <c r="O847" i="1"/>
  <c r="V846" i="1"/>
  <c r="O846" i="1"/>
  <c r="V845" i="1"/>
  <c r="O845" i="1"/>
  <c r="V844" i="1"/>
  <c r="O844" i="1"/>
  <c r="V843" i="1"/>
  <c r="O843" i="1"/>
  <c r="V842" i="1"/>
  <c r="O842" i="1"/>
  <c r="V841" i="1"/>
  <c r="O841" i="1"/>
  <c r="V840" i="1"/>
  <c r="O840" i="1"/>
  <c r="V839" i="1"/>
  <c r="O839" i="1"/>
  <c r="V838" i="1"/>
  <c r="O838" i="1"/>
  <c r="V837" i="1"/>
  <c r="O837" i="1"/>
  <c r="V836" i="1"/>
  <c r="O836" i="1"/>
  <c r="V835" i="1"/>
  <c r="O835" i="1"/>
  <c r="V834" i="1"/>
  <c r="O834" i="1"/>
  <c r="V833" i="1"/>
  <c r="O833" i="1"/>
  <c r="V832" i="1"/>
  <c r="O832" i="1"/>
  <c r="V831" i="1"/>
  <c r="O831" i="1"/>
  <c r="V830" i="1"/>
  <c r="O830" i="1"/>
  <c r="V829" i="1"/>
  <c r="O829" i="1"/>
  <c r="V828" i="1"/>
  <c r="O828" i="1"/>
  <c r="V827" i="1"/>
  <c r="O827" i="1"/>
  <c r="V826" i="1"/>
  <c r="O826" i="1"/>
  <c r="V825" i="1"/>
  <c r="O825" i="1"/>
  <c r="V824" i="1"/>
  <c r="O824" i="1"/>
  <c r="V823" i="1"/>
  <c r="O823" i="1"/>
  <c r="V822" i="1"/>
  <c r="O822" i="1"/>
  <c r="V821" i="1"/>
  <c r="O821" i="1"/>
  <c r="V820" i="1"/>
  <c r="O820" i="1"/>
  <c r="V819" i="1"/>
  <c r="O819" i="1"/>
  <c r="V818" i="1"/>
  <c r="O818" i="1"/>
  <c r="V817" i="1"/>
  <c r="O817" i="1"/>
  <c r="V816" i="1"/>
  <c r="O816" i="1"/>
  <c r="V815" i="1"/>
  <c r="O815" i="1"/>
  <c r="V814" i="1"/>
  <c r="O814" i="1"/>
  <c r="V813" i="1"/>
  <c r="O813" i="1"/>
  <c r="V812" i="1"/>
  <c r="O812" i="1"/>
  <c r="V811" i="1"/>
  <c r="O811" i="1"/>
  <c r="V810" i="1"/>
  <c r="O810" i="1"/>
  <c r="V809" i="1"/>
  <c r="O809" i="1"/>
  <c r="V808" i="1"/>
  <c r="O808" i="1"/>
  <c r="V807" i="1"/>
  <c r="O807" i="1"/>
  <c r="V806" i="1"/>
  <c r="O806" i="1"/>
  <c r="V805" i="1"/>
  <c r="O805" i="1"/>
  <c r="V804" i="1"/>
  <c r="O804" i="1"/>
  <c r="V803" i="1"/>
  <c r="O803" i="1"/>
  <c r="V802" i="1"/>
  <c r="O802" i="1"/>
  <c r="V801" i="1"/>
  <c r="O801" i="1"/>
  <c r="V800" i="1"/>
  <c r="O800" i="1"/>
  <c r="V799" i="1"/>
  <c r="O799" i="1"/>
  <c r="V798" i="1"/>
  <c r="O798" i="1"/>
  <c r="V797" i="1"/>
  <c r="O797" i="1"/>
  <c r="V796" i="1"/>
  <c r="O796" i="1"/>
  <c r="V795" i="1"/>
  <c r="O795" i="1"/>
  <c r="V794" i="1"/>
  <c r="O794" i="1"/>
  <c r="V793" i="1"/>
  <c r="O793" i="1"/>
  <c r="V792" i="1"/>
  <c r="O792" i="1"/>
  <c r="V791" i="1"/>
  <c r="O791" i="1"/>
  <c r="V790" i="1"/>
  <c r="O790" i="1"/>
  <c r="V789" i="1"/>
  <c r="O789" i="1"/>
  <c r="V788" i="1"/>
  <c r="O788" i="1"/>
  <c r="V787" i="1"/>
  <c r="O787" i="1"/>
  <c r="V786" i="1"/>
  <c r="O786" i="1"/>
  <c r="V785" i="1"/>
  <c r="O785" i="1"/>
  <c r="V784" i="1"/>
  <c r="O784" i="1"/>
  <c r="V783" i="1"/>
  <c r="O783" i="1"/>
  <c r="V782" i="1"/>
  <c r="O782" i="1"/>
  <c r="V781" i="1"/>
  <c r="O781" i="1"/>
  <c r="V780" i="1"/>
  <c r="O780" i="1"/>
  <c r="V779" i="1"/>
  <c r="O779" i="1"/>
  <c r="V778" i="1"/>
  <c r="O778" i="1"/>
  <c r="V777" i="1"/>
  <c r="O777" i="1"/>
  <c r="V776" i="1"/>
  <c r="O776" i="1"/>
  <c r="V775" i="1"/>
  <c r="O775" i="1"/>
  <c r="V774" i="1"/>
  <c r="O774" i="1"/>
  <c r="V773" i="1"/>
  <c r="O773" i="1"/>
  <c r="V772" i="1"/>
  <c r="O772" i="1"/>
  <c r="V771" i="1"/>
  <c r="O771" i="1"/>
  <c r="V770" i="1"/>
  <c r="O770" i="1"/>
  <c r="V769" i="1"/>
  <c r="O769" i="1"/>
  <c r="V768" i="1"/>
  <c r="O768" i="1"/>
  <c r="V767" i="1"/>
  <c r="O767" i="1"/>
  <c r="V766" i="1"/>
  <c r="O766" i="1"/>
  <c r="V765" i="1"/>
  <c r="O765" i="1"/>
  <c r="V764" i="1"/>
  <c r="O764" i="1"/>
  <c r="V763" i="1"/>
  <c r="O763" i="1"/>
  <c r="V762" i="1"/>
  <c r="O762" i="1"/>
  <c r="V761" i="1"/>
  <c r="O761" i="1"/>
  <c r="V760" i="1"/>
  <c r="O760" i="1"/>
  <c r="V759" i="1"/>
  <c r="O759" i="1"/>
  <c r="V758" i="1"/>
  <c r="O758" i="1"/>
  <c r="V757" i="1"/>
  <c r="O757" i="1"/>
  <c r="V756" i="1"/>
  <c r="O756" i="1"/>
  <c r="V755" i="1"/>
  <c r="O755" i="1"/>
  <c r="V754" i="1"/>
  <c r="O754" i="1"/>
  <c r="V753" i="1"/>
  <c r="O753" i="1"/>
  <c r="V752" i="1"/>
  <c r="O752" i="1"/>
  <c r="V751" i="1"/>
  <c r="O751" i="1"/>
  <c r="V750" i="1"/>
  <c r="O750" i="1"/>
  <c r="V749" i="1"/>
  <c r="O749" i="1"/>
  <c r="V748" i="1"/>
  <c r="O748" i="1"/>
  <c r="V747" i="1"/>
  <c r="O747" i="1"/>
  <c r="V746" i="1"/>
  <c r="O746" i="1"/>
  <c r="V745" i="1"/>
  <c r="O745" i="1"/>
  <c r="V744" i="1"/>
  <c r="O744" i="1"/>
  <c r="V743" i="1"/>
  <c r="O743" i="1"/>
  <c r="V742" i="1"/>
  <c r="O742" i="1"/>
  <c r="V741" i="1"/>
  <c r="O741" i="1"/>
  <c r="V740" i="1"/>
  <c r="O740" i="1"/>
  <c r="V739" i="1"/>
  <c r="O739" i="1"/>
  <c r="V738" i="1"/>
  <c r="O738" i="1"/>
  <c r="V737" i="1"/>
  <c r="O737" i="1"/>
  <c r="V736" i="1"/>
  <c r="O736" i="1"/>
  <c r="V735" i="1"/>
  <c r="O735" i="1"/>
  <c r="V734" i="1"/>
  <c r="O734" i="1"/>
  <c r="V733" i="1"/>
  <c r="O733" i="1"/>
  <c r="V732" i="1"/>
  <c r="O732" i="1"/>
  <c r="V731" i="1"/>
  <c r="O731" i="1"/>
  <c r="V730" i="1"/>
  <c r="O730" i="1"/>
  <c r="V729" i="1"/>
  <c r="O729" i="1"/>
  <c r="V728" i="1"/>
  <c r="O728" i="1"/>
  <c r="V727" i="1"/>
  <c r="O727" i="1"/>
  <c r="V726" i="1"/>
  <c r="O726" i="1"/>
  <c r="V725" i="1"/>
  <c r="O725" i="1"/>
  <c r="V724" i="1"/>
  <c r="O724" i="1"/>
  <c r="V723" i="1"/>
  <c r="O723" i="1"/>
  <c r="V722" i="1"/>
  <c r="O722" i="1"/>
  <c r="V721" i="1"/>
  <c r="O721" i="1"/>
  <c r="V720" i="1"/>
  <c r="O720" i="1"/>
  <c r="V719" i="1"/>
  <c r="O719" i="1"/>
  <c r="V718" i="1"/>
  <c r="O718" i="1"/>
  <c r="V717" i="1"/>
  <c r="O717" i="1"/>
  <c r="V716" i="1"/>
  <c r="O716" i="1"/>
  <c r="V715" i="1"/>
  <c r="O715" i="1"/>
  <c r="V714" i="1"/>
  <c r="O714" i="1"/>
  <c r="V713" i="1"/>
  <c r="O713" i="1"/>
  <c r="V712" i="1"/>
  <c r="O712" i="1"/>
  <c r="V711" i="1"/>
  <c r="O711" i="1"/>
  <c r="V710" i="1"/>
  <c r="O710" i="1"/>
  <c r="V709" i="1"/>
  <c r="O709" i="1"/>
  <c r="V708" i="1"/>
  <c r="O708" i="1"/>
  <c r="V707" i="1"/>
  <c r="O707" i="1"/>
  <c r="V706" i="1"/>
  <c r="O706" i="1"/>
  <c r="V705" i="1"/>
  <c r="O705" i="1"/>
  <c r="V704" i="1"/>
  <c r="O704" i="1"/>
  <c r="V703" i="1"/>
  <c r="O703" i="1"/>
  <c r="V702" i="1"/>
  <c r="O702" i="1"/>
  <c r="V701" i="1"/>
  <c r="O701" i="1"/>
  <c r="V700" i="1"/>
  <c r="O700" i="1"/>
  <c r="V699" i="1"/>
  <c r="O699" i="1"/>
  <c r="V698" i="1"/>
  <c r="O698" i="1"/>
  <c r="V697" i="1"/>
  <c r="O697" i="1"/>
  <c r="V696" i="1"/>
  <c r="O696" i="1"/>
  <c r="V695" i="1"/>
  <c r="O695" i="1"/>
  <c r="V694" i="1"/>
  <c r="O694" i="1"/>
  <c r="V693" i="1"/>
  <c r="O693" i="1"/>
  <c r="V692" i="1"/>
  <c r="O692" i="1"/>
  <c r="V691" i="1"/>
  <c r="O691" i="1"/>
  <c r="V690" i="1"/>
  <c r="O690" i="1"/>
  <c r="V689" i="1"/>
  <c r="O689" i="1"/>
  <c r="V688" i="1"/>
  <c r="O688" i="1"/>
  <c r="V687" i="1"/>
  <c r="O687" i="1"/>
  <c r="V686" i="1"/>
  <c r="O686" i="1"/>
  <c r="V685" i="1"/>
  <c r="O685" i="1"/>
  <c r="V684" i="1"/>
  <c r="O684" i="1"/>
  <c r="V683" i="1"/>
  <c r="O683" i="1"/>
  <c r="V682" i="1"/>
  <c r="O682" i="1"/>
  <c r="V681" i="1"/>
  <c r="O681" i="1"/>
  <c r="V680" i="1"/>
  <c r="O680" i="1"/>
  <c r="V679" i="1"/>
  <c r="O679" i="1"/>
  <c r="V678" i="1"/>
  <c r="O678" i="1"/>
  <c r="V677" i="1"/>
  <c r="O677" i="1"/>
  <c r="V676" i="1"/>
  <c r="O676" i="1"/>
  <c r="V675" i="1"/>
  <c r="O675" i="1"/>
  <c r="V674" i="1"/>
  <c r="O674" i="1"/>
  <c r="V673" i="1"/>
  <c r="O673" i="1"/>
  <c r="V672" i="1"/>
  <c r="O672" i="1"/>
  <c r="V671" i="1"/>
  <c r="O671" i="1"/>
  <c r="V670" i="1"/>
  <c r="O670" i="1"/>
  <c r="V669" i="1"/>
  <c r="O669" i="1"/>
  <c r="V668" i="1"/>
  <c r="O668" i="1"/>
  <c r="V667" i="1"/>
  <c r="O667" i="1"/>
  <c r="V666" i="1"/>
  <c r="O666" i="1"/>
  <c r="V665" i="1"/>
  <c r="O665" i="1"/>
  <c r="V664" i="1"/>
  <c r="O664" i="1"/>
  <c r="V663" i="1"/>
  <c r="O663" i="1"/>
  <c r="V662" i="1"/>
  <c r="O662" i="1"/>
  <c r="V661" i="1"/>
  <c r="O661" i="1"/>
  <c r="V660" i="1"/>
  <c r="O660" i="1"/>
  <c r="V659" i="1"/>
  <c r="O659" i="1"/>
  <c r="V658" i="1"/>
  <c r="O658" i="1"/>
  <c r="V657" i="1"/>
  <c r="O657" i="1"/>
  <c r="V656" i="1"/>
  <c r="O656" i="1"/>
  <c r="V655" i="1"/>
  <c r="O655" i="1"/>
  <c r="V654" i="1"/>
  <c r="O654" i="1"/>
  <c r="V653" i="1"/>
  <c r="O653" i="1"/>
  <c r="V652" i="1"/>
  <c r="O652" i="1"/>
  <c r="V651" i="1"/>
  <c r="O651" i="1"/>
  <c r="V650" i="1"/>
  <c r="O650" i="1"/>
  <c r="V649" i="1"/>
  <c r="O649" i="1"/>
  <c r="V648" i="1"/>
  <c r="O648" i="1"/>
  <c r="V647" i="1"/>
  <c r="O647" i="1"/>
  <c r="V646" i="1"/>
  <c r="O646" i="1"/>
  <c r="V645" i="1"/>
  <c r="O645" i="1"/>
  <c r="V644" i="1"/>
  <c r="O644" i="1"/>
  <c r="V643" i="1"/>
  <c r="O643" i="1"/>
  <c r="V642" i="1"/>
  <c r="O642" i="1"/>
  <c r="V641" i="1"/>
  <c r="O641" i="1"/>
  <c r="V640" i="1"/>
  <c r="O640" i="1"/>
  <c r="V639" i="1"/>
  <c r="O639" i="1"/>
  <c r="V638" i="1"/>
  <c r="O638" i="1"/>
  <c r="V637" i="1"/>
  <c r="O637" i="1"/>
  <c r="V636" i="1"/>
  <c r="O636" i="1"/>
  <c r="V635" i="1"/>
  <c r="O635" i="1"/>
  <c r="V634" i="1"/>
  <c r="O634" i="1"/>
  <c r="V633" i="1"/>
  <c r="O633" i="1"/>
  <c r="V632" i="1"/>
  <c r="O632" i="1"/>
  <c r="V631" i="1"/>
  <c r="O631" i="1"/>
  <c r="V630" i="1"/>
  <c r="O630" i="1"/>
  <c r="V629" i="1"/>
  <c r="O629" i="1"/>
  <c r="V628" i="1"/>
  <c r="O628" i="1"/>
  <c r="V627" i="1"/>
  <c r="O627" i="1"/>
  <c r="V626" i="1"/>
  <c r="O626" i="1"/>
  <c r="V625" i="1"/>
  <c r="O625" i="1"/>
  <c r="V624" i="1"/>
  <c r="O624" i="1"/>
  <c r="V623" i="1"/>
  <c r="O623" i="1"/>
  <c r="V622" i="1"/>
  <c r="O622" i="1"/>
  <c r="V621" i="1"/>
  <c r="O621" i="1"/>
  <c r="V620" i="1"/>
  <c r="O620" i="1"/>
  <c r="V619" i="1"/>
  <c r="O619" i="1"/>
  <c r="V618" i="1"/>
  <c r="O618" i="1"/>
  <c r="V617" i="1"/>
  <c r="O617" i="1"/>
  <c r="V616" i="1"/>
  <c r="O616" i="1"/>
  <c r="V615" i="1"/>
  <c r="O615" i="1"/>
  <c r="V614" i="1"/>
  <c r="O614" i="1"/>
  <c r="V613" i="1"/>
  <c r="O613" i="1"/>
  <c r="V612" i="1"/>
  <c r="O612" i="1"/>
  <c r="V611" i="1"/>
  <c r="O611" i="1"/>
  <c r="V610" i="1"/>
  <c r="O610" i="1"/>
  <c r="V609" i="1"/>
  <c r="O609" i="1"/>
  <c r="V608" i="1"/>
  <c r="O608" i="1"/>
  <c r="V607" i="1"/>
  <c r="O607" i="1"/>
  <c r="V606" i="1"/>
  <c r="O606" i="1"/>
  <c r="V605" i="1"/>
  <c r="O605" i="1"/>
  <c r="V604" i="1"/>
  <c r="O604" i="1"/>
  <c r="V603" i="1"/>
  <c r="O603" i="1"/>
  <c r="V602" i="1"/>
  <c r="O602" i="1"/>
  <c r="V601" i="1"/>
  <c r="O601" i="1"/>
  <c r="V600" i="1"/>
  <c r="O600" i="1"/>
  <c r="V599" i="1"/>
  <c r="O599" i="1"/>
  <c r="V598" i="1"/>
  <c r="O598" i="1"/>
  <c r="V597" i="1"/>
  <c r="O597" i="1"/>
  <c r="V596" i="1"/>
  <c r="O596" i="1"/>
  <c r="V595" i="1"/>
  <c r="O595" i="1"/>
  <c r="V594" i="1"/>
  <c r="O594" i="1"/>
  <c r="V593" i="1"/>
  <c r="O593" i="1"/>
  <c r="V592" i="1"/>
  <c r="O592" i="1"/>
  <c r="V591" i="1"/>
  <c r="O591" i="1"/>
  <c r="V590" i="1"/>
  <c r="O590" i="1"/>
  <c r="V589" i="1"/>
  <c r="O589" i="1"/>
  <c r="V588" i="1"/>
  <c r="O588" i="1"/>
  <c r="V587" i="1"/>
  <c r="O587" i="1"/>
  <c r="V586" i="1"/>
  <c r="O586" i="1"/>
  <c r="V585" i="1"/>
  <c r="O585" i="1"/>
  <c r="V584" i="1"/>
  <c r="O584" i="1"/>
  <c r="V583" i="1"/>
  <c r="O583" i="1"/>
  <c r="V582" i="1"/>
  <c r="O582" i="1"/>
  <c r="V581" i="1"/>
  <c r="O581" i="1"/>
  <c r="V580" i="1"/>
  <c r="O580" i="1"/>
  <c r="V579" i="1"/>
  <c r="O579" i="1"/>
  <c r="V578" i="1"/>
  <c r="O578" i="1"/>
  <c r="V577" i="1"/>
  <c r="O577" i="1"/>
  <c r="V576" i="1"/>
  <c r="O576" i="1"/>
  <c r="V575" i="1"/>
  <c r="O575" i="1"/>
  <c r="V574" i="1"/>
  <c r="O574" i="1"/>
  <c r="V573" i="1"/>
  <c r="O573" i="1"/>
  <c r="V572" i="1"/>
  <c r="O572" i="1"/>
  <c r="V571" i="1"/>
  <c r="O571" i="1"/>
  <c r="V570" i="1"/>
  <c r="O570" i="1"/>
  <c r="V569" i="1"/>
  <c r="O569" i="1"/>
  <c r="V568" i="1"/>
  <c r="O568" i="1"/>
  <c r="V567" i="1"/>
  <c r="O567" i="1"/>
  <c r="V566" i="1"/>
  <c r="O566" i="1"/>
  <c r="V565" i="1"/>
  <c r="O565" i="1"/>
  <c r="V564" i="1"/>
  <c r="O564" i="1"/>
  <c r="V563" i="1"/>
  <c r="O563" i="1"/>
  <c r="V562" i="1"/>
  <c r="O562" i="1"/>
  <c r="V561" i="1"/>
  <c r="O561" i="1"/>
  <c r="V560" i="1"/>
  <c r="O560" i="1"/>
  <c r="V559" i="1"/>
  <c r="O559" i="1"/>
  <c r="V558" i="1"/>
  <c r="O558" i="1"/>
  <c r="V557" i="1"/>
  <c r="O557" i="1"/>
  <c r="V556" i="1"/>
  <c r="O556" i="1"/>
  <c r="V555" i="1"/>
  <c r="O555" i="1"/>
  <c r="V554" i="1"/>
  <c r="O554" i="1"/>
  <c r="V553" i="1"/>
  <c r="O553" i="1"/>
  <c r="V552" i="1"/>
  <c r="O552" i="1"/>
  <c r="V551" i="1"/>
  <c r="O551" i="1"/>
  <c r="V550" i="1"/>
  <c r="O550" i="1"/>
  <c r="V549" i="1"/>
  <c r="O549" i="1"/>
  <c r="V548" i="1"/>
  <c r="O548" i="1"/>
  <c r="V547" i="1"/>
  <c r="O547" i="1"/>
  <c r="V546" i="1"/>
  <c r="O546" i="1"/>
  <c r="V545" i="1"/>
  <c r="O545" i="1"/>
  <c r="V544" i="1"/>
  <c r="O544" i="1"/>
  <c r="V543" i="1"/>
  <c r="O543" i="1"/>
  <c r="V542" i="1"/>
  <c r="O542" i="1"/>
  <c r="V541" i="1"/>
  <c r="O541" i="1"/>
  <c r="V540" i="1"/>
  <c r="O540" i="1"/>
  <c r="V539" i="1"/>
  <c r="O539" i="1"/>
  <c r="V538" i="1"/>
  <c r="O538" i="1"/>
  <c r="V537" i="1"/>
  <c r="O537" i="1"/>
  <c r="V536" i="1"/>
  <c r="O536" i="1"/>
  <c r="V535" i="1"/>
  <c r="O535" i="1"/>
  <c r="V534" i="1"/>
  <c r="O534" i="1"/>
  <c r="V533" i="1"/>
  <c r="O533" i="1"/>
  <c r="V532" i="1"/>
  <c r="O532" i="1"/>
  <c r="V531" i="1"/>
  <c r="O531" i="1"/>
  <c r="V530" i="1"/>
  <c r="O530" i="1"/>
  <c r="V529" i="1"/>
  <c r="O529" i="1"/>
  <c r="V528" i="1"/>
  <c r="O528" i="1"/>
  <c r="V527" i="1"/>
  <c r="O527" i="1"/>
  <c r="V526" i="1"/>
  <c r="O526" i="1"/>
  <c r="V525" i="1"/>
  <c r="O525" i="1"/>
  <c r="V524" i="1"/>
  <c r="O524" i="1"/>
  <c r="V523" i="1"/>
  <c r="O523" i="1"/>
  <c r="V522" i="1"/>
  <c r="O522" i="1"/>
  <c r="V521" i="1"/>
  <c r="O521" i="1"/>
  <c r="V520" i="1"/>
  <c r="O520" i="1"/>
  <c r="V519" i="1"/>
  <c r="O519" i="1"/>
  <c r="V518" i="1"/>
  <c r="O518" i="1"/>
  <c r="V517" i="1"/>
  <c r="O517" i="1"/>
  <c r="V516" i="1"/>
  <c r="O516" i="1"/>
  <c r="V515" i="1"/>
  <c r="O515" i="1"/>
  <c r="V514" i="1"/>
  <c r="O514" i="1"/>
  <c r="V513" i="1"/>
  <c r="O513" i="1"/>
  <c r="V512" i="1"/>
  <c r="O512" i="1"/>
  <c r="V511" i="1"/>
  <c r="O511" i="1"/>
  <c r="V510" i="1"/>
  <c r="O510" i="1"/>
  <c r="V509" i="1"/>
  <c r="O509" i="1"/>
  <c r="V508" i="1"/>
  <c r="O508" i="1"/>
  <c r="V507" i="1"/>
  <c r="O507" i="1"/>
  <c r="V506" i="1"/>
  <c r="O506" i="1"/>
  <c r="V505" i="1"/>
  <c r="O505" i="1"/>
  <c r="V504" i="1"/>
  <c r="O504" i="1"/>
  <c r="V503" i="1"/>
  <c r="O503" i="1"/>
  <c r="V502" i="1"/>
  <c r="O502" i="1"/>
  <c r="V501" i="1"/>
  <c r="O501" i="1"/>
  <c r="V500" i="1"/>
  <c r="O500" i="1"/>
  <c r="V499" i="1"/>
  <c r="O499" i="1"/>
  <c r="V498" i="1"/>
  <c r="O498" i="1"/>
  <c r="V497" i="1"/>
  <c r="O497" i="1"/>
  <c r="V496" i="1"/>
  <c r="O496" i="1"/>
  <c r="V495" i="1"/>
  <c r="O495" i="1"/>
  <c r="V494" i="1"/>
  <c r="O494" i="1"/>
  <c r="V493" i="1"/>
  <c r="O493" i="1"/>
  <c r="V492" i="1"/>
  <c r="O492" i="1"/>
  <c r="V491" i="1"/>
  <c r="O491" i="1"/>
  <c r="V490" i="1"/>
  <c r="O490" i="1"/>
  <c r="V489" i="1"/>
  <c r="O489" i="1"/>
  <c r="V488" i="1"/>
  <c r="O488" i="1"/>
  <c r="V487" i="1"/>
  <c r="O487" i="1"/>
  <c r="V486" i="1"/>
  <c r="O486" i="1"/>
  <c r="V485" i="1"/>
  <c r="O485" i="1"/>
  <c r="V484" i="1"/>
  <c r="O484" i="1"/>
  <c r="V483" i="1"/>
  <c r="O483" i="1"/>
  <c r="V482" i="1"/>
  <c r="O482" i="1"/>
  <c r="V481" i="1"/>
  <c r="O481" i="1"/>
  <c r="V480" i="1"/>
  <c r="O480" i="1"/>
  <c r="V479" i="1"/>
  <c r="O479" i="1"/>
  <c r="V478" i="1"/>
  <c r="O478" i="1"/>
  <c r="V477" i="1"/>
  <c r="O477" i="1"/>
  <c r="V476" i="1"/>
  <c r="O476" i="1"/>
  <c r="V475" i="1"/>
  <c r="O475" i="1"/>
  <c r="V474" i="1"/>
  <c r="O474" i="1"/>
  <c r="V473" i="1"/>
  <c r="O473" i="1"/>
  <c r="V472" i="1"/>
  <c r="O472" i="1"/>
  <c r="V471" i="1"/>
  <c r="O471" i="1"/>
  <c r="V470" i="1"/>
  <c r="O470" i="1"/>
  <c r="V469" i="1"/>
  <c r="O469" i="1"/>
  <c r="V468" i="1"/>
  <c r="O468" i="1"/>
  <c r="V467" i="1"/>
  <c r="O467" i="1"/>
  <c r="V466" i="1"/>
  <c r="O466" i="1"/>
  <c r="V465" i="1"/>
  <c r="O465" i="1"/>
  <c r="V464" i="1"/>
  <c r="O464" i="1"/>
  <c r="V463" i="1"/>
  <c r="O463" i="1"/>
  <c r="V462" i="1"/>
  <c r="O462" i="1"/>
  <c r="V461" i="1"/>
  <c r="O461" i="1"/>
  <c r="V460" i="1"/>
  <c r="O460" i="1"/>
  <c r="V459" i="1"/>
  <c r="O459" i="1"/>
  <c r="V458" i="1"/>
  <c r="O458" i="1"/>
  <c r="V457" i="1"/>
  <c r="O457" i="1"/>
  <c r="V456" i="1"/>
  <c r="O456" i="1"/>
  <c r="V455" i="1"/>
  <c r="O455" i="1"/>
  <c r="V454" i="1"/>
  <c r="O454" i="1"/>
  <c r="V453" i="1"/>
  <c r="O453" i="1"/>
  <c r="V452" i="1"/>
  <c r="O452" i="1"/>
  <c r="V451" i="1"/>
  <c r="O451" i="1"/>
  <c r="V450" i="1"/>
  <c r="O450" i="1"/>
  <c r="V449" i="1"/>
  <c r="O449" i="1"/>
  <c r="V448" i="1"/>
  <c r="O448" i="1"/>
  <c r="V447" i="1"/>
  <c r="O447" i="1"/>
  <c r="V446" i="1"/>
  <c r="O446" i="1"/>
  <c r="V445" i="1"/>
  <c r="O445" i="1"/>
  <c r="V444" i="1"/>
  <c r="O444" i="1"/>
  <c r="V443" i="1"/>
  <c r="O443" i="1"/>
  <c r="V442" i="1"/>
  <c r="O442" i="1"/>
  <c r="V441" i="1"/>
  <c r="O441" i="1"/>
  <c r="V440" i="1"/>
  <c r="O440" i="1"/>
  <c r="V439" i="1"/>
  <c r="O439" i="1"/>
  <c r="V438" i="1"/>
  <c r="O438" i="1"/>
  <c r="V437" i="1"/>
  <c r="O437" i="1"/>
  <c r="V436" i="1"/>
  <c r="O436" i="1"/>
  <c r="V435" i="1"/>
  <c r="O435" i="1"/>
  <c r="V434" i="1"/>
  <c r="O434" i="1"/>
  <c r="V433" i="1"/>
  <c r="O433" i="1"/>
  <c r="V432" i="1"/>
  <c r="O432" i="1"/>
  <c r="V431" i="1"/>
  <c r="O431" i="1"/>
  <c r="V430" i="1"/>
  <c r="O430" i="1"/>
  <c r="V429" i="1"/>
  <c r="O429" i="1"/>
  <c r="V428" i="1"/>
  <c r="O428" i="1"/>
  <c r="V427" i="1"/>
  <c r="O427" i="1"/>
  <c r="V426" i="1"/>
  <c r="O426" i="1"/>
  <c r="V425" i="1"/>
  <c r="O425" i="1"/>
  <c r="V424" i="1"/>
  <c r="O424" i="1"/>
  <c r="V423" i="1"/>
  <c r="O423" i="1"/>
  <c r="V422" i="1"/>
  <c r="O422" i="1"/>
  <c r="V421" i="1"/>
  <c r="O421" i="1"/>
  <c r="V420" i="1"/>
  <c r="O420" i="1"/>
  <c r="V419" i="1"/>
  <c r="O419" i="1"/>
  <c r="V418" i="1"/>
  <c r="O418" i="1"/>
  <c r="V417" i="1"/>
  <c r="O417" i="1"/>
  <c r="V416" i="1"/>
  <c r="O416" i="1"/>
  <c r="V415" i="1"/>
  <c r="O415" i="1"/>
  <c r="V414" i="1"/>
  <c r="O414" i="1"/>
  <c r="V413" i="1"/>
  <c r="O413" i="1"/>
  <c r="V412" i="1"/>
  <c r="O412" i="1"/>
  <c r="V411" i="1"/>
  <c r="O411" i="1"/>
  <c r="V410" i="1"/>
  <c r="O410" i="1"/>
  <c r="V409" i="1"/>
  <c r="O409" i="1"/>
  <c r="V408" i="1"/>
  <c r="O408" i="1"/>
  <c r="V407" i="1"/>
  <c r="O407" i="1"/>
  <c r="V406" i="1"/>
  <c r="O406" i="1"/>
  <c r="V405" i="1"/>
  <c r="O405" i="1"/>
  <c r="V404" i="1"/>
  <c r="O404" i="1"/>
  <c r="V403" i="1"/>
  <c r="O403" i="1"/>
  <c r="V402" i="1"/>
  <c r="O402" i="1"/>
  <c r="V401" i="1"/>
  <c r="O401" i="1"/>
  <c r="V400" i="1"/>
  <c r="O400" i="1"/>
  <c r="V399" i="1"/>
  <c r="O399" i="1"/>
  <c r="V398" i="1"/>
  <c r="O398" i="1"/>
  <c r="V397" i="1"/>
  <c r="O397" i="1"/>
  <c r="V396" i="1"/>
  <c r="O396" i="1"/>
  <c r="V395" i="1"/>
  <c r="O395" i="1"/>
  <c r="V394" i="1"/>
  <c r="O394" i="1"/>
  <c r="V393" i="1"/>
  <c r="O393" i="1"/>
  <c r="V392" i="1"/>
  <c r="O392" i="1"/>
  <c r="V391" i="1"/>
  <c r="O391" i="1"/>
  <c r="V390" i="1"/>
  <c r="O390" i="1"/>
  <c r="V389" i="1"/>
  <c r="O389" i="1"/>
  <c r="V388" i="1"/>
  <c r="O388" i="1"/>
  <c r="V387" i="1"/>
  <c r="O387" i="1"/>
  <c r="V386" i="1"/>
  <c r="O386" i="1"/>
  <c r="V385" i="1"/>
  <c r="O385" i="1"/>
  <c r="V384" i="1"/>
  <c r="O384" i="1"/>
  <c r="V383" i="1"/>
  <c r="O383" i="1"/>
  <c r="V382" i="1"/>
  <c r="O382" i="1"/>
  <c r="V381" i="1"/>
  <c r="O381" i="1"/>
  <c r="V380" i="1"/>
  <c r="O380" i="1"/>
  <c r="V379" i="1"/>
  <c r="O379" i="1"/>
  <c r="V378" i="1"/>
  <c r="O378" i="1"/>
  <c r="V377" i="1"/>
  <c r="O377" i="1"/>
  <c r="V376" i="1"/>
  <c r="O376" i="1"/>
  <c r="V375" i="1"/>
  <c r="O375" i="1"/>
  <c r="V374" i="1"/>
  <c r="O374" i="1"/>
  <c r="V373" i="1"/>
  <c r="O373" i="1"/>
  <c r="V372" i="1"/>
  <c r="O372" i="1"/>
  <c r="V371" i="1"/>
  <c r="O371" i="1"/>
  <c r="V370" i="1"/>
  <c r="O370" i="1"/>
  <c r="V369" i="1"/>
  <c r="O369" i="1"/>
  <c r="V368" i="1"/>
  <c r="O368" i="1"/>
  <c r="V367" i="1"/>
  <c r="O367" i="1"/>
  <c r="V366" i="1"/>
  <c r="O366" i="1"/>
  <c r="V365" i="1"/>
  <c r="O365" i="1"/>
  <c r="V364" i="1"/>
  <c r="O364" i="1"/>
  <c r="V363" i="1"/>
  <c r="O363" i="1"/>
  <c r="V362" i="1"/>
  <c r="O362" i="1"/>
  <c r="V361" i="1"/>
  <c r="O361" i="1"/>
  <c r="V360" i="1"/>
  <c r="O360" i="1"/>
  <c r="V359" i="1"/>
  <c r="O359" i="1"/>
  <c r="V358" i="1"/>
  <c r="O358" i="1"/>
  <c r="V357" i="1"/>
  <c r="O357" i="1"/>
  <c r="V356" i="1"/>
  <c r="O356" i="1"/>
  <c r="V355" i="1"/>
  <c r="O355" i="1"/>
  <c r="V354" i="1"/>
  <c r="O354" i="1"/>
  <c r="V353" i="1"/>
  <c r="O353" i="1"/>
  <c r="V352" i="1"/>
  <c r="O352" i="1"/>
  <c r="V351" i="1"/>
  <c r="O351" i="1"/>
  <c r="V350" i="1"/>
  <c r="O350" i="1"/>
  <c r="V349" i="1"/>
  <c r="O349" i="1"/>
  <c r="V348" i="1"/>
  <c r="O348" i="1"/>
  <c r="V347" i="1"/>
  <c r="O347" i="1"/>
  <c r="V346" i="1"/>
  <c r="O346" i="1"/>
  <c r="V345" i="1"/>
  <c r="O345" i="1"/>
  <c r="V344" i="1"/>
  <c r="O344" i="1"/>
  <c r="V343" i="1"/>
  <c r="O343" i="1"/>
  <c r="V342" i="1"/>
  <c r="O342" i="1"/>
  <c r="V341" i="1"/>
  <c r="O341" i="1"/>
  <c r="V340" i="1"/>
  <c r="O340" i="1"/>
  <c r="V339" i="1"/>
  <c r="O339" i="1"/>
  <c r="V338" i="1"/>
  <c r="O338" i="1"/>
  <c r="V337" i="1"/>
  <c r="O337" i="1"/>
  <c r="V336" i="1"/>
  <c r="O336" i="1"/>
  <c r="V335" i="1"/>
  <c r="O335" i="1"/>
  <c r="V334" i="1"/>
  <c r="O334" i="1"/>
  <c r="V333" i="1"/>
  <c r="O333" i="1"/>
  <c r="V332" i="1"/>
  <c r="O332" i="1"/>
  <c r="V331" i="1"/>
  <c r="O331" i="1"/>
  <c r="V330" i="1"/>
  <c r="O330" i="1"/>
  <c r="V329" i="1"/>
  <c r="O329" i="1"/>
  <c r="V328" i="1"/>
  <c r="O328" i="1"/>
  <c r="V327" i="1"/>
  <c r="O327" i="1"/>
  <c r="V326" i="1"/>
  <c r="O326" i="1"/>
  <c r="V325" i="1"/>
  <c r="O325" i="1"/>
  <c r="V324" i="1"/>
  <c r="O324" i="1"/>
  <c r="V323" i="1"/>
  <c r="O323" i="1"/>
  <c r="V322" i="1"/>
  <c r="O322" i="1"/>
  <c r="V321" i="1"/>
  <c r="O321" i="1"/>
  <c r="V320" i="1"/>
  <c r="O320" i="1"/>
  <c r="V319" i="1"/>
  <c r="O319" i="1"/>
  <c r="V318" i="1"/>
  <c r="O318" i="1"/>
  <c r="V317" i="1"/>
  <c r="O317" i="1"/>
  <c r="V316" i="1"/>
  <c r="O316" i="1"/>
  <c r="V315" i="1"/>
  <c r="O315" i="1"/>
  <c r="V314" i="1"/>
  <c r="O314" i="1"/>
  <c r="V313" i="1"/>
  <c r="O313" i="1"/>
  <c r="V312" i="1"/>
  <c r="O312" i="1"/>
  <c r="V311" i="1"/>
  <c r="O311" i="1"/>
  <c r="V310" i="1"/>
  <c r="O310" i="1"/>
  <c r="V309" i="1"/>
  <c r="O309" i="1"/>
  <c r="V308" i="1"/>
  <c r="O308" i="1"/>
  <c r="V307" i="1"/>
  <c r="O307" i="1"/>
  <c r="V306" i="1"/>
  <c r="O306" i="1"/>
  <c r="V305" i="1"/>
  <c r="O305" i="1"/>
  <c r="V304" i="1"/>
  <c r="O304" i="1"/>
  <c r="V303" i="1"/>
  <c r="O303" i="1"/>
  <c r="V302" i="1"/>
  <c r="O302" i="1"/>
  <c r="V301" i="1"/>
  <c r="O301" i="1"/>
  <c r="V300" i="1"/>
  <c r="O300" i="1"/>
  <c r="V299" i="1"/>
  <c r="O299" i="1"/>
  <c r="V298" i="1"/>
  <c r="O298" i="1"/>
  <c r="V297" i="1"/>
  <c r="O297" i="1"/>
  <c r="V296" i="1"/>
  <c r="O296" i="1"/>
  <c r="V295" i="1"/>
  <c r="O295" i="1"/>
  <c r="V294" i="1"/>
  <c r="O294" i="1"/>
  <c r="V293" i="1"/>
  <c r="O293" i="1"/>
  <c r="V292" i="1"/>
  <c r="O292" i="1"/>
  <c r="V291" i="1"/>
  <c r="O291" i="1"/>
  <c r="V290" i="1"/>
  <c r="O290" i="1"/>
  <c r="V289" i="1"/>
  <c r="O289" i="1"/>
  <c r="V288" i="1"/>
  <c r="O288" i="1"/>
  <c r="V287" i="1"/>
  <c r="O287" i="1"/>
  <c r="V286" i="1"/>
  <c r="O286" i="1"/>
  <c r="V285" i="1"/>
  <c r="O285" i="1"/>
  <c r="V284" i="1"/>
  <c r="O284" i="1"/>
  <c r="V283" i="1"/>
  <c r="O283" i="1"/>
  <c r="V282" i="1"/>
  <c r="O282" i="1"/>
  <c r="V281" i="1"/>
  <c r="O281" i="1"/>
  <c r="V280" i="1"/>
  <c r="O280" i="1"/>
  <c r="V279" i="1"/>
  <c r="O279" i="1"/>
  <c r="V278" i="1"/>
  <c r="O278" i="1"/>
  <c r="V277" i="1"/>
  <c r="O277" i="1"/>
  <c r="V276" i="1"/>
  <c r="O276" i="1"/>
  <c r="V275" i="1"/>
  <c r="O275" i="1"/>
  <c r="V274" i="1"/>
  <c r="O274" i="1"/>
  <c r="V273" i="1"/>
  <c r="O273" i="1"/>
  <c r="V272" i="1"/>
  <c r="O272" i="1"/>
  <c r="V271" i="1"/>
  <c r="O271" i="1"/>
  <c r="V270" i="1"/>
  <c r="O270" i="1"/>
  <c r="V269" i="1"/>
  <c r="O269" i="1"/>
  <c r="V268" i="1"/>
  <c r="O268" i="1"/>
  <c r="V267" i="1"/>
  <c r="O267" i="1"/>
  <c r="V266" i="1"/>
  <c r="O266" i="1"/>
  <c r="V265" i="1"/>
  <c r="O265" i="1"/>
  <c r="V264" i="1"/>
  <c r="O264" i="1"/>
  <c r="V263" i="1"/>
  <c r="O263" i="1"/>
  <c r="V262" i="1"/>
  <c r="O262" i="1"/>
  <c r="V261" i="1"/>
  <c r="O261" i="1"/>
  <c r="V260" i="1"/>
  <c r="O260" i="1"/>
  <c r="V259" i="1"/>
  <c r="O259" i="1"/>
  <c r="V258" i="1"/>
  <c r="O258" i="1"/>
  <c r="V257" i="1"/>
  <c r="O257" i="1"/>
  <c r="V256" i="1"/>
  <c r="O256" i="1"/>
  <c r="V255" i="1"/>
  <c r="O255" i="1"/>
  <c r="V254" i="1"/>
  <c r="O254" i="1"/>
  <c r="V253" i="1"/>
  <c r="O253" i="1"/>
  <c r="V252" i="1"/>
  <c r="O252" i="1"/>
  <c r="V251" i="1"/>
  <c r="O251" i="1"/>
  <c r="V250" i="1"/>
  <c r="O250" i="1"/>
  <c r="V249" i="1"/>
  <c r="O249" i="1"/>
  <c r="V248" i="1"/>
  <c r="O248" i="1"/>
  <c r="V247" i="1"/>
  <c r="O247" i="1"/>
  <c r="V246" i="1"/>
  <c r="O246" i="1"/>
  <c r="V245" i="1"/>
  <c r="O245" i="1"/>
  <c r="V244" i="1"/>
  <c r="O244" i="1"/>
  <c r="V243" i="1"/>
  <c r="O243" i="1"/>
  <c r="V242" i="1"/>
  <c r="O242" i="1"/>
  <c r="V241" i="1"/>
  <c r="O241" i="1"/>
  <c r="V240" i="1"/>
  <c r="O240" i="1"/>
  <c r="V239" i="1"/>
  <c r="O239" i="1"/>
  <c r="V238" i="1"/>
  <c r="O238" i="1"/>
  <c r="V237" i="1"/>
  <c r="O237" i="1"/>
  <c r="V236" i="1"/>
  <c r="O236" i="1"/>
  <c r="V235" i="1"/>
  <c r="O235" i="1"/>
  <c r="V234" i="1"/>
  <c r="O234" i="1"/>
  <c r="V233" i="1"/>
  <c r="O233" i="1"/>
  <c r="V232" i="1"/>
  <c r="O232" i="1"/>
  <c r="V231" i="1"/>
  <c r="O231" i="1"/>
  <c r="V230" i="1"/>
  <c r="O230" i="1"/>
  <c r="V229" i="1"/>
  <c r="O229" i="1"/>
  <c r="V228" i="1"/>
  <c r="O228" i="1"/>
  <c r="V227" i="1"/>
  <c r="O227" i="1"/>
  <c r="V226" i="1"/>
  <c r="O226" i="1"/>
  <c r="V225" i="1"/>
  <c r="O225" i="1"/>
  <c r="V224" i="1"/>
  <c r="O224" i="1"/>
  <c r="V223" i="1"/>
  <c r="O223" i="1"/>
  <c r="V222" i="1"/>
  <c r="O222" i="1"/>
  <c r="V221" i="1"/>
  <c r="O221" i="1"/>
  <c r="V220" i="1"/>
  <c r="O220" i="1"/>
  <c r="V219" i="1"/>
  <c r="O219" i="1"/>
  <c r="V218" i="1"/>
  <c r="O218" i="1"/>
  <c r="V217" i="1"/>
  <c r="O217" i="1"/>
  <c r="V216" i="1"/>
  <c r="O216" i="1"/>
  <c r="V215" i="1"/>
  <c r="O215" i="1"/>
  <c r="V214" i="1"/>
  <c r="O214" i="1"/>
  <c r="V213" i="1"/>
  <c r="O213" i="1"/>
  <c r="V212" i="1"/>
  <c r="O212" i="1"/>
  <c r="V211" i="1"/>
  <c r="O211" i="1"/>
  <c r="V210" i="1"/>
  <c r="O210" i="1"/>
  <c r="V209" i="1"/>
  <c r="O209" i="1"/>
  <c r="V208" i="1"/>
  <c r="O208" i="1"/>
  <c r="V207" i="1"/>
  <c r="O207" i="1"/>
  <c r="V206" i="1"/>
  <c r="O206" i="1"/>
  <c r="V205" i="1"/>
  <c r="O205" i="1"/>
  <c r="V204" i="1"/>
  <c r="O204" i="1"/>
  <c r="V203" i="1"/>
  <c r="O203" i="1"/>
  <c r="V202" i="1"/>
  <c r="O202" i="1"/>
  <c r="V201" i="1"/>
  <c r="O201" i="1"/>
  <c r="V200" i="1"/>
  <c r="O200" i="1"/>
  <c r="V199" i="1"/>
  <c r="O199" i="1"/>
  <c r="V198" i="1"/>
  <c r="O198" i="1"/>
  <c r="V197" i="1"/>
  <c r="O197" i="1"/>
  <c r="V196" i="1"/>
  <c r="O196" i="1"/>
  <c r="V195" i="1"/>
  <c r="O195" i="1"/>
  <c r="V194" i="1"/>
  <c r="O194" i="1"/>
  <c r="V193" i="1"/>
  <c r="O193" i="1"/>
  <c r="V192" i="1"/>
  <c r="O192" i="1"/>
  <c r="V191" i="1"/>
  <c r="O191" i="1"/>
  <c r="V190" i="1"/>
  <c r="O190" i="1"/>
  <c r="V189" i="1"/>
  <c r="O189" i="1"/>
  <c r="V188" i="1"/>
  <c r="O188" i="1"/>
  <c r="V187" i="1"/>
  <c r="O187" i="1"/>
  <c r="V186" i="1"/>
  <c r="O186" i="1"/>
  <c r="V185" i="1"/>
  <c r="O185" i="1"/>
  <c r="V184" i="1"/>
  <c r="O184" i="1"/>
  <c r="V183" i="1"/>
  <c r="O183" i="1"/>
  <c r="V182" i="1"/>
  <c r="O182" i="1"/>
  <c r="V181" i="1"/>
  <c r="O181" i="1"/>
  <c r="V180" i="1"/>
  <c r="O180" i="1"/>
  <c r="V179" i="1"/>
  <c r="O179" i="1"/>
  <c r="V178" i="1"/>
  <c r="O178" i="1"/>
  <c r="V177" i="1"/>
  <c r="O177" i="1"/>
  <c r="V176" i="1"/>
  <c r="O176" i="1"/>
  <c r="V175" i="1"/>
  <c r="O175" i="1"/>
  <c r="V174" i="1"/>
  <c r="O174" i="1"/>
  <c r="V173" i="1"/>
  <c r="O173" i="1"/>
  <c r="V172" i="1"/>
  <c r="O172" i="1"/>
  <c r="V171" i="1"/>
  <c r="O171" i="1"/>
  <c r="V170" i="1"/>
  <c r="O170" i="1"/>
  <c r="V169" i="1"/>
  <c r="O169" i="1"/>
  <c r="V168" i="1"/>
  <c r="O168" i="1"/>
  <c r="V167" i="1"/>
  <c r="O167" i="1"/>
  <c r="V166" i="1"/>
  <c r="O166" i="1"/>
  <c r="V165" i="1"/>
  <c r="O165" i="1"/>
  <c r="V164" i="1"/>
  <c r="O164" i="1"/>
  <c r="V163" i="1"/>
  <c r="O163" i="1"/>
  <c r="V162" i="1"/>
  <c r="O162" i="1"/>
  <c r="V161" i="1"/>
  <c r="O161" i="1"/>
  <c r="V160" i="1"/>
  <c r="O160" i="1"/>
  <c r="V159" i="1"/>
  <c r="O159" i="1"/>
  <c r="V158" i="1"/>
  <c r="O158" i="1"/>
  <c r="V157" i="1"/>
  <c r="O157" i="1"/>
  <c r="V156" i="1"/>
  <c r="O156" i="1"/>
  <c r="V155" i="1"/>
  <c r="O155" i="1"/>
  <c r="V154" i="1"/>
  <c r="O154" i="1"/>
  <c r="V153" i="1"/>
  <c r="O153" i="1"/>
  <c r="V152" i="1"/>
  <c r="O152" i="1"/>
  <c r="V151" i="1"/>
  <c r="O151" i="1"/>
  <c r="V150" i="1"/>
  <c r="O150" i="1"/>
  <c r="V149" i="1"/>
  <c r="O149" i="1"/>
  <c r="V148" i="1"/>
  <c r="O148" i="1"/>
  <c r="V147" i="1"/>
  <c r="O147" i="1"/>
  <c r="V146" i="1"/>
  <c r="O146" i="1"/>
  <c r="V145" i="1"/>
  <c r="O145" i="1"/>
  <c r="V144" i="1"/>
  <c r="O144" i="1"/>
  <c r="V143" i="1"/>
  <c r="O143" i="1"/>
  <c r="V142" i="1"/>
  <c r="O142" i="1"/>
  <c r="V141" i="1"/>
  <c r="O141" i="1"/>
  <c r="V140" i="1"/>
  <c r="O140" i="1"/>
  <c r="V139" i="1"/>
  <c r="O139" i="1"/>
  <c r="V138" i="1"/>
  <c r="O138" i="1"/>
  <c r="V137" i="1"/>
  <c r="O137" i="1"/>
  <c r="V136" i="1"/>
  <c r="O136" i="1"/>
  <c r="V135" i="1"/>
  <c r="O135" i="1"/>
  <c r="V134" i="1"/>
  <c r="O134" i="1"/>
  <c r="V133" i="1"/>
  <c r="O133" i="1"/>
  <c r="V132" i="1"/>
  <c r="O132" i="1"/>
  <c r="V131" i="1"/>
  <c r="O131" i="1"/>
  <c r="V130" i="1"/>
  <c r="O130" i="1"/>
  <c r="V129" i="1"/>
  <c r="O129" i="1"/>
  <c r="V128" i="1"/>
  <c r="O128" i="1"/>
  <c r="V127" i="1"/>
  <c r="O127" i="1"/>
  <c r="V126" i="1"/>
  <c r="O126" i="1"/>
  <c r="V125" i="1"/>
  <c r="O125" i="1"/>
  <c r="V124" i="1"/>
  <c r="O124" i="1"/>
  <c r="V123" i="1"/>
  <c r="O123" i="1"/>
  <c r="V122" i="1"/>
  <c r="O122" i="1"/>
  <c r="V121" i="1"/>
  <c r="O121" i="1"/>
  <c r="V120" i="1"/>
  <c r="O120" i="1"/>
  <c r="V119" i="1"/>
  <c r="O119" i="1"/>
  <c r="V118" i="1"/>
  <c r="O118" i="1"/>
  <c r="V117" i="1"/>
  <c r="O117" i="1"/>
  <c r="V116" i="1"/>
  <c r="O116" i="1"/>
  <c r="V115" i="1"/>
  <c r="O115" i="1"/>
  <c r="V114" i="1"/>
  <c r="O114" i="1"/>
  <c r="V113" i="1"/>
  <c r="O113" i="1"/>
  <c r="V112" i="1"/>
  <c r="O112" i="1"/>
  <c r="V111" i="1"/>
  <c r="O111" i="1"/>
  <c r="V110" i="1"/>
  <c r="O110" i="1"/>
  <c r="V109" i="1"/>
  <c r="O109" i="1"/>
  <c r="V108" i="1"/>
  <c r="O108" i="1"/>
  <c r="V107" i="1"/>
  <c r="O107" i="1"/>
  <c r="V106" i="1"/>
  <c r="O106" i="1"/>
  <c r="V105" i="1"/>
  <c r="O105" i="1"/>
  <c r="V104" i="1"/>
  <c r="O104" i="1"/>
  <c r="V103" i="1"/>
  <c r="O103" i="1"/>
  <c r="V102" i="1"/>
  <c r="O102" i="1"/>
  <c r="V101" i="1"/>
  <c r="O101" i="1"/>
  <c r="V100" i="1"/>
  <c r="O100" i="1"/>
  <c r="V99" i="1"/>
  <c r="O99" i="1"/>
  <c r="V98" i="1"/>
  <c r="O98" i="1"/>
  <c r="V97" i="1"/>
  <c r="O97" i="1"/>
  <c r="V96" i="1"/>
  <c r="O96" i="1"/>
  <c r="V95" i="1"/>
  <c r="O95" i="1"/>
  <c r="V94" i="1"/>
  <c r="O94" i="1"/>
  <c r="V93" i="1"/>
  <c r="O93" i="1"/>
  <c r="V92" i="1"/>
  <c r="O92" i="1"/>
  <c r="V91" i="1"/>
  <c r="O91" i="1"/>
  <c r="V90" i="1"/>
  <c r="O90" i="1"/>
  <c r="V89" i="1"/>
  <c r="O89" i="1"/>
  <c r="V88" i="1"/>
  <c r="O88" i="1"/>
  <c r="V87" i="1"/>
  <c r="O87" i="1"/>
  <c r="V86" i="1"/>
  <c r="O86" i="1"/>
  <c r="V85" i="1"/>
  <c r="O85" i="1"/>
  <c r="V84" i="1"/>
  <c r="O84" i="1"/>
  <c r="V83" i="1"/>
  <c r="O83" i="1"/>
  <c r="V82" i="1"/>
  <c r="O82" i="1"/>
  <c r="V81" i="1"/>
  <c r="O81" i="1"/>
  <c r="V80" i="1"/>
  <c r="O80" i="1"/>
  <c r="V79" i="1"/>
  <c r="O79" i="1"/>
  <c r="V78" i="1"/>
  <c r="O78" i="1"/>
  <c r="V77" i="1"/>
  <c r="O77" i="1"/>
  <c r="V76" i="1"/>
  <c r="O76" i="1"/>
  <c r="V75" i="1"/>
  <c r="O75" i="1"/>
  <c r="V74" i="1"/>
  <c r="O74" i="1"/>
  <c r="V73" i="1"/>
  <c r="O73" i="1"/>
  <c r="V72" i="1"/>
  <c r="O72" i="1"/>
  <c r="V71" i="1"/>
  <c r="O71" i="1"/>
  <c r="V70" i="1"/>
  <c r="O70" i="1"/>
  <c r="V69" i="1"/>
  <c r="O69" i="1"/>
  <c r="V68" i="1"/>
  <c r="O68" i="1"/>
  <c r="V67" i="1"/>
  <c r="O67" i="1"/>
  <c r="V66" i="1"/>
  <c r="O66" i="1"/>
  <c r="V65" i="1"/>
  <c r="O65" i="1"/>
  <c r="V64" i="1"/>
  <c r="O64" i="1"/>
  <c r="V63" i="1"/>
  <c r="O63" i="1"/>
  <c r="V62" i="1"/>
  <c r="O62" i="1"/>
  <c r="V61" i="1"/>
  <c r="O61" i="1"/>
  <c r="V60" i="1"/>
  <c r="O60" i="1"/>
  <c r="V59" i="1"/>
  <c r="O59" i="1"/>
  <c r="V58" i="1"/>
  <c r="O58" i="1"/>
  <c r="V57" i="1"/>
  <c r="O57" i="1"/>
  <c r="V56" i="1"/>
  <c r="O56" i="1"/>
  <c r="V55" i="1"/>
  <c r="O55" i="1"/>
  <c r="V54" i="1"/>
  <c r="O54" i="1"/>
  <c r="V53" i="1"/>
  <c r="O53" i="1"/>
  <c r="V52" i="1"/>
  <c r="O52" i="1"/>
  <c r="V51" i="1"/>
  <c r="O51" i="1"/>
  <c r="V50" i="1"/>
  <c r="O50" i="1"/>
  <c r="V49" i="1"/>
  <c r="O49" i="1"/>
  <c r="V48" i="1"/>
  <c r="O48" i="1"/>
  <c r="V47" i="1"/>
  <c r="O47" i="1"/>
  <c r="V46" i="1"/>
  <c r="O46" i="1"/>
  <c r="V45" i="1"/>
  <c r="O45" i="1"/>
  <c r="V44" i="1"/>
  <c r="O44" i="1"/>
  <c r="V43" i="1"/>
  <c r="O43" i="1"/>
  <c r="V42" i="1"/>
  <c r="O42" i="1"/>
  <c r="V41" i="1"/>
  <c r="O41" i="1"/>
  <c r="V40" i="1"/>
  <c r="O40" i="1"/>
  <c r="V39" i="1"/>
  <c r="O39" i="1"/>
  <c r="V38" i="1"/>
  <c r="O38" i="1"/>
  <c r="V37" i="1"/>
  <c r="O37" i="1"/>
  <c r="V36" i="1"/>
  <c r="O36" i="1"/>
  <c r="V35" i="1"/>
  <c r="O35" i="1"/>
  <c r="V34" i="1"/>
  <c r="O34" i="1"/>
  <c r="V33" i="1"/>
  <c r="O33" i="1"/>
  <c r="V32" i="1"/>
  <c r="O32" i="1"/>
  <c r="V31" i="1"/>
  <c r="O31" i="1"/>
  <c r="V30" i="1"/>
  <c r="O30" i="1"/>
  <c r="V29" i="1"/>
  <c r="O29" i="1"/>
  <c r="V28" i="1"/>
  <c r="O28" i="1"/>
  <c r="V27" i="1"/>
  <c r="O27" i="1"/>
  <c r="V26" i="1"/>
  <c r="O26" i="1"/>
  <c r="V25" i="1"/>
  <c r="O25" i="1"/>
  <c r="V24" i="1"/>
  <c r="O24" i="1"/>
  <c r="V23" i="1"/>
  <c r="O23" i="1"/>
  <c r="V22" i="1"/>
  <c r="O22" i="1"/>
  <c r="V21" i="1"/>
  <c r="O21" i="1"/>
  <c r="V20" i="1"/>
  <c r="O20" i="1"/>
  <c r="V19" i="1"/>
  <c r="O19" i="1"/>
  <c r="V18" i="1"/>
  <c r="O18" i="1"/>
  <c r="V17" i="1"/>
  <c r="O17" i="1"/>
  <c r="V16" i="1"/>
  <c r="O16" i="1"/>
  <c r="V15" i="1"/>
  <c r="O15" i="1"/>
  <c r="V14" i="1"/>
  <c r="O14" i="1"/>
  <c r="V13" i="1"/>
  <c r="O13" i="1"/>
  <c r="V12" i="1"/>
  <c r="O12" i="1"/>
  <c r="V11" i="1"/>
  <c r="O11" i="1"/>
  <c r="V10" i="1"/>
  <c r="O10" i="1"/>
  <c r="V9" i="1"/>
  <c r="O9" i="1"/>
</calcChain>
</file>

<file path=xl/sharedStrings.xml><?xml version="1.0" encoding="utf-8"?>
<sst xmlns="http://schemas.openxmlformats.org/spreadsheetml/2006/main" count="28685" uniqueCount="1686">
  <si>
    <t>当該自動車の製造又は輸入の事業を行う者の氏名又は名称　　　　いすゞ自動車株式会社　　　</t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8"/>
  </si>
  <si>
    <t>トラック等又はトラクタ</t>
    <rPh sb="4" eb="5">
      <t>トウ</t>
    </rPh>
    <rPh sb="5" eb="6">
      <t>マタ</t>
    </rPh>
    <phoneticPr fontId="8"/>
  </si>
  <si>
    <r>
      <rPr>
        <sz val="8"/>
        <rFont val="ＭＳ Ｐゴシック"/>
        <family val="3"/>
        <charset val="128"/>
      </rPr>
      <t>目標年度（平成</t>
    </r>
    <r>
      <rPr>
        <sz val="8"/>
        <rFont val="Arial"/>
        <family val="2"/>
      </rPr>
      <t>27</t>
    </r>
    <r>
      <rPr>
        <sz val="8"/>
        <rFont val="ＭＳ Ｐゴシック"/>
        <family val="3"/>
        <charset val="128"/>
      </rPr>
      <t>年度）</t>
    </r>
    <rPh sb="0" eb="2">
      <t>モクヒョウ</t>
    </rPh>
    <rPh sb="2" eb="4">
      <t>ネンド</t>
    </rPh>
    <rPh sb="5" eb="7">
      <t>ヘイセイ</t>
    </rPh>
    <rPh sb="9" eb="11">
      <t>ネンド</t>
    </rPh>
    <phoneticPr fontId="8"/>
  </si>
  <si>
    <r>
      <rPr>
        <sz val="8"/>
        <rFont val="ＭＳ Ｐゴシック"/>
        <family val="3"/>
        <charset val="128"/>
      </rPr>
      <t>車　名</t>
    </r>
    <rPh sb="0" eb="1">
      <t>クルマ</t>
    </rPh>
    <rPh sb="2" eb="3">
      <t>メイ</t>
    </rPh>
    <phoneticPr fontId="8"/>
  </si>
  <si>
    <r>
      <rPr>
        <sz val="8"/>
        <rFont val="ＭＳ Ｐゴシック"/>
        <family val="3"/>
        <charset val="128"/>
      </rPr>
      <t>通称名</t>
    </r>
  </si>
  <si>
    <r>
      <rPr>
        <sz val="8"/>
        <rFont val="ＭＳ Ｐゴシック"/>
        <family val="3"/>
        <charset val="128"/>
      </rPr>
      <t>型式</t>
    </r>
  </si>
  <si>
    <r>
      <rPr>
        <sz val="8"/>
        <rFont val="ＭＳ Ｐゴシック"/>
        <family val="3"/>
        <charset val="128"/>
      </rPr>
      <t>原動機</t>
    </r>
  </si>
  <si>
    <t>変速装置の
型式及び変速段数</t>
    <rPh sb="0" eb="2">
      <t>ヘンソク</t>
    </rPh>
    <rPh sb="2" eb="4">
      <t>ソウチ</t>
    </rPh>
    <rPh sb="6" eb="8">
      <t>カタシキ</t>
    </rPh>
    <rPh sb="8" eb="9">
      <t>オヨ</t>
    </rPh>
    <rPh sb="10" eb="12">
      <t>ヘンソク</t>
    </rPh>
    <rPh sb="12" eb="14">
      <t>ダンスウ</t>
    </rPh>
    <phoneticPr fontId="8"/>
  </si>
  <si>
    <t>車両重量
(kg)</t>
    <phoneticPr fontId="8"/>
  </si>
  <si>
    <t>車両総重量
(kg)</t>
    <phoneticPr fontId="8"/>
  </si>
  <si>
    <t>最大積載量(kg)
又は
乗車定員(名)</t>
    <rPh sb="0" eb="2">
      <t>サイダイ</t>
    </rPh>
    <rPh sb="2" eb="5">
      <t>セキサイリョウ</t>
    </rPh>
    <rPh sb="10" eb="11">
      <t>マタ</t>
    </rPh>
    <rPh sb="13" eb="15">
      <t>ジョウシャ</t>
    </rPh>
    <rPh sb="15" eb="17">
      <t>テイイン</t>
    </rPh>
    <rPh sb="18" eb="19">
      <t>メイ</t>
    </rPh>
    <phoneticPr fontId="8"/>
  </si>
  <si>
    <t>自動車の構造</t>
    <rPh sb="0" eb="3">
      <t>ジドウシャ</t>
    </rPh>
    <rPh sb="4" eb="6">
      <t>コウゾウ</t>
    </rPh>
    <phoneticPr fontId="8"/>
  </si>
  <si>
    <t>重量車モード</t>
    <rPh sb="0" eb="3">
      <t>ジュウリョウシャ</t>
    </rPh>
    <phoneticPr fontId="8"/>
  </si>
  <si>
    <t>主要燃費
改善対策</t>
    <rPh sb="0" eb="2">
      <t>シュヨウ</t>
    </rPh>
    <rPh sb="2" eb="4">
      <t>ネンピ</t>
    </rPh>
    <rPh sb="5" eb="7">
      <t>カイゼン</t>
    </rPh>
    <rPh sb="7" eb="9">
      <t>タイサク</t>
    </rPh>
    <phoneticPr fontId="8"/>
  </si>
  <si>
    <r>
      <rPr>
        <sz val="8"/>
        <rFont val="ＭＳ Ｐゴシック"/>
        <family val="3"/>
        <charset val="128"/>
      </rPr>
      <t>その他燃費値の異なる要因</t>
    </r>
    <rPh sb="2" eb="3">
      <t>タ</t>
    </rPh>
    <rPh sb="3" eb="5">
      <t>ネンピ</t>
    </rPh>
    <rPh sb="5" eb="6">
      <t>チ</t>
    </rPh>
    <rPh sb="7" eb="8">
      <t>コト</t>
    </rPh>
    <rPh sb="10" eb="12">
      <t>ヨウイン</t>
    </rPh>
    <phoneticPr fontId="8"/>
  </si>
  <si>
    <t>（参考）
低排出ガス
認定レベル</t>
    <rPh sb="1" eb="3">
      <t>サンコウ</t>
    </rPh>
    <phoneticPr fontId="8"/>
  </si>
  <si>
    <t>平成27年度
燃費基準
達成レベル・向上達成レベル</t>
    <rPh sb="0" eb="2">
      <t>ヘイセイ</t>
    </rPh>
    <rPh sb="4" eb="6">
      <t>ネンド</t>
    </rPh>
    <rPh sb="6" eb="8">
      <t>ヘイネンド</t>
    </rPh>
    <rPh sb="7" eb="9">
      <t>ネンピ</t>
    </rPh>
    <rPh sb="9" eb="11">
      <t>キジュン</t>
    </rPh>
    <rPh sb="12" eb="14">
      <t>タッセイ</t>
    </rPh>
    <rPh sb="18" eb="20">
      <t>コウジョウ</t>
    </rPh>
    <rPh sb="20" eb="22">
      <t>タッセイ</t>
    </rPh>
    <phoneticPr fontId="8"/>
  </si>
  <si>
    <t>燃費値
(km/L)</t>
    <rPh sb="0" eb="2">
      <t>ネンピ</t>
    </rPh>
    <rPh sb="2" eb="3">
      <t>チ</t>
    </rPh>
    <phoneticPr fontId="8"/>
  </si>
  <si>
    <r>
      <t>1km</t>
    </r>
    <r>
      <rPr>
        <sz val="8"/>
        <rFont val="ＭＳ Ｐゴシック"/>
        <family val="3"/>
        <charset val="128"/>
      </rPr>
      <t xml:space="preserve">走行
における
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 xml:space="preserve">排出量
</t>
    </r>
    <r>
      <rPr>
        <sz val="8"/>
        <rFont val="Arial"/>
        <family val="2"/>
      </rPr>
      <t>(g-CO2/km)</t>
    </r>
    <rPh sb="14" eb="16">
      <t>ハイシュツ</t>
    </rPh>
    <rPh sb="16" eb="17">
      <t>リョウ</t>
    </rPh>
    <phoneticPr fontId="8"/>
  </si>
  <si>
    <t>平成27年度燃費基準値
(km/L)</t>
    <rPh sb="0" eb="2">
      <t>ヘイセイ</t>
    </rPh>
    <rPh sb="4" eb="6">
      <t>ネンド</t>
    </rPh>
    <rPh sb="6" eb="8">
      <t>ネンピ</t>
    </rPh>
    <rPh sb="8" eb="11">
      <t>キジュンチ</t>
    </rPh>
    <phoneticPr fontId="8"/>
  </si>
  <si>
    <r>
      <rPr>
        <sz val="8"/>
        <rFont val="ＭＳ Ｐゴシック"/>
        <family val="3"/>
        <charset val="128"/>
      </rPr>
      <t xml:space="preserve">総排気量
</t>
    </r>
    <r>
      <rPr>
        <sz val="8"/>
        <rFont val="Arial"/>
        <family val="2"/>
      </rPr>
      <t>(L)</t>
    </r>
    <rPh sb="2" eb="3">
      <t>キ</t>
    </rPh>
    <rPh sb="3" eb="4">
      <t>リョウ</t>
    </rPh>
    <phoneticPr fontId="8"/>
  </si>
  <si>
    <r>
      <rPr>
        <sz val="8"/>
        <rFont val="ＭＳ Ｐゴシック"/>
        <family val="3"/>
        <charset val="128"/>
      </rPr>
      <t xml:space="preserve">最大トルク
</t>
    </r>
    <r>
      <rPr>
        <sz val="8"/>
        <rFont val="Arial"/>
        <family val="2"/>
      </rPr>
      <t>(N-m)</t>
    </r>
    <rPh sb="0" eb="2">
      <t>サイダイ</t>
    </rPh>
    <phoneticPr fontId="8"/>
  </si>
  <si>
    <r>
      <rPr>
        <sz val="8"/>
        <rFont val="ＭＳ Ｐゴシック"/>
        <family val="3"/>
        <charset val="128"/>
      </rPr>
      <t xml:space="preserve">最高出力
</t>
    </r>
    <r>
      <rPr>
        <sz val="8"/>
        <rFont val="Arial"/>
        <family val="2"/>
      </rPr>
      <t>(kW)</t>
    </r>
    <rPh sb="0" eb="2">
      <t>サイコウ</t>
    </rPh>
    <rPh sb="2" eb="4">
      <t>シュツリョク</t>
    </rPh>
    <phoneticPr fontId="8"/>
  </si>
  <si>
    <t>主要排出
ガス対策</t>
    <phoneticPr fontId="8"/>
  </si>
  <si>
    <t>車輪配列</t>
    <rPh sb="0" eb="2">
      <t>シャリン</t>
    </rPh>
    <phoneticPr fontId="8"/>
  </si>
  <si>
    <r>
      <rPr>
        <sz val="8"/>
        <rFont val="ＭＳ Ｐゴシック"/>
        <family val="3"/>
        <charset val="128"/>
      </rPr>
      <t>その他</t>
    </r>
  </si>
  <si>
    <r>
      <rPr>
        <sz val="8"/>
        <rFont val="ＭＳ Ｐゴシック"/>
        <family val="3"/>
        <charset val="128"/>
      </rPr>
      <t>いすゞ</t>
    </r>
    <phoneticPr fontId="8"/>
  </si>
  <si>
    <r>
      <rPr>
        <sz val="8"/>
        <rFont val="ＭＳ Ｐゴシック"/>
        <family val="3"/>
        <charset val="128"/>
      </rPr>
      <t>エルフ</t>
    </r>
    <phoneticPr fontId="8"/>
  </si>
  <si>
    <t>2SG-NJR88AN</t>
    <phoneticPr fontId="8"/>
  </si>
  <si>
    <t>4JZ1-HE11</t>
    <phoneticPr fontId="8"/>
  </si>
  <si>
    <t>6MT</t>
    <phoneticPr fontId="8"/>
  </si>
  <si>
    <t>ﾄﾗｯｸ等</t>
  </si>
  <si>
    <t>H,I,P,FI,
TC,IC,D</t>
    <phoneticPr fontId="8"/>
  </si>
  <si>
    <t>EGR,DF,SCR</t>
  </si>
  <si>
    <t>2-4D</t>
  </si>
  <si>
    <t>2SG-NKR88AN</t>
    <phoneticPr fontId="8"/>
  </si>
  <si>
    <t>2SG-NLR88AN</t>
    <phoneticPr fontId="8"/>
  </si>
  <si>
    <t>2SG-NMR88AN</t>
    <phoneticPr fontId="8"/>
  </si>
  <si>
    <t>2SG-NMR88N</t>
    <phoneticPr fontId="8"/>
  </si>
  <si>
    <t>2SG-NPR88AN</t>
    <phoneticPr fontId="8"/>
  </si>
  <si>
    <t>2TG-NJR88AF</t>
  </si>
  <si>
    <t>4JZ1</t>
  </si>
  <si>
    <t>9AT</t>
  </si>
  <si>
    <t>I,P,FI,
TC,IC,D</t>
  </si>
  <si>
    <t>2-2D</t>
  </si>
  <si>
    <t>2TG-NJR88AM</t>
  </si>
  <si>
    <t>2TG-NKR88AC</t>
  </si>
  <si>
    <t>2TG-NKR88AF</t>
  </si>
  <si>
    <t>2TG-NKR88AM</t>
  </si>
  <si>
    <t>2TG-NKR88C</t>
  </si>
  <si>
    <t>2TG-NLR88AC</t>
  </si>
  <si>
    <t>2TG-NLR88AM</t>
  </si>
  <si>
    <t>2TG-NMR88AC</t>
  </si>
  <si>
    <t>2TG-NMR88AM</t>
  </si>
  <si>
    <t>2TG-NMR88C</t>
  </si>
  <si>
    <t>2TG-NMR88M</t>
  </si>
  <si>
    <t>2TG-NNR88AC</t>
  </si>
  <si>
    <t>2TG-NNR88AM</t>
  </si>
  <si>
    <t>2TG-NPR88AC</t>
  </si>
  <si>
    <t>2TG-NPR88AM</t>
  </si>
  <si>
    <t>2RG-NHR88A</t>
    <phoneticPr fontId="8"/>
  </si>
  <si>
    <t>5MT</t>
    <phoneticPr fontId="8"/>
  </si>
  <si>
    <t>I,P,FI,
TC,IC,D</t>
    <phoneticPr fontId="8"/>
  </si>
  <si>
    <t>P,FI,TC,
IC,D</t>
  </si>
  <si>
    <t>2RG-NHR88AN</t>
    <phoneticPr fontId="8"/>
  </si>
  <si>
    <t>2RG-NHS88A</t>
    <phoneticPr fontId="8"/>
  </si>
  <si>
    <t>2D-4D</t>
    <phoneticPr fontId="8"/>
  </si>
  <si>
    <t>2D-2D</t>
    <phoneticPr fontId="8"/>
  </si>
  <si>
    <t>2RG-NHS88AN</t>
    <phoneticPr fontId="8"/>
  </si>
  <si>
    <t>2RG-NJR88A</t>
  </si>
  <si>
    <t>5MT</t>
  </si>
  <si>
    <t>6MT</t>
  </si>
  <si>
    <t>2RG-NJR88AF</t>
  </si>
  <si>
    <t>2RG-NJR88AM</t>
  </si>
  <si>
    <t>2RG-NJR88AN</t>
  </si>
  <si>
    <t>2RG-NJR88N</t>
  </si>
  <si>
    <t>2RG-NJS88A</t>
  </si>
  <si>
    <t>P,FI,TC,
IC,D</t>
    <phoneticPr fontId="8"/>
  </si>
  <si>
    <t>2RG-NJS88AN</t>
  </si>
  <si>
    <t>2RG-NKR88A</t>
  </si>
  <si>
    <t>2RG-NKR88AC</t>
  </si>
  <si>
    <t>2RG-NKR88AF</t>
  </si>
  <si>
    <t>2RG-NKR88AM</t>
  </si>
  <si>
    <t>2RG-NKR88AN</t>
  </si>
  <si>
    <t>2RG-NKR88AR</t>
  </si>
  <si>
    <t>2RG-NKR88AT</t>
  </si>
  <si>
    <t>2RG-NKR88C</t>
  </si>
  <si>
    <t>2RG-NKR88M</t>
  </si>
  <si>
    <t>2RG-NKR88R</t>
  </si>
  <si>
    <t>2RG-NLR88AC</t>
  </si>
  <si>
    <t>2RG-NLR88AM</t>
  </si>
  <si>
    <t>2RG-NLR88AN</t>
  </si>
  <si>
    <t>2RG-NLR88AR</t>
  </si>
  <si>
    <t>2RG-NLR88N</t>
  </si>
  <si>
    <t>2RG-NLS88AN</t>
  </si>
  <si>
    <t>2RG-NLS88AR</t>
  </si>
  <si>
    <t>2RG-NMR88AC</t>
  </si>
  <si>
    <t>2RG-NMR88AM</t>
  </si>
  <si>
    <t>2RG-NMR88AN</t>
  </si>
  <si>
    <t>2RG-NMR88AR</t>
  </si>
  <si>
    <t>2RG-NMR88C</t>
  </si>
  <si>
    <t>2RG-NMR88M</t>
  </si>
  <si>
    <t>2RG-NMR88N</t>
  </si>
  <si>
    <t>2RG-NMR88R</t>
  </si>
  <si>
    <t>2RG-NNR88AC</t>
  </si>
  <si>
    <t>2RG-NNR88AM</t>
  </si>
  <si>
    <t>2RG-NNR88AN</t>
  </si>
  <si>
    <t>2RG-NNR88AR</t>
  </si>
  <si>
    <t>2RG-NNR88N</t>
  </si>
  <si>
    <t>2RG-NNS88AN</t>
  </si>
  <si>
    <t>2D-4D</t>
  </si>
  <si>
    <t>2RG-NPR88AC</t>
  </si>
  <si>
    <t>2RG-NPR88AM</t>
  </si>
  <si>
    <t>2RG-NPR88AN</t>
  </si>
  <si>
    <t>2RG-NPR88AR</t>
  </si>
  <si>
    <t>2RG-NPR88AR</t>
    <phoneticPr fontId="8"/>
  </si>
  <si>
    <t>2RG-NJR88AD</t>
  </si>
  <si>
    <t>2-4D</t>
    <phoneticPr fontId="8"/>
  </si>
  <si>
    <t>2RG-NJR88AT</t>
  </si>
  <si>
    <t>2RG-NKR88AD</t>
  </si>
  <si>
    <t>2RG-NKR88N</t>
  </si>
  <si>
    <t>2RG-NKS88A</t>
  </si>
  <si>
    <t>2RG-NKS88AN</t>
  </si>
  <si>
    <t>2RG-NLR88M</t>
  </si>
  <si>
    <t>2RG-NMS88AN</t>
  </si>
  <si>
    <t>2RG-NMS88AR</t>
  </si>
  <si>
    <t>2RG-NPS88AN</t>
  </si>
  <si>
    <t>2RG-NPS88AR</t>
  </si>
  <si>
    <t>2PG-NKS88A</t>
  </si>
  <si>
    <t>2PG-NKS88AD</t>
  </si>
  <si>
    <t>2PG-NKS88AN</t>
  </si>
  <si>
    <t>2PG-NMS88AN</t>
  </si>
  <si>
    <t>2PG-NMS88AR</t>
  </si>
  <si>
    <t>2PG-NPS88AN</t>
  </si>
  <si>
    <t>2PG-NPS88AR</t>
  </si>
  <si>
    <t>2TG-NKR88M</t>
  </si>
  <si>
    <t>2PG-NPR88AC</t>
  </si>
  <si>
    <t>2PG-NPR88AM</t>
  </si>
  <si>
    <t>2RG-NPR88M</t>
  </si>
  <si>
    <t>2RG-NPR88N</t>
  </si>
  <si>
    <t>2RG-NPR88N</t>
    <phoneticPr fontId="8"/>
  </si>
  <si>
    <t>2PG-NKR88N</t>
  </si>
  <si>
    <t>2PG-NKR88R</t>
  </si>
  <si>
    <t>2PG-NMR88N</t>
  </si>
  <si>
    <t>2PG-NMR88R</t>
  </si>
  <si>
    <t>2PG-NPR88AN</t>
  </si>
  <si>
    <t>2PG-NPR88AR</t>
  </si>
  <si>
    <t>2PG-NPR88N</t>
  </si>
  <si>
    <t>2PG-NKR88C</t>
  </si>
  <si>
    <t>2PG-NKR88M</t>
  </si>
  <si>
    <t>2PG-NMR88C</t>
  </si>
  <si>
    <t>2PG-NMR88M</t>
  </si>
  <si>
    <t>2PG-NPR88M</t>
  </si>
  <si>
    <t>2RG-NKR88YM</t>
  </si>
  <si>
    <t>2RG-NPR88YAM</t>
  </si>
  <si>
    <t>2RG-NPR88YM</t>
  </si>
  <si>
    <t>2RG-NPR88YN</t>
    <phoneticPr fontId="8"/>
  </si>
  <si>
    <t>4JZ1</t>
    <phoneticPr fontId="8"/>
  </si>
  <si>
    <t>2RG-NKR88YN</t>
  </si>
  <si>
    <t>2PG-NKR88YM</t>
  </si>
  <si>
    <t>2PG-NKR88YN</t>
    <phoneticPr fontId="8"/>
  </si>
  <si>
    <t>2PG-NPR88YAM</t>
  </si>
  <si>
    <t>2PG-NPR88YM</t>
  </si>
  <si>
    <t>2PG-NPR88YN</t>
  </si>
  <si>
    <t>フォワード</t>
    <phoneticPr fontId="8"/>
  </si>
  <si>
    <t>2PG-FRR90S1</t>
  </si>
  <si>
    <t>4HK1</t>
  </si>
  <si>
    <t>ﾄﾗｯｸ等</t>
    <rPh sb="4" eb="5">
      <t>トウ</t>
    </rPh>
    <phoneticPr fontId="8"/>
  </si>
  <si>
    <t>2PG-FRR90S3</t>
  </si>
  <si>
    <t>515</t>
  </si>
  <si>
    <t>140</t>
  </si>
  <si>
    <t>2KG-FRR90S1</t>
  </si>
  <si>
    <t>2KG-FRR90S3</t>
  </si>
  <si>
    <t>2RG-FRR90S2</t>
  </si>
  <si>
    <t>2RG-FRR90S4</t>
  </si>
  <si>
    <t>706</t>
  </si>
  <si>
    <t>154</t>
  </si>
  <si>
    <t>765</t>
  </si>
  <si>
    <t>177</t>
  </si>
  <si>
    <t>2RG-FRR90T2</t>
  </si>
  <si>
    <t>2RG-FRR90T4</t>
  </si>
  <si>
    <t>2RG-FRR90U2</t>
    <phoneticPr fontId="8"/>
  </si>
  <si>
    <t>4HK1</t>
    <phoneticPr fontId="8"/>
  </si>
  <si>
    <t>2RG-FRR90U4</t>
  </si>
  <si>
    <t>2RG-FRR90V4</t>
  </si>
  <si>
    <t>2RG-FRS90J4</t>
  </si>
  <si>
    <t>2RG-FRS90S2</t>
    <phoneticPr fontId="8"/>
  </si>
  <si>
    <t>2RG-FRS90S4</t>
  </si>
  <si>
    <t>2RG-FRR90S1</t>
  </si>
  <si>
    <t>EGR,DF,SCR</t>
    <phoneticPr fontId="8"/>
  </si>
  <si>
    <t>2RG-FRR90S3</t>
  </si>
  <si>
    <t>2PG-FRR90S2</t>
  </si>
  <si>
    <t>2PG-FRR90S4</t>
  </si>
  <si>
    <t>2PG-FRR90T2</t>
  </si>
  <si>
    <t>2PG-FRR90T4</t>
  </si>
  <si>
    <t>2PG-FRR90U2</t>
    <phoneticPr fontId="8"/>
  </si>
  <si>
    <t>2PG-FRR90U4</t>
  </si>
  <si>
    <t>2PG-FRR90V4</t>
  </si>
  <si>
    <t>2PG-FRS90J4</t>
  </si>
  <si>
    <t>2PG-FRS90S2</t>
    <phoneticPr fontId="8"/>
  </si>
  <si>
    <t>2PG-FRS90S4</t>
  </si>
  <si>
    <t>2RG-FSR90S2</t>
  </si>
  <si>
    <t>2PG-FSR90S2</t>
  </si>
  <si>
    <t>2RG-FSR90S4</t>
  </si>
  <si>
    <t>2RG-FSR90T2</t>
  </si>
  <si>
    <t>2RG-FSR90T4</t>
  </si>
  <si>
    <t>2RG-FSR90U2</t>
  </si>
  <si>
    <t>2RG-FSR90U4</t>
  </si>
  <si>
    <t>2RG-FSR90V4</t>
  </si>
  <si>
    <t>2RG-FSS90J4</t>
  </si>
  <si>
    <t>2RG-FSS90S2</t>
  </si>
  <si>
    <t>2RG-FSS90S4</t>
  </si>
  <si>
    <t>2PG-FSR90S4</t>
  </si>
  <si>
    <t>2PG-FSR90T2</t>
  </si>
  <si>
    <t>2PG-FSR90T4</t>
  </si>
  <si>
    <t>2PG-FSR90U2</t>
  </si>
  <si>
    <t>2PG-FSR90U4</t>
  </si>
  <si>
    <t>2PG-FSR90V4</t>
  </si>
  <si>
    <t>2PG-FSS90J4</t>
  </si>
  <si>
    <t>2PG-FSS90S2</t>
    <phoneticPr fontId="8"/>
  </si>
  <si>
    <t>2PG-FSS90S4</t>
  </si>
  <si>
    <t>2RG-FTR90U2</t>
  </si>
  <si>
    <t>2RG-FTR90U4</t>
  </si>
  <si>
    <t>2RG-FTR90V2</t>
  </si>
  <si>
    <t>2RG-FTR90V4</t>
  </si>
  <si>
    <t>2RG-FTS90S2</t>
    <phoneticPr fontId="8"/>
  </si>
  <si>
    <t>2PG-FTR90U2</t>
  </si>
  <si>
    <t>2PG-FTR90U4</t>
  </si>
  <si>
    <t>2PG-FTR90V2</t>
  </si>
  <si>
    <t>2PG-FTR90V4</t>
  </si>
  <si>
    <t>2PG-FTS90S2</t>
    <phoneticPr fontId="8"/>
  </si>
  <si>
    <t>2PG-FVR90U2</t>
    <phoneticPr fontId="8"/>
  </si>
  <si>
    <t>2KG-FVZ60U2</t>
    <phoneticPr fontId="8"/>
  </si>
  <si>
    <t>6NX1</t>
    <phoneticPr fontId="8"/>
  </si>
  <si>
    <t>7.790</t>
    <phoneticPr fontId="8"/>
  </si>
  <si>
    <t>9MT</t>
  </si>
  <si>
    <t>2-4D･4D</t>
  </si>
  <si>
    <t>6NX1</t>
  </si>
  <si>
    <t>2KG-FVZ90U2</t>
    <phoneticPr fontId="8"/>
  </si>
  <si>
    <t>9MT</t>
    <phoneticPr fontId="8"/>
  </si>
  <si>
    <r>
      <rPr>
        <sz val="8"/>
        <rFont val="ＭＳ ゴシック"/>
        <family val="3"/>
        <charset val="128"/>
      </rPr>
      <t>ギガ</t>
    </r>
    <phoneticPr fontId="8"/>
  </si>
  <si>
    <t>2RG-CXE77D</t>
  </si>
  <si>
    <t>6UZ1</t>
  </si>
  <si>
    <t>7MT</t>
  </si>
  <si>
    <t>2･2-4D</t>
  </si>
  <si>
    <t>2･2-2D</t>
  </si>
  <si>
    <t>6MT×2</t>
  </si>
  <si>
    <t>2RG-CXG77D</t>
  </si>
  <si>
    <t>2RG-CXM77D</t>
  </si>
  <si>
    <t>2-4D･4</t>
  </si>
  <si>
    <t>2-2D･2</t>
  </si>
  <si>
    <t>2RG-CXY77DJ</t>
  </si>
  <si>
    <t>2RG-CXZ77DT</t>
  </si>
  <si>
    <t>2-2D･2D</t>
  </si>
  <si>
    <t>2PG-CVR77D</t>
  </si>
  <si>
    <t>2PG-CXE77D</t>
  </si>
  <si>
    <t>2PG-CXG77D</t>
  </si>
  <si>
    <t>2PG-CXM77DT</t>
  </si>
  <si>
    <t>2PG-CXZ77DT</t>
  </si>
  <si>
    <t>2PG-CVR77C</t>
    <phoneticPr fontId="8"/>
  </si>
  <si>
    <t>6UZ1</t>
    <phoneticPr fontId="8"/>
  </si>
  <si>
    <t>7MT</t>
    <phoneticPr fontId="8"/>
  </si>
  <si>
    <r>
      <t>2-4D</t>
    </r>
    <r>
      <rPr>
        <sz val="8"/>
        <rFont val="ＭＳ Ｐゴシック"/>
        <family val="3"/>
        <charset val="128"/>
      </rPr>
      <t/>
    </r>
    <phoneticPr fontId="8"/>
  </si>
  <si>
    <t>2PG-CXE77C</t>
    <phoneticPr fontId="8"/>
  </si>
  <si>
    <r>
      <t>2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2-4D</t>
    </r>
    <phoneticPr fontId="8"/>
  </si>
  <si>
    <t>2PG-CXE77C</t>
  </si>
  <si>
    <r>
      <t>2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2-2D</t>
    </r>
    <phoneticPr fontId="8"/>
  </si>
  <si>
    <t>2PG-CXG77C</t>
    <phoneticPr fontId="8"/>
  </si>
  <si>
    <t>2PG-CXG77C</t>
  </si>
  <si>
    <t>2PG-CXM77C</t>
    <phoneticPr fontId="8"/>
  </si>
  <si>
    <r>
      <t>2-4D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4</t>
    </r>
    <phoneticPr fontId="8"/>
  </si>
  <si>
    <t>2PG-CXM77C</t>
  </si>
  <si>
    <r>
      <t>2-2D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2</t>
    </r>
    <phoneticPr fontId="8"/>
  </si>
  <si>
    <t>2PG-CXY77CJ</t>
    <phoneticPr fontId="8"/>
  </si>
  <si>
    <r>
      <t>2-4D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4D</t>
    </r>
    <phoneticPr fontId="8"/>
  </si>
  <si>
    <t>2PG-CXZ77CT</t>
    <phoneticPr fontId="8"/>
  </si>
  <si>
    <t>2PG-CXZ77CT</t>
  </si>
  <si>
    <r>
      <t>2-2D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2D</t>
    </r>
    <phoneticPr fontId="8"/>
  </si>
  <si>
    <t>8MT×2</t>
  </si>
  <si>
    <t>2PG-CXM77D</t>
  </si>
  <si>
    <t>2PG-CXY77DJ</t>
  </si>
  <si>
    <t>2PG-CYH77D</t>
  </si>
  <si>
    <t>2･2-4D･4D</t>
  </si>
  <si>
    <t>2PG-CYJ77D</t>
  </si>
  <si>
    <t>2PG-CYJ77DA</t>
  </si>
  <si>
    <t>2PG-CYJ77DL</t>
  </si>
  <si>
    <t>2PG-CYJ77DZ</t>
  </si>
  <si>
    <t>2PG-CYL77D</t>
  </si>
  <si>
    <t>2PG-CYL77DA</t>
  </si>
  <si>
    <t>2PG-CYL77DM</t>
  </si>
  <si>
    <t>2PG-CYL77DZ</t>
  </si>
  <si>
    <t>2PG-CYM77D</t>
  </si>
  <si>
    <t>2PG-CYM77DM</t>
  </si>
  <si>
    <t>2PG-CYM77DZ</t>
  </si>
  <si>
    <t>2PG-CYY77D</t>
  </si>
  <si>
    <t>2PG-CYY77DJ</t>
  </si>
  <si>
    <t>2PG-CYY77DY</t>
  </si>
  <si>
    <t>2PG-CYZ77D</t>
  </si>
  <si>
    <t>2PG-CYZ77DJ</t>
  </si>
  <si>
    <t>2PG-CYZ77DM</t>
  </si>
  <si>
    <t>2PG-CYE77DM</t>
  </si>
  <si>
    <t>2PG-CYG77DM</t>
  </si>
  <si>
    <t>2KG-CVR60C</t>
    <phoneticPr fontId="8"/>
  </si>
  <si>
    <t>2KG-CVR77C</t>
    <phoneticPr fontId="8"/>
  </si>
  <si>
    <t>2KG-CXE60C</t>
    <phoneticPr fontId="8"/>
  </si>
  <si>
    <r>
      <t>2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2-4D</t>
    </r>
    <r>
      <rPr>
        <sz val="8"/>
        <rFont val="ＭＳ Ｐゴシック"/>
        <family val="3"/>
        <charset val="128"/>
      </rPr>
      <t/>
    </r>
    <phoneticPr fontId="8"/>
  </si>
  <si>
    <t>2KG-CXE60C</t>
  </si>
  <si>
    <t>7.790</t>
  </si>
  <si>
    <t>2KG-CXE77C</t>
    <phoneticPr fontId="8"/>
  </si>
  <si>
    <t>2KG-CXE77C</t>
  </si>
  <si>
    <t>2KG-CXG60C</t>
    <phoneticPr fontId="8"/>
  </si>
  <si>
    <t>2KG-CXG60C</t>
  </si>
  <si>
    <t>2KG-CXG60CT</t>
    <phoneticPr fontId="8"/>
  </si>
  <si>
    <t>2KG-CXG60CT</t>
  </si>
  <si>
    <t>2KG-CXG77C</t>
    <phoneticPr fontId="8"/>
  </si>
  <si>
    <t>2KG-CXG77C</t>
  </si>
  <si>
    <t>2KG-CXM60CT</t>
    <phoneticPr fontId="8"/>
  </si>
  <si>
    <t>2KG-CXM60CT</t>
  </si>
  <si>
    <t>2KG-CXM77C</t>
    <phoneticPr fontId="8"/>
  </si>
  <si>
    <t>2KG-CXM77C</t>
  </si>
  <si>
    <t>2KG-CXY77CJ</t>
    <phoneticPr fontId="8"/>
  </si>
  <si>
    <t>2KG-CXZ60CT</t>
    <phoneticPr fontId="8"/>
  </si>
  <si>
    <t>2KG-CXZ60CT</t>
  </si>
  <si>
    <t>2KG-CXZ77CT</t>
    <phoneticPr fontId="8"/>
  </si>
  <si>
    <t>8MT×2</t>
    <phoneticPr fontId="8"/>
  </si>
  <si>
    <t>2KG-CXZ77CT</t>
  </si>
  <si>
    <t>2PG-CYE77CZ</t>
    <phoneticPr fontId="8"/>
  </si>
  <si>
    <t>2PG-CYH77C</t>
    <phoneticPr fontId="8"/>
  </si>
  <si>
    <r>
      <t>2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2-4D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4D</t>
    </r>
    <phoneticPr fontId="8"/>
  </si>
  <si>
    <t>2PG-CYJ77C</t>
    <phoneticPr fontId="8"/>
  </si>
  <si>
    <t>2PG-CYJ77CA</t>
    <phoneticPr fontId="8"/>
  </si>
  <si>
    <t>2PG-CYJ77CL</t>
    <phoneticPr fontId="8"/>
  </si>
  <si>
    <t>2PG-CYJ77CZ</t>
    <phoneticPr fontId="8"/>
  </si>
  <si>
    <t>2PG-CYL77C</t>
    <phoneticPr fontId="8"/>
  </si>
  <si>
    <t>2PG-CYL77CA</t>
    <phoneticPr fontId="8"/>
  </si>
  <si>
    <t>2PG-CYL77CM</t>
    <phoneticPr fontId="8"/>
  </si>
  <si>
    <t>2PG-CYL77CM</t>
  </si>
  <si>
    <t>2PG-CYL77CZ</t>
    <phoneticPr fontId="8"/>
  </si>
  <si>
    <t>2PG-CYL77CZ</t>
  </si>
  <si>
    <t>2PG-CYM77C</t>
    <phoneticPr fontId="8"/>
  </si>
  <si>
    <t>2PG-CYM77C</t>
  </si>
  <si>
    <t>2PG-CYM77CM</t>
    <phoneticPr fontId="8"/>
  </si>
  <si>
    <t>2PG-CYM77CM</t>
  </si>
  <si>
    <t>2PG-CYM77CZ</t>
    <phoneticPr fontId="8"/>
  </si>
  <si>
    <t>2PG-CYM77CZ</t>
  </si>
  <si>
    <t>2PG-CYY77C</t>
    <phoneticPr fontId="8"/>
  </si>
  <si>
    <t>2PG-CYY77CJ</t>
    <phoneticPr fontId="8"/>
  </si>
  <si>
    <t>2PG-CYY77CY</t>
    <phoneticPr fontId="8"/>
  </si>
  <si>
    <t>2PG-CYZ77C</t>
    <phoneticPr fontId="8"/>
  </si>
  <si>
    <t>2PG-CYZ77C</t>
  </si>
  <si>
    <t>2PG-CYZ77CJ</t>
    <phoneticPr fontId="8"/>
  </si>
  <si>
    <t>2PG-CYZ77CM</t>
    <phoneticPr fontId="8"/>
  </si>
  <si>
    <t>2PG-CYZ77CM</t>
  </si>
  <si>
    <t>2KG-CVR52C</t>
    <phoneticPr fontId="8"/>
  </si>
  <si>
    <t>6WG1</t>
    <phoneticPr fontId="8"/>
  </si>
  <si>
    <r>
      <t>2-4D</t>
    </r>
    <r>
      <rPr>
        <sz val="11"/>
        <color indexed="8"/>
        <rFont val="ＭＳ Ｐゴシック"/>
        <family val="3"/>
        <charset val="128"/>
      </rPr>
      <t/>
    </r>
    <phoneticPr fontId="8"/>
  </si>
  <si>
    <t>2KG-CYZ77C</t>
    <phoneticPr fontId="8"/>
  </si>
  <si>
    <t>2KG-CYZ77C</t>
  </si>
  <si>
    <t>2KG-CYZ77CM</t>
    <phoneticPr fontId="8"/>
  </si>
  <si>
    <t>2KG-CYZ77CM</t>
  </si>
  <si>
    <t>2KG-CYE77CZ</t>
    <phoneticPr fontId="8"/>
  </si>
  <si>
    <t>2KG-CYH77C</t>
    <phoneticPr fontId="8"/>
  </si>
  <si>
    <t>2KG-CYJ77C</t>
    <phoneticPr fontId="8"/>
  </si>
  <si>
    <t>2KG-CYJ77CA</t>
    <phoneticPr fontId="8"/>
  </si>
  <si>
    <t>2KG-CYJ77CL</t>
    <phoneticPr fontId="8"/>
  </si>
  <si>
    <t>2KG-CYJ77CZ</t>
    <phoneticPr fontId="8"/>
  </si>
  <si>
    <t>2KG-CYL77C</t>
    <phoneticPr fontId="8"/>
  </si>
  <si>
    <t>2KG-CYL77CA</t>
    <phoneticPr fontId="8"/>
  </si>
  <si>
    <t>2KG-CYL77CM</t>
    <phoneticPr fontId="8"/>
  </si>
  <si>
    <t>2KG-CYL77CM</t>
  </si>
  <si>
    <t>2KG-CYL77CZ</t>
    <phoneticPr fontId="8"/>
  </si>
  <si>
    <t>2KG-CYL77CZ</t>
  </si>
  <si>
    <t>2KG-CYM77C</t>
    <phoneticPr fontId="8"/>
  </si>
  <si>
    <t>2KG-CYM77C</t>
  </si>
  <si>
    <t>2KG-CYM77CM</t>
    <phoneticPr fontId="8"/>
  </si>
  <si>
    <t>2KG-CYM77CM</t>
  </si>
  <si>
    <t>2KG-CYM77CZ</t>
    <phoneticPr fontId="8"/>
  </si>
  <si>
    <t>2KG-CYM77CZ</t>
  </si>
  <si>
    <t>2KG-CYY77C</t>
    <phoneticPr fontId="8"/>
  </si>
  <si>
    <t>2KG-CYY77CJ</t>
    <phoneticPr fontId="8"/>
  </si>
  <si>
    <t>2KG-CYY77CY</t>
    <phoneticPr fontId="8"/>
  </si>
  <si>
    <t>2KG-CYZ77CJ</t>
    <phoneticPr fontId="8"/>
  </si>
  <si>
    <t>2KG-CYE60CM</t>
    <phoneticPr fontId="8"/>
  </si>
  <si>
    <t>2KG-CYE60CM</t>
  </si>
  <si>
    <t>2KG-CYG60CM</t>
    <phoneticPr fontId="8"/>
  </si>
  <si>
    <t>2KG-CYG60CM</t>
  </si>
  <si>
    <t>2KG-CYL60C</t>
    <phoneticPr fontId="8"/>
  </si>
  <si>
    <t>2KG-CYY60CY</t>
    <phoneticPr fontId="8"/>
  </si>
  <si>
    <t>2DG-CVR52C</t>
    <phoneticPr fontId="8"/>
  </si>
  <si>
    <t>6WG1</t>
  </si>
  <si>
    <t>6AT</t>
    <phoneticPr fontId="8"/>
  </si>
  <si>
    <t>2KG-CYM52CM</t>
    <phoneticPr fontId="8"/>
  </si>
  <si>
    <t>2DG-CYM52CM</t>
    <phoneticPr fontId="8"/>
  </si>
  <si>
    <t>2PG-EXD77CD</t>
  </si>
  <si>
    <t>ﾄﾗｸﾀ</t>
  </si>
  <si>
    <t>2-2D</t>
    <phoneticPr fontId="8"/>
  </si>
  <si>
    <t>2PG-EXD77CG</t>
  </si>
  <si>
    <t>2PG-EXD77CL</t>
  </si>
  <si>
    <t>2PG-EXR77CE</t>
  </si>
  <si>
    <t>2PG-EXR77CG</t>
  </si>
  <si>
    <t>2PG-EXY77CK</t>
  </si>
  <si>
    <t>2PG-EXD52CD</t>
  </si>
  <si>
    <t>2PG-EXD52CE</t>
  </si>
  <si>
    <t>2PG-EXD52CG</t>
  </si>
  <si>
    <t>2PG-EXY52CK</t>
  </si>
  <si>
    <t>2PG-EXZ52CK</t>
  </si>
  <si>
    <t>2KG-EXD52CD</t>
  </si>
  <si>
    <t>2KG-EXD52CE</t>
  </si>
  <si>
    <t>2KG-EXD52CG</t>
  </si>
  <si>
    <t>2KG-EXY52CK</t>
  </si>
  <si>
    <t>2KG-EXZ52CK</t>
  </si>
  <si>
    <t>2KG-CYZ77DMQ</t>
  </si>
  <si>
    <t>2KG-CYZ77DV</t>
  </si>
  <si>
    <t>2DG-CYZ77CMQ</t>
  </si>
  <si>
    <t>2DG-CYZ77CV</t>
  </si>
  <si>
    <t>2DG-CYZ77DMQ</t>
  </si>
  <si>
    <t>2DG-CYZ77DV</t>
  </si>
  <si>
    <t>2DG-CYJ77CW</t>
  </si>
  <si>
    <t>2DG-CYY77CYV</t>
  </si>
  <si>
    <t>2DG-CYZ52CMQ</t>
  </si>
  <si>
    <t>2DG-CYZ52CV</t>
  </si>
  <si>
    <t>2DG-EXY52CK</t>
  </si>
  <si>
    <t>2DG-EXZ52CK</t>
  </si>
  <si>
    <r>
      <rPr>
        <sz val="8"/>
        <rFont val="ＭＳ Ｐゴシック"/>
        <family val="3"/>
        <charset val="128"/>
      </rPr>
      <t>※</t>
    </r>
    <r>
      <rPr>
        <sz val="8"/>
        <rFont val="Arial"/>
        <family val="3"/>
      </rPr>
      <t>1</t>
    </r>
    <phoneticPr fontId="8"/>
  </si>
  <si>
    <r>
      <rPr>
        <sz val="8"/>
        <rFont val="ＭＳ Ｐゴシック"/>
        <family val="3"/>
        <charset val="128"/>
      </rPr>
      <t>─</t>
    </r>
    <phoneticPr fontId="8"/>
  </si>
  <si>
    <t>2DG-SF5AL</t>
    <phoneticPr fontId="8"/>
  </si>
  <si>
    <t>GH11</t>
  </si>
  <si>
    <t>SCR,DF,EGR</t>
  </si>
  <si>
    <t>2DG-SZ5BL</t>
    <phoneticPr fontId="8"/>
  </si>
  <si>
    <r>
      <t>2D-4D</t>
    </r>
    <r>
      <rPr>
        <sz val="8"/>
        <rFont val="ＭＳ Ｐゴシック"/>
        <family val="3"/>
        <charset val="128"/>
      </rPr>
      <t>・</t>
    </r>
    <r>
      <rPr>
        <sz val="8"/>
        <rFont val="Arial"/>
        <family val="2"/>
      </rPr>
      <t>4D</t>
    </r>
  </si>
  <si>
    <t>2RG-EK5DAB</t>
    <phoneticPr fontId="8"/>
  </si>
  <si>
    <t>6AMT×2</t>
  </si>
  <si>
    <t>I, P, FI,
TC,IC,D</t>
    <phoneticPr fontId="8"/>
  </si>
  <si>
    <t>SCR,DF,EGR</t>
    <phoneticPr fontId="8"/>
  </si>
  <si>
    <t>P, FI,
TC,IC,D</t>
    <phoneticPr fontId="8"/>
  </si>
  <si>
    <t>P, FI,
TC,IC,D</t>
  </si>
  <si>
    <t>2RG-EK5DAD</t>
    <phoneticPr fontId="8"/>
  </si>
  <si>
    <t>2RG-EK5DAE</t>
    <phoneticPr fontId="8"/>
  </si>
  <si>
    <t>2RG-EK5DAK</t>
    <phoneticPr fontId="8"/>
  </si>
  <si>
    <t>2PG-EK5DAB</t>
    <phoneticPr fontId="8"/>
  </si>
  <si>
    <t>6MT×2</t>
    <phoneticPr fontId="8"/>
  </si>
  <si>
    <t>2PG-EK5DAD</t>
    <phoneticPr fontId="8"/>
  </si>
  <si>
    <t>2PG-EK5DAE</t>
    <phoneticPr fontId="8"/>
  </si>
  <si>
    <t>2PG-EK6DAB</t>
    <phoneticPr fontId="8"/>
  </si>
  <si>
    <t>GH13</t>
    <phoneticPr fontId="8"/>
  </si>
  <si>
    <t>6AMT×2</t>
    <phoneticPr fontId="8"/>
  </si>
  <si>
    <t>2PG-EK6DAD</t>
    <phoneticPr fontId="8"/>
  </si>
  <si>
    <t>2PG-EW6DAH</t>
    <phoneticPr fontId="8"/>
  </si>
  <si>
    <r>
      <t>2-4D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4D</t>
    </r>
  </si>
  <si>
    <t>2PG-EK5DAK</t>
    <phoneticPr fontId="8"/>
  </si>
  <si>
    <t>2KG-EW6DAH</t>
    <phoneticPr fontId="8"/>
  </si>
  <si>
    <t>2DG-EW6EAH</t>
    <phoneticPr fontId="8"/>
  </si>
  <si>
    <t>2DG-EW6ELH</t>
    <phoneticPr fontId="8"/>
  </si>
  <si>
    <t>2DG-SG5FAYP</t>
    <phoneticPr fontId="8"/>
  </si>
  <si>
    <r>
      <t>2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2-4D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4D</t>
    </r>
  </si>
  <si>
    <t>2DG-SW5ELPP</t>
    <phoneticPr fontId="8"/>
  </si>
  <si>
    <t>2DG-SW5FAWP</t>
    <phoneticPr fontId="8"/>
  </si>
  <si>
    <t>2DG-SW5FLVP</t>
    <phoneticPr fontId="8"/>
  </si>
  <si>
    <t>※1印については、ＵＤトラックス株式会社が製造事業者です。</t>
    <phoneticPr fontId="8"/>
  </si>
  <si>
    <r>
      <rPr>
        <sz val="8"/>
        <rFont val="ＭＳ Ｐゴシック"/>
        <family val="3"/>
        <charset val="128"/>
      </rPr>
      <t>「（注）車両重量・車両総重量・最大積載量（または乗車定員）は、燃費値の算定に当たって用いた標準的な仕様を記載しています。</t>
    </r>
    <rPh sb="2" eb="3">
      <t>チュウ</t>
    </rPh>
    <rPh sb="4" eb="6">
      <t>シャリョウ</t>
    </rPh>
    <rPh sb="6" eb="8">
      <t>ジュウリョウ</t>
    </rPh>
    <rPh sb="9" eb="11">
      <t>シャリョウ</t>
    </rPh>
    <rPh sb="11" eb="14">
      <t>ソウジュウリョウ</t>
    </rPh>
    <rPh sb="15" eb="17">
      <t>サイダイ</t>
    </rPh>
    <rPh sb="17" eb="20">
      <t>セキサイリョウ</t>
    </rPh>
    <rPh sb="24" eb="26">
      <t>ジョウシャ</t>
    </rPh>
    <rPh sb="26" eb="28">
      <t>テイイン</t>
    </rPh>
    <rPh sb="31" eb="33">
      <t>ネンピ</t>
    </rPh>
    <rPh sb="33" eb="34">
      <t>チ</t>
    </rPh>
    <rPh sb="35" eb="37">
      <t>サンテイ</t>
    </rPh>
    <rPh sb="38" eb="39">
      <t>ア</t>
    </rPh>
    <rPh sb="42" eb="43">
      <t>モチ</t>
    </rPh>
    <rPh sb="45" eb="47">
      <t>ヒョウジュン</t>
    </rPh>
    <rPh sb="47" eb="48">
      <t>テキ</t>
    </rPh>
    <rPh sb="49" eb="51">
      <t>シヨウ</t>
    </rPh>
    <rPh sb="52" eb="54">
      <t>キサイ</t>
    </rPh>
    <phoneticPr fontId="8"/>
  </si>
  <si>
    <r>
      <rPr>
        <sz val="8"/>
        <rFont val="ＭＳ Ｐゴシック"/>
        <family val="3"/>
        <charset val="128"/>
      </rPr>
      <t>　　　　実際に販売されている車両は、ここに記載された車両重量・車両総重量・最大積載量（または乗車定員）と異なる場合があります。」</t>
    </r>
    <rPh sb="4" eb="6">
      <t>ジッサイ</t>
    </rPh>
    <rPh sb="7" eb="9">
      <t>ハンバイ</t>
    </rPh>
    <rPh sb="14" eb="16">
      <t>シャリョウ</t>
    </rPh>
    <rPh sb="21" eb="23">
      <t>キサイ</t>
    </rPh>
    <rPh sb="26" eb="28">
      <t>シャリョウ</t>
    </rPh>
    <rPh sb="28" eb="30">
      <t>ジュウリョウ</t>
    </rPh>
    <rPh sb="31" eb="33">
      <t>シャリョウ</t>
    </rPh>
    <rPh sb="33" eb="36">
      <t>ソウジュウリョウ</t>
    </rPh>
    <rPh sb="37" eb="39">
      <t>サイダイ</t>
    </rPh>
    <rPh sb="39" eb="42">
      <t>セキサイリョウ</t>
    </rPh>
    <rPh sb="46" eb="48">
      <t>ジョウシャ</t>
    </rPh>
    <rPh sb="48" eb="50">
      <t>テイイン</t>
    </rPh>
    <rPh sb="52" eb="53">
      <t>コト</t>
    </rPh>
    <rPh sb="55" eb="57">
      <t>バアイ</t>
    </rPh>
    <phoneticPr fontId="8"/>
  </si>
  <si>
    <t>※１印については、いすゞ自動車株式会社が製造事業者です。</t>
    <rPh sb="12" eb="15">
      <t>ジドウシャ</t>
    </rPh>
    <rPh sb="15" eb="19">
      <t>カブシキガイシャ</t>
    </rPh>
    <rPh sb="20" eb="22">
      <t>セイゾウ</t>
    </rPh>
    <rPh sb="22" eb="24">
      <t>ジギョウ</t>
    </rPh>
    <rPh sb="24" eb="25">
      <t>シャ</t>
    </rPh>
    <phoneticPr fontId="5"/>
  </si>
  <si>
    <t>2PG-LPR88YN</t>
  </si>
  <si>
    <t>129</t>
  </si>
  <si>
    <t>430</t>
  </si>
  <si>
    <t>2PG-LPR88YM</t>
  </si>
  <si>
    <t>110</t>
  </si>
  <si>
    <t>375</t>
  </si>
  <si>
    <t>2PG-LPR88YAM</t>
  </si>
  <si>
    <t>2PG-LKR88YN</t>
  </si>
  <si>
    <t>2PG-LKR88YM</t>
  </si>
  <si>
    <t>2RG-LKR88YN</t>
  </si>
  <si>
    <t>2RG-LPR88YN</t>
  </si>
  <si>
    <t>2RG-LPR88YM</t>
  </si>
  <si>
    <t>2RG-LPR88YAM</t>
  </si>
  <si>
    <t>2RG-LKR88YM</t>
  </si>
  <si>
    <t>2PG-LPR88M</t>
  </si>
  <si>
    <t>2PG-LMR88M</t>
  </si>
  <si>
    <t>2PG-LMR88C</t>
  </si>
  <si>
    <t>2PG-LKR88M</t>
  </si>
  <si>
    <t>2PG-LKR88C</t>
  </si>
  <si>
    <t>2PG-LPR88N</t>
  </si>
  <si>
    <t>2PG-LPR88AR</t>
  </si>
  <si>
    <t>2PG-LPR88AN</t>
  </si>
  <si>
    <t>2PG-LMR88R</t>
  </si>
  <si>
    <t>2PG-LMR88N</t>
  </si>
  <si>
    <t>2PG-LKR88R</t>
  </si>
  <si>
    <t>2PG-LKR88N</t>
  </si>
  <si>
    <t>2RG-LPR88N</t>
  </si>
  <si>
    <t>2RG-LPR88M</t>
  </si>
  <si>
    <t>2PG-LPR88AM</t>
  </si>
  <si>
    <t>2PG-LPR88AC</t>
  </si>
  <si>
    <t>2TG-LKR88M</t>
  </si>
  <si>
    <t>2PG-LPS88AR</t>
  </si>
  <si>
    <t>2PG-LPS88AN</t>
  </si>
  <si>
    <t>2PG-LMS88AR</t>
  </si>
  <si>
    <t>2PG-LMS88AN</t>
  </si>
  <si>
    <t>2PG-LKS88AN</t>
  </si>
  <si>
    <t>2PG-LKS88AD</t>
  </si>
  <si>
    <t>2PG-LKS88A</t>
  </si>
  <si>
    <t>2RG-LPS88AR</t>
  </si>
  <si>
    <t>2RG-LPS88AN</t>
  </si>
  <si>
    <t>2RG-LMS88AR</t>
  </si>
  <si>
    <t>2RG-LMS88AN</t>
  </si>
  <si>
    <t>2RG-LLR88M</t>
  </si>
  <si>
    <t>2RG-LKS88AN</t>
  </si>
  <si>
    <t>2RG-LKS88A</t>
  </si>
  <si>
    <t>2RG-LKR88N</t>
  </si>
  <si>
    <t>2RG-LKR88AD</t>
  </si>
  <si>
    <t>2RG-LJR88AT</t>
  </si>
  <si>
    <t>2RG-LJR88AD</t>
  </si>
  <si>
    <t>2RG-LPR88AR</t>
  </si>
  <si>
    <t>2RG-LPR88AN</t>
  </si>
  <si>
    <t>2RG-LPR88AM</t>
  </si>
  <si>
    <t>2RG-LPR88AC</t>
  </si>
  <si>
    <t>2RG-LNS88AN</t>
  </si>
  <si>
    <t>2RG-LNR88N</t>
  </si>
  <si>
    <t>2RG-LNR88AR</t>
  </si>
  <si>
    <t>2RG-LNR88AN</t>
  </si>
  <si>
    <t>2RG-LNR88AM</t>
  </si>
  <si>
    <t>2RG-LNR88AC</t>
  </si>
  <si>
    <t>2RG-LMR88R</t>
  </si>
  <si>
    <t>2RG-LMR88N</t>
  </si>
  <si>
    <t>2RG-LMR88M</t>
  </si>
  <si>
    <t>2RG-LMR88C</t>
  </si>
  <si>
    <t>2RG-LMR88AR</t>
  </si>
  <si>
    <t>2RG-LMR88AN</t>
  </si>
  <si>
    <t>2RG-LMR88AM</t>
  </si>
  <si>
    <t>2RG-LMR88AC</t>
  </si>
  <si>
    <t>2RG-LLS88AR</t>
  </si>
  <si>
    <t>2RG-LLS88AN</t>
  </si>
  <si>
    <t>2RG-LLR88N</t>
  </si>
  <si>
    <t>2RG-LLR88AR</t>
  </si>
  <si>
    <t>2RG-LLR88AN</t>
  </si>
  <si>
    <t>2RG-LLR88AM</t>
  </si>
  <si>
    <t>2RG-LLR88AC</t>
  </si>
  <si>
    <t>2RG-LKR88R</t>
  </si>
  <si>
    <t>2RG-LKR88M</t>
  </si>
  <si>
    <t>2RG-LKR88C</t>
  </si>
  <si>
    <t>2RG-LKR88AT</t>
  </si>
  <si>
    <t>2RG-LKR88AR</t>
  </si>
  <si>
    <t>2RG-LKR88AN</t>
  </si>
  <si>
    <t>2RG-LKR88AM</t>
  </si>
  <si>
    <t>2RG-LKR88AF</t>
  </si>
  <si>
    <t>2RG-LKR88AC</t>
  </si>
  <si>
    <t>2RG-LKR88A</t>
  </si>
  <si>
    <t>2RG-LJS88AN</t>
  </si>
  <si>
    <t>2RG-LJS88A</t>
  </si>
  <si>
    <t>2RG-LJR88N</t>
  </si>
  <si>
    <t>2RG-LJR88AN</t>
  </si>
  <si>
    <t>2RG-LJR88AM</t>
  </si>
  <si>
    <t>2RG-LJR88AF</t>
  </si>
  <si>
    <t>2RG-LJR88A</t>
  </si>
  <si>
    <t>2RG-LHS88AN</t>
  </si>
  <si>
    <t>2RG-LHS88A</t>
  </si>
  <si>
    <t>2RG-LHR88AN</t>
  </si>
  <si>
    <t>2RG-LHR88A</t>
  </si>
  <si>
    <t>2TG-LPR88AM</t>
  </si>
  <si>
    <t>2TG-LPR88AC</t>
  </si>
  <si>
    <t>2TG-LNR88AM</t>
  </si>
  <si>
    <t>2TG-LNR88AC</t>
  </si>
  <si>
    <t>2TG-LMR88M</t>
  </si>
  <si>
    <t>2TG-LMR88C</t>
  </si>
  <si>
    <t>2TG-LMR88AM</t>
  </si>
  <si>
    <t>2TG-LMR88AC</t>
  </si>
  <si>
    <t>2TG-LLR88AM</t>
  </si>
  <si>
    <t>2TG-LLR88AC</t>
  </si>
  <si>
    <t>2TG-LKR88C</t>
  </si>
  <si>
    <t>2TG-LKR88AM</t>
  </si>
  <si>
    <t>2TG-LKR88AF</t>
  </si>
  <si>
    <t>2TG-LKR88AC</t>
  </si>
  <si>
    <t>2TG-LJR88AM</t>
  </si>
  <si>
    <t>2TG-LJR88AF</t>
  </si>
  <si>
    <t>タイタン</t>
    <phoneticPr fontId="8"/>
  </si>
  <si>
    <t>※1</t>
  </si>
  <si>
    <t>マツダ</t>
    <phoneticPr fontId="8"/>
  </si>
  <si>
    <t>当該自動車の製造又は輸入の事業を行う者の氏名又は名称　　　　マツダ株式会社　　　</t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8"/>
  </si>
  <si>
    <r>
      <rPr>
        <sz val="8"/>
        <rFont val="ＭＳ Ｐゴシック"/>
        <family val="3"/>
        <charset val="128"/>
      </rPr>
      <t>６．欄外に、次の注記を行う。</t>
    </r>
    <rPh sb="2" eb="4">
      <t>ランガイ</t>
    </rPh>
    <rPh sb="6" eb="7">
      <t>ツギ</t>
    </rPh>
    <rPh sb="8" eb="9">
      <t>チュウ</t>
    </rPh>
    <rPh sb="9" eb="10">
      <t>キ</t>
    </rPh>
    <rPh sb="11" eb="12">
      <t>オコナ</t>
    </rPh>
    <phoneticPr fontId="8"/>
  </si>
  <si>
    <r>
      <rPr>
        <sz val="8"/>
        <rFont val="ＭＳ Ｐゴシック"/>
        <family val="3"/>
        <charset val="128"/>
      </rPr>
      <t>　②製造事業者等独自の固有名詞の使用は極力避け、一般的な用語を使用する。適当な一般用語がない場合は、欄外に固有名詞の用語説明を付す。</t>
    </r>
    <rPh sb="2" eb="4">
      <t>セイゾウ</t>
    </rPh>
    <rPh sb="4" eb="7">
      <t>ジギョウシャ</t>
    </rPh>
    <rPh sb="7" eb="8">
      <t>トウ</t>
    </rPh>
    <phoneticPr fontId="8"/>
  </si>
  <si>
    <r>
      <rPr>
        <sz val="8"/>
        <rFont val="ＭＳ Ｐゴシック"/>
        <family val="3"/>
        <charset val="128"/>
      </rPr>
      <t>　①燃費の異なる要因と関係のない事項は記入しない。</t>
    </r>
    <phoneticPr fontId="8"/>
  </si>
  <si>
    <r>
      <rPr>
        <sz val="8"/>
        <rFont val="ＭＳ Ｐゴシック"/>
        <family val="3"/>
        <charset val="128"/>
      </rPr>
      <t>５．「その他」について、以下に留意し記載する。</t>
    </r>
    <phoneticPr fontId="8"/>
  </si>
  <si>
    <r>
      <rPr>
        <sz val="8"/>
        <rFont val="ＭＳ Ｐゴシック"/>
        <family val="3"/>
        <charset val="128"/>
      </rPr>
      <t>４．ＯＥＭ生産車については、通称名の前に※印及び番号を付記し、表の外にＯＥＭ製造事業者名を記載する。</t>
    </r>
    <rPh sb="43" eb="44">
      <t>メイ</t>
    </rPh>
    <phoneticPr fontId="8"/>
  </si>
  <si>
    <r>
      <rPr>
        <sz val="8"/>
        <rFont val="ＭＳ Ｐゴシック"/>
        <family val="3"/>
        <charset val="128"/>
      </rPr>
      <t>３．「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>排出量」については既に計算式が入力されているため、入力は不要。欄を追加する場合はセルの内容をコピーする。</t>
    </r>
    <rPh sb="6" eb="8">
      <t>ハイシュツ</t>
    </rPh>
    <rPh sb="8" eb="9">
      <t>リョウ</t>
    </rPh>
    <rPh sb="15" eb="16">
      <t>スデ</t>
    </rPh>
    <rPh sb="17" eb="19">
      <t>ケイサン</t>
    </rPh>
    <rPh sb="19" eb="20">
      <t>シキ</t>
    </rPh>
    <rPh sb="21" eb="23">
      <t>ニュウリョク</t>
    </rPh>
    <rPh sb="31" eb="33">
      <t>ニュウリョク</t>
    </rPh>
    <rPh sb="34" eb="36">
      <t>フヨウ</t>
    </rPh>
    <rPh sb="37" eb="38">
      <t>ラン</t>
    </rPh>
    <rPh sb="39" eb="41">
      <t>ツイカ</t>
    </rPh>
    <rPh sb="43" eb="45">
      <t>バアイ</t>
    </rPh>
    <rPh sb="49" eb="51">
      <t>ナイヨウ</t>
    </rPh>
    <phoneticPr fontId="8"/>
  </si>
  <si>
    <r>
      <rPr>
        <sz val="8"/>
        <rFont val="ＭＳ Ｐゴシック"/>
        <family val="3"/>
        <charset val="128"/>
      </rPr>
      <t>２．一つの通称名に複数の型式がある場合は、通称名は大枠に一つ記入。</t>
    </r>
    <phoneticPr fontId="8"/>
  </si>
  <si>
    <r>
      <rPr>
        <sz val="8"/>
        <rFont val="ＭＳ Ｐゴシック"/>
        <family val="3"/>
        <charset val="128"/>
      </rPr>
      <t>１．</t>
    </r>
    <r>
      <rPr>
        <sz val="8"/>
        <rFont val="Arial"/>
        <family val="2"/>
      </rPr>
      <t>JH25</t>
    </r>
    <r>
      <rPr>
        <sz val="8"/>
        <rFont val="ＭＳ Ｐゴシック"/>
        <family val="3"/>
        <charset val="128"/>
      </rPr>
      <t>モード燃費値欄及び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>排出量の文字ポイントは</t>
    </r>
    <r>
      <rPr>
        <sz val="8"/>
        <rFont val="Arial"/>
        <family val="2"/>
      </rPr>
      <t>10</t>
    </r>
    <r>
      <rPr>
        <sz val="8"/>
        <rFont val="ＭＳ Ｐゴシック"/>
        <family val="3"/>
        <charset val="128"/>
      </rPr>
      <t>ポイント、それ以外は</t>
    </r>
    <r>
      <rPr>
        <sz val="8"/>
        <rFont val="Arial"/>
        <family val="2"/>
      </rPr>
      <t>8</t>
    </r>
    <r>
      <rPr>
        <sz val="8"/>
        <rFont val="ＭＳ Ｐゴシック"/>
        <family val="3"/>
        <charset val="128"/>
      </rPr>
      <t>ポイントで記入。</t>
    </r>
    <rPh sb="9" eb="11">
      <t>ネンピ</t>
    </rPh>
    <rPh sb="11" eb="12">
      <t>チ</t>
    </rPh>
    <rPh sb="12" eb="13">
      <t>ラン</t>
    </rPh>
    <rPh sb="13" eb="14">
      <t>オヨ</t>
    </rPh>
    <rPh sb="18" eb="20">
      <t>ハイシュツ</t>
    </rPh>
    <rPh sb="20" eb="21">
      <t>リョウ</t>
    </rPh>
    <rPh sb="22" eb="24">
      <t>モジ</t>
    </rPh>
    <rPh sb="38" eb="40">
      <t>イガイ</t>
    </rPh>
    <rPh sb="47" eb="49">
      <t>キニュウ</t>
    </rPh>
    <phoneticPr fontId="8"/>
  </si>
  <si>
    <r>
      <rPr>
        <sz val="9"/>
        <rFont val="ＭＳ Ｐゴシック"/>
        <family val="3"/>
        <charset val="128"/>
      </rPr>
      <t>＜記入要領＞</t>
    </r>
    <rPh sb="1" eb="3">
      <t>キニュウ</t>
    </rPh>
    <rPh sb="3" eb="5">
      <t>ヨウリョウ</t>
    </rPh>
    <phoneticPr fontId="8"/>
  </si>
  <si>
    <t>2-4Ｄ</t>
  </si>
  <si>
    <t>CCO
EGR
DF
SCR</t>
  </si>
  <si>
    <t>Ｉ，P，FI，IC，TC</t>
  </si>
  <si>
    <t>トラック等</t>
  </si>
  <si>
    <t>4P10</t>
  </si>
  <si>
    <t>2RG-FEDS0</t>
  </si>
  <si>
    <t>2PG-FEDS0</t>
  </si>
  <si>
    <t>P，FI，IC，TC</t>
  </si>
  <si>
    <t>2PG-FEBH0</t>
  </si>
  <si>
    <t>2RG-FECS0</t>
  </si>
  <si>
    <t>2PG-FECS0</t>
  </si>
  <si>
    <t>2RG-FEBS0</t>
  </si>
  <si>
    <t>6MT,5MT</t>
  </si>
  <si>
    <t>2PG-FEBS0</t>
  </si>
  <si>
    <t>2RG-FEB80</t>
  </si>
  <si>
    <t>2PG-FEB80</t>
  </si>
  <si>
    <t>2RG-FEA80</t>
  </si>
  <si>
    <t>2PG-FEA80</t>
  </si>
  <si>
    <t>2RG-FGB70</t>
  </si>
  <si>
    <t>2PG-FGB70</t>
  </si>
  <si>
    <t>2RG-FGA50</t>
  </si>
  <si>
    <t>2PG-FGA50</t>
  </si>
  <si>
    <t>2RG-FGA20</t>
  </si>
  <si>
    <t>2RG-FEB50</t>
  </si>
  <si>
    <t>2PG-FEB50</t>
  </si>
  <si>
    <t>2RG-FEA50</t>
  </si>
  <si>
    <t>2PG-FEA50</t>
  </si>
  <si>
    <t>2RG-FEAV0</t>
  </si>
  <si>
    <t>2PG-FEAV0</t>
  </si>
  <si>
    <t>2RG-FEB20</t>
  </si>
  <si>
    <t>2RG-FEA20</t>
  </si>
  <si>
    <t>2RG-FDA50</t>
  </si>
  <si>
    <t>2PG-FDA50</t>
  </si>
  <si>
    <t>2RG-FBA50</t>
  </si>
  <si>
    <t>2PG-FBA50</t>
  </si>
  <si>
    <t>2RG-FBAV0</t>
  </si>
  <si>
    <t>2PG-FBAV0</t>
  </si>
  <si>
    <t>2RG-FDA20</t>
  </si>
  <si>
    <t>2RG-FBA20</t>
  </si>
  <si>
    <t>2TG-FDA00</t>
  </si>
  <si>
    <t>2TG-FBA00</t>
  </si>
  <si>
    <t>2RG-FDA60</t>
  </si>
  <si>
    <t>2PG-FDA60</t>
  </si>
  <si>
    <t>Ｉ，,P，FI，IC，TC</t>
  </si>
  <si>
    <t>2RG-FDA40</t>
  </si>
  <si>
    <t>2RG-FBA60</t>
  </si>
  <si>
    <t>2PG-FBA60</t>
  </si>
  <si>
    <t>2RG-FBA30</t>
  </si>
  <si>
    <t>2PG-FBA30</t>
  </si>
  <si>
    <t>2RG-FED90</t>
  </si>
  <si>
    <t>2PG-FED90</t>
  </si>
  <si>
    <t>2RG-FEC90</t>
  </si>
  <si>
    <t>2PG-FEC90</t>
  </si>
  <si>
    <t>2PG-FEBM0</t>
  </si>
  <si>
    <t>2RG-FEB90</t>
  </si>
  <si>
    <t>2PG-FEB90</t>
  </si>
  <si>
    <t>ふそうキャンター</t>
  </si>
  <si>
    <t>6M60</t>
  </si>
  <si>
    <t>2KG-FK65F</t>
  </si>
  <si>
    <t>2KG-FK75F</t>
  </si>
  <si>
    <t>2KG-FK62F</t>
  </si>
  <si>
    <t>2KG-FK72F.</t>
  </si>
  <si>
    <t>4V20</t>
  </si>
  <si>
    <t>2PG-FK65NA</t>
  </si>
  <si>
    <t>2PG-FK75NA</t>
  </si>
  <si>
    <t>2PG-FK62NA</t>
  </si>
  <si>
    <t>2PG-FK72NA</t>
  </si>
  <si>
    <t>2PG-FK65N</t>
  </si>
  <si>
    <t>2PG-FK75N</t>
  </si>
  <si>
    <t>2PG-FK62N</t>
  </si>
  <si>
    <t>2PG-FK72N</t>
  </si>
  <si>
    <t>2PG-FK64N</t>
  </si>
  <si>
    <t>2PG-FK61N</t>
  </si>
  <si>
    <t>2PG-FK74N</t>
  </si>
  <si>
    <t>2PG-FK71N</t>
  </si>
  <si>
    <t>2PG-FK64NA</t>
  </si>
  <si>
    <t>2PG-FK61NA</t>
  </si>
  <si>
    <t>2PG-FK74NA</t>
  </si>
  <si>
    <t>2PG-FK71NA</t>
  </si>
  <si>
    <t>2-4Ｄ・4D</t>
  </si>
  <si>
    <t>2DG-FQ62F</t>
  </si>
  <si>
    <t>2KG-FK65FZ</t>
  </si>
  <si>
    <t>2KG-FK62FZ</t>
  </si>
  <si>
    <t>2KG-FK72FZ</t>
  </si>
  <si>
    <t>6.00</t>
  </si>
  <si>
    <t>2KG-FK65FY</t>
  </si>
  <si>
    <t>2KG-FK62FY</t>
  </si>
  <si>
    <t>2KG-FK72FY</t>
  </si>
  <si>
    <t>2KG-FK66F</t>
  </si>
  <si>
    <t>2KG-FK64F</t>
  </si>
  <si>
    <t>2KG-FK74F</t>
  </si>
  <si>
    <t>2KG-FK61F</t>
  </si>
  <si>
    <t>2KG-FK71F</t>
  </si>
  <si>
    <t>ふそうファイター</t>
    <phoneticPr fontId="8"/>
  </si>
  <si>
    <t>トラクタ</t>
  </si>
  <si>
    <t>6R20</t>
  </si>
  <si>
    <t>2KG-FV70HZP</t>
  </si>
  <si>
    <t>2KG-FV70HYP</t>
  </si>
  <si>
    <t>2RG-FV74HJR</t>
  </si>
  <si>
    <t>2PG-FV74HJR</t>
  </si>
  <si>
    <t>2KG-FV74HJR</t>
  </si>
  <si>
    <t>2KG-FV70HJR</t>
  </si>
  <si>
    <t>2RG-FP74HGR</t>
  </si>
  <si>
    <t>2PG-FP74HGR</t>
  </si>
  <si>
    <t>2RG-FP74HER</t>
  </si>
  <si>
    <t>2PG-FP74HER</t>
  </si>
  <si>
    <t>2RG-FP74HDR</t>
  </si>
  <si>
    <t>2PG-FP74HDR</t>
  </si>
  <si>
    <t>6S10</t>
  </si>
  <si>
    <t>2PG-FP74GGR</t>
  </si>
  <si>
    <t>2・2-4Ｄ・4D</t>
  </si>
  <si>
    <t>2PG-FS75HZ</t>
  </si>
  <si>
    <t>2PG-FS75GZ</t>
  </si>
  <si>
    <t>2PG-FS74HZ</t>
  </si>
  <si>
    <t>2KG-FS74HZ</t>
  </si>
  <si>
    <t>2PG-FS74GZ</t>
  </si>
  <si>
    <t>2PG-FS70HZ</t>
  </si>
  <si>
    <t>2KG-FS70HZ</t>
  </si>
  <si>
    <t>2PG-FS75HY</t>
  </si>
  <si>
    <t>2PG-FS75GY</t>
  </si>
  <si>
    <t>2PG-FS74HY</t>
  </si>
  <si>
    <t>2PG-FS74GY</t>
  </si>
  <si>
    <t>2PG-FY74HY</t>
  </si>
  <si>
    <t>2PG-FY74GY</t>
  </si>
  <si>
    <t>2PG-FY70HY</t>
  </si>
  <si>
    <t>2PG-FY70GY</t>
  </si>
  <si>
    <t>2PG-FV74HZ</t>
  </si>
  <si>
    <t>2PG-FV74GZ</t>
  </si>
  <si>
    <t>2PG-FV70HZ</t>
  </si>
  <si>
    <t>2KG-FV70HZ</t>
  </si>
  <si>
    <t>2PG-FV70GZ</t>
  </si>
  <si>
    <t>2PG-FV70HY</t>
  </si>
  <si>
    <t>2KG-FV70HY</t>
  </si>
  <si>
    <t>2PG-FV70GY</t>
  </si>
  <si>
    <t>2PG-FV70HX</t>
  </si>
  <si>
    <t>2KG-FV70HX</t>
  </si>
  <si>
    <t>2PG-FV70GX</t>
  </si>
  <si>
    <t>2KG-FV70GX</t>
  </si>
  <si>
    <t>2-4Ｄ・4</t>
  </si>
  <si>
    <t>2PG-FU75HZ</t>
  </si>
  <si>
    <t>2PG-FU75GZ</t>
  </si>
  <si>
    <t>2PG-FU74HZ</t>
  </si>
  <si>
    <t>2KG-FU74HZ</t>
  </si>
  <si>
    <t>2PG-FU74GZ</t>
  </si>
  <si>
    <t>2PG-FU74HY</t>
  </si>
  <si>
    <t>2PG-FU74GY</t>
  </si>
  <si>
    <t>2PG-FU70HY</t>
  </si>
  <si>
    <t>2KG-FU70HY</t>
  </si>
  <si>
    <t>2PG-FU70GY</t>
  </si>
  <si>
    <t>ふそう</t>
    <phoneticPr fontId="8"/>
  </si>
  <si>
    <t>三菱</t>
  </si>
  <si>
    <t>当該自動車の製造又は輸入の事業を行う者の氏名又は名称　　　　三菱ふそうトラック・バス株式会社</t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8"/>
  </si>
  <si>
    <r>
      <rPr>
        <sz val="8"/>
        <rFont val="ＭＳ Ｐゴシック"/>
        <family val="3"/>
        <charset val="128"/>
      </rPr>
      <t>　　　実際に販売されている車両は、ここに記載された車両重量・車両総重量・最大積載量（または乗車定員）と異なる場合があります。</t>
    </r>
    <rPh sb="3" eb="5">
      <t>ジッサイ</t>
    </rPh>
    <rPh sb="6" eb="8">
      <t>ハンバイ</t>
    </rPh>
    <rPh sb="13" eb="15">
      <t>シャリョウ</t>
    </rPh>
    <rPh sb="20" eb="22">
      <t>キサイ</t>
    </rPh>
    <rPh sb="25" eb="27">
      <t>シャリョウ</t>
    </rPh>
    <rPh sb="27" eb="29">
      <t>ジュウリョウ</t>
    </rPh>
    <rPh sb="30" eb="32">
      <t>シャリョウ</t>
    </rPh>
    <rPh sb="32" eb="35">
      <t>ソウジュウリョウ</t>
    </rPh>
    <rPh sb="36" eb="38">
      <t>サイダイ</t>
    </rPh>
    <rPh sb="38" eb="41">
      <t>セキサイリョウ</t>
    </rPh>
    <rPh sb="45" eb="47">
      <t>ジョウシャ</t>
    </rPh>
    <rPh sb="47" eb="49">
      <t>テイイン</t>
    </rPh>
    <rPh sb="51" eb="52">
      <t>コト</t>
    </rPh>
    <rPh sb="54" eb="56">
      <t>バアイ</t>
    </rPh>
    <phoneticPr fontId="8"/>
  </si>
  <si>
    <r>
      <rPr>
        <sz val="8"/>
        <rFont val="ＭＳ Ｐゴシック"/>
        <family val="3"/>
        <charset val="128"/>
      </rPr>
      <t>（注）車両重量・車両総重量・最大積載量（または乗車定員）は、燃費値の算定に当たって用いた標準的な仕様を記載しています。</t>
    </r>
    <rPh sb="1" eb="2">
      <t>チュウ</t>
    </rPh>
    <rPh sb="3" eb="5">
      <t>シャリョウ</t>
    </rPh>
    <rPh sb="5" eb="7">
      <t>ジュウリョウ</t>
    </rPh>
    <rPh sb="8" eb="10">
      <t>シャリョウ</t>
    </rPh>
    <rPh sb="10" eb="13">
      <t>ソウジュウリョウ</t>
    </rPh>
    <rPh sb="14" eb="16">
      <t>サイダイ</t>
    </rPh>
    <rPh sb="16" eb="19">
      <t>セキサイリョウ</t>
    </rPh>
    <rPh sb="23" eb="25">
      <t>ジョウシャ</t>
    </rPh>
    <rPh sb="25" eb="27">
      <t>テイイン</t>
    </rPh>
    <rPh sb="30" eb="32">
      <t>ネンピ</t>
    </rPh>
    <rPh sb="32" eb="33">
      <t>チ</t>
    </rPh>
    <rPh sb="34" eb="36">
      <t>サンテイ</t>
    </rPh>
    <rPh sb="37" eb="38">
      <t>ア</t>
    </rPh>
    <rPh sb="41" eb="42">
      <t>モチ</t>
    </rPh>
    <rPh sb="44" eb="46">
      <t>ヒョウジュン</t>
    </rPh>
    <rPh sb="46" eb="47">
      <t>テキ</t>
    </rPh>
    <rPh sb="48" eb="50">
      <t>シヨウ</t>
    </rPh>
    <rPh sb="51" eb="53">
      <t>キサイ</t>
    </rPh>
    <phoneticPr fontId="8"/>
  </si>
  <si>
    <r>
      <rPr>
        <sz val="8"/>
        <rFont val="ＭＳ Ｐゴシック"/>
        <family val="3"/>
        <charset val="128"/>
      </rPr>
      <t>※２印････トヨタ自動車株式会社による</t>
    </r>
    <r>
      <rPr>
        <sz val="8"/>
        <rFont val="Arial"/>
        <family val="2"/>
      </rPr>
      <t>OEM</t>
    </r>
    <r>
      <rPr>
        <sz val="8"/>
        <rFont val="ＭＳ Ｐゴシック"/>
        <family val="3"/>
        <charset val="128"/>
      </rPr>
      <t>生産車</t>
    </r>
    <rPh sb="2" eb="3">
      <t>シルシ</t>
    </rPh>
    <rPh sb="10" eb="12">
      <t>ジドウ</t>
    </rPh>
    <rPh sb="12" eb="13">
      <t>シャ</t>
    </rPh>
    <rPh sb="13" eb="15">
      <t>カブシキ</t>
    </rPh>
    <rPh sb="15" eb="17">
      <t>カイシャ</t>
    </rPh>
    <rPh sb="23" eb="25">
      <t>セイサン</t>
    </rPh>
    <rPh sb="25" eb="26">
      <t>シャ</t>
    </rPh>
    <phoneticPr fontId="6"/>
  </si>
  <si>
    <r>
      <rPr>
        <sz val="8"/>
        <rFont val="ＭＳ Ｐゴシック"/>
        <family val="3"/>
        <charset val="128"/>
      </rPr>
      <t>※１印････ＵＤトラックス株式会社による</t>
    </r>
    <r>
      <rPr>
        <sz val="8"/>
        <rFont val="Arial"/>
        <family val="2"/>
      </rPr>
      <t>OEM</t>
    </r>
    <r>
      <rPr>
        <sz val="8"/>
        <rFont val="ＭＳ Ｐゴシック"/>
        <family val="3"/>
        <charset val="128"/>
      </rPr>
      <t>生産車</t>
    </r>
    <rPh sb="2" eb="3">
      <t>イン</t>
    </rPh>
    <rPh sb="24" eb="26">
      <t>セイサン</t>
    </rPh>
    <rPh sb="26" eb="27">
      <t>グルマ</t>
    </rPh>
    <phoneticPr fontId="5"/>
  </si>
  <si>
    <t>2D-4D･4D</t>
  </si>
  <si>
    <t>P, FI,TC,IC,D</t>
    <phoneticPr fontId="8"/>
  </si>
  <si>
    <t>4.04</t>
  </si>
  <si>
    <r>
      <rPr>
        <sz val="8"/>
        <rFont val="ＭＳ Ｐゴシック"/>
        <family val="3"/>
        <charset val="128"/>
      </rPr>
      <t>トラック等</t>
    </r>
  </si>
  <si>
    <t>2DG-HZ5BL</t>
  </si>
  <si>
    <t>4.15</t>
  </si>
  <si>
    <t>2DG-HF5AL</t>
  </si>
  <si>
    <t>─</t>
  </si>
  <si>
    <r>
      <rPr>
        <sz val="8"/>
        <rFont val="ＭＳ Ｐゴシック"/>
        <family val="3"/>
        <charset val="128"/>
      </rPr>
      <t>※</t>
    </r>
    <r>
      <rPr>
        <sz val="8"/>
        <rFont val="Arial"/>
        <family val="2"/>
      </rPr>
      <t>1</t>
    </r>
    <phoneticPr fontId="8"/>
  </si>
  <si>
    <r>
      <rPr>
        <sz val="8"/>
        <rFont val="ＭＳ Ｐゴシック"/>
        <family val="3"/>
        <charset val="128"/>
      </rPr>
      <t xml:space="preserve">類別区分番号
</t>
    </r>
    <r>
      <rPr>
        <sz val="8"/>
        <rFont val="Arial"/>
        <family val="2"/>
      </rPr>
      <t>3001</t>
    </r>
    <r>
      <rPr>
        <sz val="8"/>
        <rFont val="ＭＳ Ｐゴシック"/>
        <family val="3"/>
        <charset val="128"/>
      </rPr>
      <t>番以降</t>
    </r>
    <rPh sb="0" eb="6">
      <t>ルイベツクブンバンゴウ</t>
    </rPh>
    <rPh sb="11" eb="14">
      <t>バンイコウ</t>
    </rPh>
    <phoneticPr fontId="1"/>
  </si>
  <si>
    <t>H,I,P,FI</t>
  </si>
  <si>
    <t>6AMTx2</t>
  </si>
  <si>
    <t>A09C-K1</t>
  </si>
  <si>
    <t>2NG-FW1AHS</t>
  </si>
  <si>
    <t>2NG-FW1AHH</t>
  </si>
  <si>
    <t>2NG-FR1AHS</t>
  </si>
  <si>
    <t>A09C-K1</t>
    <phoneticPr fontId="4"/>
  </si>
  <si>
    <t>2NG-FR1AHH</t>
  </si>
  <si>
    <t>EGR, DF, SCR</t>
  </si>
  <si>
    <t>P, FI</t>
  </si>
  <si>
    <t>6AMTx2</t>
    <phoneticPr fontId="8"/>
  </si>
  <si>
    <t>A09C</t>
  </si>
  <si>
    <t>2KG-FH1AGC</t>
  </si>
  <si>
    <t>2DG-FH1AGE</t>
  </si>
  <si>
    <t>2KG-FH1AGE</t>
  </si>
  <si>
    <r>
      <rPr>
        <sz val="8"/>
        <rFont val="ＭＳ Ｐゴシック"/>
        <family val="3"/>
        <charset val="128"/>
      </rPr>
      <t>トラクタ</t>
    </r>
  </si>
  <si>
    <t>2DG-SH1ALGC</t>
  </si>
  <si>
    <t>2DG-SH1AHGC</t>
  </si>
  <si>
    <t>2DG-SH1AGGC</t>
  </si>
  <si>
    <t>2-4D
2-2D</t>
  </si>
  <si>
    <r>
      <rPr>
        <sz val="8"/>
        <rFont val="ＭＳ Ｐゴシック"/>
        <family val="3"/>
        <charset val="128"/>
      </rPr>
      <t>トラクタ</t>
    </r>
    <phoneticPr fontId="8"/>
  </si>
  <si>
    <t>2DG-SH1ADGC</t>
  </si>
  <si>
    <t>2･2-4D
2･2-2D</t>
  </si>
  <si>
    <r>
      <rPr>
        <sz val="8"/>
        <rFont val="ＭＳ Ｐゴシック"/>
        <family val="3"/>
        <charset val="128"/>
      </rPr>
      <t>トラック等</t>
    </r>
    <phoneticPr fontId="8"/>
  </si>
  <si>
    <t>2DG-FN1AJC</t>
  </si>
  <si>
    <t>2DG-FN1AJE</t>
  </si>
  <si>
    <t>2DG-FN1AGC</t>
  </si>
  <si>
    <t>2DG-FN1AGE</t>
  </si>
  <si>
    <t>2DG-FW1AHB</t>
  </si>
  <si>
    <t>2DG-FW1AHC</t>
  </si>
  <si>
    <t>2DG-FW1AJB</t>
  </si>
  <si>
    <t>2DG-FW1AJC</t>
  </si>
  <si>
    <t>2-4D･4
2-2D･2</t>
  </si>
  <si>
    <t>2DG-FR1AHB</t>
  </si>
  <si>
    <t>2DG-FR1AHC</t>
  </si>
  <si>
    <t>2DG-FR1AHE</t>
  </si>
  <si>
    <t>2DG-FR1AJC</t>
  </si>
  <si>
    <t>2DG-FR1AJE</t>
  </si>
  <si>
    <t>6AT</t>
  </si>
  <si>
    <t>2DG-FR1AGE</t>
  </si>
  <si>
    <t>2DG-FQ1AJB</t>
  </si>
  <si>
    <t>2DG-FQ1AJC</t>
  </si>
  <si>
    <t>2-4D･4D
2-2D･2D</t>
  </si>
  <si>
    <t>2DG-FS1AHB</t>
  </si>
  <si>
    <t>2DG-FS1AHC</t>
  </si>
  <si>
    <t>2DG-FS1AHE</t>
  </si>
  <si>
    <t>2DG-FS1AJE</t>
  </si>
  <si>
    <t>2DG-FS1AGE</t>
  </si>
  <si>
    <t>H, I, P, FI</t>
  </si>
  <si>
    <t>2-4D･2</t>
  </si>
  <si>
    <t>5AT</t>
  </si>
  <si>
    <t>2DG-PR1APJF</t>
  </si>
  <si>
    <t>2DG-SH1ALGG</t>
  </si>
  <si>
    <t>2DG-SH1AHGG</t>
  </si>
  <si>
    <t>2DG-SH1AGGG</t>
  </si>
  <si>
    <t>2DG-SH1ADGG</t>
  </si>
  <si>
    <t>2DG-FN1AJG</t>
  </si>
  <si>
    <t>2DG-FN1AJA</t>
  </si>
  <si>
    <t>2DG-FN1AGG</t>
  </si>
  <si>
    <t>2DG-FN1AGA</t>
  </si>
  <si>
    <t>2DG-FW1AHJ</t>
  </si>
  <si>
    <t>2DG-FW1AHG</t>
  </si>
  <si>
    <t>2DG-FW1AJJ</t>
  </si>
  <si>
    <t>2DG-FW1AJG</t>
  </si>
  <si>
    <t>2DG-FR1AHJ</t>
  </si>
  <si>
    <t>2DG-FR1AHG</t>
  </si>
  <si>
    <t>2DG-FR1AHA</t>
  </si>
  <si>
    <t>2DG-FR1AJG</t>
  </si>
  <si>
    <t>2DG-FR1AJA</t>
  </si>
  <si>
    <t>2DG-FR1AGA</t>
  </si>
  <si>
    <t>2DG-FQ1AJJ</t>
  </si>
  <si>
    <t>2DG-FQ1AJG</t>
  </si>
  <si>
    <t>2DG-FS1AHJ</t>
  </si>
  <si>
    <t>2DG-FS1AHG</t>
  </si>
  <si>
    <t>2DG-FS1AHA</t>
  </si>
  <si>
    <t>2DG-FS1AJA</t>
  </si>
  <si>
    <t>2DG-FS1AGA</t>
  </si>
  <si>
    <r>
      <rPr>
        <sz val="8"/>
        <rFont val="ＭＳ Ｐゴシック"/>
        <family val="3"/>
        <charset val="128"/>
      </rPr>
      <t>日野プロフィア</t>
    </r>
    <rPh sb="0" eb="2">
      <t>ヒノ</t>
    </rPh>
    <phoneticPr fontId="7"/>
  </si>
  <si>
    <r>
      <rPr>
        <sz val="8"/>
        <rFont val="ＭＳ Ｐゴシック"/>
        <family val="3"/>
        <charset val="128"/>
      </rPr>
      <t xml:space="preserve">類別区分番号
</t>
    </r>
    <r>
      <rPr>
        <sz val="8"/>
        <rFont val="Arial"/>
        <family val="2"/>
      </rPr>
      <t>4001</t>
    </r>
    <r>
      <rPr>
        <sz val="8"/>
        <rFont val="ＭＳ Ｐゴシック"/>
        <family val="3"/>
        <charset val="128"/>
      </rPr>
      <t>番以降</t>
    </r>
    <phoneticPr fontId="4"/>
  </si>
  <si>
    <t>P,FI</t>
  </si>
  <si>
    <t>A05C</t>
  </si>
  <si>
    <t>2DG-GK2ABA</t>
  </si>
  <si>
    <t>I,P,FI</t>
  </si>
  <si>
    <t>2DG-FG2ABA</t>
  </si>
  <si>
    <t>2KG-FG2ABA</t>
  </si>
  <si>
    <t>2PG-FG2ABA</t>
  </si>
  <si>
    <t>2KG-FE2ACG</t>
  </si>
  <si>
    <t>6AMT</t>
  </si>
  <si>
    <t>7AMT</t>
  </si>
  <si>
    <t>2PG-FE2ACG</t>
  </si>
  <si>
    <t>2DG-FE2ACA</t>
  </si>
  <si>
    <t>2KG-FE2ACA</t>
  </si>
  <si>
    <t>2PG-FE2ACA</t>
  </si>
  <si>
    <t>2KG-FJ2ACG</t>
  </si>
  <si>
    <t>2DG-FJ2ACA</t>
  </si>
  <si>
    <t>2KG-FJ2ACA</t>
  </si>
  <si>
    <t>2PG-FJ2ACA</t>
  </si>
  <si>
    <t>2KG-GX2ABA</t>
  </si>
  <si>
    <t>2PG-GX2ABA</t>
  </si>
  <si>
    <t>2KG-GD2ABG</t>
  </si>
  <si>
    <t>2DG-GD2ABA</t>
  </si>
  <si>
    <t>2KG-GD2ABA</t>
  </si>
  <si>
    <t>2KG-GC2ABG</t>
  </si>
  <si>
    <t>2KG-GC2ABA</t>
  </si>
  <si>
    <t>2KG-FX2ABA</t>
  </si>
  <si>
    <t>2KG-FD2ABJ</t>
  </si>
  <si>
    <t>2PG-FD2ABJ</t>
  </si>
  <si>
    <t>2KG-FD2ABG</t>
  </si>
  <si>
    <t>2PG-FD2ABG</t>
  </si>
  <si>
    <t>2DG-FD2ABA</t>
  </si>
  <si>
    <t>2KG-FD2ABA</t>
  </si>
  <si>
    <t>2PG-FD2ABA</t>
  </si>
  <si>
    <t>2KG-FC2ABG</t>
  </si>
  <si>
    <t>2PG-FC2ABG</t>
  </si>
  <si>
    <t>2KG-FC2ABA</t>
  </si>
  <si>
    <t>2PG-FC2ABA</t>
  </si>
  <si>
    <t>2-4D・4D</t>
  </si>
  <si>
    <t>A05C</t>
    <phoneticPr fontId="8"/>
  </si>
  <si>
    <t>2DG-GK2ABA</t>
    <phoneticPr fontId="8"/>
  </si>
  <si>
    <t>I, P, FI</t>
  </si>
  <si>
    <t>2KG-GK2ABA</t>
    <phoneticPr fontId="8"/>
  </si>
  <si>
    <t>2DG-FG2ABA</t>
    <phoneticPr fontId="8"/>
  </si>
  <si>
    <t>2KG-FG2ABA</t>
    <phoneticPr fontId="8"/>
  </si>
  <si>
    <t>2PG-FG2ABA</t>
    <phoneticPr fontId="8"/>
  </si>
  <si>
    <t>2KG-FE2ACG</t>
    <phoneticPr fontId="8"/>
  </si>
  <si>
    <t>2KG-FE2ABG</t>
  </si>
  <si>
    <t>6MT
6AMT</t>
  </si>
  <si>
    <t>7MT
7AMT</t>
  </si>
  <si>
    <t>2PG-FE2ABG</t>
  </si>
  <si>
    <t>2PG-FE2ACG</t>
    <phoneticPr fontId="8"/>
  </si>
  <si>
    <t>6MT
6AMT</t>
    <phoneticPr fontId="8"/>
  </si>
  <si>
    <t>2DG-FE2ACA</t>
    <phoneticPr fontId="8"/>
  </si>
  <si>
    <t>2DG-FE2ABA</t>
  </si>
  <si>
    <t>2KG-FE2ACA</t>
    <phoneticPr fontId="8"/>
  </si>
  <si>
    <t>2KG-FE2ABA</t>
  </si>
  <si>
    <t>2PG-FE2ABA</t>
  </si>
  <si>
    <t>2PG-FE2ACA</t>
    <phoneticPr fontId="8"/>
  </si>
  <si>
    <t>2KG-FJ2ACG</t>
    <phoneticPr fontId="8"/>
  </si>
  <si>
    <t>2KG-FJ2ABG</t>
    <phoneticPr fontId="8"/>
  </si>
  <si>
    <t>2PG-FJ2ACG</t>
    <phoneticPr fontId="8"/>
  </si>
  <si>
    <t>2PG-FJ2ABG</t>
  </si>
  <si>
    <t>2DG-FJ2ACA</t>
    <phoneticPr fontId="8"/>
  </si>
  <si>
    <t>2DG-FJ2ABA</t>
    <phoneticPr fontId="8"/>
  </si>
  <si>
    <t>2KG-FJ2ACA</t>
    <phoneticPr fontId="8"/>
  </si>
  <si>
    <t>2KG-FJ2ABA</t>
  </si>
  <si>
    <t>2PG-FJ2ACA</t>
    <phoneticPr fontId="8"/>
  </si>
  <si>
    <t>2PG-FJ2ABA</t>
  </si>
  <si>
    <t>2PG-GD2ABG</t>
  </si>
  <si>
    <t>2PG-GD2ABA</t>
  </si>
  <si>
    <t>2PG-GC2ABG</t>
  </si>
  <si>
    <t>2PG-GC2ABA</t>
  </si>
  <si>
    <r>
      <rPr>
        <sz val="8"/>
        <rFont val="ＭＳ Ｐゴシック"/>
        <family val="3"/>
        <charset val="128"/>
      </rPr>
      <t>日野レンジャー</t>
    </r>
    <phoneticPr fontId="7"/>
  </si>
  <si>
    <t>EGR,DF,CCO,SCR</t>
  </si>
  <si>
    <t>Ｄ,FI,TC,IC,P</t>
  </si>
  <si>
    <t>1GD</t>
  </si>
  <si>
    <t>2DG-GDY231M</t>
    <phoneticPr fontId="8"/>
  </si>
  <si>
    <t>2DG-GDY281M</t>
    <phoneticPr fontId="8"/>
  </si>
  <si>
    <t>2PG-GDY281M</t>
    <phoneticPr fontId="8"/>
  </si>
  <si>
    <t>2PG-GDY231M</t>
    <phoneticPr fontId="8"/>
  </si>
  <si>
    <t>EGR,DF</t>
  </si>
  <si>
    <t>N04C</t>
  </si>
  <si>
    <t>2DG-XZU730M</t>
  </si>
  <si>
    <t>2DG-XZU700X</t>
  </si>
  <si>
    <t>2KG-XZU700X</t>
  </si>
  <si>
    <t>2KG-XZU650F</t>
  </si>
  <si>
    <t>2KG-XZU640F</t>
  </si>
  <si>
    <t>2KG-XZU730M</t>
  </si>
  <si>
    <t>2KG-XZU600F</t>
  </si>
  <si>
    <t>2DG-XZU732M</t>
  </si>
  <si>
    <t>2KG-XZU642J</t>
  </si>
  <si>
    <t>2KG-XZU732M</t>
  </si>
  <si>
    <t>2KG-XZU702X</t>
  </si>
  <si>
    <t>2KG-XZU652F</t>
  </si>
  <si>
    <t>2KG-XZU642F</t>
  </si>
  <si>
    <t>2KG-XZU602F</t>
  </si>
  <si>
    <t>2DG-XZU722M</t>
  </si>
  <si>
    <t>2DG-XZU712M</t>
  </si>
  <si>
    <t>2DG-XZU702M</t>
  </si>
  <si>
    <t>2DG-XZU640M</t>
  </si>
  <si>
    <t>2DG-XZU600E</t>
  </si>
  <si>
    <t>2KG-XZU722M</t>
  </si>
  <si>
    <t>2KG-XZU712M</t>
  </si>
  <si>
    <t>2KG-XZU702M</t>
  </si>
  <si>
    <t>2KG-XZU640M</t>
  </si>
  <si>
    <t>2KG-XZU600E</t>
  </si>
  <si>
    <t>2DG-XZU775M</t>
  </si>
  <si>
    <t>2DG-XZU695M</t>
  </si>
  <si>
    <t>2DG-XZU685M</t>
  </si>
  <si>
    <t>2DG-XZU675T</t>
  </si>
  <si>
    <t>2DG-XZU675M</t>
  </si>
  <si>
    <t>2DG-XZC675T</t>
  </si>
  <si>
    <t>2DG-XZC675M</t>
  </si>
  <si>
    <t>2DG-XZU700M</t>
  </si>
  <si>
    <t>2DG-XZU655M</t>
  </si>
  <si>
    <t>2DG-XZU650M</t>
  </si>
  <si>
    <t>2DG-XZU645M</t>
  </si>
  <si>
    <t>2DG-XZU630T</t>
  </si>
  <si>
    <t>2DG-XZU605X</t>
  </si>
  <si>
    <t>2DG-XZU605M</t>
  </si>
  <si>
    <t>2DG-XZU600X</t>
  </si>
  <si>
    <t>2DG-XZU600T</t>
  </si>
  <si>
    <t>2DG-XZC710M</t>
  </si>
  <si>
    <t>2DG-XZC655M</t>
  </si>
  <si>
    <t>2DG-XZC645M</t>
  </si>
  <si>
    <t>2DG-XZC630T</t>
  </si>
  <si>
    <t>2DG-XZC605M</t>
  </si>
  <si>
    <t>2DG-XZC600T</t>
  </si>
  <si>
    <t>2DG-XZU720M</t>
  </si>
  <si>
    <t>2DG-XZU710M</t>
  </si>
  <si>
    <t>2KG-XZU630T</t>
  </si>
  <si>
    <t>2KG-XZC630T</t>
  </si>
  <si>
    <t>2KG-XZU720M</t>
  </si>
  <si>
    <t>2KG-XZU710M</t>
  </si>
  <si>
    <t>2KG-XZU700M</t>
  </si>
  <si>
    <t>2KG-XZU655M</t>
  </si>
  <si>
    <t>2KG-XZU650M</t>
  </si>
  <si>
    <t>2KG-XZU645M</t>
  </si>
  <si>
    <t>2KG-XZU605X</t>
  </si>
  <si>
    <t>2KG-XZU605M</t>
  </si>
  <si>
    <t>2KG-XZU600X</t>
  </si>
  <si>
    <t>2KG-XZU600T</t>
  </si>
  <si>
    <t>2KG-XZC710M</t>
  </si>
  <si>
    <t>2KG-XZC655M</t>
  </si>
  <si>
    <t>2KG-XZC645M</t>
  </si>
  <si>
    <t>2KG-XZC605M</t>
  </si>
  <si>
    <t>2KG-XZC600T</t>
  </si>
  <si>
    <r>
      <rPr>
        <sz val="8"/>
        <rFont val="ＭＳ Ｐゴシック"/>
        <family val="3"/>
        <charset val="128"/>
      </rPr>
      <t xml:space="preserve">類別区分番号
</t>
    </r>
    <r>
      <rPr>
        <sz val="8"/>
        <rFont val="Arial"/>
        <family val="2"/>
      </rPr>
      <t>3001</t>
    </r>
    <r>
      <rPr>
        <sz val="8"/>
        <rFont val="ＭＳ Ｐゴシック"/>
        <family val="3"/>
        <charset val="128"/>
      </rPr>
      <t>番以降</t>
    </r>
    <rPh sb="0" eb="6">
      <t>ルイベツクブンバンゴウ</t>
    </rPh>
    <rPh sb="11" eb="14">
      <t>バンイコウ</t>
    </rPh>
    <phoneticPr fontId="22"/>
  </si>
  <si>
    <t>N04C-H1</t>
  </si>
  <si>
    <t>2QG-XKU722M</t>
  </si>
  <si>
    <t>2QG-XKU712M</t>
  </si>
  <si>
    <t>2QG-XKU702M</t>
  </si>
  <si>
    <t>2SG-XKU722M</t>
  </si>
  <si>
    <t>2SG-XKU712M</t>
  </si>
  <si>
    <t>2SG-XKU702M</t>
  </si>
  <si>
    <t>2SG-XKU645M</t>
  </si>
  <si>
    <t>2SG-XKU720M</t>
  </si>
  <si>
    <t>2SG-XKU710M</t>
  </si>
  <si>
    <t>2SG-XKU655M</t>
  </si>
  <si>
    <t>2SG-XKU605X</t>
  </si>
  <si>
    <t>2SG-XKU605M</t>
  </si>
  <si>
    <t>2SG-XKC605M</t>
  </si>
  <si>
    <t>EGR, DF</t>
  </si>
  <si>
    <t>2RG-XZU720M</t>
    <phoneticPr fontId="8"/>
  </si>
  <si>
    <t>2RG-XZU710M</t>
    <phoneticPr fontId="8"/>
  </si>
  <si>
    <t>2RG-XZU700M</t>
    <phoneticPr fontId="8"/>
  </si>
  <si>
    <t>2RG-XZU600F</t>
  </si>
  <si>
    <t>2PG-XZU720M</t>
    <phoneticPr fontId="8"/>
  </si>
  <si>
    <t>2PG-XZU710M</t>
    <phoneticPr fontId="8"/>
  </si>
  <si>
    <t>2PG-XZU700M</t>
    <phoneticPr fontId="8"/>
  </si>
  <si>
    <t>2PG-XZU650F</t>
  </si>
  <si>
    <t>2PG-XZU640F</t>
  </si>
  <si>
    <t>2PG-XZU600F</t>
  </si>
  <si>
    <t>2KG-XZU775M</t>
  </si>
  <si>
    <t>2KG-XZU730M</t>
    <phoneticPr fontId="8"/>
  </si>
  <si>
    <t>2KG-XZU700X</t>
    <phoneticPr fontId="8"/>
  </si>
  <si>
    <t>2KG-XZU695M</t>
  </si>
  <si>
    <t>2KG-XZU685M</t>
  </si>
  <si>
    <t>2KG-XZU675T</t>
  </si>
  <si>
    <t>2KG-XZU675M</t>
  </si>
  <si>
    <t>2KG-XZC675T</t>
  </si>
  <si>
    <t>2KG-XZC675M</t>
  </si>
  <si>
    <t>2PG-XZU722M</t>
  </si>
  <si>
    <t>2PG-XZU720M</t>
  </si>
  <si>
    <t>2PG-XZU712M</t>
  </si>
  <si>
    <t>2PG-XZU710M</t>
  </si>
  <si>
    <t>2PG-XZU702X</t>
  </si>
  <si>
    <t>2PG-XZU702M</t>
  </si>
  <si>
    <t>2PG-XZU700M</t>
  </si>
  <si>
    <t>2PG-XZU655M</t>
  </si>
  <si>
    <t>2PG-XZU652F</t>
  </si>
  <si>
    <t>2PG-XZU650M</t>
  </si>
  <si>
    <t>2PG-XZU645M</t>
  </si>
  <si>
    <t>2PG-XZU642F</t>
  </si>
  <si>
    <t>2PG-XZU642J</t>
  </si>
  <si>
    <t>2PG-XZU640M</t>
  </si>
  <si>
    <t>2PG-XZU630T</t>
  </si>
  <si>
    <t>2PG-XZU605X</t>
  </si>
  <si>
    <t>2PG-XZU605M</t>
  </si>
  <si>
    <t>2PG-XZU602F</t>
  </si>
  <si>
    <t>2PG-XZU600E</t>
  </si>
  <si>
    <t>2PG-XZU600T</t>
  </si>
  <si>
    <t>2PG-XZU600X</t>
  </si>
  <si>
    <t>2PG-XZC710M</t>
  </si>
  <si>
    <t>2PG-XZC655M</t>
  </si>
  <si>
    <t>2PG-XZC645M</t>
  </si>
  <si>
    <t>2PG-XZC630T</t>
  </si>
  <si>
    <t>2PG-XZC605M</t>
  </si>
  <si>
    <t>2PG-XZC600T</t>
  </si>
  <si>
    <t>2RG-XZU722M</t>
  </si>
  <si>
    <t>2RG-XZU720M</t>
  </si>
  <si>
    <t>2RG-XZU712M</t>
  </si>
  <si>
    <t>2RG-XZU710M</t>
  </si>
  <si>
    <t>2RG-XZU702M</t>
  </si>
  <si>
    <t>2RG-XZU700M</t>
  </si>
  <si>
    <t>2RG-XZU655M</t>
  </si>
  <si>
    <t>2RG-XZU650M</t>
  </si>
  <si>
    <t>2RG-XZU645M</t>
  </si>
  <si>
    <t>2RG-XZU640M</t>
  </si>
  <si>
    <t>2RG-XZU630T</t>
  </si>
  <si>
    <t>2RG-XZU605X</t>
  </si>
  <si>
    <t>2RG-XZU605M</t>
  </si>
  <si>
    <t>2RG-XZU600E</t>
  </si>
  <si>
    <t>2RG-XZU600T</t>
  </si>
  <si>
    <t>2RG-XZU600X</t>
  </si>
  <si>
    <t>2RG-XZC710M</t>
  </si>
  <si>
    <t>2RG-XZC655M</t>
  </si>
  <si>
    <t>2RG-XZC645M</t>
  </si>
  <si>
    <t>2RG-XZC630T</t>
  </si>
  <si>
    <t>2RG-XZC605M</t>
  </si>
  <si>
    <t>2RG-XZC600T</t>
  </si>
  <si>
    <t>EGR, DF</t>
    <phoneticPr fontId="8"/>
  </si>
  <si>
    <t>H,I,P,FI</t>
    <phoneticPr fontId="8"/>
  </si>
  <si>
    <r>
      <rPr>
        <sz val="8"/>
        <rFont val="ＭＳ Ｐゴシック"/>
        <family val="3"/>
        <charset val="128"/>
      </rPr>
      <t>日野デュトロ</t>
    </r>
    <phoneticPr fontId="8"/>
  </si>
  <si>
    <t>EGR,DF,CCO,SCR,</t>
    <phoneticPr fontId="8"/>
  </si>
  <si>
    <r>
      <rPr>
        <sz val="8"/>
        <rFont val="ＭＳ Ｐゴシック"/>
        <family val="3"/>
        <charset val="128"/>
      </rPr>
      <t>Ｄ</t>
    </r>
    <r>
      <rPr>
        <sz val="8"/>
        <rFont val="Arial"/>
        <family val="2"/>
      </rPr>
      <t>,FI,TC,IC,P</t>
    </r>
    <phoneticPr fontId="8"/>
  </si>
  <si>
    <t>トラック等</t>
    <phoneticPr fontId="8"/>
  </si>
  <si>
    <r>
      <t>6AT(E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LTC)</t>
    </r>
    <phoneticPr fontId="8"/>
  </si>
  <si>
    <t>2KG-GDB70Y</t>
  </si>
  <si>
    <t>2KG-GDB60Y</t>
  </si>
  <si>
    <r>
      <rPr>
        <sz val="8"/>
        <rFont val="ＭＳ Ｐゴシック"/>
        <family val="3"/>
        <charset val="128"/>
      </rPr>
      <t>日野リエッセＩＩビッグバン</t>
    </r>
    <phoneticPr fontId="8"/>
  </si>
  <si>
    <r>
      <rPr>
        <sz val="8"/>
        <rFont val="ＭＳ Ｐゴシック"/>
        <family val="3"/>
        <charset val="128"/>
      </rPr>
      <t>※２</t>
    </r>
    <phoneticPr fontId="8"/>
  </si>
  <si>
    <r>
      <rPr>
        <sz val="8"/>
        <rFont val="ＭＳ Ｐゴシック"/>
        <family val="3"/>
        <charset val="128"/>
      </rPr>
      <t>日野</t>
    </r>
  </si>
  <si>
    <r>
      <rPr>
        <sz val="8"/>
        <rFont val="ＭＳ Ｐゴシック"/>
        <family val="3"/>
        <charset val="128"/>
      </rPr>
      <t>車輪配列</t>
    </r>
    <rPh sb="0" eb="2">
      <t>シャリン</t>
    </rPh>
    <phoneticPr fontId="8"/>
  </si>
  <si>
    <r>
      <rPr>
        <sz val="8"/>
        <rFont val="ＭＳ Ｐゴシック"/>
        <family val="3"/>
        <charset val="128"/>
      </rPr>
      <t>主要排出
ガス対策</t>
    </r>
    <phoneticPr fontId="8"/>
  </si>
  <si>
    <r>
      <rPr>
        <sz val="8"/>
        <rFont val="ＭＳ Ｐゴシック"/>
        <family val="3"/>
        <charset val="128"/>
      </rPr>
      <t>平成</t>
    </r>
    <r>
      <rPr>
        <sz val="8"/>
        <rFont val="Arial"/>
        <family val="2"/>
      </rPr>
      <t>27</t>
    </r>
    <r>
      <rPr>
        <sz val="8"/>
        <rFont val="ＭＳ Ｐゴシック"/>
        <family val="3"/>
        <charset val="128"/>
      </rPr>
      <t xml:space="preserve">年度燃費基準値
</t>
    </r>
    <r>
      <rPr>
        <sz val="8"/>
        <rFont val="Arial"/>
        <family val="2"/>
      </rPr>
      <t>(km/L)</t>
    </r>
    <rPh sb="0" eb="2">
      <t>ヘイセイ</t>
    </rPh>
    <rPh sb="4" eb="6">
      <t>ネンド</t>
    </rPh>
    <rPh sb="6" eb="8">
      <t>ネンピ</t>
    </rPh>
    <rPh sb="8" eb="11">
      <t>キジュンチ</t>
    </rPh>
    <phoneticPr fontId="8"/>
  </si>
  <si>
    <r>
      <rPr>
        <sz val="8"/>
        <rFont val="ＭＳ Ｐゴシック"/>
        <family val="3"/>
        <charset val="128"/>
      </rPr>
      <t xml:space="preserve">燃費値
</t>
    </r>
    <r>
      <rPr>
        <sz val="8"/>
        <rFont val="Arial"/>
        <family val="2"/>
      </rPr>
      <t>(km/L)</t>
    </r>
    <rPh sb="0" eb="2">
      <t>ネンピ</t>
    </rPh>
    <rPh sb="2" eb="3">
      <t>チ</t>
    </rPh>
    <phoneticPr fontId="8"/>
  </si>
  <si>
    <r>
      <rPr>
        <sz val="8"/>
        <rFont val="ＭＳ Ｐゴシック"/>
        <family val="3"/>
        <charset val="128"/>
      </rPr>
      <t>平成</t>
    </r>
    <r>
      <rPr>
        <sz val="8"/>
        <rFont val="Arial"/>
        <family val="2"/>
      </rPr>
      <t>27</t>
    </r>
    <r>
      <rPr>
        <sz val="8"/>
        <rFont val="ＭＳ Ｐゴシック"/>
        <family val="3"/>
        <charset val="128"/>
      </rPr>
      <t>年度
燃費基準
達成レベル・向上達成レベル</t>
    </r>
    <rPh sb="0" eb="2">
      <t>ヘイセイ</t>
    </rPh>
    <rPh sb="4" eb="6">
      <t>ネンド</t>
    </rPh>
    <rPh sb="6" eb="8">
      <t>ヘイネンド</t>
    </rPh>
    <rPh sb="7" eb="9">
      <t>ネンピ</t>
    </rPh>
    <rPh sb="9" eb="11">
      <t>キジュン</t>
    </rPh>
    <rPh sb="12" eb="14">
      <t>タッセイ</t>
    </rPh>
    <rPh sb="18" eb="20">
      <t>コウジョウ</t>
    </rPh>
    <rPh sb="20" eb="22">
      <t>タッセイ</t>
    </rPh>
    <phoneticPr fontId="8"/>
  </si>
  <si>
    <r>
      <rPr>
        <sz val="8"/>
        <rFont val="ＭＳ Ｐゴシック"/>
        <family val="3"/>
        <charset val="128"/>
      </rPr>
      <t>（参考）
低排出ガス
認定レベル</t>
    </r>
    <rPh sb="1" eb="3">
      <t>サンコウ</t>
    </rPh>
    <phoneticPr fontId="8"/>
  </si>
  <si>
    <r>
      <rPr>
        <sz val="8"/>
        <rFont val="ＭＳ Ｐゴシック"/>
        <family val="3"/>
        <charset val="128"/>
      </rPr>
      <t>主要燃費
改善対策</t>
    </r>
    <rPh sb="0" eb="2">
      <t>シュヨウ</t>
    </rPh>
    <rPh sb="2" eb="4">
      <t>ネンピ</t>
    </rPh>
    <rPh sb="5" eb="7">
      <t>カイゼン</t>
    </rPh>
    <rPh sb="7" eb="9">
      <t>タイサク</t>
    </rPh>
    <phoneticPr fontId="8"/>
  </si>
  <si>
    <r>
      <rPr>
        <sz val="8"/>
        <rFont val="ＭＳ Ｐゴシック"/>
        <family val="3"/>
        <charset val="128"/>
      </rPr>
      <t>重量車モード</t>
    </r>
    <rPh sb="0" eb="3">
      <t>ジュウリョウシャ</t>
    </rPh>
    <phoneticPr fontId="8"/>
  </si>
  <si>
    <r>
      <rPr>
        <sz val="8"/>
        <rFont val="ＭＳ Ｐゴシック"/>
        <family val="3"/>
        <charset val="128"/>
      </rPr>
      <t>自動車の構造</t>
    </r>
    <rPh sb="0" eb="3">
      <t>ジドウシャ</t>
    </rPh>
    <rPh sb="4" eb="6">
      <t>コウゾウ</t>
    </rPh>
    <phoneticPr fontId="8"/>
  </si>
  <si>
    <r>
      <rPr>
        <sz val="8"/>
        <rFont val="ＭＳ Ｐゴシック"/>
        <family val="3"/>
        <charset val="128"/>
      </rPr>
      <t>最大積載量</t>
    </r>
    <r>
      <rPr>
        <sz val="8"/>
        <rFont val="Arial"/>
        <family val="2"/>
      </rPr>
      <t xml:space="preserve">(kg)
</t>
    </r>
    <r>
      <rPr>
        <sz val="8"/>
        <rFont val="ＭＳ Ｐゴシック"/>
        <family val="3"/>
        <charset val="128"/>
      </rPr>
      <t>又は
乗車定員</t>
    </r>
    <r>
      <rPr>
        <sz val="8"/>
        <rFont val="Arial"/>
        <family val="2"/>
      </rPr>
      <t>(</t>
    </r>
    <r>
      <rPr>
        <sz val="8"/>
        <rFont val="ＭＳ Ｐゴシック"/>
        <family val="3"/>
        <charset val="128"/>
      </rPr>
      <t>名</t>
    </r>
    <r>
      <rPr>
        <sz val="8"/>
        <rFont val="Arial"/>
        <family val="2"/>
      </rPr>
      <t>)</t>
    </r>
    <rPh sb="0" eb="2">
      <t>サイダイ</t>
    </rPh>
    <rPh sb="2" eb="5">
      <t>セキサイリョウ</t>
    </rPh>
    <rPh sb="10" eb="11">
      <t>マタ</t>
    </rPh>
    <rPh sb="13" eb="15">
      <t>ジョウシャ</t>
    </rPh>
    <rPh sb="15" eb="17">
      <t>テイイン</t>
    </rPh>
    <rPh sb="18" eb="19">
      <t>メイ</t>
    </rPh>
    <phoneticPr fontId="8"/>
  </si>
  <si>
    <r>
      <rPr>
        <sz val="8"/>
        <rFont val="ＭＳ Ｐゴシック"/>
        <family val="3"/>
        <charset val="128"/>
      </rPr>
      <t xml:space="preserve">車両総重量
</t>
    </r>
    <r>
      <rPr>
        <sz val="8"/>
        <rFont val="Arial"/>
        <family val="2"/>
      </rPr>
      <t>(kg)</t>
    </r>
    <phoneticPr fontId="8"/>
  </si>
  <si>
    <r>
      <rPr>
        <sz val="8"/>
        <rFont val="ＭＳ Ｐゴシック"/>
        <family val="3"/>
        <charset val="128"/>
      </rPr>
      <t xml:space="preserve">車両重量
</t>
    </r>
    <r>
      <rPr>
        <sz val="8"/>
        <rFont val="Arial"/>
        <family val="2"/>
      </rPr>
      <t>(kg)</t>
    </r>
    <phoneticPr fontId="8"/>
  </si>
  <si>
    <r>
      <rPr>
        <sz val="8"/>
        <rFont val="ＭＳ Ｐゴシック"/>
        <family val="3"/>
        <charset val="128"/>
      </rPr>
      <t>変速装置の
型式及び変速段数</t>
    </r>
    <rPh sb="0" eb="2">
      <t>ヘンソク</t>
    </rPh>
    <rPh sb="2" eb="4">
      <t>ソウチ</t>
    </rPh>
    <rPh sb="6" eb="8">
      <t>カタシキ</t>
    </rPh>
    <rPh sb="8" eb="9">
      <t>オヨ</t>
    </rPh>
    <rPh sb="10" eb="12">
      <t>ヘンソク</t>
    </rPh>
    <rPh sb="12" eb="14">
      <t>ダンスウ</t>
    </rPh>
    <phoneticPr fontId="8"/>
  </si>
  <si>
    <r>
      <rPr>
        <b/>
        <sz val="12"/>
        <rFont val="ＭＳ Ｐゴシック"/>
        <family val="3"/>
        <charset val="128"/>
      </rPr>
      <t>トラック等又はトラクタ</t>
    </r>
    <rPh sb="4" eb="5">
      <t>トウ</t>
    </rPh>
    <rPh sb="5" eb="6">
      <t>マタ</t>
    </rPh>
    <phoneticPr fontId="8"/>
  </si>
  <si>
    <r>
      <rPr>
        <sz val="8"/>
        <rFont val="ＭＳ Ｐゴシック"/>
        <family val="3"/>
        <charset val="128"/>
      </rPr>
      <t>日野自動車株式会社</t>
    </r>
    <phoneticPr fontId="8"/>
  </si>
  <si>
    <r>
      <rPr>
        <sz val="8"/>
        <rFont val="ＭＳ Ｐゴシック"/>
        <family val="3"/>
        <charset val="128"/>
      </rPr>
      <t>当該自動車の製造又は輸入の事業を行う者の氏名又は名称　　</t>
    </r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8"/>
  </si>
  <si>
    <r>
      <rPr>
        <sz val="8"/>
        <rFont val="ＭＳ Ｐゴシック"/>
        <family val="3"/>
        <charset val="128"/>
      </rPr>
      <t>　　　　　実際に販売されている車両は、ここに記載された車両重量・車両総重量・最大積載量（または乗車定員）と異なる場合があります。」</t>
    </r>
    <phoneticPr fontId="8"/>
  </si>
  <si>
    <r>
      <rPr>
        <sz val="8"/>
        <rFont val="ＭＳ Ｐゴシック"/>
        <family val="3"/>
        <charset val="128"/>
      </rPr>
      <t>「（注））車両重量・車両総重量・最大積載量（または乗車定員）は、燃費値の算定に当たって用いた標準的な仕様を記載しています。</t>
    </r>
    <rPh sb="2" eb="3">
      <t>チュウ</t>
    </rPh>
    <phoneticPr fontId="8"/>
  </si>
  <si>
    <r>
      <rPr>
        <sz val="8"/>
        <rFont val="ＭＳ Ｐゴシック"/>
        <family val="3"/>
        <charset val="128"/>
      </rPr>
      <t>　　　　実際に販売されている車両は、ここに記載された車両重量・車両総重量・最大積載量（または乗車定員）と異なる場合があります。</t>
    </r>
    <rPh sb="4" eb="6">
      <t>ジッサイ</t>
    </rPh>
    <rPh sb="7" eb="9">
      <t>ハンバイ</t>
    </rPh>
    <rPh sb="14" eb="16">
      <t>シャリョウ</t>
    </rPh>
    <rPh sb="21" eb="23">
      <t>キサイ</t>
    </rPh>
    <rPh sb="26" eb="28">
      <t>シャリョウ</t>
    </rPh>
    <rPh sb="28" eb="30">
      <t>ジュウリョウ</t>
    </rPh>
    <rPh sb="31" eb="33">
      <t>シャリョウ</t>
    </rPh>
    <rPh sb="33" eb="36">
      <t>ソウジュウリョウ</t>
    </rPh>
    <rPh sb="37" eb="39">
      <t>サイダイ</t>
    </rPh>
    <rPh sb="39" eb="42">
      <t>セキサイリョウ</t>
    </rPh>
    <rPh sb="46" eb="48">
      <t>ジョウシャ</t>
    </rPh>
    <rPh sb="48" eb="50">
      <t>テイイン</t>
    </rPh>
    <rPh sb="52" eb="53">
      <t>コト</t>
    </rPh>
    <rPh sb="55" eb="57">
      <t>バアイ</t>
    </rPh>
    <phoneticPr fontId="8"/>
  </si>
  <si>
    <r>
      <rPr>
        <sz val="8"/>
        <rFont val="ＭＳ Ｐゴシック"/>
        <family val="3"/>
        <charset val="128"/>
      </rPr>
      <t>※</t>
    </r>
    <r>
      <rPr>
        <sz val="8"/>
        <rFont val="Arial"/>
        <family val="2"/>
      </rPr>
      <t>1</t>
    </r>
    <r>
      <rPr>
        <sz val="8"/>
        <rFont val="ＭＳ Ｐゴシック"/>
        <family val="3"/>
        <charset val="128"/>
      </rPr>
      <t>印の付いている通称名については、いすゞ自動車株式会社が製造事業者である。</t>
    </r>
    <phoneticPr fontId="8"/>
  </si>
  <si>
    <t>2PG-APR88YN</t>
    <phoneticPr fontId="8"/>
  </si>
  <si>
    <t>2PG-APR88YM</t>
  </si>
  <si>
    <t>2PG-APR88YAM</t>
  </si>
  <si>
    <t>2PG-AKR88YN</t>
  </si>
  <si>
    <t>2PG-AKR88YM</t>
  </si>
  <si>
    <t>2RG-AKR88YN</t>
  </si>
  <si>
    <t>2RG-APR88YN</t>
  </si>
  <si>
    <t>2RG-APR88YM</t>
  </si>
  <si>
    <t>2RG-APR88YAM</t>
  </si>
  <si>
    <t>2RG-AKR88YM</t>
  </si>
  <si>
    <t>2PG-APR88M</t>
  </si>
  <si>
    <t>2PG-AMR88M</t>
  </si>
  <si>
    <t>2PG-AMR88C</t>
  </si>
  <si>
    <t>2PG-AKR88M</t>
  </si>
  <si>
    <t>2PG-AKR88C</t>
  </si>
  <si>
    <t>2PG-APR88N</t>
  </si>
  <si>
    <t>2PG-APR88AR</t>
  </si>
  <si>
    <t>2PG-APR88AN</t>
  </si>
  <si>
    <t>2PG-AMR88R</t>
  </si>
  <si>
    <t>2PG-AMR88N</t>
  </si>
  <si>
    <t>2PG-AKR88R</t>
  </si>
  <si>
    <t>2PG-AKR88N</t>
  </si>
  <si>
    <t>2RG-APR88N</t>
  </si>
  <si>
    <t>2RG-APR88M</t>
  </si>
  <si>
    <t>2PG-APR88AM</t>
  </si>
  <si>
    <t>2PG-APR88AC</t>
  </si>
  <si>
    <t>2TG-AKR88M</t>
  </si>
  <si>
    <t>2PG-APS88AR</t>
  </si>
  <si>
    <t>2PG-APS88AN</t>
  </si>
  <si>
    <t>2PG-AMS88AR</t>
  </si>
  <si>
    <t>2PG-AMS88AN</t>
  </si>
  <si>
    <t>2PG-AKS88AN</t>
  </si>
  <si>
    <t>2PG-AKS88AD</t>
  </si>
  <si>
    <t>2PG-AKS88A</t>
  </si>
  <si>
    <t>2RG-APS88AR</t>
  </si>
  <si>
    <t>2RG-APS88AN</t>
  </si>
  <si>
    <t>2RG-AMS88AR</t>
  </si>
  <si>
    <t>2RG-AMS88AN</t>
  </si>
  <si>
    <t>2RG-ALR88M</t>
  </si>
  <si>
    <t>2RG-AKS88AN</t>
  </si>
  <si>
    <t>2RG-AKS88A</t>
  </si>
  <si>
    <t>2RG-AKR88N</t>
  </si>
  <si>
    <t>2RG-AKR88AD</t>
  </si>
  <si>
    <t>2RG-AJR88AT</t>
  </si>
  <si>
    <t>2RG-AJR88AD</t>
  </si>
  <si>
    <t>2RG-APR88AR</t>
  </si>
  <si>
    <t>2RG-APR88AN</t>
  </si>
  <si>
    <t>2RG-APR88AM</t>
  </si>
  <si>
    <t>2RG-APR88AC</t>
  </si>
  <si>
    <t>2RG-ANS88AN</t>
  </si>
  <si>
    <t>2RG-ANR88N</t>
  </si>
  <si>
    <t>2RG-ANR88AR</t>
  </si>
  <si>
    <t>2RG-ANR88AN</t>
  </si>
  <si>
    <t>2RG-ANR88AM</t>
  </si>
  <si>
    <t>2RG-ANR88AC</t>
  </si>
  <si>
    <t>2RG-AMR88R</t>
  </si>
  <si>
    <t>2RG-AMR88N</t>
  </si>
  <si>
    <t>2RG-AMR88M</t>
  </si>
  <si>
    <t>2RG-AMR88C</t>
  </si>
  <si>
    <t>2RG-AMR88AR</t>
  </si>
  <si>
    <t>2RG-AMR88AN</t>
  </si>
  <si>
    <t>2RG-AMR88AM</t>
  </si>
  <si>
    <t>2RG-AMR88AC</t>
  </si>
  <si>
    <t>2RG-ALS88AR</t>
  </si>
  <si>
    <t>2RG-ALS88AN</t>
  </si>
  <si>
    <t>2RG-ALR88N</t>
  </si>
  <si>
    <t>2RG-ALR88AR</t>
  </si>
  <si>
    <t>2RG-ALR88AN</t>
  </si>
  <si>
    <t>2RG-ALR88AM</t>
  </si>
  <si>
    <t>2RG-ALR88AC</t>
  </si>
  <si>
    <t>2RG-AKR88R</t>
  </si>
  <si>
    <t>2RG-AKR88M</t>
  </si>
  <si>
    <t>2RG-AKR88C</t>
  </si>
  <si>
    <t>2RG-AKR88AT</t>
  </si>
  <si>
    <t>2RG-AKR88AR</t>
  </si>
  <si>
    <t>2RG-AKR88AN</t>
  </si>
  <si>
    <t>2RG-AKR88AM</t>
  </si>
  <si>
    <t>2RG-AKR88AF</t>
  </si>
  <si>
    <t>2RG-AKR88AC</t>
  </si>
  <si>
    <t>2RG-AKR88A</t>
  </si>
  <si>
    <t>2RG-AJS88AN</t>
  </si>
  <si>
    <t>2RG-AJS88A</t>
  </si>
  <si>
    <t>2RG-AJR88N</t>
  </si>
  <si>
    <t>2RG-AJR88AN</t>
  </si>
  <si>
    <t>2RG-AJR88AM</t>
  </si>
  <si>
    <t>2RG-AJR88AF</t>
  </si>
  <si>
    <t>2RG-AJR88A</t>
  </si>
  <si>
    <t>2RG-AHS88AN</t>
    <phoneticPr fontId="8"/>
  </si>
  <si>
    <t>2RG-AHS88A</t>
    <phoneticPr fontId="8"/>
  </si>
  <si>
    <t>2RG-AHR88AN</t>
    <phoneticPr fontId="8"/>
  </si>
  <si>
    <t>2RG-AHR88A</t>
    <phoneticPr fontId="8"/>
  </si>
  <si>
    <t>2TG-APR88AM</t>
  </si>
  <si>
    <t>2TG-APR88AC</t>
  </si>
  <si>
    <t>2TG-ANR88AM</t>
  </si>
  <si>
    <t>2TG-ANR88AC</t>
  </si>
  <si>
    <t>2TG-AMR88M</t>
  </si>
  <si>
    <t>2TG-AMR88C</t>
  </si>
  <si>
    <t>2TG-AMR88AM</t>
  </si>
  <si>
    <t>2TG-AMR88AC</t>
  </si>
  <si>
    <t>2TG-ALR88AM</t>
  </si>
  <si>
    <t>2TG-ALR88AC</t>
  </si>
  <si>
    <t>2TG-AKR88C</t>
  </si>
  <si>
    <t>2TG-AKR88AM</t>
  </si>
  <si>
    <t>2TG-AKR88AF</t>
  </si>
  <si>
    <t>2TG-AKR88AC</t>
  </si>
  <si>
    <t>2TG-AJR88AM</t>
  </si>
  <si>
    <t>2TG-AJR88AF</t>
  </si>
  <si>
    <t>2TG-AJR88AF</t>
    <phoneticPr fontId="8"/>
  </si>
  <si>
    <t>アトラス</t>
    <phoneticPr fontId="8"/>
  </si>
  <si>
    <t>ニッサン</t>
  </si>
  <si>
    <r>
      <rPr>
        <sz val="8"/>
        <rFont val="ＭＳ Ｐゴシック"/>
        <family val="3"/>
        <charset val="128"/>
      </rPr>
      <t>（</t>
    </r>
    <r>
      <rPr>
        <sz val="8"/>
        <rFont val="Arial"/>
        <family val="2"/>
      </rPr>
      <t>g-CO2/km</t>
    </r>
    <r>
      <rPr>
        <sz val="8"/>
        <rFont val="ＭＳ Ｐゴシック"/>
        <family val="3"/>
        <charset val="128"/>
      </rPr>
      <t>）</t>
    </r>
    <phoneticPr fontId="8"/>
  </si>
  <si>
    <r>
      <rPr>
        <sz val="8"/>
        <rFont val="ＭＳ Ｐゴシック"/>
        <family val="3"/>
        <charset val="128"/>
      </rPr>
      <t>（</t>
    </r>
    <r>
      <rPr>
        <sz val="8"/>
        <rFont val="Arial"/>
        <family val="2"/>
      </rPr>
      <t>kW</t>
    </r>
    <r>
      <rPr>
        <sz val="8"/>
        <rFont val="ＭＳ Ｐゴシック"/>
        <family val="3"/>
        <charset val="128"/>
      </rPr>
      <t>）</t>
    </r>
    <phoneticPr fontId="8"/>
  </si>
  <si>
    <r>
      <rPr>
        <sz val="8"/>
        <rFont val="ＭＳ Ｐゴシック"/>
        <family val="3"/>
        <charset val="128"/>
      </rPr>
      <t>（</t>
    </r>
    <r>
      <rPr>
        <sz val="8"/>
        <rFont val="Arial"/>
        <family val="2"/>
      </rPr>
      <t>N-m</t>
    </r>
    <r>
      <rPr>
        <sz val="8"/>
        <rFont val="ＭＳ Ｐゴシック"/>
        <family val="3"/>
        <charset val="128"/>
      </rPr>
      <t>）</t>
    </r>
    <phoneticPr fontId="8"/>
  </si>
  <si>
    <r>
      <t>(</t>
    </r>
    <r>
      <rPr>
        <sz val="8"/>
        <rFont val="ＭＳ Ｐゴシック"/>
        <family val="3"/>
        <charset val="128"/>
      </rPr>
      <t>Ｌ）</t>
    </r>
  </si>
  <si>
    <t>向上達成レベル</t>
    <rPh sb="0" eb="1">
      <t>コウジョウ</t>
    </rPh>
    <rPh sb="1" eb="3">
      <t>タッセイ</t>
    </rPh>
    <phoneticPr fontId="8"/>
  </si>
  <si>
    <r>
      <rPr>
        <sz val="8"/>
        <rFont val="ＭＳ Ｐゴシック"/>
        <family val="3"/>
        <charset val="128"/>
      </rPr>
      <t>レベル</t>
    </r>
    <phoneticPr fontId="8"/>
  </si>
  <si>
    <r>
      <rPr>
        <sz val="8"/>
        <rFont val="ＭＳ Ｐゴシック"/>
        <family val="3"/>
        <charset val="128"/>
      </rPr>
      <t>配列</t>
    </r>
    <rPh sb="0" eb="2">
      <t>ハイレツ</t>
    </rPh>
    <phoneticPr fontId="8"/>
  </si>
  <si>
    <r>
      <rPr>
        <sz val="8"/>
        <rFont val="ＭＳ Ｐゴシック"/>
        <family val="3"/>
        <charset val="128"/>
      </rPr>
      <t>対策</t>
    </r>
  </si>
  <si>
    <r>
      <rPr>
        <sz val="8"/>
        <rFont val="ＭＳ Ｐゴシック"/>
        <family val="3"/>
        <charset val="128"/>
      </rPr>
      <t>対策</t>
    </r>
    <rPh sb="0" eb="2">
      <t>タイサク</t>
    </rPh>
    <phoneticPr fontId="8"/>
  </si>
  <si>
    <r>
      <rPr>
        <sz val="8"/>
        <rFont val="ＭＳ Ｐゴシック"/>
        <family val="3"/>
        <charset val="128"/>
      </rPr>
      <t>（</t>
    </r>
    <r>
      <rPr>
        <sz val="8"/>
        <rFont val="Arial"/>
        <family val="2"/>
      </rPr>
      <t>km/L</t>
    </r>
    <r>
      <rPr>
        <sz val="8"/>
        <rFont val="ＭＳ Ｐゴシック"/>
        <family val="3"/>
        <charset val="128"/>
      </rPr>
      <t>）</t>
    </r>
    <phoneticPr fontId="8"/>
  </si>
  <si>
    <r>
      <t>CO2</t>
    </r>
    <r>
      <rPr>
        <sz val="8"/>
        <rFont val="ＭＳ Ｐゴシック"/>
        <family val="3"/>
        <charset val="128"/>
      </rPr>
      <t>排出量</t>
    </r>
    <phoneticPr fontId="8"/>
  </si>
  <si>
    <r>
      <t>(km/L</t>
    </r>
    <r>
      <rPr>
        <sz val="8"/>
        <rFont val="ＭＳ Ｐゴシック"/>
        <family val="3"/>
        <charset val="128"/>
      </rPr>
      <t>）</t>
    </r>
    <phoneticPr fontId="8"/>
  </si>
  <si>
    <r>
      <rPr>
        <sz val="8"/>
        <rFont val="ＭＳ Ｐゴシック"/>
        <family val="3"/>
        <charset val="128"/>
      </rPr>
      <t>（名）</t>
    </r>
    <rPh sb="1" eb="2">
      <t>メイ</t>
    </rPh>
    <phoneticPr fontId="8"/>
  </si>
  <si>
    <r>
      <rPr>
        <sz val="8"/>
        <rFont val="ＭＳ Ｐゴシック"/>
        <family val="3"/>
        <charset val="128"/>
      </rPr>
      <t>変速段数</t>
    </r>
    <rPh sb="0" eb="2">
      <t>ヘンソク</t>
    </rPh>
    <rPh sb="2" eb="4">
      <t>ダンスウ</t>
    </rPh>
    <phoneticPr fontId="8"/>
  </si>
  <si>
    <r>
      <rPr>
        <sz val="8"/>
        <rFont val="ＭＳ Ｐゴシック"/>
        <family val="3"/>
        <charset val="128"/>
      </rPr>
      <t>出力</t>
    </r>
    <rPh sb="0" eb="2">
      <t>シュツリョク</t>
    </rPh>
    <phoneticPr fontId="8"/>
  </si>
  <si>
    <r>
      <rPr>
        <sz val="8"/>
        <rFont val="ＭＳ Ｐゴシック"/>
        <family val="3"/>
        <charset val="128"/>
      </rPr>
      <t>トルク</t>
    </r>
    <phoneticPr fontId="8"/>
  </si>
  <si>
    <r>
      <rPr>
        <sz val="8"/>
        <rFont val="ＭＳ Ｐゴシック"/>
        <family val="3"/>
        <charset val="128"/>
      </rPr>
      <t>気量</t>
    </r>
  </si>
  <si>
    <r>
      <rPr>
        <sz val="8"/>
        <rFont val="ＭＳ Ｐゴシック"/>
        <family val="3"/>
        <charset val="128"/>
      </rPr>
      <t>達成</t>
    </r>
    <r>
      <rPr>
        <sz val="8"/>
        <rFont val="ＭＳ Ｐゴシック"/>
        <family val="3"/>
        <charset val="128"/>
      </rPr>
      <t>レベル</t>
    </r>
    <r>
      <rPr>
        <sz val="8"/>
        <rFont val="Yu Gothic"/>
        <family val="3"/>
        <charset val="128"/>
      </rPr>
      <t>・</t>
    </r>
    <rPh sb="0" eb="2">
      <t>タッセイ</t>
    </rPh>
    <phoneticPr fontId="8"/>
  </si>
  <si>
    <r>
      <rPr>
        <sz val="8"/>
        <rFont val="ＭＳ Ｐゴシック"/>
        <family val="3"/>
        <charset val="128"/>
      </rPr>
      <t>ガス認定</t>
    </r>
  </si>
  <si>
    <r>
      <rPr>
        <sz val="8"/>
        <rFont val="ＭＳ Ｐゴシック"/>
        <family val="3"/>
        <charset val="128"/>
      </rPr>
      <t>車輪</t>
    </r>
    <rPh sb="0" eb="2">
      <t>シャリン</t>
    </rPh>
    <phoneticPr fontId="8"/>
  </si>
  <si>
    <r>
      <rPr>
        <sz val="8"/>
        <rFont val="ＭＳ Ｐゴシック"/>
        <family val="3"/>
        <charset val="128"/>
      </rPr>
      <t>出ガス</t>
    </r>
  </si>
  <si>
    <r>
      <rPr>
        <sz val="8"/>
        <rFont val="ＭＳ Ｐゴシック"/>
        <family val="3"/>
        <charset val="128"/>
      </rPr>
      <t>改善</t>
    </r>
    <rPh sb="0" eb="2">
      <t>カイゼン</t>
    </rPh>
    <phoneticPr fontId="8"/>
  </si>
  <si>
    <r>
      <rPr>
        <sz val="8"/>
        <rFont val="ＭＳ Ｐゴシック"/>
        <family val="3"/>
        <charset val="128"/>
      </rPr>
      <t>燃費</t>
    </r>
    <r>
      <rPr>
        <sz val="8"/>
        <rFont val="ＭＳ Ｐゴシック"/>
        <family val="3"/>
        <charset val="128"/>
      </rPr>
      <t>基準値</t>
    </r>
    <rPh sb="0" eb="2">
      <t>ネンピ</t>
    </rPh>
    <phoneticPr fontId="8"/>
  </si>
  <si>
    <r>
      <rPr>
        <sz val="8"/>
        <rFont val="ＭＳ Ｐゴシック"/>
        <family val="3"/>
        <charset val="128"/>
      </rPr>
      <t>における</t>
    </r>
  </si>
  <si>
    <r>
      <rPr>
        <sz val="8"/>
        <rFont val="ＭＳ Ｐゴシック"/>
        <family val="3"/>
        <charset val="128"/>
      </rPr>
      <t>燃費値</t>
    </r>
    <rPh sb="0" eb="2">
      <t>ネンピ</t>
    </rPh>
    <rPh sb="2" eb="3">
      <t>チ</t>
    </rPh>
    <phoneticPr fontId="8"/>
  </si>
  <si>
    <r>
      <rPr>
        <sz val="8"/>
        <rFont val="ＭＳ Ｐゴシック"/>
        <family val="3"/>
        <charset val="128"/>
      </rPr>
      <t>の構造</t>
    </r>
    <rPh sb="1" eb="3">
      <t>コウゾウ</t>
    </rPh>
    <phoneticPr fontId="8"/>
  </si>
  <si>
    <r>
      <rPr>
        <sz val="8"/>
        <rFont val="ＭＳ Ｐゴシック"/>
        <family val="3"/>
        <charset val="128"/>
      </rPr>
      <t>乗車定員</t>
    </r>
    <phoneticPr fontId="8"/>
  </si>
  <si>
    <t>(kg)</t>
  </si>
  <si>
    <r>
      <rPr>
        <sz val="8"/>
        <rFont val="ＭＳ Ｐゴシック"/>
        <family val="3"/>
        <charset val="128"/>
      </rPr>
      <t>型式及び</t>
    </r>
    <rPh sb="0" eb="2">
      <t>カタシキ</t>
    </rPh>
    <rPh sb="2" eb="3">
      <t>オヨ</t>
    </rPh>
    <phoneticPr fontId="8"/>
  </si>
  <si>
    <r>
      <rPr>
        <sz val="8"/>
        <rFont val="ＭＳ Ｐゴシック"/>
        <family val="3"/>
        <charset val="128"/>
      </rPr>
      <t>最高</t>
    </r>
    <rPh sb="0" eb="2">
      <t>サイコウ</t>
    </rPh>
    <phoneticPr fontId="8"/>
  </si>
  <si>
    <r>
      <rPr>
        <sz val="8"/>
        <rFont val="ＭＳ Ｐゴシック"/>
        <family val="3"/>
        <charset val="128"/>
      </rPr>
      <t>最大</t>
    </r>
    <rPh sb="0" eb="2">
      <t>サイダイ</t>
    </rPh>
    <phoneticPr fontId="8"/>
  </si>
  <si>
    <r>
      <rPr>
        <sz val="8"/>
        <rFont val="ＭＳ Ｐゴシック"/>
        <family val="3"/>
        <charset val="128"/>
      </rPr>
      <t>総排</t>
    </r>
  </si>
  <si>
    <t>燃費基準</t>
    <phoneticPr fontId="8"/>
  </si>
  <si>
    <r>
      <rPr>
        <sz val="8"/>
        <rFont val="ＭＳ Ｐゴシック"/>
        <family val="3"/>
        <charset val="128"/>
      </rPr>
      <t>低排出</t>
    </r>
  </si>
  <si>
    <r>
      <rPr>
        <sz val="8"/>
        <rFont val="ＭＳ Ｐゴシック"/>
        <family val="3"/>
        <charset val="128"/>
      </rPr>
      <t>主要排</t>
    </r>
  </si>
  <si>
    <r>
      <rPr>
        <sz val="8"/>
        <rFont val="ＭＳ Ｐゴシック"/>
        <family val="3"/>
        <charset val="128"/>
      </rPr>
      <t>燃費</t>
    </r>
  </si>
  <si>
    <r>
      <rPr>
        <sz val="8"/>
        <rFont val="ＭＳ ゴシック"/>
        <family val="3"/>
        <charset val="128"/>
      </rPr>
      <t>平成</t>
    </r>
    <r>
      <rPr>
        <sz val="8"/>
        <rFont val="Arial"/>
        <family val="2"/>
      </rPr>
      <t>27</t>
    </r>
    <r>
      <rPr>
        <sz val="8"/>
        <rFont val="Yu Gothic"/>
        <family val="3"/>
        <charset val="128"/>
      </rPr>
      <t>年度</t>
    </r>
    <rPh sb="0" eb="2">
      <t>ヘイセイ</t>
    </rPh>
    <rPh sb="4" eb="6">
      <t>ネンド</t>
    </rPh>
    <phoneticPr fontId="8"/>
  </si>
  <si>
    <r>
      <t>1km</t>
    </r>
    <r>
      <rPr>
        <sz val="8"/>
        <rFont val="ＭＳ Ｐゴシック"/>
        <family val="3"/>
        <charset val="128"/>
      </rPr>
      <t>走行</t>
    </r>
    <phoneticPr fontId="8"/>
  </si>
  <si>
    <r>
      <rPr>
        <sz val="8"/>
        <rFont val="ＭＳ Ｐゴシック"/>
        <family val="3"/>
        <charset val="128"/>
      </rPr>
      <t>自動車</t>
    </r>
    <rPh sb="0" eb="3">
      <t>ジドウシャ</t>
    </rPh>
    <phoneticPr fontId="8"/>
  </si>
  <si>
    <r>
      <t>(kg)</t>
    </r>
    <r>
      <rPr>
        <sz val="8"/>
        <rFont val="ＭＳ Ｐゴシック"/>
        <family val="3"/>
        <charset val="128"/>
      </rPr>
      <t>又は</t>
    </r>
    <phoneticPr fontId="8"/>
  </si>
  <si>
    <r>
      <rPr>
        <sz val="8"/>
        <rFont val="ＭＳ Ｐゴシック"/>
        <family val="3"/>
        <charset val="128"/>
      </rPr>
      <t>車両総重量</t>
    </r>
  </si>
  <si>
    <r>
      <rPr>
        <sz val="8"/>
        <rFont val="ＭＳ Ｐゴシック"/>
        <family val="3"/>
        <charset val="128"/>
      </rPr>
      <t>車両重量</t>
    </r>
  </si>
  <si>
    <r>
      <rPr>
        <sz val="8"/>
        <rFont val="ＭＳ Ｐゴシック"/>
        <family val="3"/>
        <charset val="128"/>
      </rPr>
      <t>変速装置の</t>
    </r>
    <rPh sb="0" eb="2">
      <t>ヘンソク</t>
    </rPh>
    <rPh sb="2" eb="4">
      <t>ソウチ</t>
    </rPh>
    <phoneticPr fontId="8"/>
  </si>
  <si>
    <r>
      <rPr>
        <sz val="8"/>
        <rFont val="Yu Gothic"/>
        <family val="3"/>
        <charset val="128"/>
      </rPr>
      <t>平成</t>
    </r>
    <r>
      <rPr>
        <sz val="8"/>
        <rFont val="Arial"/>
        <family val="2"/>
      </rPr>
      <t>27</t>
    </r>
    <r>
      <rPr>
        <sz val="8"/>
        <rFont val="Yu Gothic"/>
        <family val="3"/>
        <charset val="128"/>
      </rPr>
      <t>年度</t>
    </r>
    <rPh sb="0" eb="2">
      <t>ヘイセイ</t>
    </rPh>
    <rPh sb="4" eb="6">
      <t>ネンド</t>
    </rPh>
    <phoneticPr fontId="8"/>
  </si>
  <si>
    <r>
      <rPr>
        <sz val="8"/>
        <rFont val="ＭＳ Ｐゴシック"/>
        <family val="3"/>
        <charset val="128"/>
      </rPr>
      <t>（参考）</t>
    </r>
    <rPh sb="1" eb="3">
      <t>サンコウ</t>
    </rPh>
    <phoneticPr fontId="8"/>
  </si>
  <si>
    <r>
      <rPr>
        <sz val="8"/>
        <rFont val="ＭＳ Ｐゴシック"/>
        <family val="3"/>
        <charset val="128"/>
      </rPr>
      <t>主要</t>
    </r>
    <rPh sb="0" eb="2">
      <t>シュヨウ</t>
    </rPh>
    <phoneticPr fontId="8"/>
  </si>
  <si>
    <t>重量車モード</t>
    <rPh sb="0" eb="2">
      <t>ジュウリョウ</t>
    </rPh>
    <rPh sb="2" eb="3">
      <t>シャ</t>
    </rPh>
    <phoneticPr fontId="8"/>
  </si>
  <si>
    <r>
      <rPr>
        <sz val="8"/>
        <rFont val="ＭＳ Ｐゴシック"/>
        <family val="3"/>
        <charset val="128"/>
      </rPr>
      <t>最大積載量</t>
    </r>
    <rPh sb="0" eb="2">
      <t>サイダイ</t>
    </rPh>
    <rPh sb="2" eb="5">
      <t>セキサイリョウ</t>
    </rPh>
    <phoneticPr fontId="8"/>
  </si>
  <si>
    <r>
      <rPr>
        <sz val="8"/>
        <rFont val="ＭＳ Ｐゴシック"/>
        <family val="3"/>
        <charset val="128"/>
      </rPr>
      <t>日産自動車株式会社</t>
    </r>
    <phoneticPr fontId="8"/>
  </si>
  <si>
    <t>※
※</t>
  </si>
  <si>
    <r>
      <rPr>
        <sz val="8"/>
        <rFont val="ＭＳ ゴシック"/>
        <family val="3"/>
        <charset val="128"/>
      </rPr>
      <t>※印････日野自動車株式会社による</t>
    </r>
    <r>
      <rPr>
        <sz val="8"/>
        <rFont val="Arial"/>
        <family val="2"/>
      </rPr>
      <t>OEM</t>
    </r>
    <r>
      <rPr>
        <sz val="8"/>
        <rFont val="ＭＳ ゴシック"/>
        <family val="3"/>
        <charset val="128"/>
      </rPr>
      <t>生産車</t>
    </r>
    <rPh sb="6" eb="8">
      <t>ヒノ</t>
    </rPh>
    <rPh sb="8" eb="11">
      <t>ジドウシャ</t>
    </rPh>
    <phoneticPr fontId="5"/>
  </si>
  <si>
    <t>6AT</t>
    <phoneticPr fontId="5"/>
  </si>
  <si>
    <t>2DG-GDY231</t>
  </si>
  <si>
    <t>5MT</t>
    <phoneticPr fontId="5"/>
  </si>
  <si>
    <t>2DG-GDY281</t>
  </si>
  <si>
    <t>2PG-GDY281</t>
  </si>
  <si>
    <t>EGR,DF,CCO,SCR</t>
    <phoneticPr fontId="5"/>
  </si>
  <si>
    <r>
      <rPr>
        <sz val="8"/>
        <rFont val="ＭＳ Ｐゴシック"/>
        <family val="3"/>
        <charset val="128"/>
      </rPr>
      <t>Ｄ</t>
    </r>
    <r>
      <rPr>
        <sz val="8"/>
        <rFont val="Arial"/>
        <family val="2"/>
      </rPr>
      <t>,FI,TC,IC,P</t>
    </r>
    <phoneticPr fontId="5"/>
  </si>
  <si>
    <t>1GD</t>
    <phoneticPr fontId="5"/>
  </si>
  <si>
    <t>2PG-GDY231</t>
    <phoneticPr fontId="4"/>
  </si>
  <si>
    <r>
      <rPr>
        <sz val="8"/>
        <rFont val="ＭＳ Ｐゴシック"/>
        <family val="3"/>
        <charset val="128"/>
      </rPr>
      <t>ダイナ</t>
    </r>
    <r>
      <rPr>
        <sz val="8"/>
        <rFont val="Arial"/>
        <family val="2"/>
      </rPr>
      <t/>
    </r>
    <phoneticPr fontId="5"/>
  </si>
  <si>
    <t>※</t>
  </si>
  <si>
    <r>
      <rPr>
        <sz val="8"/>
        <rFont val="ＭＳ Ｐゴシック"/>
        <family val="3"/>
        <charset val="128"/>
      </rPr>
      <t xml:space="preserve">類別区分番号
</t>
    </r>
    <r>
      <rPr>
        <sz val="8"/>
        <rFont val="Arial"/>
        <family val="2"/>
      </rPr>
      <t>3001</t>
    </r>
    <r>
      <rPr>
        <sz val="8"/>
        <rFont val="ＭＳ Ｐゴシック"/>
        <family val="3"/>
        <charset val="128"/>
      </rPr>
      <t>番以降</t>
    </r>
    <rPh sb="0" eb="6">
      <t>ルイベツクブンバンゴウ</t>
    </rPh>
    <rPh sb="11" eb="14">
      <t>バンイコウ</t>
    </rPh>
    <phoneticPr fontId="8"/>
  </si>
  <si>
    <t>EGR
DF</t>
  </si>
  <si>
    <t>P,FI</t>
    <phoneticPr fontId="8"/>
  </si>
  <si>
    <t>132</t>
  </si>
  <si>
    <t>470</t>
  </si>
  <si>
    <t>4.009</t>
  </si>
  <si>
    <t>2DG-XZU730</t>
  </si>
  <si>
    <t>2DG-XZU720</t>
  </si>
  <si>
    <t>2DG-XZU710</t>
  </si>
  <si>
    <t>2DG-XZU700A</t>
  </si>
  <si>
    <t>2DG-XZU700</t>
  </si>
  <si>
    <t>2KG-XZU700A</t>
  </si>
  <si>
    <t>440</t>
  </si>
  <si>
    <t>2KG-XZU650W</t>
  </si>
  <si>
    <t>2KG-XZU640W</t>
  </si>
  <si>
    <t>2KG-XZU730</t>
  </si>
  <si>
    <t>2KG-XZU720</t>
  </si>
  <si>
    <t>2KG-XZU710</t>
  </si>
  <si>
    <t>2KG-XZU700</t>
  </si>
  <si>
    <t>2KG-XZU600W</t>
  </si>
  <si>
    <t>2KG-XZU642G</t>
  </si>
  <si>
    <t>2KG-XZU712</t>
  </si>
  <si>
    <t>2KG-XZU642W</t>
  </si>
  <si>
    <t>2KG-XZU602W</t>
  </si>
  <si>
    <t>トヨタ　ダイナ400</t>
  </si>
  <si>
    <t>2RG-XZU720</t>
    <phoneticPr fontId="5"/>
  </si>
  <si>
    <t>2RG-XZU710</t>
    <phoneticPr fontId="5"/>
  </si>
  <si>
    <t>2RG-XZU700</t>
    <phoneticPr fontId="5"/>
  </si>
  <si>
    <t>2PG-XZU710</t>
    <phoneticPr fontId="5"/>
  </si>
  <si>
    <t>2PG-XZU650W</t>
    <phoneticPr fontId="5"/>
  </si>
  <si>
    <t>2PG-XZU640W</t>
    <phoneticPr fontId="5"/>
  </si>
  <si>
    <t>2RG-XZU600W</t>
    <phoneticPr fontId="5"/>
  </si>
  <si>
    <t>2PG-XZU600W</t>
    <phoneticPr fontId="5"/>
  </si>
  <si>
    <t>7.30</t>
  </si>
  <si>
    <t>7.40</t>
  </si>
  <si>
    <t>8.70</t>
  </si>
  <si>
    <t>2PG-XZU712</t>
  </si>
  <si>
    <t>8.80</t>
  </si>
  <si>
    <t>2PG-XZU642W</t>
  </si>
  <si>
    <t>2PG-XZU642G</t>
  </si>
  <si>
    <t>2PG-XZU602W</t>
  </si>
  <si>
    <t>H,I,
P,FI</t>
  </si>
  <si>
    <t>10.60</t>
  </si>
  <si>
    <t>2SG-XKU712</t>
  </si>
  <si>
    <t>トヨタ　ダイナ400
トヨエースG45</t>
  </si>
  <si>
    <t>2DG-XZU732</t>
  </si>
  <si>
    <t>2KG-XZU732</t>
  </si>
  <si>
    <t>2KG-XZU702A</t>
  </si>
  <si>
    <t>2KG-XZU652W</t>
  </si>
  <si>
    <t>2DG-XZU775</t>
  </si>
  <si>
    <t>2DG-XZU695</t>
  </si>
  <si>
    <t>2DG-XZU685</t>
  </si>
  <si>
    <t>2DG-XZU675D</t>
  </si>
  <si>
    <t>2DG-XZU675</t>
  </si>
  <si>
    <t>2DG-XZU722</t>
  </si>
  <si>
    <t>2DG-XZU712</t>
  </si>
  <si>
    <t>2DG-XZU702</t>
  </si>
  <si>
    <t>2DG-XZU655</t>
  </si>
  <si>
    <t>2DG-XZU650</t>
  </si>
  <si>
    <t>2DG-XZU645</t>
  </si>
  <si>
    <t>2DG-XZU640</t>
  </si>
  <si>
    <t>2DG-XZU630D</t>
  </si>
  <si>
    <t>2DG-XZU605A</t>
  </si>
  <si>
    <t>2DG-XZU605</t>
  </si>
  <si>
    <t>2DG-XZU600H</t>
  </si>
  <si>
    <t>2DG-XZU600D</t>
  </si>
  <si>
    <t>2KG-XZU630D</t>
  </si>
  <si>
    <t>2KG-XZU722</t>
  </si>
  <si>
    <t>2KG-XZU702</t>
  </si>
  <si>
    <t>2KG-XZU655</t>
  </si>
  <si>
    <t>2KG-XZU650</t>
  </si>
  <si>
    <t>2KG-XZU645</t>
  </si>
  <si>
    <t>2KG-XZU640</t>
  </si>
  <si>
    <t>2KG-XZU605A</t>
  </si>
  <si>
    <t>2KG-XZU605</t>
  </si>
  <si>
    <t>2KG-XZU600H</t>
  </si>
  <si>
    <t>2KG-XZU600D</t>
  </si>
  <si>
    <t>トヨタ　ダイナ300</t>
  </si>
  <si>
    <t>2PG-XZU720</t>
    <phoneticPr fontId="5"/>
  </si>
  <si>
    <t>2PG-XZU700</t>
    <phoneticPr fontId="5"/>
  </si>
  <si>
    <t>9.80</t>
  </si>
  <si>
    <t>2KG-XZU775</t>
  </si>
  <si>
    <t>8.20</t>
  </si>
  <si>
    <t>9.90</t>
  </si>
  <si>
    <t>2KG-XZU695</t>
  </si>
  <si>
    <t>2KG-XZU685</t>
  </si>
  <si>
    <t>2KG-XZU675D</t>
  </si>
  <si>
    <t>2KG-XZU675</t>
  </si>
  <si>
    <t>2PG-XZU702A</t>
  </si>
  <si>
    <t>2PG-XZU652W</t>
  </si>
  <si>
    <t>2PG-XZU722</t>
  </si>
  <si>
    <t>10.20</t>
  </si>
  <si>
    <t>2PG-XZU702</t>
  </si>
  <si>
    <t>2PG-XZU655</t>
  </si>
  <si>
    <t>2PG-XZU650</t>
  </si>
  <si>
    <t>2PG-XZU645</t>
  </si>
  <si>
    <t>2PG-XZU640</t>
  </si>
  <si>
    <t>2PG-XZU630D</t>
  </si>
  <si>
    <t>2PG-XZU605A</t>
  </si>
  <si>
    <t>2PG-XZU605</t>
  </si>
  <si>
    <t>2PG-XZU600H</t>
  </si>
  <si>
    <t>2PG-XZU600D</t>
  </si>
  <si>
    <t>2RG-XZU722</t>
  </si>
  <si>
    <t>2RG-XZU712</t>
  </si>
  <si>
    <t>2RG-XZU702</t>
  </si>
  <si>
    <t>2RG-XZU655</t>
  </si>
  <si>
    <t>2RG-XZU650</t>
  </si>
  <si>
    <t>2RG-XZU645</t>
  </si>
  <si>
    <t>2RG-XZU640</t>
  </si>
  <si>
    <t>2RG-XZU630D</t>
  </si>
  <si>
    <t>2RG-XZU605A</t>
  </si>
  <si>
    <t>2RG-XZU605</t>
  </si>
  <si>
    <t>2RG-XZU600H</t>
  </si>
  <si>
    <t>2RG-XZU600D</t>
  </si>
  <si>
    <t>H, I,
P, FI</t>
  </si>
  <si>
    <t>2SG-XKU722</t>
  </si>
  <si>
    <t>12.80</t>
  </si>
  <si>
    <t>2SG-XKU702</t>
  </si>
  <si>
    <t>2SG-XKU655</t>
  </si>
  <si>
    <t>2SG-XKU645</t>
  </si>
  <si>
    <t>2SG-XKU605</t>
  </si>
  <si>
    <t>トヨタ　ダイナ300
トヨエースG35</t>
  </si>
  <si>
    <t>2DG-XZC675D</t>
  </si>
  <si>
    <t>2DG-XZC675</t>
  </si>
  <si>
    <t>2DG-XZU600A</t>
  </si>
  <si>
    <t>2DG-XZC710</t>
  </si>
  <si>
    <t>2DG-XZC655</t>
  </si>
  <si>
    <t>2DG-XZC645</t>
  </si>
  <si>
    <t>2DG-XZC630D</t>
  </si>
  <si>
    <t>2DG-XZC605</t>
  </si>
  <si>
    <t>2DG-XZC600D</t>
  </si>
  <si>
    <t>2KG-XZC630D</t>
  </si>
  <si>
    <t>2KG-XZU600A</t>
  </si>
  <si>
    <t>2KG-XZC710</t>
  </si>
  <si>
    <t>2KG-XZC655</t>
  </si>
  <si>
    <t>2KG-XZC645</t>
  </si>
  <si>
    <t>2KG-XZC605</t>
  </si>
  <si>
    <t>2KG-XZC600D</t>
  </si>
  <si>
    <t>トヨタ　ダイナ200</t>
  </si>
  <si>
    <t>I,P,FI</t>
    <phoneticPr fontId="4"/>
  </si>
  <si>
    <t>2KG-XZC675D</t>
  </si>
  <si>
    <t>2KG-XZC675</t>
  </si>
  <si>
    <t>11.00</t>
  </si>
  <si>
    <t>2PG-XZU720</t>
  </si>
  <si>
    <t>2PG-XZU710</t>
  </si>
  <si>
    <t>2PG-XZU700</t>
  </si>
  <si>
    <t>2PG-XZU600A</t>
  </si>
  <si>
    <t>2PG-XZC710</t>
  </si>
  <si>
    <t>2PG-XZC655</t>
  </si>
  <si>
    <t>2PG-XZC645</t>
  </si>
  <si>
    <t>2PG-XZC630D</t>
  </si>
  <si>
    <t>2PG-XZC605</t>
  </si>
  <si>
    <t>2PG-XZC600D</t>
  </si>
  <si>
    <t>11.40</t>
  </si>
  <si>
    <t>2RG-XZU720</t>
  </si>
  <si>
    <t>2RG-XZU710</t>
  </si>
  <si>
    <t>2RG-XZU700</t>
  </si>
  <si>
    <t>2RG-XZU600A</t>
  </si>
  <si>
    <t>2RG-XZC710</t>
  </si>
  <si>
    <t>2RG-XZC655</t>
  </si>
  <si>
    <t>2RG-XZC645</t>
  </si>
  <si>
    <t>2RG-XZC630D</t>
  </si>
  <si>
    <t>2RG-XZC605</t>
  </si>
  <si>
    <t>2RG-XZC600D</t>
  </si>
  <si>
    <t>13.60</t>
  </si>
  <si>
    <t>2SG-XKU720</t>
  </si>
  <si>
    <t>2SG-XKU710</t>
  </si>
  <si>
    <t>2SG-XKU605A</t>
  </si>
  <si>
    <t>2SG-XKC605</t>
  </si>
  <si>
    <r>
      <rPr>
        <sz val="8"/>
        <rFont val="ＭＳ Ｐゴシック"/>
        <family val="3"/>
        <charset val="128"/>
      </rPr>
      <t>トヨタ　ダイナ</t>
    </r>
    <r>
      <rPr>
        <sz val="8"/>
        <rFont val="Arial"/>
        <family val="2"/>
      </rPr>
      <t xml:space="preserve">200
</t>
    </r>
    <r>
      <rPr>
        <sz val="8"/>
        <rFont val="ＭＳ Ｐゴシック"/>
        <family val="3"/>
        <charset val="128"/>
      </rPr>
      <t>トヨエース</t>
    </r>
    <r>
      <rPr>
        <sz val="8"/>
        <rFont val="Arial"/>
        <family val="2"/>
      </rPr>
      <t>G25</t>
    </r>
    <phoneticPr fontId="5"/>
  </si>
  <si>
    <t>※
※</t>
    <phoneticPr fontId="5"/>
  </si>
  <si>
    <t>0003,0004</t>
  </si>
  <si>
    <t>EGR
DF
CCO
SCR</t>
    <phoneticPr fontId="4"/>
  </si>
  <si>
    <t>Ｄ
FI
TC
IC
P</t>
    <phoneticPr fontId="4"/>
  </si>
  <si>
    <t>トラック等</t>
    <phoneticPr fontId="4"/>
  </si>
  <si>
    <t>6AT
(E･LTC)</t>
    <phoneticPr fontId="4"/>
  </si>
  <si>
    <t>2KG-GDB70V</t>
  </si>
  <si>
    <t>2KG-GDB60V</t>
  </si>
  <si>
    <t>トヨタコースタービッグバン</t>
  </si>
  <si>
    <t>トヨタ</t>
  </si>
  <si>
    <r>
      <rPr>
        <sz val="8"/>
        <rFont val="ＭＳ ゴシック"/>
        <family val="3"/>
        <charset val="128"/>
      </rPr>
      <t>当該自動車の製造又は輸入の事業を行う者の氏名又は名称</t>
    </r>
    <r>
      <rPr>
        <sz val="10"/>
        <rFont val="ＭＳ Ｐゴシック"/>
        <family val="3"/>
        <charset val="128"/>
      </rPr>
      <t>　　　トヨタ自動車株式会社</t>
    </r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6"/>
  </si>
  <si>
    <r>
      <rPr>
        <sz val="8"/>
        <rFont val="ＭＳ Ｐゴシック"/>
        <family val="3"/>
        <charset val="128"/>
      </rPr>
      <t>　　　　実際に販売されている車両は、ここに記載された車両重量・車両総重量・最大積載量（または乗車定員）と異なる場合があります。</t>
    </r>
    <phoneticPr fontId="8"/>
  </si>
  <si>
    <r>
      <rPr>
        <sz val="8"/>
        <rFont val="ＭＳ Ｐゴシック"/>
        <family val="3"/>
        <charset val="128"/>
      </rPr>
      <t>（注）車両重量・車両総重量・最大積載量（または乗車定員）は、燃費値の算定に当たって用いた標準的な仕様を記載しています。</t>
    </r>
    <phoneticPr fontId="8"/>
  </si>
  <si>
    <r>
      <rPr>
        <sz val="8"/>
        <rFont val="ＭＳ Ｐゴシック"/>
        <family val="3"/>
        <charset val="128"/>
      </rPr>
      <t>　※</t>
    </r>
    <r>
      <rPr>
        <sz val="8"/>
        <rFont val="Arial"/>
        <family val="2"/>
      </rPr>
      <t>2</t>
    </r>
    <r>
      <rPr>
        <sz val="8"/>
        <rFont val="ＭＳ Ｐゴシック"/>
        <family val="3"/>
        <charset val="128"/>
      </rPr>
      <t>印・・・いすゞ自動車株式会社による</t>
    </r>
    <r>
      <rPr>
        <sz val="8"/>
        <rFont val="Arial"/>
        <family val="2"/>
      </rPr>
      <t>OEM</t>
    </r>
    <r>
      <rPr>
        <sz val="8"/>
        <rFont val="ＭＳ Ｐゴシック"/>
        <family val="3"/>
        <charset val="128"/>
      </rPr>
      <t>生産車</t>
    </r>
    <rPh sb="3" eb="4">
      <t>イン</t>
    </rPh>
    <rPh sb="10" eb="12">
      <t>ジドウ</t>
    </rPh>
    <rPh sb="12" eb="13">
      <t>シャ</t>
    </rPh>
    <rPh sb="13" eb="17">
      <t>カブシキガイシャ</t>
    </rPh>
    <rPh sb="23" eb="26">
      <t>セイサンシャ</t>
    </rPh>
    <phoneticPr fontId="8"/>
  </si>
  <si>
    <r>
      <rPr>
        <sz val="8"/>
        <rFont val="ＭＳ Ｐゴシック"/>
        <family val="3"/>
        <charset val="128"/>
      </rPr>
      <t>　※</t>
    </r>
    <r>
      <rPr>
        <sz val="8"/>
        <rFont val="Arial"/>
        <family val="2"/>
      </rPr>
      <t>1</t>
    </r>
    <r>
      <rPr>
        <sz val="8"/>
        <rFont val="ＭＳ Ｐゴシック"/>
        <family val="3"/>
        <charset val="128"/>
      </rPr>
      <t>印･･･三菱ふそうトラック･バス株式会社による</t>
    </r>
    <r>
      <rPr>
        <sz val="8"/>
        <rFont val="Arial"/>
        <family val="2"/>
      </rPr>
      <t>OEM</t>
    </r>
    <r>
      <rPr>
        <sz val="8"/>
        <rFont val="ＭＳ Ｐゴシック"/>
        <family val="3"/>
        <charset val="128"/>
      </rPr>
      <t>生産車</t>
    </r>
    <rPh sb="3" eb="4">
      <t>イン</t>
    </rPh>
    <rPh sb="7" eb="9">
      <t>ミツビシ</t>
    </rPh>
    <rPh sb="19" eb="23">
      <t>カブシキガイシャ</t>
    </rPh>
    <rPh sb="29" eb="32">
      <t>セイサンシャ</t>
    </rPh>
    <phoneticPr fontId="8"/>
  </si>
  <si>
    <r>
      <rPr>
        <sz val="8"/>
        <rFont val="ＭＳ Ｐゴシック"/>
        <family val="3"/>
        <charset val="128"/>
      </rPr>
      <t>注）</t>
    </r>
    <phoneticPr fontId="8"/>
  </si>
  <si>
    <r>
      <rPr>
        <sz val="8"/>
        <rFont val="ＭＳ Ｐゴシック"/>
        <family val="3"/>
        <charset val="128"/>
      </rPr>
      <t>─</t>
    </r>
  </si>
  <si>
    <r>
      <t>2D-4D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4D</t>
    </r>
  </si>
  <si>
    <r>
      <rPr>
        <sz val="8"/>
        <rFont val="ＭＳ Ｐゴシック"/>
        <family val="3"/>
        <charset val="128"/>
      </rPr>
      <t>トラック等</t>
    </r>
    <rPh sb="4" eb="5">
      <t>トウ</t>
    </rPh>
    <phoneticPr fontId="8"/>
  </si>
  <si>
    <t>2DG-CZ5BL</t>
    <phoneticPr fontId="8"/>
  </si>
  <si>
    <t>2DG-CF5AL</t>
    <phoneticPr fontId="8"/>
  </si>
  <si>
    <t>2DG-CW5FAWP</t>
    <phoneticPr fontId="8"/>
  </si>
  <si>
    <t>2DG-CW5FLVP</t>
    <phoneticPr fontId="8"/>
  </si>
  <si>
    <t>2DG-CW5ELPP</t>
    <phoneticPr fontId="8"/>
  </si>
  <si>
    <t>2DG-CG5FAYP</t>
    <phoneticPr fontId="8"/>
  </si>
  <si>
    <t>2DG-GW6ELH</t>
    <phoneticPr fontId="8"/>
  </si>
  <si>
    <t>2DG-GW6EAH</t>
    <phoneticPr fontId="8"/>
  </si>
  <si>
    <t>2KG-GW6DAH</t>
    <phoneticPr fontId="8"/>
  </si>
  <si>
    <t>2PG-GW6DAH</t>
    <phoneticPr fontId="8"/>
  </si>
  <si>
    <t>2PG-GK6DAD</t>
    <phoneticPr fontId="8"/>
  </si>
  <si>
    <t>2PG-GK6DAB</t>
  </si>
  <si>
    <t>2RG-GK5DAE</t>
    <phoneticPr fontId="8"/>
  </si>
  <si>
    <t>2RG-GK5DAD</t>
    <phoneticPr fontId="8"/>
  </si>
  <si>
    <t>2RG-GK5DAB</t>
  </si>
  <si>
    <t>2PG-GK5DAE</t>
    <phoneticPr fontId="8"/>
  </si>
  <si>
    <t>2PG-GK5DAD</t>
    <phoneticPr fontId="8"/>
  </si>
  <si>
    <t>2PG-GK5DAB</t>
    <phoneticPr fontId="8"/>
  </si>
  <si>
    <t>2RG-GK5DAK</t>
    <phoneticPr fontId="8"/>
  </si>
  <si>
    <t>2PG-GK5DAK</t>
    <phoneticPr fontId="8"/>
  </si>
  <si>
    <t>2PG-CW5FL</t>
    <phoneticPr fontId="8"/>
  </si>
  <si>
    <t>2PG-CW5FA</t>
    <phoneticPr fontId="8"/>
  </si>
  <si>
    <t>2PG-CW5EL</t>
  </si>
  <si>
    <t>2RG-CG5FL</t>
    <phoneticPr fontId="8"/>
  </si>
  <si>
    <t>2RG-CG5FE</t>
    <phoneticPr fontId="8"/>
  </si>
  <si>
    <r>
      <t>2-4D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4</t>
    </r>
  </si>
  <si>
    <t>2RG-CD5FL</t>
    <phoneticPr fontId="8"/>
  </si>
  <si>
    <t>2RG-CD5FE</t>
    <phoneticPr fontId="8"/>
  </si>
  <si>
    <t>2RG-CD5FA</t>
  </si>
  <si>
    <t>2RG-CG5FA</t>
    <phoneticPr fontId="8"/>
  </si>
  <si>
    <t>2RG-CW5FL</t>
    <phoneticPr fontId="8"/>
  </si>
  <si>
    <t>2RG-CW5FA</t>
    <phoneticPr fontId="8"/>
  </si>
  <si>
    <t>2RG-CW5EL</t>
  </si>
  <si>
    <t>2PG-CG5FL</t>
    <phoneticPr fontId="8"/>
  </si>
  <si>
    <t>2PG-CG5FE</t>
    <phoneticPr fontId="8"/>
  </si>
  <si>
    <t>2PG-CG5FA</t>
    <phoneticPr fontId="8"/>
  </si>
  <si>
    <t>2PG-CW5EL</t>
    <phoneticPr fontId="8"/>
  </si>
  <si>
    <t>2PG-CD5FL</t>
    <phoneticPr fontId="8"/>
  </si>
  <si>
    <t>2PG-CD5FE</t>
    <phoneticPr fontId="8"/>
  </si>
  <si>
    <t>2PG-CD5FA</t>
  </si>
  <si>
    <t>2RG-CG5EL</t>
    <phoneticPr fontId="8"/>
  </si>
  <si>
    <t>2RG-CG5EE</t>
    <phoneticPr fontId="8"/>
  </si>
  <si>
    <t>2RG-CG5EA</t>
    <phoneticPr fontId="8"/>
  </si>
  <si>
    <t>2RG-CG5DA</t>
    <phoneticPr fontId="8"/>
  </si>
  <si>
    <t>2RG-CX5EL</t>
    <phoneticPr fontId="8"/>
  </si>
  <si>
    <t>2RG-CX5EA</t>
    <phoneticPr fontId="8"/>
  </si>
  <si>
    <t>2RG-CD5FA</t>
    <phoneticPr fontId="8"/>
  </si>
  <si>
    <t>2RG-CD5EL</t>
    <phoneticPr fontId="8"/>
  </si>
  <si>
    <t>2RG-CD5EA</t>
    <phoneticPr fontId="8"/>
  </si>
  <si>
    <t>2RG-CW5EL</t>
    <phoneticPr fontId="8"/>
  </si>
  <si>
    <t>2PG-CG5FA</t>
  </si>
  <si>
    <t>2PG-CG5EL</t>
    <phoneticPr fontId="8"/>
  </si>
  <si>
    <t>2PG-CG5EE</t>
    <phoneticPr fontId="8"/>
  </si>
  <si>
    <t>2PG-CG5EA</t>
    <phoneticPr fontId="8"/>
  </si>
  <si>
    <t>2PG-CG5DA</t>
    <phoneticPr fontId="8"/>
  </si>
  <si>
    <t>2PG-CX5EL</t>
    <phoneticPr fontId="8"/>
  </si>
  <si>
    <t>2PG-CX5EA</t>
    <phoneticPr fontId="8"/>
  </si>
  <si>
    <t>2PG-CD5FA</t>
    <phoneticPr fontId="8"/>
  </si>
  <si>
    <t>2PG-CD5EL</t>
    <phoneticPr fontId="8"/>
  </si>
  <si>
    <t>2PG-CD5EA</t>
    <phoneticPr fontId="8"/>
  </si>
  <si>
    <t>2PG-CD5EA</t>
  </si>
  <si>
    <t>2RG-CD5EA</t>
  </si>
  <si>
    <t>2PG-CG5EL</t>
  </si>
  <si>
    <t>2PG-CG5EE</t>
  </si>
  <si>
    <t>2PG-CG5EA</t>
  </si>
  <si>
    <t>2PG-CG5DA</t>
  </si>
  <si>
    <t>2PG-CX5EL</t>
  </si>
  <si>
    <t>2PG-CX5EA</t>
  </si>
  <si>
    <t>2PG-CW5FA</t>
  </si>
  <si>
    <t>2PG-CD5FL</t>
  </si>
  <si>
    <t>2PG-CD5FE</t>
  </si>
  <si>
    <t>2PG-CD5EL</t>
  </si>
  <si>
    <t>2RG-CW5DL</t>
  </si>
  <si>
    <t>2PG-CW5DL</t>
  </si>
  <si>
    <t>2RG-CW5DL</t>
    <phoneticPr fontId="8"/>
  </si>
  <si>
    <t>2RG-CD5DL</t>
  </si>
  <si>
    <t>2PG-CD5DL</t>
    <phoneticPr fontId="8"/>
  </si>
  <si>
    <t>2RG-CD5DL</t>
    <phoneticPr fontId="8"/>
  </si>
  <si>
    <r>
      <t>2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2-4D</t>
    </r>
  </si>
  <si>
    <t>GH8F</t>
  </si>
  <si>
    <t>2PG-CV4EA</t>
    <phoneticPr fontId="8"/>
  </si>
  <si>
    <t>2PG-CD4FA</t>
    <phoneticPr fontId="8"/>
  </si>
  <si>
    <t>2PG-CD4EA</t>
    <phoneticPr fontId="8"/>
  </si>
  <si>
    <t>2PG-CG4FA</t>
    <phoneticPr fontId="8"/>
  </si>
  <si>
    <t>GH8F</t>
    <phoneticPr fontId="8"/>
  </si>
  <si>
    <t>2PG-CW4DL</t>
    <phoneticPr fontId="8"/>
  </si>
  <si>
    <r>
      <rPr>
        <sz val="8"/>
        <rFont val="ＭＳ Ｐゴシック"/>
        <family val="3"/>
        <charset val="128"/>
      </rPr>
      <t>ＵＤトラックス</t>
    </r>
    <phoneticPr fontId="8"/>
  </si>
  <si>
    <r>
      <rPr>
        <sz val="8"/>
        <rFont val="ＭＳ Ｐゴシック"/>
        <family val="3"/>
        <charset val="128"/>
      </rPr>
      <t>ﾄﾗｯｸ等</t>
    </r>
    <rPh sb="4" eb="5">
      <t>トウ</t>
    </rPh>
    <phoneticPr fontId="27"/>
  </si>
  <si>
    <t>2KG-BVZ90U2</t>
  </si>
  <si>
    <r>
      <rPr>
        <sz val="8"/>
        <rFont val="ＭＳ Ｐゴシック"/>
        <family val="3"/>
        <charset val="128"/>
      </rPr>
      <t>ﾄﾗｯｸ等</t>
    </r>
    <rPh sb="4" eb="5">
      <t>トウ</t>
    </rPh>
    <phoneticPr fontId="5"/>
  </si>
  <si>
    <t>2KG-BVZ60U2</t>
    <phoneticPr fontId="8"/>
  </si>
  <si>
    <r>
      <rPr>
        <sz val="8"/>
        <rFont val="ＭＳ Ｐゴシック"/>
        <family val="3"/>
        <charset val="128"/>
      </rPr>
      <t>ﾄﾗｯｸ等</t>
    </r>
    <rPh sb="4" eb="5">
      <t>トウ</t>
    </rPh>
    <phoneticPr fontId="8"/>
  </si>
  <si>
    <t>2PG-BVR90U2</t>
    <phoneticPr fontId="8"/>
  </si>
  <si>
    <t>2PG-BTS90S2</t>
    <phoneticPr fontId="8"/>
  </si>
  <si>
    <t>2PG-BTR90V2</t>
  </si>
  <si>
    <t>2PG-BTR90U2</t>
  </si>
  <si>
    <t>2RG-BTS90S2</t>
    <phoneticPr fontId="8"/>
  </si>
  <si>
    <t>2RG-BTR90V2</t>
  </si>
  <si>
    <t>2RG-BTR90U2</t>
  </si>
  <si>
    <t>2PG-BSS90S2</t>
    <phoneticPr fontId="8"/>
  </si>
  <si>
    <r>
      <rPr>
        <sz val="8"/>
        <rFont val="ＭＳ Ｐゴシック"/>
        <family val="3"/>
        <charset val="128"/>
      </rPr>
      <t>ﾄﾗｯｸ等</t>
    </r>
  </si>
  <si>
    <t>2PG-BSR90U2</t>
  </si>
  <si>
    <t>2PG-BSR90T2</t>
  </si>
  <si>
    <t>2RG-BSS90S2</t>
    <phoneticPr fontId="8"/>
  </si>
  <si>
    <t>2RG-BSR90U2</t>
  </si>
  <si>
    <t>2RG-BSR90T2</t>
  </si>
  <si>
    <t>2PG-BSR90S2</t>
  </si>
  <si>
    <t>2RG-BSR90S2</t>
  </si>
  <si>
    <t>2PG-BRS90S2</t>
    <phoneticPr fontId="8"/>
  </si>
  <si>
    <t>2PG-BRR90U2</t>
  </si>
  <si>
    <t>2PG-BRR90T2</t>
  </si>
  <si>
    <t>2PG-BRR90S2</t>
  </si>
  <si>
    <t>2RG-BRR90S1</t>
  </si>
  <si>
    <t>2RG-BRS90S2</t>
    <phoneticPr fontId="8"/>
  </si>
  <si>
    <t>2RG-BRR90U2</t>
  </si>
  <si>
    <t>2RG-BRR90T2</t>
  </si>
  <si>
    <t>2RG-BRR90S2</t>
  </si>
  <si>
    <t>2KG-BRR90S1</t>
  </si>
  <si>
    <t>2PG-BRR90S1</t>
  </si>
  <si>
    <r>
      <rPr>
        <sz val="8"/>
        <rFont val="ＭＳ Ｐゴシック"/>
        <family val="3"/>
        <charset val="128"/>
      </rPr>
      <t>コンドル</t>
    </r>
  </si>
  <si>
    <r>
      <rPr>
        <sz val="8"/>
        <rFont val="ＭＳ Ｐゴシック"/>
        <family val="3"/>
        <charset val="128"/>
      </rPr>
      <t>※</t>
    </r>
    <r>
      <rPr>
        <sz val="8"/>
        <rFont val="Arial"/>
        <family val="2"/>
      </rPr>
      <t>2</t>
    </r>
    <phoneticPr fontId="8"/>
  </si>
  <si>
    <r>
      <rPr>
        <sz val="8"/>
        <rFont val="ＭＳ Ｐゴシック"/>
        <family val="3"/>
        <charset val="128"/>
      </rPr>
      <t>ＵＤトラックス</t>
    </r>
  </si>
  <si>
    <r>
      <t>2-4</t>
    </r>
    <r>
      <rPr>
        <sz val="8"/>
        <rFont val="ＭＳ Ｐゴシック"/>
        <family val="3"/>
        <charset val="128"/>
      </rPr>
      <t>Ｄ</t>
    </r>
  </si>
  <si>
    <r>
      <rPr>
        <sz val="8"/>
        <rFont val="ＭＳ Ｐゴシック"/>
        <family val="3"/>
        <charset val="128"/>
      </rPr>
      <t>Ｉ，</t>
    </r>
    <r>
      <rPr>
        <sz val="8"/>
        <rFont val="Arial"/>
        <family val="2"/>
      </rPr>
      <t>P</t>
    </r>
    <r>
      <rPr>
        <sz val="8"/>
        <rFont val="ＭＳ Ｐゴシック"/>
        <family val="3"/>
        <charset val="128"/>
      </rPr>
      <t>，</t>
    </r>
    <r>
      <rPr>
        <sz val="8"/>
        <rFont val="Arial"/>
        <family val="2"/>
      </rPr>
      <t>FI</t>
    </r>
    <r>
      <rPr>
        <sz val="8"/>
        <rFont val="ＭＳ Ｐゴシック"/>
        <family val="3"/>
        <charset val="128"/>
      </rPr>
      <t>，</t>
    </r>
    <r>
      <rPr>
        <sz val="8"/>
        <rFont val="Arial"/>
        <family val="2"/>
      </rPr>
      <t>IC</t>
    </r>
    <r>
      <rPr>
        <sz val="8"/>
        <rFont val="ＭＳ Ｐゴシック"/>
        <family val="3"/>
        <charset val="128"/>
      </rPr>
      <t>，</t>
    </r>
    <r>
      <rPr>
        <sz val="8"/>
        <rFont val="Arial"/>
        <family val="2"/>
      </rPr>
      <t>TC</t>
    </r>
  </si>
  <si>
    <t>2PG-FEDSY</t>
  </si>
  <si>
    <t>2PG-FECSY</t>
  </si>
  <si>
    <t>2PG-FEB8Y</t>
  </si>
  <si>
    <t>CCO
EGR
DF
SCR</t>
    <phoneticPr fontId="8"/>
  </si>
  <si>
    <r>
      <t>P</t>
    </r>
    <r>
      <rPr>
        <sz val="8"/>
        <rFont val="ＭＳ Ｐゴシック"/>
        <family val="3"/>
        <charset val="128"/>
      </rPr>
      <t>，</t>
    </r>
    <r>
      <rPr>
        <sz val="8"/>
        <rFont val="Arial"/>
        <family val="2"/>
      </rPr>
      <t>FI</t>
    </r>
    <r>
      <rPr>
        <sz val="8"/>
        <rFont val="ＭＳ Ｐゴシック"/>
        <family val="3"/>
        <charset val="128"/>
      </rPr>
      <t>，</t>
    </r>
    <r>
      <rPr>
        <sz val="8"/>
        <rFont val="Arial"/>
        <family val="2"/>
      </rPr>
      <t>IC</t>
    </r>
    <r>
      <rPr>
        <sz val="8"/>
        <rFont val="ＭＳ Ｐゴシック"/>
        <family val="3"/>
        <charset val="128"/>
      </rPr>
      <t>，</t>
    </r>
    <r>
      <rPr>
        <sz val="8"/>
        <rFont val="Arial"/>
        <family val="2"/>
      </rPr>
      <t>TC</t>
    </r>
  </si>
  <si>
    <t>2PG-FEBHY</t>
  </si>
  <si>
    <r>
      <t>2-4</t>
    </r>
    <r>
      <rPr>
        <sz val="8"/>
        <rFont val="ＭＳ ゴシック"/>
        <family val="3"/>
        <charset val="128"/>
      </rPr>
      <t>Ｄ</t>
    </r>
    <phoneticPr fontId="8"/>
  </si>
  <si>
    <t>2PG-FEBSY</t>
  </si>
  <si>
    <t>2RG-FEB8Y</t>
  </si>
  <si>
    <t>2RG-FEA8Y</t>
  </si>
  <si>
    <t>2PG-FEA8Y</t>
  </si>
  <si>
    <t>2PG-FGB7Y</t>
  </si>
  <si>
    <t>2RG-FGA5Y</t>
  </si>
  <si>
    <t>2RG-FGA2Y</t>
  </si>
  <si>
    <t>2RG-FEB5Y</t>
  </si>
  <si>
    <t>2RG-FEAVY</t>
  </si>
  <si>
    <t>2RG-FEB2Y</t>
  </si>
  <si>
    <t>2RG-FEA2Y</t>
  </si>
  <si>
    <t>2RG-FDA5Y</t>
  </si>
  <si>
    <t>2RG-FBAVY</t>
  </si>
  <si>
    <t>2RG-FDA2Y</t>
  </si>
  <si>
    <t>2RG-FBA2Y</t>
  </si>
  <si>
    <t>2RG-FDA6Y</t>
  </si>
  <si>
    <r>
      <rPr>
        <sz val="8"/>
        <rFont val="ＭＳ Ｐゴシック"/>
        <family val="3"/>
        <charset val="128"/>
      </rPr>
      <t>Ｉ，</t>
    </r>
    <r>
      <rPr>
        <sz val="8"/>
        <rFont val="Arial"/>
        <family val="2"/>
      </rPr>
      <t>,P</t>
    </r>
    <r>
      <rPr>
        <sz val="8"/>
        <rFont val="ＭＳ Ｐゴシック"/>
        <family val="3"/>
        <charset val="128"/>
      </rPr>
      <t>，</t>
    </r>
    <r>
      <rPr>
        <sz val="8"/>
        <rFont val="Arial"/>
        <family val="2"/>
      </rPr>
      <t>FI</t>
    </r>
    <r>
      <rPr>
        <sz val="8"/>
        <rFont val="ＭＳ Ｐゴシック"/>
        <family val="3"/>
        <charset val="128"/>
      </rPr>
      <t>，</t>
    </r>
    <r>
      <rPr>
        <sz val="8"/>
        <rFont val="Arial"/>
        <family val="2"/>
      </rPr>
      <t>IC</t>
    </r>
    <r>
      <rPr>
        <sz val="8"/>
        <rFont val="ＭＳ Ｐゴシック"/>
        <family val="3"/>
        <charset val="128"/>
      </rPr>
      <t>，</t>
    </r>
    <r>
      <rPr>
        <sz val="8"/>
        <rFont val="Arial"/>
        <family val="2"/>
      </rPr>
      <t>TC</t>
    </r>
  </si>
  <si>
    <t>2RG-FDA4Y</t>
  </si>
  <si>
    <t>2RG-FBA6Y</t>
  </si>
  <si>
    <t>2RG-FBA3Y</t>
  </si>
  <si>
    <t>2RG-FED9Y</t>
  </si>
  <si>
    <t>2PG-FED9Y</t>
  </si>
  <si>
    <t>2RG-FEC9Y</t>
  </si>
  <si>
    <t>2PG-FEC9Y</t>
  </si>
  <si>
    <t>2PG-FEBMY</t>
  </si>
  <si>
    <t>2RG-FEB9Y</t>
  </si>
  <si>
    <t>CCO
EGR
DF 
SCR</t>
    <phoneticPr fontId="8"/>
  </si>
  <si>
    <t>2PG-FEB9Y</t>
  </si>
  <si>
    <r>
      <rPr>
        <sz val="8"/>
        <rFont val="ＭＳ Ｐゴシック"/>
        <family val="3"/>
        <charset val="128"/>
      </rPr>
      <t>カゼット</t>
    </r>
    <phoneticPr fontId="8"/>
  </si>
  <si>
    <r>
      <rPr>
        <sz val="8"/>
        <rFont val="ＭＳ Ｐゴシック"/>
        <family val="3"/>
        <charset val="128"/>
      </rPr>
      <t xml:space="preserve">最高
出力
</t>
    </r>
    <r>
      <rPr>
        <sz val="8"/>
        <rFont val="Arial"/>
        <family val="2"/>
      </rPr>
      <t>(kW)</t>
    </r>
    <rPh sb="0" eb="2">
      <t>サイコウ</t>
    </rPh>
    <rPh sb="3" eb="5">
      <t>シュツリョク</t>
    </rPh>
    <phoneticPr fontId="8"/>
  </si>
  <si>
    <r>
      <rPr>
        <sz val="8"/>
        <rFont val="ＭＳ Ｐゴシック"/>
        <family val="3"/>
        <charset val="128"/>
      </rPr>
      <t xml:space="preserve">最大
トルク
</t>
    </r>
    <r>
      <rPr>
        <sz val="8"/>
        <rFont val="Arial"/>
        <family val="2"/>
      </rPr>
      <t>(N-m)</t>
    </r>
    <rPh sb="0" eb="2">
      <t>サイダイ</t>
    </rPh>
    <phoneticPr fontId="8"/>
  </si>
  <si>
    <r>
      <rPr>
        <sz val="8"/>
        <rFont val="ＭＳ Ｐゴシック"/>
        <family val="3"/>
        <charset val="128"/>
      </rPr>
      <t xml:space="preserve">総排
気量
</t>
    </r>
    <r>
      <rPr>
        <sz val="8"/>
        <rFont val="Arial"/>
        <family val="2"/>
      </rPr>
      <t>(L)</t>
    </r>
    <rPh sb="3" eb="4">
      <t>キ</t>
    </rPh>
    <rPh sb="4" eb="5">
      <t>リョウ</t>
    </rPh>
    <phoneticPr fontId="8"/>
  </si>
  <si>
    <r>
      <rPr>
        <sz val="8"/>
        <rFont val="ＭＳ Ｐゴシック"/>
        <family val="3"/>
        <charset val="128"/>
      </rPr>
      <t>平成</t>
    </r>
    <r>
      <rPr>
        <sz val="8"/>
        <rFont val="Arial"/>
        <family val="2"/>
      </rPr>
      <t>27</t>
    </r>
    <r>
      <rPr>
        <sz val="8"/>
        <rFont val="ＭＳ Ｐゴシック"/>
        <family val="3"/>
        <charset val="128"/>
      </rPr>
      <t xml:space="preserve">年度
燃費基準値
</t>
    </r>
    <r>
      <rPr>
        <sz val="8"/>
        <rFont val="Arial"/>
        <family val="2"/>
      </rPr>
      <t>(km/L)</t>
    </r>
    <rPh sb="0" eb="2">
      <t>ヘイセイ</t>
    </rPh>
    <rPh sb="4" eb="6">
      <t>ネンド</t>
    </rPh>
    <rPh sb="7" eb="9">
      <t>ネンピ</t>
    </rPh>
    <rPh sb="9" eb="12">
      <t>キジュンチ</t>
    </rPh>
    <phoneticPr fontId="8"/>
  </si>
  <si>
    <r>
      <rPr>
        <sz val="8"/>
        <rFont val="ＭＳ Ｐゴシック"/>
        <family val="3"/>
        <charset val="128"/>
      </rPr>
      <t>平成</t>
    </r>
    <r>
      <rPr>
        <sz val="8"/>
        <rFont val="Arial"/>
        <family val="2"/>
      </rPr>
      <t>27</t>
    </r>
    <r>
      <rPr>
        <sz val="8"/>
        <rFont val="ＭＳ Ｐゴシック"/>
        <family val="3"/>
        <charset val="128"/>
      </rPr>
      <t>年度
燃費基準
達成レベル・
向上達成
レベル</t>
    </r>
    <rPh sb="0" eb="2">
      <t>ヘイセイ</t>
    </rPh>
    <rPh sb="4" eb="6">
      <t>ネンド</t>
    </rPh>
    <rPh sb="6" eb="8">
      <t>ヘイネンド</t>
    </rPh>
    <rPh sb="7" eb="9">
      <t>ネンピ</t>
    </rPh>
    <rPh sb="9" eb="11">
      <t>キジュン</t>
    </rPh>
    <rPh sb="12" eb="14">
      <t>タッセイ</t>
    </rPh>
    <rPh sb="19" eb="21">
      <t>コウジョウ</t>
    </rPh>
    <rPh sb="21" eb="23">
      <t>タッセイ</t>
    </rPh>
    <phoneticPr fontId="8"/>
  </si>
  <si>
    <r>
      <rPr>
        <sz val="8"/>
        <rFont val="ＭＳ Ｐゴシック"/>
        <family val="3"/>
        <charset val="128"/>
      </rPr>
      <t xml:space="preserve">車両
総重量
</t>
    </r>
    <r>
      <rPr>
        <sz val="8"/>
        <rFont val="Arial"/>
        <family val="2"/>
      </rPr>
      <t>(kg)</t>
    </r>
    <phoneticPr fontId="8"/>
  </si>
  <si>
    <r>
      <rPr>
        <sz val="8"/>
        <rFont val="ＭＳ Ｐゴシック"/>
        <family val="3"/>
        <charset val="128"/>
      </rPr>
      <t>変速装置の
型式及び
変速段数</t>
    </r>
    <rPh sb="0" eb="2">
      <t>ヘンソク</t>
    </rPh>
    <rPh sb="2" eb="4">
      <t>ソウチ</t>
    </rPh>
    <rPh sb="6" eb="8">
      <t>カタシキ</t>
    </rPh>
    <rPh sb="8" eb="9">
      <t>オヨ</t>
    </rPh>
    <rPh sb="11" eb="13">
      <t>ヘンソク</t>
    </rPh>
    <rPh sb="13" eb="15">
      <t>ダンスウ</t>
    </rPh>
    <phoneticPr fontId="8"/>
  </si>
  <si>
    <r>
      <rPr>
        <sz val="8"/>
        <rFont val="ＭＳ Ｐゴシック"/>
        <family val="3"/>
        <charset val="128"/>
      </rPr>
      <t>当該自動車の製造又は輸入の事業を行う者の氏名又は名称　　　ＵＤトラックス株式会社　</t>
    </r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8"/>
  </si>
  <si>
    <r>
      <rPr>
        <sz val="8"/>
        <rFont val="ＭＳ Ｐゴシック"/>
        <family val="2"/>
        <charset val="128"/>
      </rPr>
      <t>クローラーギア付き</t>
    </r>
    <rPh sb="7" eb="8">
      <t>ツ</t>
    </rPh>
    <phoneticPr fontId="8"/>
  </si>
  <si>
    <t>ﾄﾗｯｸ等</t>
    <rPh sb="4" eb="5">
      <t>トウ</t>
    </rPh>
    <phoneticPr fontId="7"/>
  </si>
  <si>
    <t>D13</t>
  </si>
  <si>
    <t>2KG-5S4RTL1</t>
  </si>
  <si>
    <r>
      <rPr>
        <sz val="8"/>
        <rFont val="ＭＳ Ｐゴシック"/>
        <family val="2"/>
        <charset val="128"/>
      </rPr>
      <t>デュアルクラッチ</t>
    </r>
    <phoneticPr fontId="8"/>
  </si>
  <si>
    <t>2KG-4S4RTL1</t>
  </si>
  <si>
    <t>2KG-5S4RKL1</t>
  </si>
  <si>
    <t>2KG-4S4RKL1</t>
  </si>
  <si>
    <t>2KG-5S4RTF1</t>
  </si>
  <si>
    <t>2KG-4S4RTF1</t>
  </si>
  <si>
    <t>2KG-5S4RKF1</t>
  </si>
  <si>
    <t>2KG-4S4RKF1</t>
  </si>
  <si>
    <t>2-4D・4</t>
  </si>
  <si>
    <t>2KG-5S3RTF1</t>
  </si>
  <si>
    <t>2KG-4S3RTF1</t>
  </si>
  <si>
    <t>2KG-4S3RKF1</t>
  </si>
  <si>
    <r>
      <rPr>
        <sz val="8"/>
        <rFont val="Arial"/>
        <family val="2"/>
        <charset val="128"/>
      </rPr>
      <t>ﾄﾗｯｸ等</t>
    </r>
    <rPh sb="4" eb="5">
      <t>トウ</t>
    </rPh>
    <phoneticPr fontId="7"/>
  </si>
  <si>
    <t>2KG-4S3RKF9</t>
  </si>
  <si>
    <t>2DG-5S4TCL1</t>
  </si>
  <si>
    <t>2DG-5S4TBL1</t>
  </si>
  <si>
    <t>2DG-5S4TCA1</t>
  </si>
  <si>
    <t>2DG-5S4TBA1</t>
  </si>
  <si>
    <t>2KG-5S2TGA1</t>
  </si>
  <si>
    <t>2KG-4S2TGA1</t>
  </si>
  <si>
    <t>2KG-5S2TEA1</t>
  </si>
  <si>
    <t>2KG-4S2TEA1</t>
  </si>
  <si>
    <t>2KG-5S2TDA1</t>
  </si>
  <si>
    <t>2KG-4S2TDA1</t>
  </si>
  <si>
    <t>2PG-5S2TGA1</t>
  </si>
  <si>
    <t>2PG-4S2TGA1</t>
  </si>
  <si>
    <t>2PG-5S2TEA1</t>
  </si>
  <si>
    <t>2PG-4S2TEA1</t>
  </si>
  <si>
    <t>2PG-5S2TDA1</t>
  </si>
  <si>
    <t>2PG-4S2TDA1</t>
  </si>
  <si>
    <r>
      <rPr>
        <sz val="8"/>
        <rFont val="ＭＳ Ｐゴシック"/>
        <family val="3"/>
        <charset val="128"/>
      </rPr>
      <t>デュアルクラッチ</t>
    </r>
    <phoneticPr fontId="8"/>
  </si>
  <si>
    <t>2DG-5K4RTL1</t>
  </si>
  <si>
    <t>2DG-4K4RTL1</t>
  </si>
  <si>
    <t>2DG-5K4RKL1</t>
  </si>
  <si>
    <t>2DG-4K4RKL1</t>
  </si>
  <si>
    <t>2DG-5K4TCL1</t>
  </si>
  <si>
    <t>2DG-5K4TBL1</t>
  </si>
  <si>
    <t>2DG-5K4RTF1</t>
  </si>
  <si>
    <t>2DG-4K4RTF1</t>
  </si>
  <si>
    <t>2DG-5K4RKF1</t>
  </si>
  <si>
    <t>2DG-4K4RKF1</t>
  </si>
  <si>
    <t>2DG-4K3RTF1</t>
  </si>
  <si>
    <t>2DG-4K3RKF1</t>
  </si>
  <si>
    <t>2DG-5K4TCA1</t>
  </si>
  <si>
    <t>2DG-5K4TBA1</t>
  </si>
  <si>
    <t>2DG-5K2TGA1</t>
  </si>
  <si>
    <t>2DG-4K2TGA1</t>
  </si>
  <si>
    <t>2DG-5K2TEA1</t>
  </si>
  <si>
    <t>2DG-4K2TEA1</t>
  </si>
  <si>
    <t>2DG-5K2TDA1</t>
  </si>
  <si>
    <t>2DG-4K2TDA1</t>
  </si>
  <si>
    <t>2KG-5K2TGA1</t>
  </si>
  <si>
    <t>2KG-4K2TGA1</t>
  </si>
  <si>
    <t>2KG-5K2TEA1</t>
  </si>
  <si>
    <t>2KG-4K2TEA1</t>
  </si>
  <si>
    <t>2KG-5K2TDA1</t>
  </si>
  <si>
    <t>2KG-4K2TDA1</t>
  </si>
  <si>
    <t>FH</t>
  </si>
  <si>
    <t>ボルボ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</si>
</sst>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_ "/>
    <numFmt numFmtId="177" formatCode="0_);[Red]\(0\)"/>
    <numFmt numFmtId="178" formatCode="0.0"/>
    <numFmt numFmtId="179" formatCode="0.00_);[Red]\(0.00\)"/>
    <numFmt numFmtId="180" formatCode="0.000_ "/>
    <numFmt numFmtId="181" formatCode="0_ "/>
    <numFmt numFmtId="182" formatCode="#,##0_ "/>
  </numFmts>
  <fonts count="30">
    <font>
      <sz val="11"/>
      <color theme="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2"/>
      <name val="Arial"/>
      <family val="2"/>
    </font>
    <font>
      <sz val="6"/>
      <name val="游ゴシック"/>
      <family val="2"/>
      <charset val="128"/>
      <scheme val="minor"/>
    </font>
    <font>
      <sz val="8"/>
      <name val="Arial"/>
      <family val="2"/>
    </font>
    <font>
      <sz val="12"/>
      <name val="Arial"/>
      <family val="2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ＭＳ ゴシック"/>
      <family val="3"/>
      <charset val="128"/>
    </font>
    <font>
      <sz val="8"/>
      <name val="Arial Unicode MS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Arial"/>
      <family val="3"/>
      <charset val="128"/>
    </font>
    <font>
      <sz val="8"/>
      <name val="Arial"/>
      <family val="3"/>
    </font>
    <font>
      <sz val="8"/>
      <name val="Segoe UI Symbol"/>
      <family val="2"/>
    </font>
    <font>
      <sz val="9"/>
      <name val="ＭＳ Ｐゴシック"/>
      <family val="3"/>
      <charset val="128"/>
    </font>
    <font>
      <sz val="6"/>
      <name val="ＭＳ Ｐゴシック"/>
      <family val="2"/>
      <charset val="128"/>
    </font>
    <font>
      <sz val="8"/>
      <name val="Yu Gothic"/>
      <family val="3"/>
      <charset val="128"/>
    </font>
    <font>
      <b/>
      <sz val="11"/>
      <name val="Arial"/>
      <family val="2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ＭＳ Ｐゴシック"/>
      <family val="2"/>
      <charset val="128"/>
    </font>
    <font>
      <sz val="8"/>
      <name val="Arial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3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1" fillId="0" borderId="0">
      <alignment vertical="center"/>
    </xf>
    <xf numFmtId="0" fontId="2" fillId="0" borderId="0"/>
    <xf numFmtId="9" fontId="1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7" fillId="0" borderId="0">
      <alignment vertical="center"/>
    </xf>
    <xf numFmtId="0" fontId="2" fillId="0" borderId="0"/>
  </cellStyleXfs>
  <cellXfs count="548">
    <xf numFmtId="0" fontId="0" fillId="0" borderId="0" xfId="0">
      <alignment vertical="center"/>
    </xf>
    <xf numFmtId="0" fontId="3" fillId="2" borderId="0" xfId="2" applyFont="1" applyFill="1" applyBorder="1" applyAlignment="1">
      <alignment vertical="center"/>
    </xf>
    <xf numFmtId="0" fontId="5" fillId="2" borderId="0" xfId="2" applyFont="1" applyFill="1" applyBorder="1"/>
    <xf numFmtId="0" fontId="5" fillId="2" borderId="0" xfId="2" applyFont="1" applyFill="1"/>
    <xf numFmtId="0" fontId="3" fillId="2" borderId="0" xfId="2" applyFont="1" applyFill="1" applyBorder="1"/>
    <xf numFmtId="0" fontId="6" fillId="2" borderId="0" xfId="2" applyFont="1" applyFill="1" applyBorder="1"/>
    <xf numFmtId="0" fontId="7" fillId="2" borderId="1" xfId="2" applyFont="1" applyFill="1" applyBorder="1"/>
    <xf numFmtId="0" fontId="5" fillId="2" borderId="1" xfId="2" applyFont="1" applyFill="1" applyBorder="1"/>
    <xf numFmtId="0" fontId="10" fillId="2" borderId="0" xfId="2" applyFont="1" applyFill="1" applyBorder="1" applyAlignment="1"/>
    <xf numFmtId="0" fontId="5" fillId="2" borderId="2" xfId="2" applyFont="1" applyFill="1" applyBorder="1" applyAlignment="1">
      <alignment horizontal="right"/>
    </xf>
    <xf numFmtId="0" fontId="5" fillId="2" borderId="0" xfId="2" applyFont="1" applyFill="1" applyAlignment="1">
      <alignment horizontal="center"/>
    </xf>
    <xf numFmtId="0" fontId="5" fillId="2" borderId="17" xfId="2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22" xfId="2" applyFont="1" applyFill="1" applyBorder="1" applyAlignment="1">
      <alignment horizontal="center" vertical="center"/>
    </xf>
    <xf numFmtId="0" fontId="5" fillId="0" borderId="17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left" vertical="center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25" xfId="0" applyNumberFormat="1" applyFont="1" applyFill="1" applyBorder="1" applyAlignment="1">
      <alignment horizontal="center" vertical="center" wrapText="1"/>
    </xf>
    <xf numFmtId="176" fontId="12" fillId="0" borderId="26" xfId="0" quotePrefix="1" applyNumberFormat="1" applyFont="1" applyFill="1" applyBorder="1" applyAlignment="1">
      <alignment horizontal="center" vertical="center" wrapText="1"/>
    </xf>
    <xf numFmtId="177" fontId="12" fillId="2" borderId="27" xfId="2" applyNumberFormat="1" applyFont="1" applyFill="1" applyBorder="1" applyAlignment="1">
      <alignment horizontal="center" vertical="center" wrapText="1"/>
    </xf>
    <xf numFmtId="176" fontId="13" fillId="0" borderId="26" xfId="0" quotePrefix="1" applyNumberFormat="1" applyFont="1" applyFill="1" applyBorder="1" applyAlignment="1">
      <alignment horizontal="center" vertical="center" wrapText="1"/>
    </xf>
    <xf numFmtId="178" fontId="5" fillId="0" borderId="25" xfId="0" applyNumberFormat="1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2" borderId="28" xfId="2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vertical="center"/>
      <protection locked="0"/>
    </xf>
    <xf numFmtId="0" fontId="5" fillId="0" borderId="18" xfId="0" applyNumberFormat="1" applyFont="1" applyFill="1" applyBorder="1" applyAlignment="1">
      <alignment horizontal="center"/>
    </xf>
    <xf numFmtId="0" fontId="5" fillId="0" borderId="10" xfId="0" applyNumberFormat="1" applyFont="1" applyFill="1" applyBorder="1" applyAlignment="1">
      <alignment horizontal="left" vertical="center"/>
    </xf>
    <xf numFmtId="0" fontId="5" fillId="0" borderId="29" xfId="0" applyNumberFormat="1" applyFont="1" applyFill="1" applyBorder="1" applyAlignment="1">
      <alignment horizontal="center" vertical="center" wrapText="1"/>
    </xf>
    <xf numFmtId="0" fontId="5" fillId="0" borderId="18" xfId="0" applyNumberFormat="1" applyFont="1" applyBorder="1" applyAlignment="1">
      <alignment horizontal="center" vertical="center" wrapText="1"/>
    </xf>
    <xf numFmtId="0" fontId="5" fillId="0" borderId="18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/>
    <xf numFmtId="0" fontId="5" fillId="0" borderId="10" xfId="3" applyNumberFormat="1" applyFont="1" applyFill="1" applyBorder="1" applyAlignment="1">
      <alignment horizontal="left" vertical="center"/>
    </xf>
    <xf numFmtId="0" fontId="5" fillId="0" borderId="0" xfId="0" applyFont="1" applyFill="1" applyAlignment="1"/>
    <xf numFmtId="178" fontId="5" fillId="0" borderId="3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/>
    </xf>
    <xf numFmtId="0" fontId="5" fillId="0" borderId="0" xfId="3" applyFont="1" applyFill="1" applyBorder="1" applyAlignment="1" applyProtection="1">
      <alignment vertical="center"/>
      <protection locked="0"/>
    </xf>
    <xf numFmtId="0" fontId="5" fillId="0" borderId="0" xfId="0" applyNumberFormat="1" applyFont="1" applyFill="1" applyBorder="1" applyAlignment="1">
      <alignment horizontal="left" vertical="center"/>
    </xf>
    <xf numFmtId="9" fontId="5" fillId="0" borderId="25" xfId="1" applyFont="1" applyFill="1" applyBorder="1" applyAlignment="1">
      <alignment horizontal="center" vertical="center" wrapText="1"/>
    </xf>
    <xf numFmtId="0" fontId="5" fillId="0" borderId="29" xfId="3" applyNumberFormat="1" applyFont="1" applyFill="1" applyBorder="1" applyAlignment="1" applyProtection="1">
      <alignment horizontal="center" vertical="center"/>
      <protection locked="0"/>
    </xf>
    <xf numFmtId="0" fontId="5" fillId="0" borderId="25" xfId="3" applyNumberFormat="1" applyFont="1" applyFill="1" applyBorder="1" applyAlignment="1">
      <alignment horizontal="center" vertical="center" wrapText="1"/>
    </xf>
    <xf numFmtId="176" fontId="12" fillId="0" borderId="26" xfId="0" applyNumberFormat="1" applyFont="1" applyFill="1" applyBorder="1" applyAlignment="1">
      <alignment horizontal="center" vertical="center" wrapText="1"/>
    </xf>
    <xf numFmtId="176" fontId="13" fillId="0" borderId="26" xfId="0" applyNumberFormat="1" applyFont="1" applyFill="1" applyBorder="1" applyAlignment="1">
      <alignment horizontal="center" vertical="center" wrapText="1"/>
    </xf>
    <xf numFmtId="178" fontId="5" fillId="0" borderId="25" xfId="3" applyNumberFormat="1" applyFont="1" applyFill="1" applyBorder="1" applyAlignment="1">
      <alignment horizontal="center" vertical="center" wrapText="1"/>
    </xf>
    <xf numFmtId="0" fontId="5" fillId="0" borderId="25" xfId="3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shrinkToFit="1"/>
    </xf>
    <xf numFmtId="0" fontId="5" fillId="0" borderId="18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 wrapText="1"/>
    </xf>
    <xf numFmtId="0" fontId="5" fillId="0" borderId="29" xfId="0" applyNumberFormat="1" applyFont="1" applyFill="1" applyBorder="1" applyAlignment="1">
      <alignment horizontal="center" vertical="center"/>
    </xf>
    <xf numFmtId="0" fontId="5" fillId="0" borderId="31" xfId="0" applyNumberFormat="1" applyFont="1" applyFill="1" applyBorder="1" applyAlignment="1">
      <alignment horizontal="center" vertical="center" wrapText="1"/>
    </xf>
    <xf numFmtId="0" fontId="5" fillId="0" borderId="3" xfId="0" quotePrefix="1" applyNumberFormat="1" applyFont="1" applyFill="1" applyBorder="1" applyAlignment="1">
      <alignment horizontal="center" vertical="center" wrapText="1"/>
    </xf>
    <xf numFmtId="0" fontId="7" fillId="0" borderId="29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left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25" xfId="0" applyNumberFormat="1" applyFont="1" applyFill="1" applyBorder="1" applyAlignment="1">
      <alignment horizontal="center" vertical="center" wrapText="1"/>
    </xf>
    <xf numFmtId="176" fontId="12" fillId="2" borderId="26" xfId="0" quotePrefix="1" applyNumberFormat="1" applyFont="1" applyFill="1" applyBorder="1" applyAlignment="1">
      <alignment horizontal="center" vertical="center" wrapText="1"/>
    </xf>
    <xf numFmtId="178" fontId="5" fillId="2" borderId="25" xfId="0" applyNumberFormat="1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16" fillId="2" borderId="25" xfId="0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left" vertical="center"/>
    </xf>
    <xf numFmtId="0" fontId="5" fillId="2" borderId="29" xfId="0" applyNumberFormat="1" applyFont="1" applyFill="1" applyBorder="1" applyAlignment="1">
      <alignment horizontal="center" vertical="center" wrapText="1"/>
    </xf>
    <xf numFmtId="0" fontId="5" fillId="0" borderId="3" xfId="0" quotePrefix="1" applyNumberFormat="1" applyFont="1" applyFill="1" applyBorder="1" applyAlignment="1">
      <alignment horizontal="left" vertical="center" wrapText="1"/>
    </xf>
    <xf numFmtId="0" fontId="5" fillId="0" borderId="30" xfId="0" applyFont="1" applyFill="1" applyBorder="1" applyAlignment="1">
      <alignment horizontal="center" vertical="center" shrinkToFit="1"/>
    </xf>
    <xf numFmtId="0" fontId="18" fillId="0" borderId="5" xfId="0" applyNumberFormat="1" applyFont="1" applyFill="1" applyBorder="1" applyAlignment="1">
      <alignment vertical="center"/>
    </xf>
    <xf numFmtId="176" fontId="12" fillId="0" borderId="32" xfId="0" applyNumberFormat="1" applyFont="1" applyFill="1" applyBorder="1" applyAlignment="1">
      <alignment horizontal="center" vertical="center" wrapText="1"/>
    </xf>
    <xf numFmtId="177" fontId="12" fillId="2" borderId="33" xfId="2" applyNumberFormat="1" applyFont="1" applyFill="1" applyBorder="1" applyAlignment="1">
      <alignment horizontal="center" vertical="center" wrapText="1"/>
    </xf>
    <xf numFmtId="0" fontId="5" fillId="0" borderId="22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34" xfId="0" applyNumberFormat="1" applyFont="1" applyFill="1" applyBorder="1" applyAlignment="1">
      <alignment horizontal="center" vertical="center" wrapText="1"/>
    </xf>
    <xf numFmtId="176" fontId="12" fillId="0" borderId="35" xfId="0" quotePrefix="1" applyNumberFormat="1" applyFont="1" applyFill="1" applyBorder="1" applyAlignment="1">
      <alignment horizontal="center" vertical="center" wrapText="1"/>
    </xf>
    <xf numFmtId="177" fontId="12" fillId="2" borderId="36" xfId="2" applyNumberFormat="1" applyFont="1" applyFill="1" applyBorder="1" applyAlignment="1">
      <alignment horizontal="center" vertical="center" wrapText="1"/>
    </xf>
    <xf numFmtId="0" fontId="7" fillId="2" borderId="0" xfId="2" applyFont="1" applyFill="1" applyBorder="1"/>
    <xf numFmtId="0" fontId="5" fillId="2" borderId="0" xfId="2" applyFont="1" applyFill="1" applyBorder="1" applyAlignment="1">
      <alignment horizontal="center"/>
    </xf>
    <xf numFmtId="0" fontId="14" fillId="2" borderId="0" xfId="2" applyFont="1" applyFill="1"/>
    <xf numFmtId="0" fontId="20" fillId="2" borderId="10" xfId="2" applyFont="1" applyFill="1" applyBorder="1" applyAlignment="1" applyProtection="1">
      <alignment horizontal="left" vertical="center"/>
      <protection locked="0"/>
    </xf>
    <xf numFmtId="0" fontId="5" fillId="0" borderId="29" xfId="2" applyFont="1" applyFill="1" applyBorder="1" applyAlignment="1" applyProtection="1">
      <alignment horizontal="center" vertical="center" wrapText="1"/>
      <protection locked="0"/>
    </xf>
    <xf numFmtId="0" fontId="5" fillId="2" borderId="3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/>
    </xf>
    <xf numFmtId="0" fontId="7" fillId="0" borderId="17" xfId="2" applyFont="1" applyFill="1" applyBorder="1" applyAlignment="1">
      <alignment horizontal="center" vertical="center" wrapText="1"/>
    </xf>
    <xf numFmtId="0" fontId="7" fillId="0" borderId="18" xfId="2" applyFont="1" applyFill="1" applyBorder="1" applyAlignment="1">
      <alignment horizontal="center" vertical="center"/>
    </xf>
    <xf numFmtId="0" fontId="7" fillId="0" borderId="22" xfId="2" applyFont="1" applyFill="1" applyBorder="1" applyAlignment="1">
      <alignment horizontal="center" vertical="center"/>
    </xf>
    <xf numFmtId="0" fontId="7" fillId="2" borderId="17" xfId="2" applyFont="1" applyFill="1" applyBorder="1" applyAlignment="1">
      <alignment horizontal="center" vertical="center"/>
    </xf>
    <xf numFmtId="0" fontId="7" fillId="2" borderId="18" xfId="2" applyFont="1" applyFill="1" applyBorder="1" applyAlignment="1">
      <alignment horizontal="center" vertical="center"/>
    </xf>
    <xf numFmtId="0" fontId="7" fillId="2" borderId="22" xfId="2" applyFont="1" applyFill="1" applyBorder="1" applyAlignment="1">
      <alignment horizontal="center" vertical="center"/>
    </xf>
    <xf numFmtId="0" fontId="5" fillId="2" borderId="17" xfId="2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horizontal="center" vertical="center"/>
    </xf>
    <xf numFmtId="0" fontId="5" fillId="2" borderId="22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/>
    </xf>
    <xf numFmtId="0" fontId="5" fillId="3" borderId="6" xfId="2" applyFont="1" applyFill="1" applyBorder="1" applyAlignment="1">
      <alignment horizontal="center"/>
    </xf>
    <xf numFmtId="0" fontId="5" fillId="3" borderId="7" xfId="2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shrinkToFi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3" xfId="2" applyFont="1" applyFill="1" applyBorder="1" applyAlignment="1">
      <alignment horizontal="center" vertical="center" wrapText="1"/>
    </xf>
    <xf numFmtId="0" fontId="7" fillId="2" borderId="23" xfId="2" applyFont="1" applyFill="1" applyBorder="1" applyAlignment="1">
      <alignment horizontal="center" vertical="center" wrapText="1"/>
    </xf>
    <xf numFmtId="0" fontId="7" fillId="2" borderId="9" xfId="2" applyFont="1" applyFill="1" applyBorder="1" applyAlignment="1">
      <alignment horizontal="center" vertical="center" wrapText="1"/>
    </xf>
    <xf numFmtId="0" fontId="7" fillId="2" borderId="14" xfId="2" applyFont="1" applyFill="1" applyBorder="1" applyAlignment="1">
      <alignment horizontal="center" vertical="center" wrapText="1"/>
    </xf>
    <xf numFmtId="0" fontId="7" fillId="2" borderId="24" xfId="2" applyFont="1" applyFill="1" applyBorder="1" applyAlignment="1">
      <alignment horizontal="center" vertical="center" wrapText="1"/>
    </xf>
    <xf numFmtId="0" fontId="7" fillId="2" borderId="11" xfId="2" applyFont="1" applyFill="1" applyBorder="1" applyAlignment="1">
      <alignment horizontal="center" vertical="center" wrapText="1"/>
    </xf>
    <xf numFmtId="0" fontId="5" fillId="2" borderId="15" xfId="2" applyFont="1" applyFill="1" applyBorder="1" applyAlignment="1">
      <alignment horizontal="center" vertical="center"/>
    </xf>
    <xf numFmtId="0" fontId="5" fillId="2" borderId="20" xfId="2" applyFont="1" applyFill="1" applyBorder="1" applyAlignment="1">
      <alignment horizontal="center" vertical="center"/>
    </xf>
    <xf numFmtId="0" fontId="5" fillId="2" borderId="12" xfId="2" applyFont="1" applyFill="1" applyBorder="1" applyAlignment="1">
      <alignment horizontal="center" wrapText="1"/>
    </xf>
    <xf numFmtId="0" fontId="5" fillId="2" borderId="16" xfId="2" applyFont="1" applyFill="1" applyBorder="1" applyAlignment="1">
      <alignment horizontal="center"/>
    </xf>
    <xf numFmtId="0" fontId="5" fillId="2" borderId="21" xfId="2" applyFont="1" applyFill="1" applyBorder="1" applyAlignment="1">
      <alignment horizontal="center"/>
    </xf>
    <xf numFmtId="0" fontId="7" fillId="2" borderId="6" xfId="2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 applyProtection="1">
      <protection locked="0"/>
    </xf>
    <xf numFmtId="0" fontId="9" fillId="2" borderId="1" xfId="2" applyFont="1" applyFill="1" applyBorder="1" applyAlignment="1" applyProtection="1">
      <protection locked="0"/>
    </xf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 wrapText="1" shrinkToFit="1"/>
    </xf>
    <xf numFmtId="0" fontId="7" fillId="2" borderId="5" xfId="2" applyFont="1" applyFill="1" applyBorder="1" applyAlignment="1">
      <alignment horizontal="center" vertical="center" wrapText="1"/>
    </xf>
    <xf numFmtId="0" fontId="7" fillId="2" borderId="10" xfId="2" applyFont="1" applyFill="1" applyBorder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15" fillId="2" borderId="0" xfId="2" applyFont="1" applyFill="1"/>
    <xf numFmtId="0" fontId="5" fillId="0" borderId="0" xfId="4" applyFont="1" applyProtection="1">
      <alignment vertical="center"/>
      <protection locked="0"/>
    </xf>
    <xf numFmtId="0" fontId="5" fillId="0" borderId="4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 wrapText="1"/>
    </xf>
    <xf numFmtId="178" fontId="5" fillId="0" borderId="25" xfId="4" applyNumberFormat="1" applyFont="1" applyBorder="1" applyAlignment="1">
      <alignment horizontal="center" vertical="center" wrapText="1"/>
    </xf>
    <xf numFmtId="176" fontId="13" fillId="0" borderId="26" xfId="4" quotePrefix="1" applyNumberFormat="1" applyFont="1" applyBorder="1" applyAlignment="1">
      <alignment horizontal="center" vertical="center" wrapText="1"/>
    </xf>
    <xf numFmtId="176" fontId="12" fillId="0" borderId="35" xfId="4" quotePrefix="1" applyNumberFormat="1" applyFont="1" applyBorder="1" applyAlignment="1">
      <alignment horizontal="center" vertical="center" wrapText="1"/>
    </xf>
    <xf numFmtId="0" fontId="5" fillId="0" borderId="3" xfId="4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vertical="center" wrapText="1"/>
    </xf>
    <xf numFmtId="0" fontId="5" fillId="0" borderId="3" xfId="4" applyFont="1" applyBorder="1" applyAlignment="1">
      <alignment horizontal="left" vertical="center" wrapText="1"/>
    </xf>
    <xf numFmtId="0" fontId="5" fillId="0" borderId="34" xfId="4" applyFont="1" applyBorder="1" applyAlignment="1">
      <alignment horizontal="center" vertical="center" wrapText="1"/>
    </xf>
    <xf numFmtId="0" fontId="5" fillId="0" borderId="19" xfId="4" applyFont="1" applyBorder="1" applyAlignment="1">
      <alignment horizontal="left" vertical="center"/>
    </xf>
    <xf numFmtId="0" fontId="5" fillId="0" borderId="22" xfId="4" applyFont="1" applyBorder="1" applyAlignment="1">
      <alignment horizontal="center" vertical="center" wrapText="1"/>
    </xf>
    <xf numFmtId="176" fontId="12" fillId="0" borderId="26" xfId="4" quotePrefix="1" applyNumberFormat="1" applyFont="1" applyBorder="1" applyAlignment="1">
      <alignment horizontal="center" vertical="center" wrapText="1"/>
    </xf>
    <xf numFmtId="0" fontId="5" fillId="0" borderId="29" xfId="4" applyFont="1" applyBorder="1" applyAlignment="1">
      <alignment horizontal="center" vertical="center" wrapText="1"/>
    </xf>
    <xf numFmtId="0" fontId="5" fillId="0" borderId="10" xfId="4" applyFont="1" applyBorder="1" applyAlignment="1">
      <alignment horizontal="left" vertical="center"/>
    </xf>
    <xf numFmtId="0" fontId="5" fillId="0" borderId="18" xfId="4" applyFont="1" applyBorder="1" applyAlignment="1">
      <alignment horizontal="center" vertical="center" wrapText="1"/>
    </xf>
    <xf numFmtId="0" fontId="5" fillId="0" borderId="0" xfId="5" applyFont="1" applyAlignment="1" applyProtection="1">
      <alignment vertical="center"/>
      <protection locked="0"/>
    </xf>
    <xf numFmtId="9" fontId="5" fillId="0" borderId="25" xfId="6" applyFont="1" applyFill="1" applyBorder="1" applyAlignment="1">
      <alignment horizontal="center" vertical="center" wrapText="1"/>
    </xf>
    <xf numFmtId="0" fontId="5" fillId="0" borderId="10" xfId="5" applyFont="1" applyBorder="1" applyAlignment="1">
      <alignment horizontal="left" vertical="center"/>
    </xf>
    <xf numFmtId="0" fontId="5" fillId="0" borderId="0" xfId="4" applyFont="1" applyAlignment="1"/>
    <xf numFmtId="0" fontId="5" fillId="0" borderId="0" xfId="4" applyFont="1" applyAlignment="1">
      <alignment horizontal="left" vertical="center"/>
    </xf>
    <xf numFmtId="0" fontId="5" fillId="0" borderId="30" xfId="4" applyFont="1" applyBorder="1" applyAlignment="1">
      <alignment horizontal="center" vertical="center"/>
    </xf>
    <xf numFmtId="0" fontId="14" fillId="0" borderId="0" xfId="4" applyFont="1" applyAlignment="1"/>
    <xf numFmtId="178" fontId="5" fillId="0" borderId="3" xfId="4" applyNumberFormat="1" applyFont="1" applyBorder="1" applyAlignment="1">
      <alignment horizontal="center" vertical="center" wrapText="1"/>
    </xf>
    <xf numFmtId="0" fontId="5" fillId="0" borderId="18" xfId="4" applyFont="1" applyBorder="1" applyAlignment="1">
      <alignment horizontal="center"/>
    </xf>
    <xf numFmtId="0" fontId="15" fillId="0" borderId="29" xfId="4" applyFont="1" applyBorder="1" applyAlignment="1">
      <alignment horizontal="center" vertical="center" wrapText="1"/>
    </xf>
    <xf numFmtId="0" fontId="15" fillId="0" borderId="17" xfId="4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7" fillId="0" borderId="17" xfId="2" applyFont="1" applyBorder="1" applyAlignment="1">
      <alignment horizontal="center" vertical="center" wrapText="1"/>
    </xf>
    <xf numFmtId="0" fontId="10" fillId="2" borderId="0" xfId="2" applyFont="1" applyFill="1"/>
    <xf numFmtId="0" fontId="9" fillId="2" borderId="1" xfId="2" applyFont="1" applyFill="1" applyBorder="1" applyProtection="1">
      <protection locked="0"/>
    </xf>
    <xf numFmtId="0" fontId="5" fillId="2" borderId="1" xfId="2" applyFont="1" applyFill="1" applyBorder="1" applyProtection="1">
      <protection locked="0"/>
    </xf>
    <xf numFmtId="0" fontId="6" fillId="2" borderId="0" xfId="2" applyFont="1" applyFill="1"/>
    <xf numFmtId="0" fontId="3" fillId="2" borderId="0" xfId="2" applyFont="1" applyFill="1"/>
    <xf numFmtId="0" fontId="3" fillId="2" borderId="0" xfId="2" applyFont="1" applyFill="1" applyAlignment="1">
      <alignment vertical="center"/>
    </xf>
    <xf numFmtId="0" fontId="5" fillId="2" borderId="37" xfId="2" applyFont="1" applyFill="1" applyBorder="1" applyAlignment="1">
      <alignment horizontal="center" vertical="center"/>
    </xf>
    <xf numFmtId="0" fontId="5" fillId="2" borderId="4" xfId="2" applyFont="1" applyFill="1" applyBorder="1" applyAlignment="1" applyProtection="1">
      <alignment horizontal="center" vertical="center"/>
      <protection locked="0"/>
    </xf>
    <xf numFmtId="0" fontId="5" fillId="2" borderId="3" xfId="2" applyFont="1" applyFill="1" applyBorder="1" applyAlignment="1" applyProtection="1">
      <alignment horizontal="left" vertical="center"/>
      <protection locked="0"/>
    </xf>
    <xf numFmtId="0" fontId="5" fillId="2" borderId="3" xfId="2" applyFont="1" applyFill="1" applyBorder="1" applyAlignment="1" applyProtection="1">
      <alignment horizontal="center" vertical="center" wrapText="1"/>
      <protection locked="0"/>
    </xf>
    <xf numFmtId="178" fontId="5" fillId="2" borderId="3" xfId="2" applyNumberFormat="1" applyFont="1" applyFill="1" applyBorder="1" applyAlignment="1" applyProtection="1">
      <alignment horizontal="center" vertical="center" wrapText="1"/>
      <protection locked="0"/>
    </xf>
    <xf numFmtId="179" fontId="12" fillId="2" borderId="25" xfId="2" applyNumberFormat="1" applyFont="1" applyFill="1" applyBorder="1" applyAlignment="1" applyProtection="1">
      <alignment horizontal="center" vertical="center" wrapText="1"/>
      <protection locked="0"/>
    </xf>
    <xf numFmtId="179" fontId="12" fillId="2" borderId="26" xfId="2" applyNumberFormat="1" applyFont="1" applyFill="1" applyBorder="1" applyAlignment="1" applyProtection="1">
      <alignment horizontal="center" vertical="center" wrapText="1"/>
      <protection locked="0"/>
    </xf>
    <xf numFmtId="0" fontId="5" fillId="2" borderId="4" xfId="2" applyFont="1" applyFill="1" applyBorder="1" applyAlignment="1" applyProtection="1">
      <alignment horizontal="center" vertical="center" wrapText="1"/>
      <protection locked="0"/>
    </xf>
    <xf numFmtId="38" fontId="5" fillId="2" borderId="3" xfId="7" applyFont="1" applyFill="1" applyBorder="1" applyAlignment="1" applyProtection="1">
      <alignment horizontal="center" vertical="center" wrapText="1"/>
      <protection locked="0"/>
    </xf>
    <xf numFmtId="180" fontId="5" fillId="2" borderId="3" xfId="2" applyNumberFormat="1" applyFont="1" applyFill="1" applyBorder="1" applyAlignment="1" applyProtection="1">
      <alignment horizontal="center" vertical="center" wrapText="1"/>
      <protection locked="0"/>
    </xf>
    <xf numFmtId="0" fontId="5" fillId="2" borderId="25" xfId="2" applyFont="1" applyFill="1" applyBorder="1" applyAlignment="1" applyProtection="1">
      <alignment horizontal="left" vertical="center" wrapText="1"/>
      <protection locked="0"/>
    </xf>
    <xf numFmtId="0" fontId="5" fillId="2" borderId="34" xfId="2" applyFont="1" applyFill="1" applyBorder="1" applyAlignment="1" applyProtection="1">
      <alignment horizontal="left" vertical="center" wrapText="1"/>
      <protection locked="0"/>
    </xf>
    <xf numFmtId="0" fontId="5" fillId="2" borderId="19" xfId="2" applyFont="1" applyFill="1" applyBorder="1" applyAlignment="1" applyProtection="1">
      <alignment vertical="center"/>
      <protection locked="0"/>
    </xf>
    <xf numFmtId="0" fontId="5" fillId="2" borderId="22" xfId="2" applyFont="1" applyFill="1" applyBorder="1" applyAlignment="1" applyProtection="1">
      <alignment vertical="center"/>
      <protection locked="0"/>
    </xf>
    <xf numFmtId="0" fontId="5" fillId="2" borderId="29" xfId="2" applyFont="1" applyFill="1" applyBorder="1" applyAlignment="1" applyProtection="1">
      <alignment horizontal="left" vertical="center" wrapText="1"/>
      <protection locked="0"/>
    </xf>
    <xf numFmtId="0" fontId="5" fillId="2" borderId="10" xfId="2" applyFont="1" applyFill="1" applyBorder="1" applyAlignment="1" applyProtection="1">
      <alignment vertical="center"/>
      <protection locked="0"/>
    </xf>
    <xf numFmtId="0" fontId="5" fillId="2" borderId="18" xfId="2" applyFont="1" applyFill="1" applyBorder="1" applyAlignment="1" applyProtection="1">
      <alignment vertical="center"/>
      <protection locked="0"/>
    </xf>
    <xf numFmtId="0" fontId="5" fillId="2" borderId="7" xfId="2" applyFont="1" applyFill="1" applyBorder="1" applyAlignment="1" applyProtection="1">
      <alignment horizontal="left" vertical="center" wrapText="1"/>
      <protection locked="0"/>
    </xf>
    <xf numFmtId="0" fontId="5" fillId="2" borderId="5" xfId="2" applyFont="1" applyFill="1" applyBorder="1" applyAlignment="1" applyProtection="1">
      <alignment vertical="center"/>
      <protection locked="0"/>
    </xf>
    <xf numFmtId="0" fontId="7" fillId="0" borderId="7" xfId="0" applyFont="1" applyBorder="1" applyAlignment="1">
      <alignment horizontal="left" vertical="center" wrapText="1"/>
    </xf>
    <xf numFmtId="0" fontId="5" fillId="2" borderId="17" xfId="2" applyFont="1" applyFill="1" applyBorder="1" applyAlignment="1" applyProtection="1">
      <alignment vertical="center"/>
      <protection locked="0"/>
    </xf>
    <xf numFmtId="49" fontId="7" fillId="0" borderId="7" xfId="0" applyNumberFormat="1" applyFont="1" applyBorder="1" applyAlignment="1">
      <alignment horizontal="left" vertical="center" wrapText="1"/>
    </xf>
    <xf numFmtId="0" fontId="7" fillId="0" borderId="17" xfId="0" applyFont="1" applyBorder="1" applyAlignment="1" applyProtection="1">
      <alignment horizontal="center" vertical="center"/>
      <protection locked="0"/>
    </xf>
    <xf numFmtId="0" fontId="5" fillId="2" borderId="0" xfId="8" applyFont="1" applyFill="1"/>
    <xf numFmtId="0" fontId="5" fillId="2" borderId="0" xfId="8" applyFont="1" applyFill="1" applyAlignment="1">
      <alignment horizontal="center"/>
    </xf>
    <xf numFmtId="0" fontId="5" fillId="2" borderId="0" xfId="8" applyFont="1" applyFill="1" applyAlignment="1">
      <alignment horizontal="center" vertical="center"/>
    </xf>
    <xf numFmtId="0" fontId="5" fillId="2" borderId="0" xfId="8" applyFont="1" applyFill="1" applyAlignment="1" applyProtection="1">
      <alignment horizontal="center" vertical="center"/>
      <protection locked="0"/>
    </xf>
    <xf numFmtId="0" fontId="5" fillId="2" borderId="0" xfId="8" applyFont="1" applyFill="1" applyAlignment="1" applyProtection="1">
      <alignment horizontal="left" vertical="center"/>
      <protection locked="0"/>
    </xf>
    <xf numFmtId="0" fontId="5" fillId="2" borderId="0" xfId="8" applyFont="1" applyFill="1" applyAlignment="1" applyProtection="1">
      <alignment horizontal="center" vertical="center" wrapText="1"/>
      <protection locked="0"/>
    </xf>
    <xf numFmtId="178" fontId="5" fillId="2" borderId="0" xfId="8" applyNumberFormat="1" applyFont="1" applyFill="1" applyAlignment="1" applyProtection="1">
      <alignment horizontal="center" vertical="center" wrapText="1"/>
      <protection locked="0"/>
    </xf>
    <xf numFmtId="179" fontId="12" fillId="2" borderId="0" xfId="8" applyNumberFormat="1" applyFont="1" applyFill="1" applyAlignment="1" applyProtection="1">
      <alignment horizontal="center" vertical="center" wrapText="1"/>
      <protection locked="0"/>
    </xf>
    <xf numFmtId="177" fontId="12" fillId="2" borderId="0" xfId="8" applyNumberFormat="1" applyFont="1" applyFill="1" applyAlignment="1">
      <alignment horizontal="center" vertical="center" wrapText="1"/>
    </xf>
    <xf numFmtId="179" fontId="13" fillId="0" borderId="0" xfId="9" applyNumberFormat="1" applyFont="1" applyAlignment="1">
      <alignment horizontal="center" vertical="center" wrapText="1"/>
    </xf>
    <xf numFmtId="0" fontId="5" fillId="0" borderId="0" xfId="9" applyFont="1" applyAlignment="1">
      <alignment horizontal="center" vertical="center" wrapText="1"/>
    </xf>
    <xf numFmtId="38" fontId="5" fillId="0" borderId="0" xfId="7" applyFont="1" applyFill="1" applyBorder="1" applyAlignment="1" applyProtection="1">
      <alignment horizontal="center" vertical="center" wrapText="1"/>
    </xf>
    <xf numFmtId="180" fontId="5" fillId="0" borderId="0" xfId="9" applyNumberFormat="1" applyFont="1" applyAlignment="1">
      <alignment horizontal="center" vertical="center" wrapText="1"/>
    </xf>
    <xf numFmtId="49" fontId="5" fillId="0" borderId="0" xfId="9" applyNumberFormat="1" applyFont="1" applyAlignment="1">
      <alignment horizontal="left" vertical="center" wrapText="1"/>
    </xf>
    <xf numFmtId="0" fontId="5" fillId="0" borderId="0" xfId="9" applyFont="1" applyAlignment="1">
      <alignment horizontal="left" vertical="center" wrapText="1"/>
    </xf>
    <xf numFmtId="0" fontId="5" fillId="0" borderId="0" xfId="9" applyFont="1" applyAlignment="1">
      <alignment vertical="center" wrapText="1"/>
    </xf>
    <xf numFmtId="0" fontId="5" fillId="0" borderId="0" xfId="9" applyFont="1">
      <alignment vertical="center"/>
    </xf>
    <xf numFmtId="0" fontId="5" fillId="2" borderId="28" xfId="8" applyFont="1" applyFill="1" applyBorder="1" applyAlignment="1">
      <alignment horizontal="center" vertical="center"/>
    </xf>
    <xf numFmtId="0" fontId="5" fillId="2" borderId="4" xfId="8" applyFont="1" applyFill="1" applyBorder="1" applyAlignment="1" applyProtection="1">
      <alignment horizontal="center" vertical="center"/>
      <protection locked="0"/>
    </xf>
    <xf numFmtId="0" fontId="5" fillId="2" borderId="3" xfId="8" applyFont="1" applyFill="1" applyBorder="1" applyAlignment="1" applyProtection="1">
      <alignment horizontal="left" vertical="center"/>
      <protection locked="0"/>
    </xf>
    <xf numFmtId="0" fontId="5" fillId="2" borderId="3" xfId="8" applyFont="1" applyFill="1" applyBorder="1" applyAlignment="1" applyProtection="1">
      <alignment horizontal="center" vertical="center" wrapText="1"/>
      <protection locked="0"/>
    </xf>
    <xf numFmtId="178" fontId="5" fillId="2" borderId="3" xfId="8" applyNumberFormat="1" applyFont="1" applyFill="1" applyBorder="1" applyAlignment="1" applyProtection="1">
      <alignment horizontal="center" vertical="center" wrapText="1"/>
      <protection locked="0"/>
    </xf>
    <xf numFmtId="179" fontId="12" fillId="2" borderId="25" xfId="8" applyNumberFormat="1" applyFont="1" applyFill="1" applyBorder="1" applyAlignment="1" applyProtection="1">
      <alignment horizontal="center" vertical="center" wrapText="1"/>
      <protection locked="0"/>
    </xf>
    <xf numFmtId="177" fontId="12" fillId="2" borderId="36" xfId="8" applyNumberFormat="1" applyFont="1" applyFill="1" applyBorder="1" applyAlignment="1">
      <alignment horizontal="center" vertical="center" wrapText="1"/>
    </xf>
    <xf numFmtId="179" fontId="12" fillId="0" borderId="35" xfId="9" applyNumberFormat="1" applyFont="1" applyBorder="1" applyAlignment="1">
      <alignment horizontal="center" vertical="center" wrapText="1"/>
    </xf>
    <xf numFmtId="0" fontId="5" fillId="0" borderId="4" xfId="9" applyFont="1" applyBorder="1" applyAlignment="1">
      <alignment horizontal="center" vertical="center" wrapText="1"/>
    </xf>
    <xf numFmtId="38" fontId="5" fillId="0" borderId="3" xfId="9" applyNumberFormat="1" applyFont="1" applyBorder="1" applyAlignment="1">
      <alignment horizontal="center" vertical="center" wrapText="1"/>
    </xf>
    <xf numFmtId="38" fontId="5" fillId="0" borderId="3" xfId="7" applyFont="1" applyFill="1" applyBorder="1" applyAlignment="1" applyProtection="1">
      <alignment horizontal="center" vertical="center" wrapText="1"/>
    </xf>
    <xf numFmtId="0" fontId="5" fillId="0" borderId="3" xfId="9" applyFont="1" applyBorder="1" applyAlignment="1">
      <alignment horizontal="center" vertical="center" wrapText="1"/>
    </xf>
    <xf numFmtId="180" fontId="5" fillId="0" borderId="3" xfId="9" applyNumberFormat="1" applyFont="1" applyBorder="1" applyAlignment="1">
      <alignment horizontal="center" vertical="center" wrapText="1"/>
    </xf>
    <xf numFmtId="49" fontId="5" fillId="0" borderId="3" xfId="9" applyNumberFormat="1" applyFont="1" applyBorder="1" applyAlignment="1">
      <alignment horizontal="left" vertical="center" wrapText="1"/>
    </xf>
    <xf numFmtId="0" fontId="5" fillId="0" borderId="34" xfId="9" applyFont="1" applyBorder="1" applyAlignment="1">
      <alignment horizontal="left" vertical="center" wrapText="1"/>
    </xf>
    <xf numFmtId="0" fontId="5" fillId="0" borderId="19" xfId="9" applyFont="1" applyBorder="1" applyAlignment="1">
      <alignment vertical="center" wrapText="1"/>
    </xf>
    <xf numFmtId="0" fontId="5" fillId="0" borderId="22" xfId="9" applyFont="1" applyBorder="1">
      <alignment vertical="center"/>
    </xf>
    <xf numFmtId="177" fontId="12" fillId="2" borderId="27" xfId="8" applyNumberFormat="1" applyFont="1" applyFill="1" applyBorder="1" applyAlignment="1">
      <alignment horizontal="center" vertical="center" wrapText="1"/>
    </xf>
    <xf numFmtId="179" fontId="12" fillId="0" borderId="26" xfId="9" applyNumberFormat="1" applyFont="1" applyBorder="1" applyAlignment="1">
      <alignment horizontal="center" vertical="center" wrapText="1"/>
    </xf>
    <xf numFmtId="0" fontId="5" fillId="0" borderId="7" xfId="9" applyFont="1" applyBorder="1" applyAlignment="1">
      <alignment horizontal="left" vertical="center" wrapText="1"/>
    </xf>
    <xf numFmtId="0" fontId="5" fillId="0" borderId="5" xfId="9" applyFont="1" applyBorder="1" applyAlignment="1">
      <alignment vertical="center" wrapText="1"/>
    </xf>
    <xf numFmtId="0" fontId="5" fillId="0" borderId="18" xfId="9" applyFont="1" applyBorder="1">
      <alignment vertical="center"/>
    </xf>
    <xf numFmtId="0" fontId="5" fillId="2" borderId="3" xfId="8" applyFont="1" applyFill="1" applyBorder="1" applyAlignment="1" applyProtection="1">
      <alignment horizontal="left" vertical="center" wrapText="1"/>
      <protection locked="0"/>
    </xf>
    <xf numFmtId="0" fontId="12" fillId="0" borderId="26" xfId="9" applyFont="1" applyBorder="1" applyAlignment="1">
      <alignment horizontal="center" vertical="center" wrapText="1"/>
    </xf>
    <xf numFmtId="0" fontId="5" fillId="0" borderId="29" xfId="9" applyFont="1" applyBorder="1" applyAlignment="1">
      <alignment horizontal="right" vertical="center" wrapText="1"/>
    </xf>
    <xf numFmtId="0" fontId="5" fillId="0" borderId="10" xfId="9" applyFont="1" applyBorder="1" applyAlignment="1">
      <alignment vertical="center" wrapText="1"/>
    </xf>
    <xf numFmtId="0" fontId="5" fillId="2" borderId="29" xfId="9" applyFont="1" applyFill="1" applyBorder="1" applyAlignment="1">
      <alignment horizontal="right" vertical="center" wrapText="1"/>
    </xf>
    <xf numFmtId="0" fontId="5" fillId="2" borderId="10" xfId="9" applyFont="1" applyFill="1" applyBorder="1" applyAlignment="1">
      <alignment vertical="center" wrapText="1"/>
    </xf>
    <xf numFmtId="0" fontId="5" fillId="2" borderId="18" xfId="9" applyFont="1" applyFill="1" applyBorder="1">
      <alignment vertical="center"/>
    </xf>
    <xf numFmtId="0" fontId="5" fillId="0" borderId="3" xfId="9" applyFont="1" applyBorder="1" applyAlignment="1">
      <alignment horizontal="left" vertical="center" wrapText="1"/>
    </xf>
    <xf numFmtId="0" fontId="5" fillId="0" borderId="29" xfId="9" applyFont="1" applyBorder="1" applyAlignment="1">
      <alignment horizontal="left" vertical="center" wrapText="1"/>
    </xf>
    <xf numFmtId="0" fontId="5" fillId="0" borderId="0" xfId="8" applyFont="1"/>
    <xf numFmtId="0" fontId="5" fillId="0" borderId="0" xfId="8" applyFont="1" applyAlignment="1">
      <alignment horizontal="center" vertical="center"/>
    </xf>
    <xf numFmtId="0" fontId="5" fillId="0" borderId="28" xfId="8" applyFont="1" applyBorder="1" applyAlignment="1">
      <alignment horizontal="center" vertical="center"/>
    </xf>
    <xf numFmtId="0" fontId="5" fillId="0" borderId="4" xfId="8" applyFont="1" applyBorder="1" applyAlignment="1" applyProtection="1">
      <alignment horizontal="center" vertical="center"/>
      <protection locked="0"/>
    </xf>
    <xf numFmtId="0" fontId="5" fillId="0" borderId="3" xfId="8" applyFont="1" applyBorder="1" applyAlignment="1" applyProtection="1">
      <alignment horizontal="left" vertical="center" wrapText="1"/>
      <protection locked="0"/>
    </xf>
    <xf numFmtId="0" fontId="5" fillId="0" borderId="3" xfId="8" applyFont="1" applyBorder="1" applyAlignment="1" applyProtection="1">
      <alignment horizontal="center" vertical="center" wrapText="1"/>
      <protection locked="0"/>
    </xf>
    <xf numFmtId="0" fontId="12" fillId="0" borderId="25" xfId="8" applyFont="1" applyBorder="1" applyAlignment="1" applyProtection="1">
      <alignment horizontal="center" vertical="center" wrapText="1"/>
      <protection locked="0"/>
    </xf>
    <xf numFmtId="181" fontId="12" fillId="0" borderId="27" xfId="8" applyNumberFormat="1" applyFont="1" applyBorder="1" applyAlignment="1">
      <alignment horizontal="center" vertical="center" wrapText="1"/>
    </xf>
    <xf numFmtId="176" fontId="12" fillId="0" borderId="26" xfId="10" applyNumberFormat="1" applyFont="1" applyBorder="1" applyAlignment="1">
      <alignment horizontal="center" vertical="center" wrapText="1"/>
    </xf>
    <xf numFmtId="0" fontId="5" fillId="0" borderId="4" xfId="10" applyFont="1" applyBorder="1" applyAlignment="1">
      <alignment horizontal="center" vertical="center" wrapText="1"/>
    </xf>
    <xf numFmtId="38" fontId="5" fillId="0" borderId="3" xfId="10" applyNumberFormat="1" applyFont="1" applyBorder="1" applyAlignment="1">
      <alignment horizontal="center" vertical="center" wrapText="1"/>
    </xf>
    <xf numFmtId="0" fontId="5" fillId="0" borderId="3" xfId="10" applyFont="1" applyBorder="1" applyAlignment="1">
      <alignment horizontal="center" vertical="center" wrapText="1"/>
    </xf>
    <xf numFmtId="0" fontId="5" fillId="0" borderId="3" xfId="10" applyFont="1" applyBorder="1" applyAlignment="1">
      <alignment horizontal="left" vertical="center" wrapText="1"/>
    </xf>
    <xf numFmtId="0" fontId="5" fillId="0" borderId="29" xfId="10" applyFont="1" applyBorder="1" applyAlignment="1">
      <alignment horizontal="left" vertical="center" wrapText="1"/>
    </xf>
    <xf numFmtId="0" fontId="5" fillId="0" borderId="10" xfId="10" applyFont="1" applyBorder="1" applyAlignment="1">
      <alignment vertical="center" wrapText="1"/>
    </xf>
    <xf numFmtId="0" fontId="5" fillId="0" borderId="18" xfId="10" applyFont="1" applyBorder="1">
      <alignment vertical="center"/>
    </xf>
    <xf numFmtId="178" fontId="5" fillId="0" borderId="3" xfId="8" applyNumberFormat="1" applyFont="1" applyBorder="1" applyAlignment="1" applyProtection="1">
      <alignment horizontal="center" vertical="center" wrapText="1"/>
      <protection locked="0"/>
    </xf>
    <xf numFmtId="179" fontId="12" fillId="0" borderId="25" xfId="8" applyNumberFormat="1" applyFont="1" applyBorder="1" applyAlignment="1" applyProtection="1">
      <alignment horizontal="center" vertical="center" wrapText="1"/>
      <protection locked="0"/>
    </xf>
    <xf numFmtId="177" fontId="12" fillId="0" borderId="27" xfId="8" applyNumberFormat="1" applyFont="1" applyBorder="1" applyAlignment="1">
      <alignment horizontal="center" vertical="center" wrapText="1"/>
    </xf>
    <xf numFmtId="182" fontId="5" fillId="0" borderId="3" xfId="10" applyNumberFormat="1" applyFont="1" applyBorder="1" applyAlignment="1">
      <alignment horizontal="center" vertical="center" wrapText="1"/>
    </xf>
    <xf numFmtId="180" fontId="5" fillId="0" borderId="3" xfId="10" applyNumberFormat="1" applyFont="1" applyBorder="1" applyAlignment="1">
      <alignment horizontal="center" vertical="center" wrapText="1"/>
    </xf>
    <xf numFmtId="49" fontId="5" fillId="0" borderId="3" xfId="10" applyNumberFormat="1" applyFont="1" applyBorder="1" applyAlignment="1">
      <alignment horizontal="left" vertical="center" wrapText="1"/>
    </xf>
    <xf numFmtId="0" fontId="5" fillId="0" borderId="10" xfId="10" applyFont="1" applyBorder="1" applyAlignment="1">
      <alignment horizontal="left" vertical="center" wrapText="1"/>
    </xf>
    <xf numFmtId="176" fontId="5" fillId="0" borderId="0" xfId="8" applyNumberFormat="1" applyFont="1"/>
    <xf numFmtId="0" fontId="5" fillId="0" borderId="29" xfId="11" applyFont="1" applyBorder="1" applyAlignment="1">
      <alignment horizontal="left" vertical="center" wrapText="1"/>
    </xf>
    <xf numFmtId="0" fontId="5" fillId="0" borderId="10" xfId="11" applyFont="1" applyBorder="1" applyAlignment="1">
      <alignment horizontal="left" vertical="center" wrapText="1"/>
    </xf>
    <xf numFmtId="179" fontId="12" fillId="2" borderId="26" xfId="9" applyNumberFormat="1" applyFont="1" applyFill="1" applyBorder="1" applyAlignment="1">
      <alignment horizontal="center" vertical="center" wrapText="1"/>
    </xf>
    <xf numFmtId="0" fontId="7" fillId="2" borderId="4" xfId="9" applyFont="1" applyFill="1" applyBorder="1" applyAlignment="1">
      <alignment horizontal="center" vertical="center" wrapText="1"/>
    </xf>
    <xf numFmtId="38" fontId="5" fillId="2" borderId="3" xfId="9" applyNumberFormat="1" applyFont="1" applyFill="1" applyBorder="1" applyAlignment="1">
      <alignment horizontal="center" vertical="center" wrapText="1"/>
    </xf>
    <xf numFmtId="38" fontId="5" fillId="2" borderId="3" xfId="7" applyFont="1" applyFill="1" applyBorder="1" applyAlignment="1" applyProtection="1">
      <alignment horizontal="center" vertical="center" wrapText="1"/>
    </xf>
    <xf numFmtId="0" fontId="5" fillId="2" borderId="3" xfId="9" applyFont="1" applyFill="1" applyBorder="1" applyAlignment="1">
      <alignment horizontal="center" vertical="center" wrapText="1"/>
    </xf>
    <xf numFmtId="180" fontId="5" fillId="2" borderId="3" xfId="9" applyNumberFormat="1" applyFont="1" applyFill="1" applyBorder="1" applyAlignment="1">
      <alignment horizontal="center" vertical="center" wrapText="1"/>
    </xf>
    <xf numFmtId="49" fontId="5" fillId="2" borderId="3" xfId="9" applyNumberFormat="1" applyFont="1" applyFill="1" applyBorder="1" applyAlignment="1">
      <alignment horizontal="left" vertical="center" wrapText="1"/>
    </xf>
    <xf numFmtId="0" fontId="5" fillId="2" borderId="38" xfId="11" applyFont="1" applyFill="1" applyBorder="1" applyAlignment="1">
      <alignment horizontal="left" vertical="center" wrapText="1"/>
    </xf>
    <xf numFmtId="0" fontId="5" fillId="2" borderId="19" xfId="11" applyFont="1" applyFill="1" applyBorder="1" applyAlignment="1">
      <alignment horizontal="left" vertical="center" wrapText="1"/>
    </xf>
    <xf numFmtId="0" fontId="5" fillId="2" borderId="7" xfId="9" applyFont="1" applyFill="1" applyBorder="1" applyAlignment="1">
      <alignment horizontal="left" vertical="center" wrapText="1"/>
    </xf>
    <xf numFmtId="0" fontId="5" fillId="2" borderId="5" xfId="9" applyFont="1" applyFill="1" applyBorder="1" applyAlignment="1">
      <alignment vertical="center" wrapText="1"/>
    </xf>
    <xf numFmtId="0" fontId="5" fillId="2" borderId="24" xfId="8" applyFont="1" applyFill="1" applyBorder="1" applyAlignment="1">
      <alignment horizontal="center" vertical="center" wrapText="1"/>
    </xf>
    <xf numFmtId="0" fontId="5" fillId="2" borderId="23" xfId="8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0" fontId="5" fillId="0" borderId="22" xfId="8" applyFont="1" applyBorder="1" applyAlignment="1">
      <alignment horizontal="center" vertical="center"/>
    </xf>
    <xf numFmtId="0" fontId="5" fillId="2" borderId="3" xfId="8" applyFont="1" applyFill="1" applyBorder="1" applyAlignment="1">
      <alignment horizontal="center" vertical="center" wrapText="1"/>
    </xf>
    <xf numFmtId="0" fontId="5" fillId="2" borderId="1" xfId="8" applyFont="1" applyFill="1" applyBorder="1" applyAlignment="1">
      <alignment horizontal="center" vertical="center"/>
    </xf>
    <xf numFmtId="0" fontId="5" fillId="2" borderId="21" xfId="8" applyFont="1" applyFill="1" applyBorder="1" applyAlignment="1">
      <alignment horizontal="center"/>
    </xf>
    <xf numFmtId="0" fontId="5" fillId="2" borderId="20" xfId="8" applyFont="1" applyFill="1" applyBorder="1" applyAlignment="1">
      <alignment horizontal="center" vertical="center"/>
    </xf>
    <xf numFmtId="0" fontId="5" fillId="2" borderId="19" xfId="8" applyFont="1" applyFill="1" applyBorder="1" applyAlignment="1">
      <alignment horizontal="center" vertical="center" wrapText="1"/>
    </xf>
    <xf numFmtId="0" fontId="5" fillId="2" borderId="3" xfId="8" applyFont="1" applyFill="1" applyBorder="1" applyAlignment="1">
      <alignment horizontal="center" vertical="center" wrapText="1" shrinkToFit="1"/>
    </xf>
    <xf numFmtId="0" fontId="5" fillId="2" borderId="3" xfId="8" applyFont="1" applyFill="1" applyBorder="1" applyAlignment="1">
      <alignment horizontal="center" vertical="center"/>
    </xf>
    <xf numFmtId="0" fontId="5" fillId="2" borderId="1" xfId="8" applyFont="1" applyFill="1" applyBorder="1"/>
    <xf numFmtId="0" fontId="5" fillId="2" borderId="4" xfId="8" applyFont="1" applyFill="1" applyBorder="1" applyAlignment="1">
      <alignment horizontal="center" vertical="center"/>
    </xf>
    <xf numFmtId="0" fontId="5" fillId="2" borderId="14" xfId="8" applyFont="1" applyFill="1" applyBorder="1" applyAlignment="1">
      <alignment horizontal="center" vertical="center" wrapText="1"/>
    </xf>
    <xf numFmtId="0" fontId="5" fillId="2" borderId="13" xfId="8" applyFont="1" applyFill="1" applyBorder="1" applyAlignment="1">
      <alignment horizontal="center" vertical="center" wrapText="1"/>
    </xf>
    <xf numFmtId="0" fontId="5" fillId="2" borderId="18" xfId="8" applyFont="1" applyFill="1" applyBorder="1" applyAlignment="1">
      <alignment horizontal="center" vertical="center"/>
    </xf>
    <xf numFmtId="0" fontId="5" fillId="0" borderId="18" xfId="8" applyFont="1" applyBorder="1" applyAlignment="1">
      <alignment horizontal="center" vertical="center"/>
    </xf>
    <xf numFmtId="0" fontId="5" fillId="2" borderId="0" xfId="8" applyFont="1" applyFill="1" applyAlignment="1">
      <alignment horizontal="center" vertical="center"/>
    </xf>
    <xf numFmtId="0" fontId="5" fillId="2" borderId="16" xfId="8" applyFont="1" applyFill="1" applyBorder="1" applyAlignment="1">
      <alignment horizontal="center"/>
    </xf>
    <xf numFmtId="0" fontId="5" fillId="2" borderId="15" xfId="8" applyFont="1" applyFill="1" applyBorder="1" applyAlignment="1">
      <alignment horizontal="center" vertical="center"/>
    </xf>
    <xf numFmtId="0" fontId="5" fillId="2" borderId="10" xfId="8" applyFont="1" applyFill="1" applyBorder="1" applyAlignment="1">
      <alignment horizontal="center" vertical="center" wrapText="1"/>
    </xf>
    <xf numFmtId="0" fontId="5" fillId="2" borderId="17" xfId="8" applyFont="1" applyFill="1" applyBorder="1" applyAlignment="1">
      <alignment horizontal="center" vertical="center"/>
    </xf>
    <xf numFmtId="0" fontId="5" fillId="0" borderId="17" xfId="8" applyFont="1" applyBorder="1" applyAlignment="1">
      <alignment horizontal="center" vertical="center" wrapText="1"/>
    </xf>
    <xf numFmtId="0" fontId="5" fillId="2" borderId="3" xfId="8" applyFont="1" applyFill="1" applyBorder="1" applyAlignment="1">
      <alignment horizontal="center" vertical="center" shrinkToFit="1"/>
    </xf>
    <xf numFmtId="0" fontId="5" fillId="2" borderId="6" xfId="8" applyFont="1" applyFill="1" applyBorder="1" applyAlignment="1">
      <alignment horizontal="center" vertical="center" wrapText="1"/>
    </xf>
    <xf numFmtId="0" fontId="5" fillId="2" borderId="12" xfId="8" applyFont="1" applyFill="1" applyBorder="1" applyAlignment="1">
      <alignment horizontal="center" wrapText="1"/>
    </xf>
    <xf numFmtId="0" fontId="5" fillId="2" borderId="11" xfId="8" applyFont="1" applyFill="1" applyBorder="1" applyAlignment="1">
      <alignment horizontal="center" vertical="center" wrapText="1"/>
    </xf>
    <xf numFmtId="0" fontId="5" fillId="2" borderId="9" xfId="8" applyFont="1" applyFill="1" applyBorder="1" applyAlignment="1">
      <alignment horizontal="center" vertical="center" wrapText="1"/>
    </xf>
    <xf numFmtId="0" fontId="5" fillId="2" borderId="8" xfId="8" applyFont="1" applyFill="1" applyBorder="1" applyAlignment="1">
      <alignment horizontal="center" vertical="center" wrapText="1"/>
    </xf>
    <xf numFmtId="0" fontId="5" fillId="3" borderId="7" xfId="8" applyFont="1" applyFill="1" applyBorder="1" applyAlignment="1">
      <alignment horizontal="center"/>
    </xf>
    <xf numFmtId="0" fontId="5" fillId="3" borderId="6" xfId="8" applyFont="1" applyFill="1" applyBorder="1" applyAlignment="1">
      <alignment horizontal="center"/>
    </xf>
    <xf numFmtId="0" fontId="5" fillId="3" borderId="5" xfId="8" applyFont="1" applyFill="1" applyBorder="1" applyAlignment="1">
      <alignment horizontal="center"/>
    </xf>
    <xf numFmtId="0" fontId="5" fillId="2" borderId="5" xfId="8" applyFont="1" applyFill="1" applyBorder="1" applyAlignment="1">
      <alignment horizontal="center" vertical="center" wrapText="1"/>
    </xf>
    <xf numFmtId="0" fontId="5" fillId="2" borderId="2" xfId="8" applyFont="1" applyFill="1" applyBorder="1" applyAlignment="1">
      <alignment horizontal="right"/>
    </xf>
    <xf numFmtId="0" fontId="3" fillId="2" borderId="0" xfId="8" applyFont="1" applyFill="1"/>
    <xf numFmtId="0" fontId="9" fillId="0" borderId="1" xfId="9" applyFont="1" applyBorder="1" applyAlignment="1" applyProtection="1">
      <protection locked="0"/>
    </xf>
    <xf numFmtId="0" fontId="5" fillId="0" borderId="1" xfId="9" applyFont="1" applyBorder="1" applyAlignment="1" applyProtection="1">
      <protection locked="0"/>
    </xf>
    <xf numFmtId="0" fontId="6" fillId="2" borderId="0" xfId="8" applyFont="1" applyFill="1"/>
    <xf numFmtId="0" fontId="3" fillId="2" borderId="0" xfId="8" applyFont="1" applyFill="1" applyAlignment="1">
      <alignment vertic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5" fillId="0" borderId="0" xfId="2" quotePrefix="1" applyFont="1" applyAlignment="1">
      <alignment horizontal="left"/>
    </xf>
    <xf numFmtId="0" fontId="14" fillId="0" borderId="0" xfId="2" applyFont="1"/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 applyProtection="1">
      <alignment horizontal="center" vertical="center"/>
      <protection locked="0"/>
    </xf>
    <xf numFmtId="0" fontId="5" fillId="0" borderId="0" xfId="2" applyFont="1" applyAlignment="1" applyProtection="1">
      <alignment horizontal="left" vertical="center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178" fontId="5" fillId="0" borderId="0" xfId="2" applyNumberFormat="1" applyFont="1" applyAlignment="1" applyProtection="1">
      <alignment horizontal="center" vertical="center" wrapText="1"/>
      <protection locked="0"/>
    </xf>
    <xf numFmtId="179" fontId="12" fillId="0" borderId="0" xfId="2" applyNumberFormat="1" applyFont="1" applyAlignment="1" applyProtection="1">
      <alignment horizontal="center" vertical="center" wrapText="1"/>
      <protection locked="0"/>
    </xf>
    <xf numFmtId="177" fontId="12" fillId="0" borderId="0" xfId="2" applyNumberFormat="1" applyFont="1" applyAlignment="1">
      <alignment horizontal="center" vertical="center" wrapText="1"/>
    </xf>
    <xf numFmtId="38" fontId="5" fillId="0" borderId="0" xfId="7" applyFont="1" applyFill="1" applyBorder="1" applyAlignment="1" applyProtection="1">
      <alignment horizontal="center" vertical="center" wrapText="1"/>
      <protection locked="0"/>
    </xf>
    <xf numFmtId="180" fontId="5" fillId="0" borderId="0" xfId="2" applyNumberFormat="1" applyFont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left" vertical="center" wrapText="1"/>
      <protection locked="0"/>
    </xf>
    <xf numFmtId="0" fontId="5" fillId="0" borderId="0" xfId="2" applyFont="1" applyAlignment="1" applyProtection="1">
      <alignment vertical="center"/>
      <protection locked="0"/>
    </xf>
    <xf numFmtId="0" fontId="5" fillId="0" borderId="0" xfId="2" quotePrefix="1" applyFont="1" applyAlignment="1">
      <alignment horizontal="left" vertical="center"/>
    </xf>
    <xf numFmtId="0" fontId="5" fillId="0" borderId="0" xfId="3" applyFont="1" applyAlignment="1" applyProtection="1">
      <alignment vertical="center"/>
      <protection locked="0"/>
    </xf>
    <xf numFmtId="58" fontId="5" fillId="0" borderId="0" xfId="2" applyNumberFormat="1" applyFont="1" applyAlignment="1" applyProtection="1">
      <alignment horizontal="right" vertical="center"/>
      <protection locked="0"/>
    </xf>
    <xf numFmtId="0" fontId="5" fillId="0" borderId="28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 wrapText="1"/>
    </xf>
    <xf numFmtId="178" fontId="5" fillId="0" borderId="25" xfId="2" applyNumberFormat="1" applyFont="1" applyBorder="1" applyAlignment="1">
      <alignment horizontal="center" vertical="center" wrapText="1"/>
    </xf>
    <xf numFmtId="176" fontId="13" fillId="0" borderId="26" xfId="2" quotePrefix="1" applyNumberFormat="1" applyFont="1" applyBorder="1" applyAlignment="1">
      <alignment horizontal="center" vertical="center" wrapText="1"/>
    </xf>
    <xf numFmtId="177" fontId="12" fillId="0" borderId="36" xfId="2" applyNumberFormat="1" applyFont="1" applyBorder="1" applyAlignment="1">
      <alignment horizontal="center" vertical="center" wrapText="1"/>
    </xf>
    <xf numFmtId="176" fontId="12" fillId="0" borderId="35" xfId="2" quotePrefix="1" applyNumberFormat="1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left" vertical="center" wrapText="1"/>
    </xf>
    <xf numFmtId="0" fontId="5" fillId="0" borderId="34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left" vertical="center"/>
    </xf>
    <xf numFmtId="0" fontId="5" fillId="0" borderId="22" xfId="2" applyFont="1" applyBorder="1" applyAlignment="1">
      <alignment horizontal="center" vertical="center" wrapText="1"/>
    </xf>
    <xf numFmtId="177" fontId="12" fillId="0" borderId="33" xfId="2" applyNumberFormat="1" applyFont="1" applyBorder="1" applyAlignment="1">
      <alignment horizontal="center" vertical="center" wrapText="1"/>
    </xf>
    <xf numFmtId="176" fontId="12" fillId="0" borderId="26" xfId="2" quotePrefix="1" applyNumberFormat="1" applyFont="1" applyBorder="1" applyAlignment="1">
      <alignment horizontal="center" vertical="center" wrapText="1"/>
    </xf>
    <xf numFmtId="0" fontId="5" fillId="0" borderId="29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left" vertical="center"/>
    </xf>
    <xf numFmtId="0" fontId="5" fillId="0" borderId="18" xfId="2" applyFont="1" applyBorder="1" applyAlignment="1">
      <alignment horizontal="center" vertical="center" wrapText="1"/>
    </xf>
    <xf numFmtId="176" fontId="12" fillId="0" borderId="32" xfId="2" quotePrefix="1" applyNumberFormat="1" applyFont="1" applyBorder="1" applyAlignment="1">
      <alignment horizontal="center" vertical="center" wrapText="1"/>
    </xf>
    <xf numFmtId="0" fontId="5" fillId="0" borderId="29" xfId="3" applyFont="1" applyBorder="1" applyAlignment="1" applyProtection="1">
      <alignment horizontal="center" vertical="center"/>
      <protection locked="0"/>
    </xf>
    <xf numFmtId="177" fontId="12" fillId="0" borderId="27" xfId="2" applyNumberFormat="1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/>
    </xf>
    <xf numFmtId="0" fontId="7" fillId="0" borderId="29" xfId="2" applyFont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/>
    </xf>
    <xf numFmtId="0" fontId="15" fillId="0" borderId="29" xfId="2" applyFont="1" applyBorder="1" applyAlignment="1">
      <alignment horizontal="center" vertical="center" wrapText="1"/>
    </xf>
    <xf numFmtId="0" fontId="5" fillId="0" borderId="3" xfId="2" quotePrefix="1" applyFont="1" applyBorder="1" applyAlignment="1">
      <alignment horizontal="left" vertical="center" wrapText="1"/>
    </xf>
    <xf numFmtId="0" fontId="15" fillId="0" borderId="7" xfId="2" applyFont="1" applyBorder="1" applyAlignment="1">
      <alignment horizontal="left" vertical="center" wrapText="1"/>
    </xf>
    <xf numFmtId="0" fontId="5" fillId="0" borderId="5" xfId="2" applyFont="1" applyBorder="1" applyAlignment="1">
      <alignment horizontal="left" vertical="center"/>
    </xf>
    <xf numFmtId="0" fontId="5" fillId="0" borderId="17" xfId="2" applyFont="1" applyBorder="1" applyAlignment="1">
      <alignment horizontal="left" vertical="center" wrapText="1"/>
    </xf>
    <xf numFmtId="0" fontId="5" fillId="0" borderId="24" xfId="2" quotePrefix="1" applyFont="1" applyBorder="1" applyAlignment="1">
      <alignment horizontal="center"/>
    </xf>
    <xf numFmtId="0" fontId="5" fillId="0" borderId="23" xfId="2" quotePrefix="1" applyFont="1" applyBorder="1" applyAlignment="1">
      <alignment horizontal="center"/>
    </xf>
    <xf numFmtId="0" fontId="5" fillId="0" borderId="34" xfId="2" applyFont="1" applyBorder="1" applyAlignment="1">
      <alignment vertical="center"/>
    </xf>
    <xf numFmtId="0" fontId="5" fillId="0" borderId="34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shrinkToFit="1"/>
    </xf>
    <xf numFmtId="0" fontId="5" fillId="0" borderId="20" xfId="2" applyFont="1" applyBorder="1" applyAlignment="1">
      <alignment horizontal="center"/>
    </xf>
    <xf numFmtId="0" fontId="5" fillId="0" borderId="1" xfId="2" applyFont="1" applyBorder="1"/>
    <xf numFmtId="0" fontId="5" fillId="0" borderId="22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22" xfId="2" applyFont="1" applyBorder="1"/>
    <xf numFmtId="0" fontId="5" fillId="0" borderId="19" xfId="2" applyFont="1" applyBorder="1"/>
    <xf numFmtId="0" fontId="5" fillId="0" borderId="14" xfId="2" quotePrefix="1" applyFont="1" applyBorder="1" applyAlignment="1">
      <alignment horizontal="center"/>
    </xf>
    <xf numFmtId="0" fontId="5" fillId="0" borderId="13" xfId="2" quotePrefix="1" applyFont="1" applyBorder="1" applyAlignment="1">
      <alignment horizontal="center"/>
    </xf>
    <xf numFmtId="0" fontId="5" fillId="0" borderId="29" xfId="2" applyFont="1" applyBorder="1" applyAlignment="1">
      <alignment vertical="center"/>
    </xf>
    <xf numFmtId="0" fontId="5" fillId="0" borderId="29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40" xfId="2" applyFont="1" applyBorder="1" applyAlignment="1">
      <alignment horizontal="center"/>
    </xf>
    <xf numFmtId="0" fontId="5" fillId="0" borderId="15" xfId="2" applyFont="1" applyBorder="1" applyAlignment="1">
      <alignment horizontal="center"/>
    </xf>
    <xf numFmtId="0" fontId="5" fillId="0" borderId="18" xfId="2" applyFont="1" applyBorder="1" applyAlignment="1">
      <alignment horizontal="center"/>
    </xf>
    <xf numFmtId="0" fontId="5" fillId="0" borderId="29" xfId="2" applyFont="1" applyBorder="1" applyAlignment="1">
      <alignment horizontal="center" shrinkToFit="1"/>
    </xf>
    <xf numFmtId="0" fontId="5" fillId="0" borderId="18" xfId="2" applyFont="1" applyBorder="1" applyAlignment="1">
      <alignment horizontal="centerContinuous"/>
    </xf>
    <xf numFmtId="0" fontId="5" fillId="0" borderId="10" xfId="2" applyFont="1" applyBorder="1" applyAlignment="1">
      <alignment horizontal="center"/>
    </xf>
    <xf numFmtId="0" fontId="5" fillId="0" borderId="10" xfId="2" applyFont="1" applyBorder="1"/>
    <xf numFmtId="0" fontId="5" fillId="0" borderId="14" xfId="2" applyFont="1" applyBorder="1" applyAlignment="1">
      <alignment horizontal="center"/>
    </xf>
    <xf numFmtId="0" fontId="5" fillId="0" borderId="13" xfId="2" applyFont="1" applyBorder="1" applyAlignment="1">
      <alignment horizontal="center"/>
    </xf>
    <xf numFmtId="0" fontId="5" fillId="0" borderId="40" xfId="2" quotePrefix="1" applyFont="1" applyBorder="1" applyAlignment="1">
      <alignment horizontal="center"/>
    </xf>
    <xf numFmtId="0" fontId="5" fillId="0" borderId="0" xfId="2" applyFont="1" applyAlignment="1">
      <alignment horizontal="center" shrinkToFit="1"/>
    </xf>
    <xf numFmtId="0" fontId="5" fillId="0" borderId="34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18" xfId="2" applyFont="1" applyBorder="1"/>
    <xf numFmtId="0" fontId="5" fillId="0" borderId="9" xfId="2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0" fontId="5" fillId="0" borderId="25" xfId="2" applyFont="1" applyBorder="1" applyAlignment="1">
      <alignment horizontal="center" vertical="center" shrinkToFit="1"/>
    </xf>
    <xf numFmtId="0" fontId="5" fillId="0" borderId="2" xfId="2" applyFont="1" applyBorder="1" applyAlignment="1">
      <alignment horizontal="center" vertical="center" shrinkToFit="1"/>
    </xf>
    <xf numFmtId="0" fontId="5" fillId="0" borderId="4" xfId="2" applyFont="1" applyBorder="1" applyAlignment="1">
      <alignment horizontal="center" vertical="center" shrinkToFit="1"/>
    </xf>
    <xf numFmtId="0" fontId="5" fillId="0" borderId="17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5" fillId="0" borderId="6" xfId="2" applyFont="1" applyBorder="1"/>
    <xf numFmtId="0" fontId="5" fillId="0" borderId="17" xfId="2" applyFont="1" applyBorder="1" applyAlignment="1">
      <alignment horizontal="centerContinuous" shrinkToFit="1"/>
    </xf>
    <xf numFmtId="0" fontId="5" fillId="0" borderId="5" xfId="2" applyFont="1" applyBorder="1" applyAlignment="1">
      <alignment horizontal="center"/>
    </xf>
    <xf numFmtId="0" fontId="5" fillId="0" borderId="17" xfId="2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5" fillId="0" borderId="7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17" xfId="2" applyFont="1" applyBorder="1"/>
    <xf numFmtId="0" fontId="5" fillId="0" borderId="5" xfId="2" applyFont="1" applyBorder="1"/>
    <xf numFmtId="0" fontId="5" fillId="0" borderId="2" xfId="2" applyFont="1" applyBorder="1" applyAlignment="1">
      <alignment horizontal="right"/>
    </xf>
    <xf numFmtId="0" fontId="3" fillId="0" borderId="0" xfId="2" applyFont="1"/>
    <xf numFmtId="0" fontId="9" fillId="0" borderId="1" xfId="2" applyFont="1" applyBorder="1" applyProtection="1">
      <protection locked="0"/>
    </xf>
    <xf numFmtId="0" fontId="5" fillId="0" borderId="1" xfId="2" applyFont="1" applyBorder="1" applyProtection="1">
      <protection locked="0"/>
    </xf>
    <xf numFmtId="0" fontId="6" fillId="0" borderId="0" xfId="2" applyFont="1"/>
    <xf numFmtId="0" fontId="24" fillId="0" borderId="0" xfId="2" applyFont="1" applyAlignment="1">
      <alignment vertical="center"/>
    </xf>
    <xf numFmtId="0" fontId="5" fillId="0" borderId="0" xfId="0" applyFont="1">
      <alignment vertical="center"/>
    </xf>
    <xf numFmtId="0" fontId="5" fillId="0" borderId="1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8" fontId="5" fillId="0" borderId="3" xfId="0" applyNumberFormat="1" applyFont="1" applyBorder="1" applyAlignment="1">
      <alignment horizontal="center" vertical="center" wrapText="1"/>
    </xf>
    <xf numFmtId="179" fontId="12" fillId="0" borderId="25" xfId="0" applyNumberFormat="1" applyFont="1" applyBorder="1" applyAlignment="1">
      <alignment horizontal="center" vertical="center" wrapText="1"/>
    </xf>
    <xf numFmtId="179" fontId="12" fillId="0" borderId="35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80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2" borderId="22" xfId="2" applyFont="1" applyFill="1" applyBorder="1"/>
    <xf numFmtId="179" fontId="12" fillId="0" borderId="26" xfId="0" applyNumberFormat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0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179" fontId="12" fillId="0" borderId="32" xfId="0" applyNumberFormat="1" applyFont="1" applyBorder="1" applyAlignment="1">
      <alignment horizontal="center" vertical="center" wrapText="1"/>
    </xf>
    <xf numFmtId="0" fontId="5" fillId="2" borderId="34" xfId="2" applyFont="1" applyFill="1" applyBorder="1"/>
    <xf numFmtId="0" fontId="5" fillId="2" borderId="29" xfId="2" applyFont="1" applyFill="1" applyBorder="1"/>
    <xf numFmtId="177" fontId="12" fillId="0" borderId="21" xfId="2" applyNumberFormat="1" applyFont="1" applyBorder="1" applyAlignment="1">
      <alignment horizontal="center" vertical="center" wrapText="1"/>
    </xf>
    <xf numFmtId="179" fontId="12" fillId="0" borderId="15" xfId="0" applyNumberFormat="1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177" fontId="12" fillId="2" borderId="21" xfId="2" applyNumberFormat="1" applyFont="1" applyFill="1" applyBorder="1" applyAlignment="1">
      <alignment horizontal="center" vertical="center" wrapText="1"/>
    </xf>
    <xf numFmtId="0" fontId="5" fillId="0" borderId="18" xfId="0" applyFont="1" applyBorder="1">
      <alignment vertical="center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right" vertical="center" wrapText="1"/>
    </xf>
    <xf numFmtId="49" fontId="7" fillId="0" borderId="41" xfId="12" applyNumberFormat="1" applyFont="1" applyBorder="1" applyAlignment="1">
      <alignment horizontal="center" vertical="center" wrapText="1"/>
    </xf>
    <xf numFmtId="0" fontId="7" fillId="0" borderId="42" xfId="12" applyFont="1" applyBorder="1" applyAlignment="1">
      <alignment horizontal="center" vertical="center" wrapText="1"/>
    </xf>
    <xf numFmtId="0" fontId="7" fillId="0" borderId="43" xfId="12" applyFont="1" applyBorder="1" applyAlignment="1">
      <alignment horizontal="center" vertical="center" wrapText="1"/>
    </xf>
    <xf numFmtId="0" fontId="7" fillId="0" borderId="41" xfId="12" applyFont="1" applyBorder="1" applyAlignment="1">
      <alignment horizontal="center" vertical="center" wrapText="1"/>
    </xf>
    <xf numFmtId="0" fontId="25" fillId="0" borderId="42" xfId="12" applyFont="1" applyBorder="1" applyAlignment="1">
      <alignment horizontal="center" vertical="center" wrapText="1"/>
    </xf>
    <xf numFmtId="1" fontId="25" fillId="0" borderId="44" xfId="12" applyNumberFormat="1" applyFont="1" applyBorder="1" applyAlignment="1">
      <alignment horizontal="center" vertical="center" wrapText="1"/>
    </xf>
    <xf numFmtId="2" fontId="25" fillId="0" borderId="45" xfId="12" applyNumberFormat="1" applyFont="1" applyBorder="1" applyAlignment="1">
      <alignment horizontal="center" vertical="center" wrapText="1"/>
    </xf>
    <xf numFmtId="0" fontId="7" fillId="0" borderId="46" xfId="12" applyFont="1" applyBorder="1" applyAlignment="1">
      <alignment horizontal="center" vertical="center" wrapText="1"/>
    </xf>
    <xf numFmtId="0" fontId="7" fillId="0" borderId="41" xfId="12" applyFont="1" applyBorder="1" applyAlignment="1">
      <alignment horizontal="center" vertical="center" wrapText="1" shrinkToFit="1"/>
    </xf>
    <xf numFmtId="0" fontId="7" fillId="0" borderId="41" xfId="12" applyFont="1" applyBorder="1" applyAlignment="1">
      <alignment horizontal="left" vertical="center" wrapText="1"/>
    </xf>
    <xf numFmtId="0" fontId="7" fillId="0" borderId="47" xfId="12" applyFont="1" applyBorder="1" applyAlignment="1">
      <alignment horizontal="left" vertical="center" wrapText="1"/>
    </xf>
    <xf numFmtId="0" fontId="7" fillId="0" borderId="48" xfId="12" applyFont="1" applyBorder="1" applyAlignment="1">
      <alignment horizontal="center" vertical="center" wrapText="1"/>
    </xf>
    <xf numFmtId="0" fontId="7" fillId="0" borderId="49" xfId="12" applyFont="1" applyBorder="1" applyAlignment="1">
      <alignment horizontal="left" vertical="center" wrapText="1"/>
    </xf>
    <xf numFmtId="0" fontId="18" fillId="2" borderId="1" xfId="2" applyFont="1" applyFill="1" applyBorder="1"/>
    <xf numFmtId="0" fontId="1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/>
    <xf numFmtId="178" fontId="5" fillId="0" borderId="0" xfId="0" applyNumberFormat="1" applyFont="1" applyAlignment="1">
      <alignment horizontal="center" vertical="center" wrapText="1"/>
    </xf>
    <xf numFmtId="178" fontId="13" fillId="0" borderId="0" xfId="0" quotePrefix="1" applyNumberFormat="1" applyFont="1" applyAlignment="1">
      <alignment horizontal="center" vertical="center" wrapText="1"/>
    </xf>
    <xf numFmtId="177" fontId="12" fillId="0" borderId="0" xfId="0" applyNumberFormat="1" applyFont="1" applyAlignment="1">
      <alignment horizontal="center" vertical="center"/>
    </xf>
    <xf numFmtId="0" fontId="12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top"/>
    </xf>
    <xf numFmtId="0" fontId="5" fillId="0" borderId="28" xfId="0" applyFont="1" applyBorder="1" applyAlignment="1">
      <alignment horizontal="center" vertical="center"/>
    </xf>
    <xf numFmtId="178" fontId="5" fillId="0" borderId="25" xfId="0" applyNumberFormat="1" applyFont="1" applyBorder="1" applyAlignment="1">
      <alignment horizontal="center" vertical="center" wrapText="1"/>
    </xf>
    <xf numFmtId="176" fontId="13" fillId="0" borderId="26" xfId="0" quotePrefix="1" applyNumberFormat="1" applyFont="1" applyBorder="1" applyAlignment="1">
      <alignment horizontal="center" vertical="center" wrapText="1"/>
    </xf>
    <xf numFmtId="177" fontId="12" fillId="0" borderId="27" xfId="0" applyNumberFormat="1" applyFont="1" applyBorder="1" applyAlignment="1">
      <alignment horizontal="center" vertical="center" wrapText="1"/>
    </xf>
    <xf numFmtId="176" fontId="12" fillId="0" borderId="26" xfId="0" quotePrefix="1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2" xfId="0" applyFont="1" applyBorder="1" applyAlignment="1">
      <alignment vertical="top" wrapText="1"/>
    </xf>
    <xf numFmtId="0" fontId="5" fillId="0" borderId="2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8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/>
    </xf>
    <xf numFmtId="176" fontId="12" fillId="0" borderId="26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0" fontId="5" fillId="0" borderId="10" xfId="0" applyFont="1" applyBorder="1">
      <alignment vertical="center"/>
    </xf>
    <xf numFmtId="0" fontId="5" fillId="0" borderId="2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>
      <alignment vertical="center"/>
    </xf>
    <xf numFmtId="0" fontId="5" fillId="0" borderId="17" xfId="0" applyFont="1" applyBorder="1">
      <alignment vertical="center"/>
    </xf>
    <xf numFmtId="176" fontId="13" fillId="0" borderId="26" xfId="0" applyNumberFormat="1" applyFont="1" applyBorder="1" applyAlignment="1">
      <alignment horizontal="center" vertical="center" wrapText="1"/>
    </xf>
    <xf numFmtId="177" fontId="12" fillId="0" borderId="33" xfId="0" applyNumberFormat="1" applyFont="1" applyBorder="1" applyAlignment="1">
      <alignment horizontal="center" vertical="center" wrapText="1"/>
    </xf>
    <xf numFmtId="176" fontId="12" fillId="0" borderId="32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left" vertical="center" shrinkToFit="1"/>
    </xf>
    <xf numFmtId="49" fontId="5" fillId="0" borderId="34" xfId="0" applyNumberFormat="1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/>
    </xf>
    <xf numFmtId="179" fontId="12" fillId="0" borderId="26" xfId="0" quotePrefix="1" applyNumberFormat="1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5" fillId="0" borderId="25" xfId="7" applyNumberFormat="1" applyFont="1" applyFill="1" applyBorder="1" applyAlignment="1" applyProtection="1">
      <alignment horizontal="center" vertical="center" wrapText="1"/>
      <protection locked="0"/>
    </xf>
    <xf numFmtId="0" fontId="5" fillId="0" borderId="3" xfId="7" applyNumberFormat="1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180" fontId="5" fillId="0" borderId="3" xfId="0" applyNumberFormat="1" applyFont="1" applyBorder="1" applyAlignment="1" applyProtection="1">
      <alignment horizontal="center" vertical="center" wrapText="1"/>
      <protection locked="0"/>
    </xf>
    <xf numFmtId="49" fontId="5" fillId="0" borderId="3" xfId="0" applyNumberFormat="1" applyFont="1" applyBorder="1" applyAlignment="1">
      <alignment horizontal="left" vertical="center" wrapText="1"/>
    </xf>
    <xf numFmtId="0" fontId="5" fillId="0" borderId="10" xfId="0" applyFont="1" applyBorder="1" applyAlignment="1"/>
    <xf numFmtId="0" fontId="5" fillId="0" borderId="18" xfId="0" applyFont="1" applyBorder="1" applyAlignment="1"/>
    <xf numFmtId="0" fontId="5" fillId="0" borderId="5" xfId="0" applyFont="1" applyBorder="1" applyAlignment="1">
      <alignment horizontal="left" vertical="center"/>
    </xf>
    <xf numFmtId="0" fontId="5" fillId="2" borderId="24" xfId="2" applyFont="1" applyFill="1" applyBorder="1" applyAlignment="1">
      <alignment horizontal="center" vertical="center" wrapText="1"/>
    </xf>
    <xf numFmtId="0" fontId="5" fillId="2" borderId="23" xfId="2" applyFont="1" applyFill="1" applyBorder="1" applyAlignment="1">
      <alignment horizontal="center" vertical="center" wrapText="1"/>
    </xf>
    <xf numFmtId="0" fontId="5" fillId="0" borderId="22" xfId="2" applyFont="1" applyBorder="1" applyAlignment="1">
      <alignment horizontal="center" vertical="center"/>
    </xf>
    <xf numFmtId="0" fontId="5" fillId="2" borderId="19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 shrinkToFit="1"/>
    </xf>
    <xf numFmtId="0" fontId="5" fillId="2" borderId="14" xfId="2" applyFont="1" applyFill="1" applyBorder="1" applyAlignment="1">
      <alignment horizontal="center" vertical="center" wrapText="1"/>
    </xf>
    <xf numFmtId="0" fontId="5" fillId="2" borderId="13" xfId="2" applyFont="1" applyFill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5" fillId="2" borderId="11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 wrapText="1"/>
    </xf>
    <xf numFmtId="0" fontId="5" fillId="0" borderId="1" xfId="0" applyFont="1" applyBorder="1" applyAlignment="1"/>
    <xf numFmtId="0" fontId="5" fillId="0" borderId="24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179" fontId="12" fillId="0" borderId="26" xfId="2" applyNumberFormat="1" applyFont="1" applyBorder="1" applyAlignment="1" applyProtection="1">
      <alignment horizontal="center" vertical="center" wrapText="1"/>
      <protection locked="0"/>
    </xf>
    <xf numFmtId="0" fontId="5" fillId="0" borderId="3" xfId="2" applyFont="1" applyBorder="1" applyAlignment="1">
      <alignment horizontal="center" vertical="center" wrapText="1" shrinkToFit="1"/>
    </xf>
    <xf numFmtId="0" fontId="5" fillId="0" borderId="3" xfId="2" applyFont="1" applyBorder="1" applyAlignment="1">
      <alignment horizontal="center" vertical="center"/>
    </xf>
    <xf numFmtId="0" fontId="5" fillId="2" borderId="34" xfId="2" applyFont="1" applyFill="1" applyBorder="1" applyAlignment="1">
      <alignment horizontal="center" vertical="center"/>
    </xf>
    <xf numFmtId="0" fontId="5" fillId="2" borderId="19" xfId="2" applyFont="1" applyFill="1" applyBorder="1" applyAlignment="1">
      <alignment horizontal="center" vertical="center"/>
    </xf>
    <xf numFmtId="0" fontId="5" fillId="2" borderId="29" xfId="2" applyFont="1" applyFill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/>
    </xf>
    <xf numFmtId="0" fontId="28" fillId="2" borderId="0" xfId="2" applyFont="1" applyFill="1"/>
    <xf numFmtId="0" fontId="5" fillId="2" borderId="6" xfId="2" applyFont="1" applyFill="1" applyBorder="1" applyAlignment="1">
      <alignment horizontal="left" vertical="center"/>
    </xf>
    <xf numFmtId="0" fontId="5" fillId="0" borderId="21" xfId="2" applyFont="1" applyBorder="1" applyAlignment="1">
      <alignment horizontal="center"/>
    </xf>
    <xf numFmtId="0" fontId="5" fillId="0" borderId="16" xfId="2" applyFont="1" applyBorder="1" applyAlignment="1">
      <alignment horizontal="center"/>
    </xf>
    <xf numFmtId="0" fontId="5" fillId="0" borderId="12" xfId="2" applyFont="1" applyBorder="1" applyAlignment="1">
      <alignment horizontal="center" wrapText="1"/>
    </xf>
    <xf numFmtId="0" fontId="5" fillId="2" borderId="1" xfId="2" applyFont="1" applyFill="1" applyBorder="1" applyAlignment="1">
      <alignment horizontal="right"/>
    </xf>
    <xf numFmtId="0" fontId="28" fillId="2" borderId="0" xfId="2" applyFont="1" applyFill="1" applyAlignment="1">
      <alignment horizontal="center"/>
    </xf>
  </cellXfs>
  <cellStyles count="13">
    <cellStyle name="パーセント" xfId="1" builtinId="5"/>
    <cellStyle name="パーセント 2" xfId="6" xr:uid="{695402E2-2304-4BA5-96A0-FED1BE71668A}"/>
    <cellStyle name="桁区切り 2" xfId="7" xr:uid="{6836BA20-DD42-4BAF-88DF-FC32C68D782D}"/>
    <cellStyle name="標準" xfId="0" builtinId="0"/>
    <cellStyle name="標準 2" xfId="2" xr:uid="{00000000-0005-0000-0000-000002000000}"/>
    <cellStyle name="標準 2 2" xfId="8" xr:uid="{B77BAD3A-F082-4730-90AD-4F659860CA3D}"/>
    <cellStyle name="標準 2 3" xfId="12" xr:uid="{99F80FCB-95EB-4827-A3AC-99729293A5B4}"/>
    <cellStyle name="標準 2_日野_燃費公表(H27-4月)" xfId="11" xr:uid="{4D4BF45F-38A1-4D33-89A5-71A3DA19CED7}"/>
    <cellStyle name="標準 3" xfId="3" xr:uid="{00000000-0005-0000-0000-000003000000}"/>
    <cellStyle name="標準 3 2" xfId="4" xr:uid="{2906E6A3-9ED8-42F7-A312-3A6D651D399A}"/>
    <cellStyle name="標準 3 2 2" xfId="5" xr:uid="{89957C56-647F-4673-B884-97FDC7F803E1}"/>
    <cellStyle name="標準 4 2" xfId="9" xr:uid="{A7749E84-5DCD-4FFD-9DD4-79C4FDF7E962}"/>
    <cellStyle name="標準 5" xfId="10" xr:uid="{BA8950F0-9455-4689-A78C-50435F033310}"/>
  </cellStyles>
  <dxfs count="6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F1\&#35469;&#35388;&#65319;\&#21407;&#30000;\&#20055;&#29992;&#65293;&#29123;&#36027;&#20844;&#34920;&#29992;&#32025;99.8.2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3399\&#35519;&#26619;&#22577;&#21578;\Eudora\Tanaka\attach\P(g%5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3399\&#24115;&#31080;\eudora\tanaka\attach\&#29123;&#36027;&#20844;&#34920;(&#27083;&#22793;&#12289;&#22269;&#29987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01_&#37325;&#35201;&#25991;&#26360;&#12501;&#12457;&#12523;&#12480;&#65288;&#20445;&#23384;&#26399;&#38291;&#65297;&#24180;&#20197;&#19978;&#65289;/04_&#29123;&#36027;&#29677;/16_HP&#20844;&#34920;&#65288;&#29123;&#36027;&#35413;&#20385;&#12289;&#20302;&#25490;&#35469;&#23450;&#65289;/1_&#65299;&#26376;&#20844;&#34920;&#65288;&#33258;&#21205;&#36554;&#29123;&#36027;&#19968;&#35239;&#12289;&#29123;&#36027;&#12521;&#12531;&#12461;&#12531;&#12464;&#65289;/R6.3/&#25522;&#36617;&#12487;&#12540;&#12479;&#65288;R5.12&#65289;/&#65297;&#65299;&#65293;&#65298;&#12488;&#12521;&#12483;&#12463;JH15%20-%20&#12467;&#12500;&#12540;/niho_truck_jh1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docs.ad.hino.co.jp\hidocs\Documents%20and%20Settings\ya.wakugami\Local%20Settings\Temp\DOCUME~1\KITAZA~1\LOCALS~1\Temp\&#65396;&#65437;&#65404;&#65438;&#65437;\LSJ&#26908;&#35342;\LSJ&#36074;&#37327;\LSJ&#12398;&#26908;&#3534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docs.ad.hino.co.jp\hidocs\Documents%20and%20Settings\ya.wakugami\Local%20Settings\Temp\DOCUME~1\yos-ohno\LOCALS~1\Temp\&#27531;&#23384;Xls&#20803;&#12487;&#12540;&#12479;&#3156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docs.ad.hino.co.jp\hidocs\DOCUME~1\yos-ohno\LOCALS~1\Temp\&#27531;&#23384;Xls&#20803;&#12487;&#12540;&#12479;&#3156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yoyo-db\&#35069;&#21697;&#38283;&#30330;&#37096;\windows\TEMP\&#9733;&#9733;&#9733;Y073%20&#65422;&#65438;&#65411;&#65438;&#65392;&#20869;&#22806;&#35069;&#26908;&#35342;&#20381;&#38972;&#31649;&#29702;&#12522;&#12473;&#12488;04.03.02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BS\USERS\TCD\FS\FS0402\F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docs.ad.hino.co.jp\hidocs\DOCUME~1\SHIMOM~1\LOCALS~1\Temp\DOCUME~1\yos-ohno\LOCALS~1\Temp\&#27531;&#23384;Xls&#20803;&#12487;&#12540;&#12479;&#3156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01_&#37325;&#35201;&#25991;&#26360;&#12501;&#12457;&#12523;&#12480;&#65288;&#20445;&#23384;&#26399;&#38291;&#65297;&#24180;&#20197;&#19978;&#65289;/04_&#29123;&#36027;&#29677;/16_HP&#20844;&#34920;&#65288;&#29123;&#36027;&#35413;&#20385;&#12289;&#20302;&#25490;&#35469;&#23450;&#65289;/1_&#65299;&#26376;&#20844;&#34920;&#65288;&#33258;&#21205;&#36554;&#29123;&#36027;&#19968;&#35239;&#12289;&#29123;&#36027;&#12521;&#12531;&#12461;&#12531;&#12464;&#65289;/R6.3/&#25522;&#36617;&#12487;&#12540;&#12479;&#65288;R5.12&#65289;/&#65297;&#65299;&#65293;&#65298;&#12488;&#12521;&#12483;&#12463;JH15%20-%20&#12467;&#12500;&#12540;/truck_toyota_jh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乗用－燃費公表用紙99.8.27"/>
      <sheetName val="DATA"/>
      <sheetName val="C3_N DC改造投資"/>
      <sheetName val="CPS Gr分担表"/>
      <sheetName val="Sheet1"/>
    </sheetNames>
    <definedNames>
      <definedName name="Module1.社内配布用印刷"/>
      <definedName name="Module1.提出用印刷"/>
      <definedName name="新型構変選択"/>
      <definedName name="製作者選択"/>
    </defined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乗用・ＲＶ車"/>
      <sheetName val="乗用_ＲＶ車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燃費公表(構変、国産)"/>
      <sheetName val="ＴＦ関連Ｐｒｊ日程表"/>
      <sheetName val="Sheet1"/>
      <sheetName val="海事局（１０７）"/>
      <sheetName val="航空局（１８）"/>
      <sheetName val="自動車交通局（４７）"/>
      <sheetName val="総合政策局航空局（１）"/>
      <sheetName val="鉄道局（４）"/>
      <sheetName val="ＦＴＲ連結採算"/>
      <sheetName val="VN12-2陣"/>
      <sheetName val="WLTP結果シート"/>
    </sheetNames>
    <definedNames>
      <definedName name="社内配布用印刷"/>
      <definedName name="提出用印刷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諸元まとめ"/>
      <sheetName val="LSJﾌﾞﾛｯｸ変更規模"/>
      <sheetName val="NewJ･LSJ目標値 (2)"/>
      <sheetName val="INUFA全ﾃﾞｰﾀ"/>
      <sheetName val="ﾄﾙｸvs排気量"/>
      <sheetName val="出力vs排気量"/>
      <sheetName val="出力 ﾄﾙｸ"/>
      <sheetName val="ﾎﾞｱ×ｽﾄﾛｰｸ"/>
      <sheetName val="ﾃﾞｯｷﾊｲﾄ"/>
      <sheetName val="ﾎﾞｱﾋﾟｯﾁ"/>
      <sheetName val="ｼﾞｬｰﾅﾙ径"/>
      <sheetName val="ｸﾗﾝｸﾋﾟﾝ径"/>
      <sheetName val="ｵｰﾊﾞﾗｯﾌﾟ"/>
      <sheetName val="ｺﾝﾛｯﾄﾞ中心間距離"/>
      <sheetName val="主要諸元の比較"/>
      <sheetName val="Sheet1"/>
      <sheetName val="ｺｽﾄ目標"/>
      <sheetName val="ｺｽﾄ"/>
      <sheetName val="ﾃﾞｰﾀvs年"/>
      <sheetName val="Sheet4"/>
      <sheetName val="出力排気量vs年"/>
      <sheetName val="ﾄﾙｸ排気量vs年"/>
      <sheetName val="出力vs年"/>
      <sheetName val="ﾄﾙｸvs年"/>
      <sheetName val="Sheet3"/>
      <sheetName val="PE6出力ﾄﾙｸ目標"/>
      <sheetName val="制動力ｸﾞﾗﾌ"/>
      <sheetName val="FR2P&amp;1F&amp;3F比較"/>
      <sheetName val="120P11CVGﾘﾀｰﾀﾞｰ力"/>
      <sheetName val="120P11Cｷﾞﾛﾁﾝ"/>
      <sheetName val="ﾌﾘｸｼｮﾝ図"/>
      <sheetName val="ﾌﾘｸｼｮﾝ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/>
      <sheetData sheetId="28"/>
      <sheetData sheetId="29"/>
      <sheetData sheetId="30" refreshError="1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</sheetNames>
    <sheetDataSet>
      <sheetData sheetId="0">
        <row r="6">
          <cell r="C6">
            <v>9614</v>
          </cell>
        </row>
        <row r="7">
          <cell r="C7">
            <v>9152</v>
          </cell>
        </row>
        <row r="8">
          <cell r="C8">
            <v>8862</v>
          </cell>
        </row>
        <row r="9">
          <cell r="C9">
            <v>7350</v>
          </cell>
        </row>
        <row r="10">
          <cell r="C10">
            <v>8189</v>
          </cell>
        </row>
        <row r="11">
          <cell r="C11">
            <v>8165</v>
          </cell>
        </row>
        <row r="12">
          <cell r="C12">
            <v>6936</v>
          </cell>
        </row>
        <row r="13">
          <cell r="C13">
            <v>7249</v>
          </cell>
        </row>
        <row r="14">
          <cell r="C14">
            <v>6749</v>
          </cell>
        </row>
        <row r="15">
          <cell r="C15">
            <v>7765</v>
          </cell>
        </row>
        <row r="16">
          <cell r="C16">
            <v>7086</v>
          </cell>
        </row>
        <row r="17">
          <cell r="C17">
            <v>6922</v>
          </cell>
        </row>
        <row r="18">
          <cell r="C18">
            <v>6814</v>
          </cell>
        </row>
        <row r="19">
          <cell r="C19">
            <v>5997</v>
          </cell>
        </row>
        <row r="20">
          <cell r="C20">
            <v>5792</v>
          </cell>
          <cell r="CX20">
            <v>84</v>
          </cell>
          <cell r="CY20">
            <v>5418</v>
          </cell>
          <cell r="CZ20">
            <v>2300</v>
          </cell>
          <cell r="DA20">
            <v>4615</v>
          </cell>
        </row>
        <row r="21">
          <cell r="C21">
            <v>5418</v>
          </cell>
          <cell r="CX21">
            <v>85</v>
          </cell>
          <cell r="CY21">
            <v>6527</v>
          </cell>
          <cell r="CZ21">
            <v>2301</v>
          </cell>
          <cell r="DA21">
            <v>5351</v>
          </cell>
        </row>
        <row r="22">
          <cell r="C22">
            <v>6527</v>
          </cell>
          <cell r="CX22">
            <v>86</v>
          </cell>
          <cell r="CY22">
            <v>6502</v>
          </cell>
          <cell r="CZ22">
            <v>2370</v>
          </cell>
          <cell r="DA22">
            <v>5780</v>
          </cell>
        </row>
        <row r="23">
          <cell r="C23">
            <v>6502</v>
          </cell>
          <cell r="CX23">
            <v>87</v>
          </cell>
          <cell r="CY23">
            <v>6477</v>
          </cell>
          <cell r="CZ23">
            <v>2320</v>
          </cell>
          <cell r="DA23">
            <v>6133</v>
          </cell>
        </row>
        <row r="24">
          <cell r="C24">
            <v>6477</v>
          </cell>
          <cell r="CX24">
            <v>88</v>
          </cell>
          <cell r="CY24">
            <v>6846</v>
          </cell>
          <cell r="CZ24">
            <v>2332</v>
          </cell>
          <cell r="DA24">
            <v>7352</v>
          </cell>
        </row>
        <row r="25">
          <cell r="C25">
            <v>6846</v>
          </cell>
          <cell r="CX25">
            <v>89</v>
          </cell>
          <cell r="CY25">
            <v>6826</v>
          </cell>
          <cell r="CZ25">
            <v>2310</v>
          </cell>
          <cell r="DA25">
            <v>7497</v>
          </cell>
        </row>
        <row r="26">
          <cell r="C26">
            <v>6826</v>
          </cell>
          <cell r="CX26">
            <v>90</v>
          </cell>
          <cell r="CY26">
            <v>6661</v>
          </cell>
          <cell r="CZ26">
            <v>2503</v>
          </cell>
          <cell r="DA26">
            <v>8712</v>
          </cell>
        </row>
        <row r="27">
          <cell r="C27">
            <v>6661</v>
          </cell>
          <cell r="CX27">
            <v>91</v>
          </cell>
          <cell r="CY27">
            <v>6555</v>
          </cell>
          <cell r="CZ27">
            <v>2426</v>
          </cell>
          <cell r="DA27">
            <v>8269</v>
          </cell>
        </row>
        <row r="28">
          <cell r="C28">
            <v>6555</v>
          </cell>
          <cell r="CX28">
            <v>92</v>
          </cell>
          <cell r="CY28">
            <v>6164</v>
          </cell>
          <cell r="CZ28">
            <v>2020</v>
          </cell>
          <cell r="DA28">
            <v>7507</v>
          </cell>
        </row>
        <row r="29">
          <cell r="C29">
            <v>6164</v>
          </cell>
          <cell r="CX29">
            <v>93</v>
          </cell>
          <cell r="CY29">
            <v>5813</v>
          </cell>
          <cell r="CZ29">
            <v>1692</v>
          </cell>
          <cell r="DA29">
            <v>6397</v>
          </cell>
        </row>
        <row r="30">
          <cell r="C30">
            <v>5813</v>
          </cell>
          <cell r="CX30">
            <v>94</v>
          </cell>
          <cell r="CY30">
            <v>5246</v>
          </cell>
          <cell r="CZ30">
            <v>1673</v>
          </cell>
          <cell r="DA30">
            <v>6101</v>
          </cell>
        </row>
        <row r="31">
          <cell r="C31">
            <v>5246</v>
          </cell>
          <cell r="CX31">
            <v>95</v>
          </cell>
          <cell r="CY31">
            <v>4815</v>
          </cell>
          <cell r="CZ31">
            <v>1735</v>
          </cell>
          <cell r="DA31">
            <v>6246</v>
          </cell>
        </row>
        <row r="32">
          <cell r="C32">
            <v>4815</v>
          </cell>
          <cell r="CX32">
            <v>96</v>
          </cell>
          <cell r="CY32">
            <v>4153</v>
          </cell>
          <cell r="CZ32">
            <v>1777</v>
          </cell>
          <cell r="DA32">
            <v>6691</v>
          </cell>
        </row>
        <row r="33">
          <cell r="C33">
            <v>4153</v>
          </cell>
          <cell r="CX33">
            <v>97</v>
          </cell>
          <cell r="CY33">
            <v>4011</v>
          </cell>
          <cell r="CZ33">
            <v>1419</v>
          </cell>
          <cell r="DA33">
            <v>6382</v>
          </cell>
        </row>
        <row r="34">
          <cell r="C34">
            <v>4011</v>
          </cell>
          <cell r="CX34">
            <v>98</v>
          </cell>
          <cell r="CY34">
            <v>3713</v>
          </cell>
          <cell r="CZ34">
            <v>1324</v>
          </cell>
          <cell r="DA34">
            <v>5583</v>
          </cell>
        </row>
        <row r="35">
          <cell r="C35">
            <v>3713</v>
          </cell>
          <cell r="CX35">
            <v>99</v>
          </cell>
          <cell r="CY35">
            <v>3126</v>
          </cell>
          <cell r="CZ35">
            <v>1289</v>
          </cell>
          <cell r="DA35">
            <v>5162</v>
          </cell>
          <cell r="DC35">
            <v>84</v>
          </cell>
          <cell r="DD35">
            <v>85</v>
          </cell>
          <cell r="DE35">
            <v>86</v>
          </cell>
          <cell r="DF35">
            <v>87</v>
          </cell>
          <cell r="DG35">
            <v>88</v>
          </cell>
          <cell r="DH35">
            <v>89</v>
          </cell>
          <cell r="DI35">
            <v>90</v>
          </cell>
          <cell r="DJ35">
            <v>91</v>
          </cell>
          <cell r="DK35">
            <v>92</v>
          </cell>
          <cell r="DL35">
            <v>93</v>
          </cell>
          <cell r="DM35">
            <v>94</v>
          </cell>
          <cell r="DN35">
            <v>95</v>
          </cell>
          <cell r="DO35">
            <v>96</v>
          </cell>
          <cell r="DP35">
            <v>97</v>
          </cell>
          <cell r="DQ35">
            <v>98</v>
          </cell>
          <cell r="DR35">
            <v>99</v>
          </cell>
          <cell r="DS35" t="str">
            <v>00</v>
          </cell>
          <cell r="DT35" t="str">
            <v>01</v>
          </cell>
          <cell r="DU35" t="str">
            <v>02</v>
          </cell>
          <cell r="DV35" t="str">
            <v>03</v>
          </cell>
          <cell r="DW35" t="str">
            <v>04</v>
          </cell>
          <cell r="DX35" t="str">
            <v>05</v>
          </cell>
          <cell r="DY35" t="str">
            <v>06</v>
          </cell>
          <cell r="DZ35" t="str">
            <v>07</v>
          </cell>
          <cell r="EA35" t="str">
            <v>08</v>
          </cell>
          <cell r="EB35" t="str">
            <v>09</v>
          </cell>
          <cell r="EC35" t="str">
            <v>10</v>
          </cell>
        </row>
        <row r="36">
          <cell r="C36">
            <v>3126</v>
          </cell>
          <cell r="CX36" t="str">
            <v xml:space="preserve">00 </v>
          </cell>
          <cell r="CY36">
            <v>2903</v>
          </cell>
          <cell r="CZ36">
            <v>1399</v>
          </cell>
          <cell r="DA36">
            <v>5268</v>
          </cell>
          <cell r="DC36">
            <v>88153</v>
          </cell>
          <cell r="DD36">
            <v>87519</v>
          </cell>
          <cell r="DE36">
            <v>86578</v>
          </cell>
          <cell r="DF36">
            <v>86409</v>
          </cell>
          <cell r="DG36">
            <v>86696</v>
          </cell>
          <cell r="DH36">
            <v>87216</v>
          </cell>
          <cell r="DI36">
            <v>87937</v>
          </cell>
          <cell r="DJ36">
            <v>88553</v>
          </cell>
          <cell r="DK36">
            <v>89165</v>
          </cell>
          <cell r="DL36">
            <v>89686</v>
          </cell>
          <cell r="DM36">
            <v>89445</v>
          </cell>
          <cell r="DN36">
            <v>88667</v>
          </cell>
          <cell r="DO36">
            <v>87692</v>
          </cell>
          <cell r="DP36">
            <v>86352</v>
          </cell>
          <cell r="DQ36">
            <v>85400</v>
          </cell>
          <cell r="DR36">
            <v>84250</v>
          </cell>
          <cell r="DS36">
            <v>83137</v>
          </cell>
          <cell r="DT36">
            <v>82779</v>
          </cell>
          <cell r="DU36">
            <v>79965</v>
          </cell>
          <cell r="DV36">
            <v>76750</v>
          </cell>
          <cell r="DW36">
            <v>73547</v>
          </cell>
          <cell r="DX36">
            <v>70356</v>
          </cell>
          <cell r="DY36">
            <v>67493</v>
          </cell>
          <cell r="DZ36">
            <v>65029</v>
          </cell>
          <cell r="EA36">
            <v>62967</v>
          </cell>
          <cell r="EB36">
            <v>61433</v>
          </cell>
          <cell r="EC36">
            <v>60296</v>
          </cell>
        </row>
        <row r="37">
          <cell r="C37">
            <v>2903</v>
          </cell>
          <cell r="CX37" t="str">
            <v xml:space="preserve">01 </v>
          </cell>
          <cell r="CY37">
            <v>2900</v>
          </cell>
          <cell r="CZ37">
            <v>1330</v>
          </cell>
          <cell r="DA37">
            <v>5300</v>
          </cell>
          <cell r="DC37">
            <v>27441</v>
          </cell>
          <cell r="DD37">
            <v>28745</v>
          </cell>
          <cell r="DE37">
            <v>29905</v>
          </cell>
          <cell r="DF37">
            <v>31000</v>
          </cell>
          <cell r="DG37">
            <v>31978</v>
          </cell>
          <cell r="DH37">
            <v>32802</v>
          </cell>
          <cell r="DI37">
            <v>33459</v>
          </cell>
          <cell r="DJ37">
            <v>34056</v>
          </cell>
          <cell r="DK37">
            <v>34100</v>
          </cell>
          <cell r="DL37">
            <v>34135</v>
          </cell>
          <cell r="DM37">
            <v>33877</v>
          </cell>
          <cell r="DN37">
            <v>33392</v>
          </cell>
          <cell r="DO37">
            <v>33154</v>
          </cell>
          <cell r="DP37">
            <v>32704</v>
          </cell>
          <cell r="DQ37">
            <v>32438</v>
          </cell>
          <cell r="DR37">
            <v>32037</v>
          </cell>
          <cell r="DS37">
            <v>31649</v>
          </cell>
          <cell r="DT37">
            <v>31604</v>
          </cell>
          <cell r="DU37">
            <v>31152</v>
          </cell>
          <cell r="DV37">
            <v>30614</v>
          </cell>
          <cell r="DW37">
            <v>30059</v>
          </cell>
          <cell r="DX37">
            <v>29311</v>
          </cell>
          <cell r="DY37">
            <v>28563</v>
          </cell>
          <cell r="DZ37">
            <v>28141</v>
          </cell>
          <cell r="EA37">
            <v>27976</v>
          </cell>
          <cell r="EB37">
            <v>27834</v>
          </cell>
          <cell r="EC37">
            <v>27665</v>
          </cell>
        </row>
        <row r="38">
          <cell r="C38">
            <v>2900</v>
          </cell>
          <cell r="CX38" t="str">
            <v xml:space="preserve">02 </v>
          </cell>
          <cell r="CY38">
            <v>2900</v>
          </cell>
          <cell r="CZ38">
            <v>1260</v>
          </cell>
          <cell r="DA38">
            <v>5300</v>
          </cell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  <row r="39">
          <cell r="C39">
            <v>2900</v>
          </cell>
          <cell r="CX39" t="str">
            <v xml:space="preserve">03 </v>
          </cell>
          <cell r="CY39">
            <v>2900</v>
          </cell>
          <cell r="CZ39">
            <v>1190</v>
          </cell>
          <cell r="DA39">
            <v>5300</v>
          </cell>
        </row>
        <row r="40">
          <cell r="C40">
            <v>2900</v>
          </cell>
          <cell r="CX40" t="str">
            <v xml:space="preserve">04 </v>
          </cell>
          <cell r="CY40">
            <v>2900</v>
          </cell>
          <cell r="CZ40">
            <v>1120</v>
          </cell>
          <cell r="DA40">
            <v>5300</v>
          </cell>
        </row>
        <row r="41">
          <cell r="C41">
            <v>2900</v>
          </cell>
          <cell r="CX41" t="str">
            <v xml:space="preserve">05 </v>
          </cell>
          <cell r="CY41">
            <v>2900</v>
          </cell>
          <cell r="CZ41">
            <v>1050</v>
          </cell>
          <cell r="DA41">
            <v>5300</v>
          </cell>
        </row>
        <row r="42">
          <cell r="C42">
            <v>2900</v>
          </cell>
          <cell r="CX42" t="str">
            <v xml:space="preserve">06 </v>
          </cell>
          <cell r="CY42">
            <v>2900</v>
          </cell>
          <cell r="CZ42">
            <v>1000</v>
          </cell>
          <cell r="DA42">
            <v>5300</v>
          </cell>
        </row>
        <row r="43">
          <cell r="C43">
            <v>2900</v>
          </cell>
          <cell r="CX43" t="str">
            <v xml:space="preserve">07 </v>
          </cell>
          <cell r="CY43">
            <v>2900</v>
          </cell>
          <cell r="CZ43">
            <v>1000</v>
          </cell>
          <cell r="DA43">
            <v>5300</v>
          </cell>
        </row>
        <row r="44">
          <cell r="C44">
            <v>2900</v>
          </cell>
          <cell r="CX44" t="str">
            <v xml:space="preserve">08 </v>
          </cell>
          <cell r="CY44">
            <v>2900</v>
          </cell>
          <cell r="CZ44">
            <v>1000</v>
          </cell>
          <cell r="DA44">
            <v>5300</v>
          </cell>
        </row>
        <row r="45">
          <cell r="C45">
            <v>2900</v>
          </cell>
          <cell r="CX45" t="str">
            <v xml:space="preserve">09 </v>
          </cell>
          <cell r="CY45">
            <v>2900</v>
          </cell>
          <cell r="CZ45">
            <v>1000</v>
          </cell>
          <cell r="DA45">
            <v>5300</v>
          </cell>
        </row>
        <row r="46">
          <cell r="C46">
            <v>2900</v>
          </cell>
          <cell r="CX46" t="str">
            <v xml:space="preserve">10 </v>
          </cell>
          <cell r="CY46">
            <v>2900</v>
          </cell>
          <cell r="CZ46">
            <v>1000</v>
          </cell>
          <cell r="DA46">
            <v>5300</v>
          </cell>
        </row>
        <row r="47">
          <cell r="C47">
            <v>2900</v>
          </cell>
        </row>
        <row r="66">
          <cell r="C66">
            <v>874</v>
          </cell>
        </row>
        <row r="67">
          <cell r="C67">
            <v>1074</v>
          </cell>
        </row>
        <row r="68">
          <cell r="C68">
            <v>1235</v>
          </cell>
        </row>
        <row r="69">
          <cell r="C69">
            <v>1592</v>
          </cell>
        </row>
        <row r="70">
          <cell r="C70">
            <v>1870</v>
          </cell>
        </row>
        <row r="71">
          <cell r="C71">
            <v>2117</v>
          </cell>
        </row>
        <row r="72">
          <cell r="C72">
            <v>1859</v>
          </cell>
        </row>
        <row r="73">
          <cell r="C73">
            <v>2149</v>
          </cell>
        </row>
        <row r="74">
          <cell r="C74">
            <v>2542</v>
          </cell>
        </row>
        <row r="75">
          <cell r="C75">
            <v>2725</v>
          </cell>
        </row>
        <row r="76">
          <cell r="C76">
            <v>2501</v>
          </cell>
        </row>
        <row r="77">
          <cell r="C77">
            <v>2493</v>
          </cell>
        </row>
        <row r="78">
          <cell r="C78">
            <v>2541</v>
          </cell>
        </row>
        <row r="79">
          <cell r="C79">
            <v>2707</v>
          </cell>
        </row>
        <row r="80">
          <cell r="C80">
            <v>2154</v>
          </cell>
        </row>
        <row r="81">
          <cell r="C81">
            <v>2300</v>
          </cell>
        </row>
        <row r="82">
          <cell r="C82">
            <v>2301</v>
          </cell>
        </row>
        <row r="83">
          <cell r="C83">
            <v>2370</v>
          </cell>
        </row>
        <row r="84">
          <cell r="C84">
            <v>2320</v>
          </cell>
        </row>
        <row r="85">
          <cell r="C85">
            <v>2332</v>
          </cell>
        </row>
        <row r="86">
          <cell r="C86">
            <v>2310</v>
          </cell>
        </row>
        <row r="87">
          <cell r="C87">
            <v>2503</v>
          </cell>
        </row>
        <row r="88">
          <cell r="C88">
            <v>2426</v>
          </cell>
        </row>
        <row r="89">
          <cell r="C89">
            <v>2020</v>
          </cell>
        </row>
        <row r="90">
          <cell r="C90">
            <v>1692</v>
          </cell>
        </row>
        <row r="91">
          <cell r="C91">
            <v>1673</v>
          </cell>
        </row>
        <row r="92">
          <cell r="C92">
            <v>1735</v>
          </cell>
        </row>
        <row r="93">
          <cell r="C93">
            <v>1777</v>
          </cell>
        </row>
        <row r="94">
          <cell r="C94">
            <v>1419</v>
          </cell>
        </row>
        <row r="95">
          <cell r="C95">
            <v>1324</v>
          </cell>
        </row>
        <row r="96">
          <cell r="C96">
            <v>1289</v>
          </cell>
        </row>
        <row r="97">
          <cell r="C97">
            <v>1399</v>
          </cell>
        </row>
        <row r="98">
          <cell r="C98">
            <v>1330</v>
          </cell>
        </row>
        <row r="99">
          <cell r="C99">
            <v>1260</v>
          </cell>
        </row>
        <row r="100">
          <cell r="C100">
            <v>1190</v>
          </cell>
        </row>
        <row r="101">
          <cell r="C101">
            <v>1120</v>
          </cell>
        </row>
        <row r="102">
          <cell r="C102">
            <v>1050</v>
          </cell>
        </row>
        <row r="103">
          <cell r="C103">
            <v>1000</v>
          </cell>
        </row>
        <row r="104">
          <cell r="C104">
            <v>1000</v>
          </cell>
        </row>
        <row r="105">
          <cell r="C105">
            <v>1000</v>
          </cell>
        </row>
        <row r="106">
          <cell r="C106">
            <v>1000</v>
          </cell>
        </row>
        <row r="107">
          <cell r="C107">
            <v>1000</v>
          </cell>
        </row>
        <row r="186">
          <cell r="C186">
            <v>721</v>
          </cell>
        </row>
        <row r="187">
          <cell r="C187">
            <v>810</v>
          </cell>
        </row>
        <row r="188">
          <cell r="C188">
            <v>833</v>
          </cell>
        </row>
        <row r="189">
          <cell r="C189">
            <v>895</v>
          </cell>
        </row>
        <row r="190">
          <cell r="C190">
            <v>770</v>
          </cell>
        </row>
        <row r="191">
          <cell r="C191">
            <v>1247</v>
          </cell>
        </row>
        <row r="192">
          <cell r="C192">
            <v>1513</v>
          </cell>
        </row>
        <row r="193">
          <cell r="C193">
            <v>1752</v>
          </cell>
        </row>
        <row r="194">
          <cell r="C194">
            <v>2054</v>
          </cell>
        </row>
        <row r="195">
          <cell r="C195">
            <v>2276</v>
          </cell>
        </row>
        <row r="196">
          <cell r="C196">
            <v>2781</v>
          </cell>
        </row>
        <row r="197">
          <cell r="C197">
            <v>2823</v>
          </cell>
        </row>
        <row r="198">
          <cell r="C198">
            <v>2973</v>
          </cell>
        </row>
        <row r="199">
          <cell r="C199">
            <v>3860</v>
          </cell>
        </row>
        <row r="200">
          <cell r="C200">
            <v>4382</v>
          </cell>
        </row>
        <row r="201">
          <cell r="C201">
            <v>4615</v>
          </cell>
        </row>
        <row r="202">
          <cell r="C202">
            <v>5351</v>
          </cell>
        </row>
        <row r="203">
          <cell r="C203">
            <v>5780</v>
          </cell>
        </row>
        <row r="204">
          <cell r="C204">
            <v>6133</v>
          </cell>
        </row>
        <row r="205">
          <cell r="C205">
            <v>7352</v>
          </cell>
        </row>
        <row r="206">
          <cell r="C206">
            <v>7497</v>
          </cell>
        </row>
        <row r="207">
          <cell r="C207">
            <v>8712</v>
          </cell>
        </row>
        <row r="208">
          <cell r="C208">
            <v>8269</v>
          </cell>
        </row>
        <row r="209">
          <cell r="C209">
            <v>7507</v>
          </cell>
        </row>
        <row r="210">
          <cell r="C210">
            <v>6397</v>
          </cell>
        </row>
        <row r="211">
          <cell r="C211">
            <v>6101</v>
          </cell>
        </row>
        <row r="212">
          <cell r="C212">
            <v>6246</v>
          </cell>
        </row>
        <row r="213">
          <cell r="C213">
            <v>6691</v>
          </cell>
        </row>
        <row r="214">
          <cell r="C214">
            <v>6382</v>
          </cell>
        </row>
        <row r="215">
          <cell r="C215">
            <v>5583</v>
          </cell>
        </row>
        <row r="216">
          <cell r="C216">
            <v>5162</v>
          </cell>
        </row>
        <row r="217">
          <cell r="C217">
            <v>5268</v>
          </cell>
        </row>
        <row r="218">
          <cell r="C218">
            <v>5300</v>
          </cell>
        </row>
        <row r="219">
          <cell r="C219">
            <v>5300</v>
          </cell>
        </row>
        <row r="220">
          <cell r="C220">
            <v>5300</v>
          </cell>
        </row>
        <row r="221">
          <cell r="C221">
            <v>5300</v>
          </cell>
        </row>
        <row r="222">
          <cell r="C222">
            <v>5300</v>
          </cell>
        </row>
        <row r="223">
          <cell r="C223">
            <v>5300</v>
          </cell>
        </row>
        <row r="224">
          <cell r="C224">
            <v>5300</v>
          </cell>
        </row>
        <row r="225">
          <cell r="C225">
            <v>5300</v>
          </cell>
        </row>
        <row r="226">
          <cell r="C226">
            <v>5300</v>
          </cell>
        </row>
        <row r="227">
          <cell r="C227">
            <v>5300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  <sheetName val="設定一覧"/>
      <sheetName val="投資ﾌｫﾛｰ"/>
    </sheetNames>
    <sheetDataSet>
      <sheetData sheetId="0" refreshError="1">
        <row r="38"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管理全リスト "/>
      <sheetName val="管理廃止抜きリスト"/>
      <sheetName val="管理リスト廃止版"/>
      <sheetName val="ポンチ絵発行実績表"/>
      <sheetName val="鈑金コンペ先"/>
      <sheetName val="仕入住原"/>
      <sheetName val="バス"/>
      <sheetName val="（別紙5-1）PP02簡素化"/>
      <sheetName val="sum_gtm"/>
      <sheetName val="選択肢"/>
      <sheetName val="T1"/>
      <sheetName val="諸元まとめ"/>
      <sheetName val="投資ﾌｫﾛｰ"/>
      <sheetName val="ｺｽﾄｾﾝﾀｰ別設備稼働費ﾚｰﾄ算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C2" t="str">
            <v>仕　入　先　住　所　録</v>
          </cell>
        </row>
        <row r="501">
          <cell r="B501">
            <v>5664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 is"/>
      <sheetName val="bs(ana)"/>
      <sheetName val="gae"/>
      <sheetName val="bs monthly"/>
      <sheetName val="is monthly"/>
      <sheetName val="final-graph "/>
      <sheetName val="final-graph  (2)"/>
      <sheetName val="is monthly GTM"/>
      <sheetName val="is monthly CVJ"/>
      <sheetName val="is actual budget(ignore)"/>
      <sheetName val="is actual budget2"/>
      <sheetName val="is actual budget GTM(ignore)"/>
      <sheetName val="is actual budget GTM2"/>
      <sheetName val="is actual budget CVJ(ignore)"/>
      <sheetName val="is actual budget CVJ 2"/>
      <sheetName val="Miyake 1"/>
      <sheetName val="Miyake 2"/>
      <sheetName val="Sheet1"/>
      <sheetName val="Miyake 3"/>
      <sheetName val="Sheet1 (2)"/>
      <sheetName val="is actual budget CVJ"/>
      <sheetName val="ﾃｽﾄﾃﾞｰﾀ一覧"/>
      <sheetName val="Supplier Master IF"/>
      <sheetName val="Net Price Position - Sheet 1"/>
      <sheetName val="LVC 31RB"/>
      <sheetName val="toyota"/>
      <sheetName val="bs_is"/>
      <sheetName val="bs_monthly"/>
      <sheetName val="is_monthly"/>
      <sheetName val="final-graph_"/>
      <sheetName val="final-graph__(2)"/>
      <sheetName val="is_monthly_GTM"/>
      <sheetName val="is_monthly_CVJ"/>
      <sheetName val="is_actual_budget(ignore)"/>
      <sheetName val="is_actual_budget2"/>
      <sheetName val="is_actual_budget_GTM(ignore)"/>
      <sheetName val="is_actual_budget_GTM2"/>
      <sheetName val="is_actual_budget_CVJ(ignore)"/>
      <sheetName val="is_actual_budget_CVJ_2"/>
      <sheetName val="Miyake_1"/>
      <sheetName val="Miyake_2"/>
      <sheetName val="Miyake_3"/>
      <sheetName val="Sheet1_(2)"/>
      <sheetName val="is_actual_budget_CVJ"/>
      <sheetName val="投資ﾌｫﾛｰ"/>
      <sheetName val="仕入住原"/>
      <sheetName val="基本日程"/>
      <sheetName val="日程"/>
      <sheetName val="SCHEDULES"/>
      <sheetName val="画面説明"/>
      <sheetName val="データ①"/>
      <sheetName val="価格"/>
      <sheetName val="FLEET PROVISION"/>
      <sheetName val="??"/>
      <sheetName val="バス"/>
      <sheetName val="FS"/>
      <sheetName val="Attachment"/>
      <sheetName val="（別紙5-1）PP02簡素化"/>
      <sheetName val="AUTO123"/>
      <sheetName val="__"/>
      <sheetName val="セット式"/>
      <sheetName val="6SWRF_W"/>
      <sheetName val="27850"/>
      <sheetName val="諸元まとめ"/>
      <sheetName val="97RAW"/>
      <sheetName val="Book3"/>
      <sheetName val="ヤマトﾓﾆﾀｰ380_20070217_075103_2007"/>
      <sheetName val="現ﾔﾏﾄﾊﾟﾀｰﾝ"/>
      <sheetName val="ﾃﾞｰﾀ  (真)"/>
      <sheetName val="表_数字のみ"/>
      <sheetName val="#REF"/>
      <sheetName val="Pass"/>
      <sheetName val="Sheet3"/>
      <sheetName val="Data"/>
      <sheetName val="Monthly Sales "/>
      <sheetName val="Regional Sales"/>
      <sheetName val="LDT-w Foton"/>
      <sheetName val="MDT-w Foton"/>
      <sheetName val="HDT-w Foton"/>
      <sheetName val="BUS-w Foton"/>
      <sheetName val="Total(Truck &amp; Bus)-w Foton 2019"/>
      <sheetName val="Total(Truck &amp; Bus) w Foton 2018"/>
      <sheetName val="Summary w Foton"/>
      <sheetName val="Monthly Sales per Brand w Foton"/>
      <sheetName val="Monthly Sales Segment w Foton"/>
      <sheetName val="Regional Sales Brand w Foton"/>
      <sheetName val="Regional Sales Segment w Foton"/>
      <sheetName val="03開業BS"/>
      <sheetName val="Overtime Charges"/>
      <sheetName val="B1"/>
      <sheetName val="清单"/>
      <sheetName val="利润表"/>
      <sheetName val="Camera"/>
      <sheetName val="bs_is1"/>
      <sheetName val="bs_monthly1"/>
      <sheetName val="is_monthly1"/>
      <sheetName val="final-graph_1"/>
      <sheetName val="final-graph__(2)1"/>
      <sheetName val="is_monthly_GTM1"/>
      <sheetName val="is_monthly_CVJ1"/>
      <sheetName val="is_actual_budget(ignore)1"/>
      <sheetName val="is_actual_budget21"/>
      <sheetName val="is_actual_budget_GTM(ignore)1"/>
      <sheetName val="is_actual_budget_GTM21"/>
      <sheetName val="is_actual_budget_CVJ(ignore)1"/>
      <sheetName val="is_actual_budget_CVJ_21"/>
      <sheetName val="Miyake_11"/>
      <sheetName val="Miyake_21"/>
      <sheetName val="Miyake_31"/>
      <sheetName val="Sheet1_(2)1"/>
      <sheetName val="is_actual_budget_CVJ1"/>
      <sheetName val="Supplier_Master_IF"/>
      <sheetName val="Net_Price_Position_-_Sheet_1"/>
      <sheetName val="LVC_31RB"/>
      <sheetName val="FLEET_PROVISION"/>
      <sheetName val="A"/>
      <sheetName val="590T並"/>
      <sheetName val="推移"/>
      <sheetName val="検証確認シート"/>
      <sheetName val="Pull down"/>
      <sheetName val="TAM"/>
      <sheetName val="4_AL_CUSTOMER&lt;not_for_print&gt;"/>
      <sheetName val="7_HN_PRODUCTS&lt;not_for_print&gt;"/>
      <sheetName val="5_AL_PRODUCTS&lt;not_for_print&gt;"/>
      <sheetName val="6_HN_CUSTOMER&lt;not_for_print&gt;"/>
      <sheetName val="dyna"/>
      <sheetName val="計画"/>
      <sheetName val="印章"/>
      <sheetName val="BUYOFF 0699"/>
      <sheetName val="Overtime_Charges"/>
      <sheetName val="Pull_down"/>
      <sheetName val="7.CF(Cur)"/>
      <sheetName val="候補部品リスト"/>
      <sheetName val="Sheet14"/>
      <sheetName val="TUNDRA"/>
      <sheetName val="DS "/>
      <sheetName val="395WW売価見積"/>
      <sheetName val="ｺｰﾄﾞ表"/>
      <sheetName val="その他補整の内訳"/>
      <sheetName val="Master"/>
      <sheetName val="บัญชีเครื่องมือวัด_(3)"/>
      <sheetName val="Aug'99 "/>
      <sheetName val="高温放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</sheetNames>
    <sheetDataSet>
      <sheetData sheetId="0">
        <row r="20">
          <cell r="CY20">
            <v>5418</v>
          </cell>
          <cell r="DA20">
            <v>4615</v>
          </cell>
        </row>
        <row r="21">
          <cell r="CY21">
            <v>6527</v>
          </cell>
          <cell r="DA21">
            <v>5351</v>
          </cell>
        </row>
        <row r="22">
          <cell r="CY22">
            <v>6502</v>
          </cell>
          <cell r="DA22">
            <v>5780</v>
          </cell>
        </row>
        <row r="23">
          <cell r="CY23">
            <v>6477</v>
          </cell>
          <cell r="DA23">
            <v>6133</v>
          </cell>
        </row>
        <row r="24">
          <cell r="CY24">
            <v>6846</v>
          </cell>
          <cell r="DA24">
            <v>7352</v>
          </cell>
        </row>
        <row r="25">
          <cell r="CY25">
            <v>6826</v>
          </cell>
          <cell r="DA25">
            <v>7497</v>
          </cell>
        </row>
        <row r="26">
          <cell r="CY26">
            <v>6661</v>
          </cell>
          <cell r="DA26">
            <v>8712</v>
          </cell>
        </row>
        <row r="27">
          <cell r="CY27">
            <v>6555</v>
          </cell>
          <cell r="DA27">
            <v>8269</v>
          </cell>
        </row>
        <row r="28">
          <cell r="CY28">
            <v>6164</v>
          </cell>
          <cell r="DA28">
            <v>7507</v>
          </cell>
        </row>
        <row r="29">
          <cell r="CY29">
            <v>5813</v>
          </cell>
          <cell r="DA29">
            <v>6397</v>
          </cell>
        </row>
        <row r="30">
          <cell r="CY30">
            <v>5246</v>
          </cell>
          <cell r="DA30">
            <v>6101</v>
          </cell>
        </row>
        <row r="31">
          <cell r="CY31">
            <v>4815</v>
          </cell>
          <cell r="DA31">
            <v>6246</v>
          </cell>
        </row>
        <row r="32">
          <cell r="CY32">
            <v>4153</v>
          </cell>
          <cell r="DA32">
            <v>6691</v>
          </cell>
        </row>
        <row r="33">
          <cell r="CY33">
            <v>4011</v>
          </cell>
          <cell r="DA33">
            <v>6382</v>
          </cell>
        </row>
        <row r="34">
          <cell r="CY34">
            <v>3713</v>
          </cell>
          <cell r="DA34">
            <v>5583</v>
          </cell>
        </row>
        <row r="35">
          <cell r="CY35">
            <v>3126</v>
          </cell>
          <cell r="DA35">
            <v>5162</v>
          </cell>
          <cell r="DC35">
            <v>84</v>
          </cell>
          <cell r="DD35">
            <v>85</v>
          </cell>
          <cell r="DE35">
            <v>86</v>
          </cell>
          <cell r="DF35">
            <v>87</v>
          </cell>
          <cell r="DG35">
            <v>88</v>
          </cell>
          <cell r="DH35">
            <v>89</v>
          </cell>
          <cell r="DI35">
            <v>90</v>
          </cell>
          <cell r="DJ35">
            <v>91</v>
          </cell>
          <cell r="DK35">
            <v>92</v>
          </cell>
          <cell r="DL35">
            <v>93</v>
          </cell>
          <cell r="DM35">
            <v>94</v>
          </cell>
          <cell r="DN35">
            <v>95</v>
          </cell>
          <cell r="DO35">
            <v>96</v>
          </cell>
          <cell r="DP35">
            <v>97</v>
          </cell>
          <cell r="DQ35">
            <v>98</v>
          </cell>
          <cell r="DR35">
            <v>99</v>
          </cell>
          <cell r="DS35" t="str">
            <v>00</v>
          </cell>
          <cell r="DT35" t="str">
            <v>01</v>
          </cell>
          <cell r="DU35" t="str">
            <v>02</v>
          </cell>
          <cell r="DV35" t="str">
            <v>03</v>
          </cell>
          <cell r="DW35" t="str">
            <v>04</v>
          </cell>
          <cell r="DX35" t="str">
            <v>05</v>
          </cell>
          <cell r="DY35" t="str">
            <v>06</v>
          </cell>
          <cell r="DZ35" t="str">
            <v>07</v>
          </cell>
          <cell r="EA35" t="str">
            <v>08</v>
          </cell>
          <cell r="EB35" t="str">
            <v>09</v>
          </cell>
          <cell r="EC35" t="str">
            <v>10</v>
          </cell>
        </row>
        <row r="36">
          <cell r="CY36">
            <v>2903</v>
          </cell>
          <cell r="DA36">
            <v>5268</v>
          </cell>
        </row>
        <row r="37">
          <cell r="CY37">
            <v>2900</v>
          </cell>
          <cell r="DA37">
            <v>5300</v>
          </cell>
        </row>
        <row r="38">
          <cell r="CY38">
            <v>2900</v>
          </cell>
          <cell r="DA38">
            <v>5300</v>
          </cell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  <row r="39">
          <cell r="CY39">
            <v>2900</v>
          </cell>
          <cell r="DA39">
            <v>5300</v>
          </cell>
        </row>
        <row r="40">
          <cell r="CY40">
            <v>2900</v>
          </cell>
          <cell r="DA40">
            <v>5300</v>
          </cell>
        </row>
        <row r="41">
          <cell r="CY41">
            <v>2900</v>
          </cell>
          <cell r="DA41">
            <v>5300</v>
          </cell>
        </row>
        <row r="42">
          <cell r="CY42">
            <v>2900</v>
          </cell>
          <cell r="DA42">
            <v>5300</v>
          </cell>
        </row>
        <row r="43">
          <cell r="CY43">
            <v>2900</v>
          </cell>
          <cell r="DA43">
            <v>5300</v>
          </cell>
        </row>
        <row r="44">
          <cell r="CY44">
            <v>2900</v>
          </cell>
          <cell r="DA44">
            <v>5300</v>
          </cell>
        </row>
        <row r="45">
          <cell r="CY45">
            <v>2900</v>
          </cell>
          <cell r="DA45">
            <v>5300</v>
          </cell>
        </row>
        <row r="46">
          <cell r="CY46">
            <v>2900</v>
          </cell>
          <cell r="DA46">
            <v>5300</v>
          </cell>
        </row>
        <row r="66">
          <cell r="C66">
            <v>874</v>
          </cell>
        </row>
        <row r="67">
          <cell r="C67">
            <v>1074</v>
          </cell>
        </row>
        <row r="68">
          <cell r="C68">
            <v>1235</v>
          </cell>
        </row>
        <row r="69">
          <cell r="C69">
            <v>1592</v>
          </cell>
        </row>
        <row r="70">
          <cell r="C70">
            <v>1870</v>
          </cell>
        </row>
        <row r="71">
          <cell r="C71">
            <v>2117</v>
          </cell>
        </row>
        <row r="72">
          <cell r="C72">
            <v>1859</v>
          </cell>
        </row>
        <row r="73">
          <cell r="C73">
            <v>2149</v>
          </cell>
        </row>
        <row r="74">
          <cell r="C74">
            <v>2542</v>
          </cell>
        </row>
        <row r="75">
          <cell r="C75">
            <v>2725</v>
          </cell>
        </row>
        <row r="76">
          <cell r="C76">
            <v>2501</v>
          </cell>
        </row>
        <row r="77">
          <cell r="C77">
            <v>2493</v>
          </cell>
        </row>
        <row r="78">
          <cell r="C78">
            <v>2541</v>
          </cell>
        </row>
        <row r="79">
          <cell r="C79">
            <v>2707</v>
          </cell>
        </row>
        <row r="80">
          <cell r="C80">
            <v>2154</v>
          </cell>
        </row>
        <row r="81">
          <cell r="C81">
            <v>2300</v>
          </cell>
        </row>
        <row r="82">
          <cell r="C82">
            <v>2301</v>
          </cell>
        </row>
        <row r="83">
          <cell r="C83">
            <v>2370</v>
          </cell>
        </row>
        <row r="84">
          <cell r="C84">
            <v>2320</v>
          </cell>
        </row>
        <row r="85">
          <cell r="C85">
            <v>2332</v>
          </cell>
        </row>
        <row r="86">
          <cell r="C86">
            <v>2310</v>
          </cell>
        </row>
        <row r="87">
          <cell r="C87">
            <v>2503</v>
          </cell>
        </row>
        <row r="88">
          <cell r="C88">
            <v>2426</v>
          </cell>
        </row>
        <row r="89">
          <cell r="C89">
            <v>2020</v>
          </cell>
        </row>
        <row r="90">
          <cell r="C90">
            <v>1692</v>
          </cell>
        </row>
        <row r="91">
          <cell r="C91">
            <v>1673</v>
          </cell>
        </row>
        <row r="92">
          <cell r="C92">
            <v>1735</v>
          </cell>
        </row>
        <row r="93">
          <cell r="C93">
            <v>1777</v>
          </cell>
        </row>
        <row r="94">
          <cell r="C94">
            <v>1419</v>
          </cell>
        </row>
        <row r="95">
          <cell r="C95">
            <v>1324</v>
          </cell>
        </row>
        <row r="96">
          <cell r="C96">
            <v>1289</v>
          </cell>
        </row>
        <row r="97">
          <cell r="C97">
            <v>1399</v>
          </cell>
        </row>
        <row r="98">
          <cell r="C98">
            <v>1330</v>
          </cell>
        </row>
        <row r="99">
          <cell r="C99">
            <v>1260</v>
          </cell>
        </row>
        <row r="100">
          <cell r="C100">
            <v>1190</v>
          </cell>
        </row>
        <row r="101">
          <cell r="C101">
            <v>1120</v>
          </cell>
        </row>
        <row r="102">
          <cell r="C102">
            <v>1050</v>
          </cell>
        </row>
        <row r="103">
          <cell r="C103">
            <v>1000</v>
          </cell>
        </row>
        <row r="104">
          <cell r="C104">
            <v>1000</v>
          </cell>
        </row>
        <row r="105">
          <cell r="C105">
            <v>1000</v>
          </cell>
        </row>
        <row r="106">
          <cell r="C106">
            <v>1000</v>
          </cell>
        </row>
        <row r="107">
          <cell r="C107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7025-061C-4C7B-AC4D-0C0EE75A6B07}">
  <sheetPr>
    <tabColor theme="6"/>
    <pageSetUpPr fitToPage="1"/>
  </sheetPr>
  <dimension ref="A1:V372"/>
  <sheetViews>
    <sheetView view="pageBreakPreview" zoomScaleNormal="100" zoomScaleSheetLayoutView="100" workbookViewId="0">
      <selection activeCell="A3" sqref="A3"/>
    </sheetView>
  </sheetViews>
  <sheetFormatPr defaultRowHeight="11.25"/>
  <cols>
    <col min="1" max="1" width="16.25" style="3" customWidth="1"/>
    <col min="2" max="2" width="4.625" style="3" bestFit="1" customWidth="1"/>
    <col min="3" max="3" width="26.875" style="3" customWidth="1"/>
    <col min="4" max="4" width="12.75" style="3" bestFit="1" customWidth="1"/>
    <col min="5" max="5" width="8.625" style="3" bestFit="1" customWidth="1"/>
    <col min="6" max="6" width="8.5" style="3" bestFit="1" customWidth="1"/>
    <col min="7" max="7" width="10.625" style="3" bestFit="1" customWidth="1"/>
    <col min="8" max="8" width="10" style="3" bestFit="1" customWidth="1"/>
    <col min="9" max="9" width="12.5" style="3" bestFit="1" customWidth="1"/>
    <col min="10" max="10" width="7.125" style="3" customWidth="1"/>
    <col min="11" max="11" width="9.875" style="3" customWidth="1"/>
    <col min="12" max="12" width="10.75" style="3" customWidth="1"/>
    <col min="13" max="13" width="9.75" style="3" bestFit="1" customWidth="1"/>
    <col min="14" max="14" width="6.125" style="3" customWidth="1"/>
    <col min="15" max="15" width="9.5" style="3" bestFit="1" customWidth="1"/>
    <col min="16" max="16" width="7.75" style="3" customWidth="1"/>
    <col min="17" max="17" width="17.125" style="3" bestFit="1" customWidth="1"/>
    <col min="18" max="18" width="16.25" style="3" bestFit="1" customWidth="1"/>
    <col min="19" max="19" width="11.375" style="3" bestFit="1" customWidth="1"/>
    <col min="20" max="20" width="9.625" style="3" customWidth="1"/>
    <col min="21" max="21" width="13.25" style="3" bestFit="1" customWidth="1"/>
    <col min="22" max="22" width="9.625" style="10" customWidth="1"/>
    <col min="23" max="256" width="9" style="3"/>
    <col min="257" max="257" width="16.25" style="3" customWidth="1"/>
    <col min="258" max="258" width="4.625" style="3" bestFit="1" customWidth="1"/>
    <col min="259" max="259" width="26.875" style="3" customWidth="1"/>
    <col min="260" max="260" width="12.75" style="3" bestFit="1" customWidth="1"/>
    <col min="261" max="261" width="8.625" style="3" bestFit="1" customWidth="1"/>
    <col min="262" max="262" width="8.5" style="3" bestFit="1" customWidth="1"/>
    <col min="263" max="263" width="10.625" style="3" bestFit="1" customWidth="1"/>
    <col min="264" max="264" width="10" style="3" bestFit="1" customWidth="1"/>
    <col min="265" max="265" width="12.5" style="3" bestFit="1" customWidth="1"/>
    <col min="266" max="266" width="7.125" style="3" customWidth="1"/>
    <col min="267" max="267" width="9.875" style="3" customWidth="1"/>
    <col min="268" max="268" width="10.75" style="3" customWidth="1"/>
    <col min="269" max="269" width="9.75" style="3" bestFit="1" customWidth="1"/>
    <col min="270" max="270" width="6.125" style="3" customWidth="1"/>
    <col min="271" max="271" width="9.5" style="3" bestFit="1" customWidth="1"/>
    <col min="272" max="272" width="7.75" style="3" customWidth="1"/>
    <col min="273" max="273" width="17.125" style="3" bestFit="1" customWidth="1"/>
    <col min="274" max="274" width="16.25" style="3" bestFit="1" customWidth="1"/>
    <col min="275" max="275" width="11.375" style="3" bestFit="1" customWidth="1"/>
    <col min="276" max="276" width="9.625" style="3" customWidth="1"/>
    <col min="277" max="277" width="13.25" style="3" bestFit="1" customWidth="1"/>
    <col min="278" max="278" width="9.625" style="3" customWidth="1"/>
    <col min="279" max="512" width="9" style="3"/>
    <col min="513" max="513" width="16.25" style="3" customWidth="1"/>
    <col min="514" max="514" width="4.625" style="3" bestFit="1" customWidth="1"/>
    <col min="515" max="515" width="26.875" style="3" customWidth="1"/>
    <col min="516" max="516" width="12.75" style="3" bestFit="1" customWidth="1"/>
    <col min="517" max="517" width="8.625" style="3" bestFit="1" customWidth="1"/>
    <col min="518" max="518" width="8.5" style="3" bestFit="1" customWidth="1"/>
    <col min="519" max="519" width="10.625" style="3" bestFit="1" customWidth="1"/>
    <col min="520" max="520" width="10" style="3" bestFit="1" customWidth="1"/>
    <col min="521" max="521" width="12.5" style="3" bestFit="1" customWidth="1"/>
    <col min="522" max="522" width="7.125" style="3" customWidth="1"/>
    <col min="523" max="523" width="9.875" style="3" customWidth="1"/>
    <col min="524" max="524" width="10.75" style="3" customWidth="1"/>
    <col min="525" max="525" width="9.75" style="3" bestFit="1" customWidth="1"/>
    <col min="526" max="526" width="6.125" style="3" customWidth="1"/>
    <col min="527" max="527" width="9.5" style="3" bestFit="1" customWidth="1"/>
    <col min="528" max="528" width="7.75" style="3" customWidth="1"/>
    <col min="529" max="529" width="17.125" style="3" bestFit="1" customWidth="1"/>
    <col min="530" max="530" width="16.25" style="3" bestFit="1" customWidth="1"/>
    <col min="531" max="531" width="11.375" style="3" bestFit="1" customWidth="1"/>
    <col min="532" max="532" width="9.625" style="3" customWidth="1"/>
    <col min="533" max="533" width="13.25" style="3" bestFit="1" customWidth="1"/>
    <col min="534" max="534" width="9.625" style="3" customWidth="1"/>
    <col min="535" max="768" width="9" style="3"/>
    <col min="769" max="769" width="16.25" style="3" customWidth="1"/>
    <col min="770" max="770" width="4.625" style="3" bestFit="1" customWidth="1"/>
    <col min="771" max="771" width="26.875" style="3" customWidth="1"/>
    <col min="772" max="772" width="12.75" style="3" bestFit="1" customWidth="1"/>
    <col min="773" max="773" width="8.625" style="3" bestFit="1" customWidth="1"/>
    <col min="774" max="774" width="8.5" style="3" bestFit="1" customWidth="1"/>
    <col min="775" max="775" width="10.625" style="3" bestFit="1" customWidth="1"/>
    <col min="776" max="776" width="10" style="3" bestFit="1" customWidth="1"/>
    <col min="777" max="777" width="12.5" style="3" bestFit="1" customWidth="1"/>
    <col min="778" max="778" width="7.125" style="3" customWidth="1"/>
    <col min="779" max="779" width="9.875" style="3" customWidth="1"/>
    <col min="780" max="780" width="10.75" style="3" customWidth="1"/>
    <col min="781" max="781" width="9.75" style="3" bestFit="1" customWidth="1"/>
    <col min="782" max="782" width="6.125" style="3" customWidth="1"/>
    <col min="783" max="783" width="9.5" style="3" bestFit="1" customWidth="1"/>
    <col min="784" max="784" width="7.75" style="3" customWidth="1"/>
    <col min="785" max="785" width="17.125" style="3" bestFit="1" customWidth="1"/>
    <col min="786" max="786" width="16.25" style="3" bestFit="1" customWidth="1"/>
    <col min="787" max="787" width="11.375" style="3" bestFit="1" customWidth="1"/>
    <col min="788" max="788" width="9.625" style="3" customWidth="1"/>
    <col min="789" max="789" width="13.25" style="3" bestFit="1" customWidth="1"/>
    <col min="790" max="790" width="9.625" style="3" customWidth="1"/>
    <col min="791" max="1024" width="9" style="3"/>
    <col min="1025" max="1025" width="16.25" style="3" customWidth="1"/>
    <col min="1026" max="1026" width="4.625" style="3" bestFit="1" customWidth="1"/>
    <col min="1027" max="1027" width="26.875" style="3" customWidth="1"/>
    <col min="1028" max="1028" width="12.75" style="3" bestFit="1" customWidth="1"/>
    <col min="1029" max="1029" width="8.625" style="3" bestFit="1" customWidth="1"/>
    <col min="1030" max="1030" width="8.5" style="3" bestFit="1" customWidth="1"/>
    <col min="1031" max="1031" width="10.625" style="3" bestFit="1" customWidth="1"/>
    <col min="1032" max="1032" width="10" style="3" bestFit="1" customWidth="1"/>
    <col min="1033" max="1033" width="12.5" style="3" bestFit="1" customWidth="1"/>
    <col min="1034" max="1034" width="7.125" style="3" customWidth="1"/>
    <col min="1035" max="1035" width="9.875" style="3" customWidth="1"/>
    <col min="1036" max="1036" width="10.75" style="3" customWidth="1"/>
    <col min="1037" max="1037" width="9.75" style="3" bestFit="1" customWidth="1"/>
    <col min="1038" max="1038" width="6.125" style="3" customWidth="1"/>
    <col min="1039" max="1039" width="9.5" style="3" bestFit="1" customWidth="1"/>
    <col min="1040" max="1040" width="7.75" style="3" customWidth="1"/>
    <col min="1041" max="1041" width="17.125" style="3" bestFit="1" customWidth="1"/>
    <col min="1042" max="1042" width="16.25" style="3" bestFit="1" customWidth="1"/>
    <col min="1043" max="1043" width="11.375" style="3" bestFit="1" customWidth="1"/>
    <col min="1044" max="1044" width="9.625" style="3" customWidth="1"/>
    <col min="1045" max="1045" width="13.25" style="3" bestFit="1" customWidth="1"/>
    <col min="1046" max="1046" width="9.625" style="3" customWidth="1"/>
    <col min="1047" max="1280" width="9" style="3"/>
    <col min="1281" max="1281" width="16.25" style="3" customWidth="1"/>
    <col min="1282" max="1282" width="4.625" style="3" bestFit="1" customWidth="1"/>
    <col min="1283" max="1283" width="26.875" style="3" customWidth="1"/>
    <col min="1284" max="1284" width="12.75" style="3" bestFit="1" customWidth="1"/>
    <col min="1285" max="1285" width="8.625" style="3" bestFit="1" customWidth="1"/>
    <col min="1286" max="1286" width="8.5" style="3" bestFit="1" customWidth="1"/>
    <col min="1287" max="1287" width="10.625" style="3" bestFit="1" customWidth="1"/>
    <col min="1288" max="1288" width="10" style="3" bestFit="1" customWidth="1"/>
    <col min="1289" max="1289" width="12.5" style="3" bestFit="1" customWidth="1"/>
    <col min="1290" max="1290" width="7.125" style="3" customWidth="1"/>
    <col min="1291" max="1291" width="9.875" style="3" customWidth="1"/>
    <col min="1292" max="1292" width="10.75" style="3" customWidth="1"/>
    <col min="1293" max="1293" width="9.75" style="3" bestFit="1" customWidth="1"/>
    <col min="1294" max="1294" width="6.125" style="3" customWidth="1"/>
    <col min="1295" max="1295" width="9.5" style="3" bestFit="1" customWidth="1"/>
    <col min="1296" max="1296" width="7.75" style="3" customWidth="1"/>
    <col min="1297" max="1297" width="17.125" style="3" bestFit="1" customWidth="1"/>
    <col min="1298" max="1298" width="16.25" style="3" bestFit="1" customWidth="1"/>
    <col min="1299" max="1299" width="11.375" style="3" bestFit="1" customWidth="1"/>
    <col min="1300" max="1300" width="9.625" style="3" customWidth="1"/>
    <col min="1301" max="1301" width="13.25" style="3" bestFit="1" customWidth="1"/>
    <col min="1302" max="1302" width="9.625" style="3" customWidth="1"/>
    <col min="1303" max="1536" width="9" style="3"/>
    <col min="1537" max="1537" width="16.25" style="3" customWidth="1"/>
    <col min="1538" max="1538" width="4.625" style="3" bestFit="1" customWidth="1"/>
    <col min="1539" max="1539" width="26.875" style="3" customWidth="1"/>
    <col min="1540" max="1540" width="12.75" style="3" bestFit="1" customWidth="1"/>
    <col min="1541" max="1541" width="8.625" style="3" bestFit="1" customWidth="1"/>
    <col min="1542" max="1542" width="8.5" style="3" bestFit="1" customWidth="1"/>
    <col min="1543" max="1543" width="10.625" style="3" bestFit="1" customWidth="1"/>
    <col min="1544" max="1544" width="10" style="3" bestFit="1" customWidth="1"/>
    <col min="1545" max="1545" width="12.5" style="3" bestFit="1" customWidth="1"/>
    <col min="1546" max="1546" width="7.125" style="3" customWidth="1"/>
    <col min="1547" max="1547" width="9.875" style="3" customWidth="1"/>
    <col min="1548" max="1548" width="10.75" style="3" customWidth="1"/>
    <col min="1549" max="1549" width="9.75" style="3" bestFit="1" customWidth="1"/>
    <col min="1550" max="1550" width="6.125" style="3" customWidth="1"/>
    <col min="1551" max="1551" width="9.5" style="3" bestFit="1" customWidth="1"/>
    <col min="1552" max="1552" width="7.75" style="3" customWidth="1"/>
    <col min="1553" max="1553" width="17.125" style="3" bestFit="1" customWidth="1"/>
    <col min="1554" max="1554" width="16.25" style="3" bestFit="1" customWidth="1"/>
    <col min="1555" max="1555" width="11.375" style="3" bestFit="1" customWidth="1"/>
    <col min="1556" max="1556" width="9.625" style="3" customWidth="1"/>
    <col min="1557" max="1557" width="13.25" style="3" bestFit="1" customWidth="1"/>
    <col min="1558" max="1558" width="9.625" style="3" customWidth="1"/>
    <col min="1559" max="1792" width="9" style="3"/>
    <col min="1793" max="1793" width="16.25" style="3" customWidth="1"/>
    <col min="1794" max="1794" width="4.625" style="3" bestFit="1" customWidth="1"/>
    <col min="1795" max="1795" width="26.875" style="3" customWidth="1"/>
    <col min="1796" max="1796" width="12.75" style="3" bestFit="1" customWidth="1"/>
    <col min="1797" max="1797" width="8.625" style="3" bestFit="1" customWidth="1"/>
    <col min="1798" max="1798" width="8.5" style="3" bestFit="1" customWidth="1"/>
    <col min="1799" max="1799" width="10.625" style="3" bestFit="1" customWidth="1"/>
    <col min="1800" max="1800" width="10" style="3" bestFit="1" customWidth="1"/>
    <col min="1801" max="1801" width="12.5" style="3" bestFit="1" customWidth="1"/>
    <col min="1802" max="1802" width="7.125" style="3" customWidth="1"/>
    <col min="1803" max="1803" width="9.875" style="3" customWidth="1"/>
    <col min="1804" max="1804" width="10.75" style="3" customWidth="1"/>
    <col min="1805" max="1805" width="9.75" style="3" bestFit="1" customWidth="1"/>
    <col min="1806" max="1806" width="6.125" style="3" customWidth="1"/>
    <col min="1807" max="1807" width="9.5" style="3" bestFit="1" customWidth="1"/>
    <col min="1808" max="1808" width="7.75" style="3" customWidth="1"/>
    <col min="1809" max="1809" width="17.125" style="3" bestFit="1" customWidth="1"/>
    <col min="1810" max="1810" width="16.25" style="3" bestFit="1" customWidth="1"/>
    <col min="1811" max="1811" width="11.375" style="3" bestFit="1" customWidth="1"/>
    <col min="1812" max="1812" width="9.625" style="3" customWidth="1"/>
    <col min="1813" max="1813" width="13.25" style="3" bestFit="1" customWidth="1"/>
    <col min="1814" max="1814" width="9.625" style="3" customWidth="1"/>
    <col min="1815" max="2048" width="9" style="3"/>
    <col min="2049" max="2049" width="16.25" style="3" customWidth="1"/>
    <col min="2050" max="2050" width="4.625" style="3" bestFit="1" customWidth="1"/>
    <col min="2051" max="2051" width="26.875" style="3" customWidth="1"/>
    <col min="2052" max="2052" width="12.75" style="3" bestFit="1" customWidth="1"/>
    <col min="2053" max="2053" width="8.625" style="3" bestFit="1" customWidth="1"/>
    <col min="2054" max="2054" width="8.5" style="3" bestFit="1" customWidth="1"/>
    <col min="2055" max="2055" width="10.625" style="3" bestFit="1" customWidth="1"/>
    <col min="2056" max="2056" width="10" style="3" bestFit="1" customWidth="1"/>
    <col min="2057" max="2057" width="12.5" style="3" bestFit="1" customWidth="1"/>
    <col min="2058" max="2058" width="7.125" style="3" customWidth="1"/>
    <col min="2059" max="2059" width="9.875" style="3" customWidth="1"/>
    <col min="2060" max="2060" width="10.75" style="3" customWidth="1"/>
    <col min="2061" max="2061" width="9.75" style="3" bestFit="1" customWidth="1"/>
    <col min="2062" max="2062" width="6.125" style="3" customWidth="1"/>
    <col min="2063" max="2063" width="9.5" style="3" bestFit="1" customWidth="1"/>
    <col min="2064" max="2064" width="7.75" style="3" customWidth="1"/>
    <col min="2065" max="2065" width="17.125" style="3" bestFit="1" customWidth="1"/>
    <col min="2066" max="2066" width="16.25" style="3" bestFit="1" customWidth="1"/>
    <col min="2067" max="2067" width="11.375" style="3" bestFit="1" customWidth="1"/>
    <col min="2068" max="2068" width="9.625" style="3" customWidth="1"/>
    <col min="2069" max="2069" width="13.25" style="3" bestFit="1" customWidth="1"/>
    <col min="2070" max="2070" width="9.625" style="3" customWidth="1"/>
    <col min="2071" max="2304" width="9" style="3"/>
    <col min="2305" max="2305" width="16.25" style="3" customWidth="1"/>
    <col min="2306" max="2306" width="4.625" style="3" bestFit="1" customWidth="1"/>
    <col min="2307" max="2307" width="26.875" style="3" customWidth="1"/>
    <col min="2308" max="2308" width="12.75" style="3" bestFit="1" customWidth="1"/>
    <col min="2309" max="2309" width="8.625" style="3" bestFit="1" customWidth="1"/>
    <col min="2310" max="2310" width="8.5" style="3" bestFit="1" customWidth="1"/>
    <col min="2311" max="2311" width="10.625" style="3" bestFit="1" customWidth="1"/>
    <col min="2312" max="2312" width="10" style="3" bestFit="1" customWidth="1"/>
    <col min="2313" max="2313" width="12.5" style="3" bestFit="1" customWidth="1"/>
    <col min="2314" max="2314" width="7.125" style="3" customWidth="1"/>
    <col min="2315" max="2315" width="9.875" style="3" customWidth="1"/>
    <col min="2316" max="2316" width="10.75" style="3" customWidth="1"/>
    <col min="2317" max="2317" width="9.75" style="3" bestFit="1" customWidth="1"/>
    <col min="2318" max="2318" width="6.125" style="3" customWidth="1"/>
    <col min="2319" max="2319" width="9.5" style="3" bestFit="1" customWidth="1"/>
    <col min="2320" max="2320" width="7.75" style="3" customWidth="1"/>
    <col min="2321" max="2321" width="17.125" style="3" bestFit="1" customWidth="1"/>
    <col min="2322" max="2322" width="16.25" style="3" bestFit="1" customWidth="1"/>
    <col min="2323" max="2323" width="11.375" style="3" bestFit="1" customWidth="1"/>
    <col min="2324" max="2324" width="9.625" style="3" customWidth="1"/>
    <col min="2325" max="2325" width="13.25" style="3" bestFit="1" customWidth="1"/>
    <col min="2326" max="2326" width="9.625" style="3" customWidth="1"/>
    <col min="2327" max="2560" width="9" style="3"/>
    <col min="2561" max="2561" width="16.25" style="3" customWidth="1"/>
    <col min="2562" max="2562" width="4.625" style="3" bestFit="1" customWidth="1"/>
    <col min="2563" max="2563" width="26.875" style="3" customWidth="1"/>
    <col min="2564" max="2564" width="12.75" style="3" bestFit="1" customWidth="1"/>
    <col min="2565" max="2565" width="8.625" style="3" bestFit="1" customWidth="1"/>
    <col min="2566" max="2566" width="8.5" style="3" bestFit="1" customWidth="1"/>
    <col min="2567" max="2567" width="10.625" style="3" bestFit="1" customWidth="1"/>
    <col min="2568" max="2568" width="10" style="3" bestFit="1" customWidth="1"/>
    <col min="2569" max="2569" width="12.5" style="3" bestFit="1" customWidth="1"/>
    <col min="2570" max="2570" width="7.125" style="3" customWidth="1"/>
    <col min="2571" max="2571" width="9.875" style="3" customWidth="1"/>
    <col min="2572" max="2572" width="10.75" style="3" customWidth="1"/>
    <col min="2573" max="2573" width="9.75" style="3" bestFit="1" customWidth="1"/>
    <col min="2574" max="2574" width="6.125" style="3" customWidth="1"/>
    <col min="2575" max="2575" width="9.5" style="3" bestFit="1" customWidth="1"/>
    <col min="2576" max="2576" width="7.75" style="3" customWidth="1"/>
    <col min="2577" max="2577" width="17.125" style="3" bestFit="1" customWidth="1"/>
    <col min="2578" max="2578" width="16.25" style="3" bestFit="1" customWidth="1"/>
    <col min="2579" max="2579" width="11.375" style="3" bestFit="1" customWidth="1"/>
    <col min="2580" max="2580" width="9.625" style="3" customWidth="1"/>
    <col min="2581" max="2581" width="13.25" style="3" bestFit="1" customWidth="1"/>
    <col min="2582" max="2582" width="9.625" style="3" customWidth="1"/>
    <col min="2583" max="2816" width="9" style="3"/>
    <col min="2817" max="2817" width="16.25" style="3" customWidth="1"/>
    <col min="2818" max="2818" width="4.625" style="3" bestFit="1" customWidth="1"/>
    <col min="2819" max="2819" width="26.875" style="3" customWidth="1"/>
    <col min="2820" max="2820" width="12.75" style="3" bestFit="1" customWidth="1"/>
    <col min="2821" max="2821" width="8.625" style="3" bestFit="1" customWidth="1"/>
    <col min="2822" max="2822" width="8.5" style="3" bestFit="1" customWidth="1"/>
    <col min="2823" max="2823" width="10.625" style="3" bestFit="1" customWidth="1"/>
    <col min="2824" max="2824" width="10" style="3" bestFit="1" customWidth="1"/>
    <col min="2825" max="2825" width="12.5" style="3" bestFit="1" customWidth="1"/>
    <col min="2826" max="2826" width="7.125" style="3" customWidth="1"/>
    <col min="2827" max="2827" width="9.875" style="3" customWidth="1"/>
    <col min="2828" max="2828" width="10.75" style="3" customWidth="1"/>
    <col min="2829" max="2829" width="9.75" style="3" bestFit="1" customWidth="1"/>
    <col min="2830" max="2830" width="6.125" style="3" customWidth="1"/>
    <col min="2831" max="2831" width="9.5" style="3" bestFit="1" customWidth="1"/>
    <col min="2832" max="2832" width="7.75" style="3" customWidth="1"/>
    <col min="2833" max="2833" width="17.125" style="3" bestFit="1" customWidth="1"/>
    <col min="2834" max="2834" width="16.25" style="3" bestFit="1" customWidth="1"/>
    <col min="2835" max="2835" width="11.375" style="3" bestFit="1" customWidth="1"/>
    <col min="2836" max="2836" width="9.625" style="3" customWidth="1"/>
    <col min="2837" max="2837" width="13.25" style="3" bestFit="1" customWidth="1"/>
    <col min="2838" max="2838" width="9.625" style="3" customWidth="1"/>
    <col min="2839" max="3072" width="9" style="3"/>
    <col min="3073" max="3073" width="16.25" style="3" customWidth="1"/>
    <col min="3074" max="3074" width="4.625" style="3" bestFit="1" customWidth="1"/>
    <col min="3075" max="3075" width="26.875" style="3" customWidth="1"/>
    <col min="3076" max="3076" width="12.75" style="3" bestFit="1" customWidth="1"/>
    <col min="3077" max="3077" width="8.625" style="3" bestFit="1" customWidth="1"/>
    <col min="3078" max="3078" width="8.5" style="3" bestFit="1" customWidth="1"/>
    <col min="3079" max="3079" width="10.625" style="3" bestFit="1" customWidth="1"/>
    <col min="3080" max="3080" width="10" style="3" bestFit="1" customWidth="1"/>
    <col min="3081" max="3081" width="12.5" style="3" bestFit="1" customWidth="1"/>
    <col min="3082" max="3082" width="7.125" style="3" customWidth="1"/>
    <col min="3083" max="3083" width="9.875" style="3" customWidth="1"/>
    <col min="3084" max="3084" width="10.75" style="3" customWidth="1"/>
    <col min="3085" max="3085" width="9.75" style="3" bestFit="1" customWidth="1"/>
    <col min="3086" max="3086" width="6.125" style="3" customWidth="1"/>
    <col min="3087" max="3087" width="9.5" style="3" bestFit="1" customWidth="1"/>
    <col min="3088" max="3088" width="7.75" style="3" customWidth="1"/>
    <col min="3089" max="3089" width="17.125" style="3" bestFit="1" customWidth="1"/>
    <col min="3090" max="3090" width="16.25" style="3" bestFit="1" customWidth="1"/>
    <col min="3091" max="3091" width="11.375" style="3" bestFit="1" customWidth="1"/>
    <col min="3092" max="3092" width="9.625" style="3" customWidth="1"/>
    <col min="3093" max="3093" width="13.25" style="3" bestFit="1" customWidth="1"/>
    <col min="3094" max="3094" width="9.625" style="3" customWidth="1"/>
    <col min="3095" max="3328" width="9" style="3"/>
    <col min="3329" max="3329" width="16.25" style="3" customWidth="1"/>
    <col min="3330" max="3330" width="4.625" style="3" bestFit="1" customWidth="1"/>
    <col min="3331" max="3331" width="26.875" style="3" customWidth="1"/>
    <col min="3332" max="3332" width="12.75" style="3" bestFit="1" customWidth="1"/>
    <col min="3333" max="3333" width="8.625" style="3" bestFit="1" customWidth="1"/>
    <col min="3334" max="3334" width="8.5" style="3" bestFit="1" customWidth="1"/>
    <col min="3335" max="3335" width="10.625" style="3" bestFit="1" customWidth="1"/>
    <col min="3336" max="3336" width="10" style="3" bestFit="1" customWidth="1"/>
    <col min="3337" max="3337" width="12.5" style="3" bestFit="1" customWidth="1"/>
    <col min="3338" max="3338" width="7.125" style="3" customWidth="1"/>
    <col min="3339" max="3339" width="9.875" style="3" customWidth="1"/>
    <col min="3340" max="3340" width="10.75" style="3" customWidth="1"/>
    <col min="3341" max="3341" width="9.75" style="3" bestFit="1" customWidth="1"/>
    <col min="3342" max="3342" width="6.125" style="3" customWidth="1"/>
    <col min="3343" max="3343" width="9.5" style="3" bestFit="1" customWidth="1"/>
    <col min="3344" max="3344" width="7.75" style="3" customWidth="1"/>
    <col min="3345" max="3345" width="17.125" style="3" bestFit="1" customWidth="1"/>
    <col min="3346" max="3346" width="16.25" style="3" bestFit="1" customWidth="1"/>
    <col min="3347" max="3347" width="11.375" style="3" bestFit="1" customWidth="1"/>
    <col min="3348" max="3348" width="9.625" style="3" customWidth="1"/>
    <col min="3349" max="3349" width="13.25" style="3" bestFit="1" customWidth="1"/>
    <col min="3350" max="3350" width="9.625" style="3" customWidth="1"/>
    <col min="3351" max="3584" width="9" style="3"/>
    <col min="3585" max="3585" width="16.25" style="3" customWidth="1"/>
    <col min="3586" max="3586" width="4.625" style="3" bestFit="1" customWidth="1"/>
    <col min="3587" max="3587" width="26.875" style="3" customWidth="1"/>
    <col min="3588" max="3588" width="12.75" style="3" bestFit="1" customWidth="1"/>
    <col min="3589" max="3589" width="8.625" style="3" bestFit="1" customWidth="1"/>
    <col min="3590" max="3590" width="8.5" style="3" bestFit="1" customWidth="1"/>
    <col min="3591" max="3591" width="10.625" style="3" bestFit="1" customWidth="1"/>
    <col min="3592" max="3592" width="10" style="3" bestFit="1" customWidth="1"/>
    <col min="3593" max="3593" width="12.5" style="3" bestFit="1" customWidth="1"/>
    <col min="3594" max="3594" width="7.125" style="3" customWidth="1"/>
    <col min="3595" max="3595" width="9.875" style="3" customWidth="1"/>
    <col min="3596" max="3596" width="10.75" style="3" customWidth="1"/>
    <col min="3597" max="3597" width="9.75" style="3" bestFit="1" customWidth="1"/>
    <col min="3598" max="3598" width="6.125" style="3" customWidth="1"/>
    <col min="3599" max="3599" width="9.5" style="3" bestFit="1" customWidth="1"/>
    <col min="3600" max="3600" width="7.75" style="3" customWidth="1"/>
    <col min="3601" max="3601" width="17.125" style="3" bestFit="1" customWidth="1"/>
    <col min="3602" max="3602" width="16.25" style="3" bestFit="1" customWidth="1"/>
    <col min="3603" max="3603" width="11.375" style="3" bestFit="1" customWidth="1"/>
    <col min="3604" max="3604" width="9.625" style="3" customWidth="1"/>
    <col min="3605" max="3605" width="13.25" style="3" bestFit="1" customWidth="1"/>
    <col min="3606" max="3606" width="9.625" style="3" customWidth="1"/>
    <col min="3607" max="3840" width="9" style="3"/>
    <col min="3841" max="3841" width="16.25" style="3" customWidth="1"/>
    <col min="3842" max="3842" width="4.625" style="3" bestFit="1" customWidth="1"/>
    <col min="3843" max="3843" width="26.875" style="3" customWidth="1"/>
    <col min="3844" max="3844" width="12.75" style="3" bestFit="1" customWidth="1"/>
    <col min="3845" max="3845" width="8.625" style="3" bestFit="1" customWidth="1"/>
    <col min="3846" max="3846" width="8.5" style="3" bestFit="1" customWidth="1"/>
    <col min="3847" max="3847" width="10.625" style="3" bestFit="1" customWidth="1"/>
    <col min="3848" max="3848" width="10" style="3" bestFit="1" customWidth="1"/>
    <col min="3849" max="3849" width="12.5" style="3" bestFit="1" customWidth="1"/>
    <col min="3850" max="3850" width="7.125" style="3" customWidth="1"/>
    <col min="3851" max="3851" width="9.875" style="3" customWidth="1"/>
    <col min="3852" max="3852" width="10.75" style="3" customWidth="1"/>
    <col min="3853" max="3853" width="9.75" style="3" bestFit="1" customWidth="1"/>
    <col min="3854" max="3854" width="6.125" style="3" customWidth="1"/>
    <col min="3855" max="3855" width="9.5" style="3" bestFit="1" customWidth="1"/>
    <col min="3856" max="3856" width="7.75" style="3" customWidth="1"/>
    <col min="3857" max="3857" width="17.125" style="3" bestFit="1" customWidth="1"/>
    <col min="3858" max="3858" width="16.25" style="3" bestFit="1" customWidth="1"/>
    <col min="3859" max="3859" width="11.375" style="3" bestFit="1" customWidth="1"/>
    <col min="3860" max="3860" width="9.625" style="3" customWidth="1"/>
    <col min="3861" max="3861" width="13.25" style="3" bestFit="1" customWidth="1"/>
    <col min="3862" max="3862" width="9.625" style="3" customWidth="1"/>
    <col min="3863" max="4096" width="9" style="3"/>
    <col min="4097" max="4097" width="16.25" style="3" customWidth="1"/>
    <col min="4098" max="4098" width="4.625" style="3" bestFit="1" customWidth="1"/>
    <col min="4099" max="4099" width="26.875" style="3" customWidth="1"/>
    <col min="4100" max="4100" width="12.75" style="3" bestFit="1" customWidth="1"/>
    <col min="4101" max="4101" width="8.625" style="3" bestFit="1" customWidth="1"/>
    <col min="4102" max="4102" width="8.5" style="3" bestFit="1" customWidth="1"/>
    <col min="4103" max="4103" width="10.625" style="3" bestFit="1" customWidth="1"/>
    <col min="4104" max="4104" width="10" style="3" bestFit="1" customWidth="1"/>
    <col min="4105" max="4105" width="12.5" style="3" bestFit="1" customWidth="1"/>
    <col min="4106" max="4106" width="7.125" style="3" customWidth="1"/>
    <col min="4107" max="4107" width="9.875" style="3" customWidth="1"/>
    <col min="4108" max="4108" width="10.75" style="3" customWidth="1"/>
    <col min="4109" max="4109" width="9.75" style="3" bestFit="1" customWidth="1"/>
    <col min="4110" max="4110" width="6.125" style="3" customWidth="1"/>
    <col min="4111" max="4111" width="9.5" style="3" bestFit="1" customWidth="1"/>
    <col min="4112" max="4112" width="7.75" style="3" customWidth="1"/>
    <col min="4113" max="4113" width="17.125" style="3" bestFit="1" customWidth="1"/>
    <col min="4114" max="4114" width="16.25" style="3" bestFit="1" customWidth="1"/>
    <col min="4115" max="4115" width="11.375" style="3" bestFit="1" customWidth="1"/>
    <col min="4116" max="4116" width="9.625" style="3" customWidth="1"/>
    <col min="4117" max="4117" width="13.25" style="3" bestFit="1" customWidth="1"/>
    <col min="4118" max="4118" width="9.625" style="3" customWidth="1"/>
    <col min="4119" max="4352" width="9" style="3"/>
    <col min="4353" max="4353" width="16.25" style="3" customWidth="1"/>
    <col min="4354" max="4354" width="4.625" style="3" bestFit="1" customWidth="1"/>
    <col min="4355" max="4355" width="26.875" style="3" customWidth="1"/>
    <col min="4356" max="4356" width="12.75" style="3" bestFit="1" customWidth="1"/>
    <col min="4357" max="4357" width="8.625" style="3" bestFit="1" customWidth="1"/>
    <col min="4358" max="4358" width="8.5" style="3" bestFit="1" customWidth="1"/>
    <col min="4359" max="4359" width="10.625" style="3" bestFit="1" customWidth="1"/>
    <col min="4360" max="4360" width="10" style="3" bestFit="1" customWidth="1"/>
    <col min="4361" max="4361" width="12.5" style="3" bestFit="1" customWidth="1"/>
    <col min="4362" max="4362" width="7.125" style="3" customWidth="1"/>
    <col min="4363" max="4363" width="9.875" style="3" customWidth="1"/>
    <col min="4364" max="4364" width="10.75" style="3" customWidth="1"/>
    <col min="4365" max="4365" width="9.75" style="3" bestFit="1" customWidth="1"/>
    <col min="4366" max="4366" width="6.125" style="3" customWidth="1"/>
    <col min="4367" max="4367" width="9.5" style="3" bestFit="1" customWidth="1"/>
    <col min="4368" max="4368" width="7.75" style="3" customWidth="1"/>
    <col min="4369" max="4369" width="17.125" style="3" bestFit="1" customWidth="1"/>
    <col min="4370" max="4370" width="16.25" style="3" bestFit="1" customWidth="1"/>
    <col min="4371" max="4371" width="11.375" style="3" bestFit="1" customWidth="1"/>
    <col min="4372" max="4372" width="9.625" style="3" customWidth="1"/>
    <col min="4373" max="4373" width="13.25" style="3" bestFit="1" customWidth="1"/>
    <col min="4374" max="4374" width="9.625" style="3" customWidth="1"/>
    <col min="4375" max="4608" width="9" style="3"/>
    <col min="4609" max="4609" width="16.25" style="3" customWidth="1"/>
    <col min="4610" max="4610" width="4.625" style="3" bestFit="1" customWidth="1"/>
    <col min="4611" max="4611" width="26.875" style="3" customWidth="1"/>
    <col min="4612" max="4612" width="12.75" style="3" bestFit="1" customWidth="1"/>
    <col min="4613" max="4613" width="8.625" style="3" bestFit="1" customWidth="1"/>
    <col min="4614" max="4614" width="8.5" style="3" bestFit="1" customWidth="1"/>
    <col min="4615" max="4615" width="10.625" style="3" bestFit="1" customWidth="1"/>
    <col min="4616" max="4616" width="10" style="3" bestFit="1" customWidth="1"/>
    <col min="4617" max="4617" width="12.5" style="3" bestFit="1" customWidth="1"/>
    <col min="4618" max="4618" width="7.125" style="3" customWidth="1"/>
    <col min="4619" max="4619" width="9.875" style="3" customWidth="1"/>
    <col min="4620" max="4620" width="10.75" style="3" customWidth="1"/>
    <col min="4621" max="4621" width="9.75" style="3" bestFit="1" customWidth="1"/>
    <col min="4622" max="4622" width="6.125" style="3" customWidth="1"/>
    <col min="4623" max="4623" width="9.5" style="3" bestFit="1" customWidth="1"/>
    <col min="4624" max="4624" width="7.75" style="3" customWidth="1"/>
    <col min="4625" max="4625" width="17.125" style="3" bestFit="1" customWidth="1"/>
    <col min="4626" max="4626" width="16.25" style="3" bestFit="1" customWidth="1"/>
    <col min="4627" max="4627" width="11.375" style="3" bestFit="1" customWidth="1"/>
    <col min="4628" max="4628" width="9.625" style="3" customWidth="1"/>
    <col min="4629" max="4629" width="13.25" style="3" bestFit="1" customWidth="1"/>
    <col min="4630" max="4630" width="9.625" style="3" customWidth="1"/>
    <col min="4631" max="4864" width="9" style="3"/>
    <col min="4865" max="4865" width="16.25" style="3" customWidth="1"/>
    <col min="4866" max="4866" width="4.625" style="3" bestFit="1" customWidth="1"/>
    <col min="4867" max="4867" width="26.875" style="3" customWidth="1"/>
    <col min="4868" max="4868" width="12.75" style="3" bestFit="1" customWidth="1"/>
    <col min="4869" max="4869" width="8.625" style="3" bestFit="1" customWidth="1"/>
    <col min="4870" max="4870" width="8.5" style="3" bestFit="1" customWidth="1"/>
    <col min="4871" max="4871" width="10.625" style="3" bestFit="1" customWidth="1"/>
    <col min="4872" max="4872" width="10" style="3" bestFit="1" customWidth="1"/>
    <col min="4873" max="4873" width="12.5" style="3" bestFit="1" customWidth="1"/>
    <col min="4874" max="4874" width="7.125" style="3" customWidth="1"/>
    <col min="4875" max="4875" width="9.875" style="3" customWidth="1"/>
    <col min="4876" max="4876" width="10.75" style="3" customWidth="1"/>
    <col min="4877" max="4877" width="9.75" style="3" bestFit="1" customWidth="1"/>
    <col min="4878" max="4878" width="6.125" style="3" customWidth="1"/>
    <col min="4879" max="4879" width="9.5" style="3" bestFit="1" customWidth="1"/>
    <col min="4880" max="4880" width="7.75" style="3" customWidth="1"/>
    <col min="4881" max="4881" width="17.125" style="3" bestFit="1" customWidth="1"/>
    <col min="4882" max="4882" width="16.25" style="3" bestFit="1" customWidth="1"/>
    <col min="4883" max="4883" width="11.375" style="3" bestFit="1" customWidth="1"/>
    <col min="4884" max="4884" width="9.625" style="3" customWidth="1"/>
    <col min="4885" max="4885" width="13.25" style="3" bestFit="1" customWidth="1"/>
    <col min="4886" max="4886" width="9.625" style="3" customWidth="1"/>
    <col min="4887" max="5120" width="9" style="3"/>
    <col min="5121" max="5121" width="16.25" style="3" customWidth="1"/>
    <col min="5122" max="5122" width="4.625" style="3" bestFit="1" customWidth="1"/>
    <col min="5123" max="5123" width="26.875" style="3" customWidth="1"/>
    <col min="5124" max="5124" width="12.75" style="3" bestFit="1" customWidth="1"/>
    <col min="5125" max="5125" width="8.625" style="3" bestFit="1" customWidth="1"/>
    <col min="5126" max="5126" width="8.5" style="3" bestFit="1" customWidth="1"/>
    <col min="5127" max="5127" width="10.625" style="3" bestFit="1" customWidth="1"/>
    <col min="5128" max="5128" width="10" style="3" bestFit="1" customWidth="1"/>
    <col min="5129" max="5129" width="12.5" style="3" bestFit="1" customWidth="1"/>
    <col min="5130" max="5130" width="7.125" style="3" customWidth="1"/>
    <col min="5131" max="5131" width="9.875" style="3" customWidth="1"/>
    <col min="5132" max="5132" width="10.75" style="3" customWidth="1"/>
    <col min="5133" max="5133" width="9.75" style="3" bestFit="1" customWidth="1"/>
    <col min="5134" max="5134" width="6.125" style="3" customWidth="1"/>
    <col min="5135" max="5135" width="9.5" style="3" bestFit="1" customWidth="1"/>
    <col min="5136" max="5136" width="7.75" style="3" customWidth="1"/>
    <col min="5137" max="5137" width="17.125" style="3" bestFit="1" customWidth="1"/>
    <col min="5138" max="5138" width="16.25" style="3" bestFit="1" customWidth="1"/>
    <col min="5139" max="5139" width="11.375" style="3" bestFit="1" customWidth="1"/>
    <col min="5140" max="5140" width="9.625" style="3" customWidth="1"/>
    <col min="5141" max="5141" width="13.25" style="3" bestFit="1" customWidth="1"/>
    <col min="5142" max="5142" width="9.625" style="3" customWidth="1"/>
    <col min="5143" max="5376" width="9" style="3"/>
    <col min="5377" max="5377" width="16.25" style="3" customWidth="1"/>
    <col min="5378" max="5378" width="4.625" style="3" bestFit="1" customWidth="1"/>
    <col min="5379" max="5379" width="26.875" style="3" customWidth="1"/>
    <col min="5380" max="5380" width="12.75" style="3" bestFit="1" customWidth="1"/>
    <col min="5381" max="5381" width="8.625" style="3" bestFit="1" customWidth="1"/>
    <col min="5382" max="5382" width="8.5" style="3" bestFit="1" customWidth="1"/>
    <col min="5383" max="5383" width="10.625" style="3" bestFit="1" customWidth="1"/>
    <col min="5384" max="5384" width="10" style="3" bestFit="1" customWidth="1"/>
    <col min="5385" max="5385" width="12.5" style="3" bestFit="1" customWidth="1"/>
    <col min="5386" max="5386" width="7.125" style="3" customWidth="1"/>
    <col min="5387" max="5387" width="9.875" style="3" customWidth="1"/>
    <col min="5388" max="5388" width="10.75" style="3" customWidth="1"/>
    <col min="5389" max="5389" width="9.75" style="3" bestFit="1" customWidth="1"/>
    <col min="5390" max="5390" width="6.125" style="3" customWidth="1"/>
    <col min="5391" max="5391" width="9.5" style="3" bestFit="1" customWidth="1"/>
    <col min="5392" max="5392" width="7.75" style="3" customWidth="1"/>
    <col min="5393" max="5393" width="17.125" style="3" bestFit="1" customWidth="1"/>
    <col min="5394" max="5394" width="16.25" style="3" bestFit="1" customWidth="1"/>
    <col min="5395" max="5395" width="11.375" style="3" bestFit="1" customWidth="1"/>
    <col min="5396" max="5396" width="9.625" style="3" customWidth="1"/>
    <col min="5397" max="5397" width="13.25" style="3" bestFit="1" customWidth="1"/>
    <col min="5398" max="5398" width="9.625" style="3" customWidth="1"/>
    <col min="5399" max="5632" width="9" style="3"/>
    <col min="5633" max="5633" width="16.25" style="3" customWidth="1"/>
    <col min="5634" max="5634" width="4.625" style="3" bestFit="1" customWidth="1"/>
    <col min="5635" max="5635" width="26.875" style="3" customWidth="1"/>
    <col min="5636" max="5636" width="12.75" style="3" bestFit="1" customWidth="1"/>
    <col min="5637" max="5637" width="8.625" style="3" bestFit="1" customWidth="1"/>
    <col min="5638" max="5638" width="8.5" style="3" bestFit="1" customWidth="1"/>
    <col min="5639" max="5639" width="10.625" style="3" bestFit="1" customWidth="1"/>
    <col min="5640" max="5640" width="10" style="3" bestFit="1" customWidth="1"/>
    <col min="5641" max="5641" width="12.5" style="3" bestFit="1" customWidth="1"/>
    <col min="5642" max="5642" width="7.125" style="3" customWidth="1"/>
    <col min="5643" max="5643" width="9.875" style="3" customWidth="1"/>
    <col min="5644" max="5644" width="10.75" style="3" customWidth="1"/>
    <col min="5645" max="5645" width="9.75" style="3" bestFit="1" customWidth="1"/>
    <col min="5646" max="5646" width="6.125" style="3" customWidth="1"/>
    <col min="5647" max="5647" width="9.5" style="3" bestFit="1" customWidth="1"/>
    <col min="5648" max="5648" width="7.75" style="3" customWidth="1"/>
    <col min="5649" max="5649" width="17.125" style="3" bestFit="1" customWidth="1"/>
    <col min="5650" max="5650" width="16.25" style="3" bestFit="1" customWidth="1"/>
    <col min="5651" max="5651" width="11.375" style="3" bestFit="1" customWidth="1"/>
    <col min="5652" max="5652" width="9.625" style="3" customWidth="1"/>
    <col min="5653" max="5653" width="13.25" style="3" bestFit="1" customWidth="1"/>
    <col min="5654" max="5654" width="9.625" style="3" customWidth="1"/>
    <col min="5655" max="5888" width="9" style="3"/>
    <col min="5889" max="5889" width="16.25" style="3" customWidth="1"/>
    <col min="5890" max="5890" width="4.625" style="3" bestFit="1" customWidth="1"/>
    <col min="5891" max="5891" width="26.875" style="3" customWidth="1"/>
    <col min="5892" max="5892" width="12.75" style="3" bestFit="1" customWidth="1"/>
    <col min="5893" max="5893" width="8.625" style="3" bestFit="1" customWidth="1"/>
    <col min="5894" max="5894" width="8.5" style="3" bestFit="1" customWidth="1"/>
    <col min="5895" max="5895" width="10.625" style="3" bestFit="1" customWidth="1"/>
    <col min="5896" max="5896" width="10" style="3" bestFit="1" customWidth="1"/>
    <col min="5897" max="5897" width="12.5" style="3" bestFit="1" customWidth="1"/>
    <col min="5898" max="5898" width="7.125" style="3" customWidth="1"/>
    <col min="5899" max="5899" width="9.875" style="3" customWidth="1"/>
    <col min="5900" max="5900" width="10.75" style="3" customWidth="1"/>
    <col min="5901" max="5901" width="9.75" style="3" bestFit="1" customWidth="1"/>
    <col min="5902" max="5902" width="6.125" style="3" customWidth="1"/>
    <col min="5903" max="5903" width="9.5" style="3" bestFit="1" customWidth="1"/>
    <col min="5904" max="5904" width="7.75" style="3" customWidth="1"/>
    <col min="5905" max="5905" width="17.125" style="3" bestFit="1" customWidth="1"/>
    <col min="5906" max="5906" width="16.25" style="3" bestFit="1" customWidth="1"/>
    <col min="5907" max="5907" width="11.375" style="3" bestFit="1" customWidth="1"/>
    <col min="5908" max="5908" width="9.625" style="3" customWidth="1"/>
    <col min="5909" max="5909" width="13.25" style="3" bestFit="1" customWidth="1"/>
    <col min="5910" max="5910" width="9.625" style="3" customWidth="1"/>
    <col min="5911" max="6144" width="9" style="3"/>
    <col min="6145" max="6145" width="16.25" style="3" customWidth="1"/>
    <col min="6146" max="6146" width="4.625" style="3" bestFit="1" customWidth="1"/>
    <col min="6147" max="6147" width="26.875" style="3" customWidth="1"/>
    <col min="6148" max="6148" width="12.75" style="3" bestFit="1" customWidth="1"/>
    <col min="6149" max="6149" width="8.625" style="3" bestFit="1" customWidth="1"/>
    <col min="6150" max="6150" width="8.5" style="3" bestFit="1" customWidth="1"/>
    <col min="6151" max="6151" width="10.625" style="3" bestFit="1" customWidth="1"/>
    <col min="6152" max="6152" width="10" style="3" bestFit="1" customWidth="1"/>
    <col min="6153" max="6153" width="12.5" style="3" bestFit="1" customWidth="1"/>
    <col min="6154" max="6154" width="7.125" style="3" customWidth="1"/>
    <col min="6155" max="6155" width="9.875" style="3" customWidth="1"/>
    <col min="6156" max="6156" width="10.75" style="3" customWidth="1"/>
    <col min="6157" max="6157" width="9.75" style="3" bestFit="1" customWidth="1"/>
    <col min="6158" max="6158" width="6.125" style="3" customWidth="1"/>
    <col min="6159" max="6159" width="9.5" style="3" bestFit="1" customWidth="1"/>
    <col min="6160" max="6160" width="7.75" style="3" customWidth="1"/>
    <col min="6161" max="6161" width="17.125" style="3" bestFit="1" customWidth="1"/>
    <col min="6162" max="6162" width="16.25" style="3" bestFit="1" customWidth="1"/>
    <col min="6163" max="6163" width="11.375" style="3" bestFit="1" customWidth="1"/>
    <col min="6164" max="6164" width="9.625" style="3" customWidth="1"/>
    <col min="6165" max="6165" width="13.25" style="3" bestFit="1" customWidth="1"/>
    <col min="6166" max="6166" width="9.625" style="3" customWidth="1"/>
    <col min="6167" max="6400" width="9" style="3"/>
    <col min="6401" max="6401" width="16.25" style="3" customWidth="1"/>
    <col min="6402" max="6402" width="4.625" style="3" bestFit="1" customWidth="1"/>
    <col min="6403" max="6403" width="26.875" style="3" customWidth="1"/>
    <col min="6404" max="6404" width="12.75" style="3" bestFit="1" customWidth="1"/>
    <col min="6405" max="6405" width="8.625" style="3" bestFit="1" customWidth="1"/>
    <col min="6406" max="6406" width="8.5" style="3" bestFit="1" customWidth="1"/>
    <col min="6407" max="6407" width="10.625" style="3" bestFit="1" customWidth="1"/>
    <col min="6408" max="6408" width="10" style="3" bestFit="1" customWidth="1"/>
    <col min="6409" max="6409" width="12.5" style="3" bestFit="1" customWidth="1"/>
    <col min="6410" max="6410" width="7.125" style="3" customWidth="1"/>
    <col min="6411" max="6411" width="9.875" style="3" customWidth="1"/>
    <col min="6412" max="6412" width="10.75" style="3" customWidth="1"/>
    <col min="6413" max="6413" width="9.75" style="3" bestFit="1" customWidth="1"/>
    <col min="6414" max="6414" width="6.125" style="3" customWidth="1"/>
    <col min="6415" max="6415" width="9.5" style="3" bestFit="1" customWidth="1"/>
    <col min="6416" max="6416" width="7.75" style="3" customWidth="1"/>
    <col min="6417" max="6417" width="17.125" style="3" bestFit="1" customWidth="1"/>
    <col min="6418" max="6418" width="16.25" style="3" bestFit="1" customWidth="1"/>
    <col min="6419" max="6419" width="11.375" style="3" bestFit="1" customWidth="1"/>
    <col min="6420" max="6420" width="9.625" style="3" customWidth="1"/>
    <col min="6421" max="6421" width="13.25" style="3" bestFit="1" customWidth="1"/>
    <col min="6422" max="6422" width="9.625" style="3" customWidth="1"/>
    <col min="6423" max="6656" width="9" style="3"/>
    <col min="6657" max="6657" width="16.25" style="3" customWidth="1"/>
    <col min="6658" max="6658" width="4.625" style="3" bestFit="1" customWidth="1"/>
    <col min="6659" max="6659" width="26.875" style="3" customWidth="1"/>
    <col min="6660" max="6660" width="12.75" style="3" bestFit="1" customWidth="1"/>
    <col min="6661" max="6661" width="8.625" style="3" bestFit="1" customWidth="1"/>
    <col min="6662" max="6662" width="8.5" style="3" bestFit="1" customWidth="1"/>
    <col min="6663" max="6663" width="10.625" style="3" bestFit="1" customWidth="1"/>
    <col min="6664" max="6664" width="10" style="3" bestFit="1" customWidth="1"/>
    <col min="6665" max="6665" width="12.5" style="3" bestFit="1" customWidth="1"/>
    <col min="6666" max="6666" width="7.125" style="3" customWidth="1"/>
    <col min="6667" max="6667" width="9.875" style="3" customWidth="1"/>
    <col min="6668" max="6668" width="10.75" style="3" customWidth="1"/>
    <col min="6669" max="6669" width="9.75" style="3" bestFit="1" customWidth="1"/>
    <col min="6670" max="6670" width="6.125" style="3" customWidth="1"/>
    <col min="6671" max="6671" width="9.5" style="3" bestFit="1" customWidth="1"/>
    <col min="6672" max="6672" width="7.75" style="3" customWidth="1"/>
    <col min="6673" max="6673" width="17.125" style="3" bestFit="1" customWidth="1"/>
    <col min="6674" max="6674" width="16.25" style="3" bestFit="1" customWidth="1"/>
    <col min="6675" max="6675" width="11.375" style="3" bestFit="1" customWidth="1"/>
    <col min="6676" max="6676" width="9.625" style="3" customWidth="1"/>
    <col min="6677" max="6677" width="13.25" style="3" bestFit="1" customWidth="1"/>
    <col min="6678" max="6678" width="9.625" style="3" customWidth="1"/>
    <col min="6679" max="6912" width="9" style="3"/>
    <col min="6913" max="6913" width="16.25" style="3" customWidth="1"/>
    <col min="6914" max="6914" width="4.625" style="3" bestFit="1" customWidth="1"/>
    <col min="6915" max="6915" width="26.875" style="3" customWidth="1"/>
    <col min="6916" max="6916" width="12.75" style="3" bestFit="1" customWidth="1"/>
    <col min="6917" max="6917" width="8.625" style="3" bestFit="1" customWidth="1"/>
    <col min="6918" max="6918" width="8.5" style="3" bestFit="1" customWidth="1"/>
    <col min="6919" max="6919" width="10.625" style="3" bestFit="1" customWidth="1"/>
    <col min="6920" max="6920" width="10" style="3" bestFit="1" customWidth="1"/>
    <col min="6921" max="6921" width="12.5" style="3" bestFit="1" customWidth="1"/>
    <col min="6922" max="6922" width="7.125" style="3" customWidth="1"/>
    <col min="6923" max="6923" width="9.875" style="3" customWidth="1"/>
    <col min="6924" max="6924" width="10.75" style="3" customWidth="1"/>
    <col min="6925" max="6925" width="9.75" style="3" bestFit="1" customWidth="1"/>
    <col min="6926" max="6926" width="6.125" style="3" customWidth="1"/>
    <col min="6927" max="6927" width="9.5" style="3" bestFit="1" customWidth="1"/>
    <col min="6928" max="6928" width="7.75" style="3" customWidth="1"/>
    <col min="6929" max="6929" width="17.125" style="3" bestFit="1" customWidth="1"/>
    <col min="6930" max="6930" width="16.25" style="3" bestFit="1" customWidth="1"/>
    <col min="6931" max="6931" width="11.375" style="3" bestFit="1" customWidth="1"/>
    <col min="6932" max="6932" width="9.625" style="3" customWidth="1"/>
    <col min="6933" max="6933" width="13.25" style="3" bestFit="1" customWidth="1"/>
    <col min="6934" max="6934" width="9.625" style="3" customWidth="1"/>
    <col min="6935" max="7168" width="9" style="3"/>
    <col min="7169" max="7169" width="16.25" style="3" customWidth="1"/>
    <col min="7170" max="7170" width="4.625" style="3" bestFit="1" customWidth="1"/>
    <col min="7171" max="7171" width="26.875" style="3" customWidth="1"/>
    <col min="7172" max="7172" width="12.75" style="3" bestFit="1" customWidth="1"/>
    <col min="7173" max="7173" width="8.625" style="3" bestFit="1" customWidth="1"/>
    <col min="7174" max="7174" width="8.5" style="3" bestFit="1" customWidth="1"/>
    <col min="7175" max="7175" width="10.625" style="3" bestFit="1" customWidth="1"/>
    <col min="7176" max="7176" width="10" style="3" bestFit="1" customWidth="1"/>
    <col min="7177" max="7177" width="12.5" style="3" bestFit="1" customWidth="1"/>
    <col min="7178" max="7178" width="7.125" style="3" customWidth="1"/>
    <col min="7179" max="7179" width="9.875" style="3" customWidth="1"/>
    <col min="7180" max="7180" width="10.75" style="3" customWidth="1"/>
    <col min="7181" max="7181" width="9.75" style="3" bestFit="1" customWidth="1"/>
    <col min="7182" max="7182" width="6.125" style="3" customWidth="1"/>
    <col min="7183" max="7183" width="9.5" style="3" bestFit="1" customWidth="1"/>
    <col min="7184" max="7184" width="7.75" style="3" customWidth="1"/>
    <col min="7185" max="7185" width="17.125" style="3" bestFit="1" customWidth="1"/>
    <col min="7186" max="7186" width="16.25" style="3" bestFit="1" customWidth="1"/>
    <col min="7187" max="7187" width="11.375" style="3" bestFit="1" customWidth="1"/>
    <col min="7188" max="7188" width="9.625" style="3" customWidth="1"/>
    <col min="7189" max="7189" width="13.25" style="3" bestFit="1" customWidth="1"/>
    <col min="7190" max="7190" width="9.625" style="3" customWidth="1"/>
    <col min="7191" max="7424" width="9" style="3"/>
    <col min="7425" max="7425" width="16.25" style="3" customWidth="1"/>
    <col min="7426" max="7426" width="4.625" style="3" bestFit="1" customWidth="1"/>
    <col min="7427" max="7427" width="26.875" style="3" customWidth="1"/>
    <col min="7428" max="7428" width="12.75" style="3" bestFit="1" customWidth="1"/>
    <col min="7429" max="7429" width="8.625" style="3" bestFit="1" customWidth="1"/>
    <col min="7430" max="7430" width="8.5" style="3" bestFit="1" customWidth="1"/>
    <col min="7431" max="7431" width="10.625" style="3" bestFit="1" customWidth="1"/>
    <col min="7432" max="7432" width="10" style="3" bestFit="1" customWidth="1"/>
    <col min="7433" max="7433" width="12.5" style="3" bestFit="1" customWidth="1"/>
    <col min="7434" max="7434" width="7.125" style="3" customWidth="1"/>
    <col min="7435" max="7435" width="9.875" style="3" customWidth="1"/>
    <col min="7436" max="7436" width="10.75" style="3" customWidth="1"/>
    <col min="7437" max="7437" width="9.75" style="3" bestFit="1" customWidth="1"/>
    <col min="7438" max="7438" width="6.125" style="3" customWidth="1"/>
    <col min="7439" max="7439" width="9.5" style="3" bestFit="1" customWidth="1"/>
    <col min="7440" max="7440" width="7.75" style="3" customWidth="1"/>
    <col min="7441" max="7441" width="17.125" style="3" bestFit="1" customWidth="1"/>
    <col min="7442" max="7442" width="16.25" style="3" bestFit="1" customWidth="1"/>
    <col min="7443" max="7443" width="11.375" style="3" bestFit="1" customWidth="1"/>
    <col min="7444" max="7444" width="9.625" style="3" customWidth="1"/>
    <col min="7445" max="7445" width="13.25" style="3" bestFit="1" customWidth="1"/>
    <col min="7446" max="7446" width="9.625" style="3" customWidth="1"/>
    <col min="7447" max="7680" width="9" style="3"/>
    <col min="7681" max="7681" width="16.25" style="3" customWidth="1"/>
    <col min="7682" max="7682" width="4.625" style="3" bestFit="1" customWidth="1"/>
    <col min="7683" max="7683" width="26.875" style="3" customWidth="1"/>
    <col min="7684" max="7684" width="12.75" style="3" bestFit="1" customWidth="1"/>
    <col min="7685" max="7685" width="8.625" style="3" bestFit="1" customWidth="1"/>
    <col min="7686" max="7686" width="8.5" style="3" bestFit="1" customWidth="1"/>
    <col min="7687" max="7687" width="10.625" style="3" bestFit="1" customWidth="1"/>
    <col min="7688" max="7688" width="10" style="3" bestFit="1" customWidth="1"/>
    <col min="7689" max="7689" width="12.5" style="3" bestFit="1" customWidth="1"/>
    <col min="7690" max="7690" width="7.125" style="3" customWidth="1"/>
    <col min="7691" max="7691" width="9.875" style="3" customWidth="1"/>
    <col min="7692" max="7692" width="10.75" style="3" customWidth="1"/>
    <col min="7693" max="7693" width="9.75" style="3" bestFit="1" customWidth="1"/>
    <col min="7694" max="7694" width="6.125" style="3" customWidth="1"/>
    <col min="7695" max="7695" width="9.5" style="3" bestFit="1" customWidth="1"/>
    <col min="7696" max="7696" width="7.75" style="3" customWidth="1"/>
    <col min="7697" max="7697" width="17.125" style="3" bestFit="1" customWidth="1"/>
    <col min="7698" max="7698" width="16.25" style="3" bestFit="1" customWidth="1"/>
    <col min="7699" max="7699" width="11.375" style="3" bestFit="1" customWidth="1"/>
    <col min="7700" max="7700" width="9.625" style="3" customWidth="1"/>
    <col min="7701" max="7701" width="13.25" style="3" bestFit="1" customWidth="1"/>
    <col min="7702" max="7702" width="9.625" style="3" customWidth="1"/>
    <col min="7703" max="7936" width="9" style="3"/>
    <col min="7937" max="7937" width="16.25" style="3" customWidth="1"/>
    <col min="7938" max="7938" width="4.625" style="3" bestFit="1" customWidth="1"/>
    <col min="7939" max="7939" width="26.875" style="3" customWidth="1"/>
    <col min="7940" max="7940" width="12.75" style="3" bestFit="1" customWidth="1"/>
    <col min="7941" max="7941" width="8.625" style="3" bestFit="1" customWidth="1"/>
    <col min="7942" max="7942" width="8.5" style="3" bestFit="1" customWidth="1"/>
    <col min="7943" max="7943" width="10.625" style="3" bestFit="1" customWidth="1"/>
    <col min="7944" max="7944" width="10" style="3" bestFit="1" customWidth="1"/>
    <col min="7945" max="7945" width="12.5" style="3" bestFit="1" customWidth="1"/>
    <col min="7946" max="7946" width="7.125" style="3" customWidth="1"/>
    <col min="7947" max="7947" width="9.875" style="3" customWidth="1"/>
    <col min="7948" max="7948" width="10.75" style="3" customWidth="1"/>
    <col min="7949" max="7949" width="9.75" style="3" bestFit="1" customWidth="1"/>
    <col min="7950" max="7950" width="6.125" style="3" customWidth="1"/>
    <col min="7951" max="7951" width="9.5" style="3" bestFit="1" customWidth="1"/>
    <col min="7952" max="7952" width="7.75" style="3" customWidth="1"/>
    <col min="7953" max="7953" width="17.125" style="3" bestFit="1" customWidth="1"/>
    <col min="7954" max="7954" width="16.25" style="3" bestFit="1" customWidth="1"/>
    <col min="7955" max="7955" width="11.375" style="3" bestFit="1" customWidth="1"/>
    <col min="7956" max="7956" width="9.625" style="3" customWidth="1"/>
    <col min="7957" max="7957" width="13.25" style="3" bestFit="1" customWidth="1"/>
    <col min="7958" max="7958" width="9.625" style="3" customWidth="1"/>
    <col min="7959" max="8192" width="9" style="3"/>
    <col min="8193" max="8193" width="16.25" style="3" customWidth="1"/>
    <col min="8194" max="8194" width="4.625" style="3" bestFit="1" customWidth="1"/>
    <col min="8195" max="8195" width="26.875" style="3" customWidth="1"/>
    <col min="8196" max="8196" width="12.75" style="3" bestFit="1" customWidth="1"/>
    <col min="8197" max="8197" width="8.625" style="3" bestFit="1" customWidth="1"/>
    <col min="8198" max="8198" width="8.5" style="3" bestFit="1" customWidth="1"/>
    <col min="8199" max="8199" width="10.625" style="3" bestFit="1" customWidth="1"/>
    <col min="8200" max="8200" width="10" style="3" bestFit="1" customWidth="1"/>
    <col min="8201" max="8201" width="12.5" style="3" bestFit="1" customWidth="1"/>
    <col min="8202" max="8202" width="7.125" style="3" customWidth="1"/>
    <col min="8203" max="8203" width="9.875" style="3" customWidth="1"/>
    <col min="8204" max="8204" width="10.75" style="3" customWidth="1"/>
    <col min="8205" max="8205" width="9.75" style="3" bestFit="1" customWidth="1"/>
    <col min="8206" max="8206" width="6.125" style="3" customWidth="1"/>
    <col min="8207" max="8207" width="9.5" style="3" bestFit="1" customWidth="1"/>
    <col min="8208" max="8208" width="7.75" style="3" customWidth="1"/>
    <col min="8209" max="8209" width="17.125" style="3" bestFit="1" customWidth="1"/>
    <col min="8210" max="8210" width="16.25" style="3" bestFit="1" customWidth="1"/>
    <col min="8211" max="8211" width="11.375" style="3" bestFit="1" customWidth="1"/>
    <col min="8212" max="8212" width="9.625" style="3" customWidth="1"/>
    <col min="8213" max="8213" width="13.25" style="3" bestFit="1" customWidth="1"/>
    <col min="8214" max="8214" width="9.625" style="3" customWidth="1"/>
    <col min="8215" max="8448" width="9" style="3"/>
    <col min="8449" max="8449" width="16.25" style="3" customWidth="1"/>
    <col min="8450" max="8450" width="4.625" style="3" bestFit="1" customWidth="1"/>
    <col min="8451" max="8451" width="26.875" style="3" customWidth="1"/>
    <col min="8452" max="8452" width="12.75" style="3" bestFit="1" customWidth="1"/>
    <col min="8453" max="8453" width="8.625" style="3" bestFit="1" customWidth="1"/>
    <col min="8454" max="8454" width="8.5" style="3" bestFit="1" customWidth="1"/>
    <col min="8455" max="8455" width="10.625" style="3" bestFit="1" customWidth="1"/>
    <col min="8456" max="8456" width="10" style="3" bestFit="1" customWidth="1"/>
    <col min="8457" max="8457" width="12.5" style="3" bestFit="1" customWidth="1"/>
    <col min="8458" max="8458" width="7.125" style="3" customWidth="1"/>
    <col min="8459" max="8459" width="9.875" style="3" customWidth="1"/>
    <col min="8460" max="8460" width="10.75" style="3" customWidth="1"/>
    <col min="8461" max="8461" width="9.75" style="3" bestFit="1" customWidth="1"/>
    <col min="8462" max="8462" width="6.125" style="3" customWidth="1"/>
    <col min="8463" max="8463" width="9.5" style="3" bestFit="1" customWidth="1"/>
    <col min="8464" max="8464" width="7.75" style="3" customWidth="1"/>
    <col min="8465" max="8465" width="17.125" style="3" bestFit="1" customWidth="1"/>
    <col min="8466" max="8466" width="16.25" style="3" bestFit="1" customWidth="1"/>
    <col min="8467" max="8467" width="11.375" style="3" bestFit="1" customWidth="1"/>
    <col min="8468" max="8468" width="9.625" style="3" customWidth="1"/>
    <col min="8469" max="8469" width="13.25" style="3" bestFit="1" customWidth="1"/>
    <col min="8470" max="8470" width="9.625" style="3" customWidth="1"/>
    <col min="8471" max="8704" width="9" style="3"/>
    <col min="8705" max="8705" width="16.25" style="3" customWidth="1"/>
    <col min="8706" max="8706" width="4.625" style="3" bestFit="1" customWidth="1"/>
    <col min="8707" max="8707" width="26.875" style="3" customWidth="1"/>
    <col min="8708" max="8708" width="12.75" style="3" bestFit="1" customWidth="1"/>
    <col min="8709" max="8709" width="8.625" style="3" bestFit="1" customWidth="1"/>
    <col min="8710" max="8710" width="8.5" style="3" bestFit="1" customWidth="1"/>
    <col min="8711" max="8711" width="10.625" style="3" bestFit="1" customWidth="1"/>
    <col min="8712" max="8712" width="10" style="3" bestFit="1" customWidth="1"/>
    <col min="8713" max="8713" width="12.5" style="3" bestFit="1" customWidth="1"/>
    <col min="8714" max="8714" width="7.125" style="3" customWidth="1"/>
    <col min="8715" max="8715" width="9.875" style="3" customWidth="1"/>
    <col min="8716" max="8716" width="10.75" style="3" customWidth="1"/>
    <col min="8717" max="8717" width="9.75" style="3" bestFit="1" customWidth="1"/>
    <col min="8718" max="8718" width="6.125" style="3" customWidth="1"/>
    <col min="8719" max="8719" width="9.5" style="3" bestFit="1" customWidth="1"/>
    <col min="8720" max="8720" width="7.75" style="3" customWidth="1"/>
    <col min="8721" max="8721" width="17.125" style="3" bestFit="1" customWidth="1"/>
    <col min="8722" max="8722" width="16.25" style="3" bestFit="1" customWidth="1"/>
    <col min="8723" max="8723" width="11.375" style="3" bestFit="1" customWidth="1"/>
    <col min="8724" max="8724" width="9.625" style="3" customWidth="1"/>
    <col min="8725" max="8725" width="13.25" style="3" bestFit="1" customWidth="1"/>
    <col min="8726" max="8726" width="9.625" style="3" customWidth="1"/>
    <col min="8727" max="8960" width="9" style="3"/>
    <col min="8961" max="8961" width="16.25" style="3" customWidth="1"/>
    <col min="8962" max="8962" width="4.625" style="3" bestFit="1" customWidth="1"/>
    <col min="8963" max="8963" width="26.875" style="3" customWidth="1"/>
    <col min="8964" max="8964" width="12.75" style="3" bestFit="1" customWidth="1"/>
    <col min="8965" max="8965" width="8.625" style="3" bestFit="1" customWidth="1"/>
    <col min="8966" max="8966" width="8.5" style="3" bestFit="1" customWidth="1"/>
    <col min="8967" max="8967" width="10.625" style="3" bestFit="1" customWidth="1"/>
    <col min="8968" max="8968" width="10" style="3" bestFit="1" customWidth="1"/>
    <col min="8969" max="8969" width="12.5" style="3" bestFit="1" customWidth="1"/>
    <col min="8970" max="8970" width="7.125" style="3" customWidth="1"/>
    <col min="8971" max="8971" width="9.875" style="3" customWidth="1"/>
    <col min="8972" max="8972" width="10.75" style="3" customWidth="1"/>
    <col min="8973" max="8973" width="9.75" style="3" bestFit="1" customWidth="1"/>
    <col min="8974" max="8974" width="6.125" style="3" customWidth="1"/>
    <col min="8975" max="8975" width="9.5" style="3" bestFit="1" customWidth="1"/>
    <col min="8976" max="8976" width="7.75" style="3" customWidth="1"/>
    <col min="8977" max="8977" width="17.125" style="3" bestFit="1" customWidth="1"/>
    <col min="8978" max="8978" width="16.25" style="3" bestFit="1" customWidth="1"/>
    <col min="8979" max="8979" width="11.375" style="3" bestFit="1" customWidth="1"/>
    <col min="8980" max="8980" width="9.625" style="3" customWidth="1"/>
    <col min="8981" max="8981" width="13.25" style="3" bestFit="1" customWidth="1"/>
    <col min="8982" max="8982" width="9.625" style="3" customWidth="1"/>
    <col min="8983" max="9216" width="9" style="3"/>
    <col min="9217" max="9217" width="16.25" style="3" customWidth="1"/>
    <col min="9218" max="9218" width="4.625" style="3" bestFit="1" customWidth="1"/>
    <col min="9219" max="9219" width="26.875" style="3" customWidth="1"/>
    <col min="9220" max="9220" width="12.75" style="3" bestFit="1" customWidth="1"/>
    <col min="9221" max="9221" width="8.625" style="3" bestFit="1" customWidth="1"/>
    <col min="9222" max="9222" width="8.5" style="3" bestFit="1" customWidth="1"/>
    <col min="9223" max="9223" width="10.625" style="3" bestFit="1" customWidth="1"/>
    <col min="9224" max="9224" width="10" style="3" bestFit="1" customWidth="1"/>
    <col min="9225" max="9225" width="12.5" style="3" bestFit="1" customWidth="1"/>
    <col min="9226" max="9226" width="7.125" style="3" customWidth="1"/>
    <col min="9227" max="9227" width="9.875" style="3" customWidth="1"/>
    <col min="9228" max="9228" width="10.75" style="3" customWidth="1"/>
    <col min="9229" max="9229" width="9.75" style="3" bestFit="1" customWidth="1"/>
    <col min="9230" max="9230" width="6.125" style="3" customWidth="1"/>
    <col min="9231" max="9231" width="9.5" style="3" bestFit="1" customWidth="1"/>
    <col min="9232" max="9232" width="7.75" style="3" customWidth="1"/>
    <col min="9233" max="9233" width="17.125" style="3" bestFit="1" customWidth="1"/>
    <col min="9234" max="9234" width="16.25" style="3" bestFit="1" customWidth="1"/>
    <col min="9235" max="9235" width="11.375" style="3" bestFit="1" customWidth="1"/>
    <col min="9236" max="9236" width="9.625" style="3" customWidth="1"/>
    <col min="9237" max="9237" width="13.25" style="3" bestFit="1" customWidth="1"/>
    <col min="9238" max="9238" width="9.625" style="3" customWidth="1"/>
    <col min="9239" max="9472" width="9" style="3"/>
    <col min="9473" max="9473" width="16.25" style="3" customWidth="1"/>
    <col min="9474" max="9474" width="4.625" style="3" bestFit="1" customWidth="1"/>
    <col min="9475" max="9475" width="26.875" style="3" customWidth="1"/>
    <col min="9476" max="9476" width="12.75" style="3" bestFit="1" customWidth="1"/>
    <col min="9477" max="9477" width="8.625" style="3" bestFit="1" customWidth="1"/>
    <col min="9478" max="9478" width="8.5" style="3" bestFit="1" customWidth="1"/>
    <col min="9479" max="9479" width="10.625" style="3" bestFit="1" customWidth="1"/>
    <col min="9480" max="9480" width="10" style="3" bestFit="1" customWidth="1"/>
    <col min="9481" max="9481" width="12.5" style="3" bestFit="1" customWidth="1"/>
    <col min="9482" max="9482" width="7.125" style="3" customWidth="1"/>
    <col min="9483" max="9483" width="9.875" style="3" customWidth="1"/>
    <col min="9484" max="9484" width="10.75" style="3" customWidth="1"/>
    <col min="9485" max="9485" width="9.75" style="3" bestFit="1" customWidth="1"/>
    <col min="9486" max="9486" width="6.125" style="3" customWidth="1"/>
    <col min="9487" max="9487" width="9.5" style="3" bestFit="1" customWidth="1"/>
    <col min="9488" max="9488" width="7.75" style="3" customWidth="1"/>
    <col min="9489" max="9489" width="17.125" style="3" bestFit="1" customWidth="1"/>
    <col min="9490" max="9490" width="16.25" style="3" bestFit="1" customWidth="1"/>
    <col min="9491" max="9491" width="11.375" style="3" bestFit="1" customWidth="1"/>
    <col min="9492" max="9492" width="9.625" style="3" customWidth="1"/>
    <col min="9493" max="9493" width="13.25" style="3" bestFit="1" customWidth="1"/>
    <col min="9494" max="9494" width="9.625" style="3" customWidth="1"/>
    <col min="9495" max="9728" width="9" style="3"/>
    <col min="9729" max="9729" width="16.25" style="3" customWidth="1"/>
    <col min="9730" max="9730" width="4.625" style="3" bestFit="1" customWidth="1"/>
    <col min="9731" max="9731" width="26.875" style="3" customWidth="1"/>
    <col min="9732" max="9732" width="12.75" style="3" bestFit="1" customWidth="1"/>
    <col min="9733" max="9733" width="8.625" style="3" bestFit="1" customWidth="1"/>
    <col min="9734" max="9734" width="8.5" style="3" bestFit="1" customWidth="1"/>
    <col min="9735" max="9735" width="10.625" style="3" bestFit="1" customWidth="1"/>
    <col min="9736" max="9736" width="10" style="3" bestFit="1" customWidth="1"/>
    <col min="9737" max="9737" width="12.5" style="3" bestFit="1" customWidth="1"/>
    <col min="9738" max="9738" width="7.125" style="3" customWidth="1"/>
    <col min="9739" max="9739" width="9.875" style="3" customWidth="1"/>
    <col min="9740" max="9740" width="10.75" style="3" customWidth="1"/>
    <col min="9741" max="9741" width="9.75" style="3" bestFit="1" customWidth="1"/>
    <col min="9742" max="9742" width="6.125" style="3" customWidth="1"/>
    <col min="9743" max="9743" width="9.5" style="3" bestFit="1" customWidth="1"/>
    <col min="9744" max="9744" width="7.75" style="3" customWidth="1"/>
    <col min="9745" max="9745" width="17.125" style="3" bestFit="1" customWidth="1"/>
    <col min="9746" max="9746" width="16.25" style="3" bestFit="1" customWidth="1"/>
    <col min="9747" max="9747" width="11.375" style="3" bestFit="1" customWidth="1"/>
    <col min="9748" max="9748" width="9.625" style="3" customWidth="1"/>
    <col min="9749" max="9749" width="13.25" style="3" bestFit="1" customWidth="1"/>
    <col min="9750" max="9750" width="9.625" style="3" customWidth="1"/>
    <col min="9751" max="9984" width="9" style="3"/>
    <col min="9985" max="9985" width="16.25" style="3" customWidth="1"/>
    <col min="9986" max="9986" width="4.625" style="3" bestFit="1" customWidth="1"/>
    <col min="9987" max="9987" width="26.875" style="3" customWidth="1"/>
    <col min="9988" max="9988" width="12.75" style="3" bestFit="1" customWidth="1"/>
    <col min="9989" max="9989" width="8.625" style="3" bestFit="1" customWidth="1"/>
    <col min="9990" max="9990" width="8.5" style="3" bestFit="1" customWidth="1"/>
    <col min="9991" max="9991" width="10.625" style="3" bestFit="1" customWidth="1"/>
    <col min="9992" max="9992" width="10" style="3" bestFit="1" customWidth="1"/>
    <col min="9993" max="9993" width="12.5" style="3" bestFit="1" customWidth="1"/>
    <col min="9994" max="9994" width="7.125" style="3" customWidth="1"/>
    <col min="9995" max="9995" width="9.875" style="3" customWidth="1"/>
    <col min="9996" max="9996" width="10.75" style="3" customWidth="1"/>
    <col min="9997" max="9997" width="9.75" style="3" bestFit="1" customWidth="1"/>
    <col min="9998" max="9998" width="6.125" style="3" customWidth="1"/>
    <col min="9999" max="9999" width="9.5" style="3" bestFit="1" customWidth="1"/>
    <col min="10000" max="10000" width="7.75" style="3" customWidth="1"/>
    <col min="10001" max="10001" width="17.125" style="3" bestFit="1" customWidth="1"/>
    <col min="10002" max="10002" width="16.25" style="3" bestFit="1" customWidth="1"/>
    <col min="10003" max="10003" width="11.375" style="3" bestFit="1" customWidth="1"/>
    <col min="10004" max="10004" width="9.625" style="3" customWidth="1"/>
    <col min="10005" max="10005" width="13.25" style="3" bestFit="1" customWidth="1"/>
    <col min="10006" max="10006" width="9.625" style="3" customWidth="1"/>
    <col min="10007" max="10240" width="9" style="3"/>
    <col min="10241" max="10241" width="16.25" style="3" customWidth="1"/>
    <col min="10242" max="10242" width="4.625" style="3" bestFit="1" customWidth="1"/>
    <col min="10243" max="10243" width="26.875" style="3" customWidth="1"/>
    <col min="10244" max="10244" width="12.75" style="3" bestFit="1" customWidth="1"/>
    <col min="10245" max="10245" width="8.625" style="3" bestFit="1" customWidth="1"/>
    <col min="10246" max="10246" width="8.5" style="3" bestFit="1" customWidth="1"/>
    <col min="10247" max="10247" width="10.625" style="3" bestFit="1" customWidth="1"/>
    <col min="10248" max="10248" width="10" style="3" bestFit="1" customWidth="1"/>
    <col min="10249" max="10249" width="12.5" style="3" bestFit="1" customWidth="1"/>
    <col min="10250" max="10250" width="7.125" style="3" customWidth="1"/>
    <col min="10251" max="10251" width="9.875" style="3" customWidth="1"/>
    <col min="10252" max="10252" width="10.75" style="3" customWidth="1"/>
    <col min="10253" max="10253" width="9.75" style="3" bestFit="1" customWidth="1"/>
    <col min="10254" max="10254" width="6.125" style="3" customWidth="1"/>
    <col min="10255" max="10255" width="9.5" style="3" bestFit="1" customWidth="1"/>
    <col min="10256" max="10256" width="7.75" style="3" customWidth="1"/>
    <col min="10257" max="10257" width="17.125" style="3" bestFit="1" customWidth="1"/>
    <col min="10258" max="10258" width="16.25" style="3" bestFit="1" customWidth="1"/>
    <col min="10259" max="10259" width="11.375" style="3" bestFit="1" customWidth="1"/>
    <col min="10260" max="10260" width="9.625" style="3" customWidth="1"/>
    <col min="10261" max="10261" width="13.25" style="3" bestFit="1" customWidth="1"/>
    <col min="10262" max="10262" width="9.625" style="3" customWidth="1"/>
    <col min="10263" max="10496" width="9" style="3"/>
    <col min="10497" max="10497" width="16.25" style="3" customWidth="1"/>
    <col min="10498" max="10498" width="4.625" style="3" bestFit="1" customWidth="1"/>
    <col min="10499" max="10499" width="26.875" style="3" customWidth="1"/>
    <col min="10500" max="10500" width="12.75" style="3" bestFit="1" customWidth="1"/>
    <col min="10501" max="10501" width="8.625" style="3" bestFit="1" customWidth="1"/>
    <col min="10502" max="10502" width="8.5" style="3" bestFit="1" customWidth="1"/>
    <col min="10503" max="10503" width="10.625" style="3" bestFit="1" customWidth="1"/>
    <col min="10504" max="10504" width="10" style="3" bestFit="1" customWidth="1"/>
    <col min="10505" max="10505" width="12.5" style="3" bestFit="1" customWidth="1"/>
    <col min="10506" max="10506" width="7.125" style="3" customWidth="1"/>
    <col min="10507" max="10507" width="9.875" style="3" customWidth="1"/>
    <col min="10508" max="10508" width="10.75" style="3" customWidth="1"/>
    <col min="10509" max="10509" width="9.75" style="3" bestFit="1" customWidth="1"/>
    <col min="10510" max="10510" width="6.125" style="3" customWidth="1"/>
    <col min="10511" max="10511" width="9.5" style="3" bestFit="1" customWidth="1"/>
    <col min="10512" max="10512" width="7.75" style="3" customWidth="1"/>
    <col min="10513" max="10513" width="17.125" style="3" bestFit="1" customWidth="1"/>
    <col min="10514" max="10514" width="16.25" style="3" bestFit="1" customWidth="1"/>
    <col min="10515" max="10515" width="11.375" style="3" bestFit="1" customWidth="1"/>
    <col min="10516" max="10516" width="9.625" style="3" customWidth="1"/>
    <col min="10517" max="10517" width="13.25" style="3" bestFit="1" customWidth="1"/>
    <col min="10518" max="10518" width="9.625" style="3" customWidth="1"/>
    <col min="10519" max="10752" width="9" style="3"/>
    <col min="10753" max="10753" width="16.25" style="3" customWidth="1"/>
    <col min="10754" max="10754" width="4.625" style="3" bestFit="1" customWidth="1"/>
    <col min="10755" max="10755" width="26.875" style="3" customWidth="1"/>
    <col min="10756" max="10756" width="12.75" style="3" bestFit="1" customWidth="1"/>
    <col min="10757" max="10757" width="8.625" style="3" bestFit="1" customWidth="1"/>
    <col min="10758" max="10758" width="8.5" style="3" bestFit="1" customWidth="1"/>
    <col min="10759" max="10759" width="10.625" style="3" bestFit="1" customWidth="1"/>
    <col min="10760" max="10760" width="10" style="3" bestFit="1" customWidth="1"/>
    <col min="10761" max="10761" width="12.5" style="3" bestFit="1" customWidth="1"/>
    <col min="10762" max="10762" width="7.125" style="3" customWidth="1"/>
    <col min="10763" max="10763" width="9.875" style="3" customWidth="1"/>
    <col min="10764" max="10764" width="10.75" style="3" customWidth="1"/>
    <col min="10765" max="10765" width="9.75" style="3" bestFit="1" customWidth="1"/>
    <col min="10766" max="10766" width="6.125" style="3" customWidth="1"/>
    <col min="10767" max="10767" width="9.5" style="3" bestFit="1" customWidth="1"/>
    <col min="10768" max="10768" width="7.75" style="3" customWidth="1"/>
    <col min="10769" max="10769" width="17.125" style="3" bestFit="1" customWidth="1"/>
    <col min="10770" max="10770" width="16.25" style="3" bestFit="1" customWidth="1"/>
    <col min="10771" max="10771" width="11.375" style="3" bestFit="1" customWidth="1"/>
    <col min="10772" max="10772" width="9.625" style="3" customWidth="1"/>
    <col min="10773" max="10773" width="13.25" style="3" bestFit="1" customWidth="1"/>
    <col min="10774" max="10774" width="9.625" style="3" customWidth="1"/>
    <col min="10775" max="11008" width="9" style="3"/>
    <col min="11009" max="11009" width="16.25" style="3" customWidth="1"/>
    <col min="11010" max="11010" width="4.625" style="3" bestFit="1" customWidth="1"/>
    <col min="11011" max="11011" width="26.875" style="3" customWidth="1"/>
    <col min="11012" max="11012" width="12.75" style="3" bestFit="1" customWidth="1"/>
    <col min="11013" max="11013" width="8.625" style="3" bestFit="1" customWidth="1"/>
    <col min="11014" max="11014" width="8.5" style="3" bestFit="1" customWidth="1"/>
    <col min="11015" max="11015" width="10.625" style="3" bestFit="1" customWidth="1"/>
    <col min="11016" max="11016" width="10" style="3" bestFit="1" customWidth="1"/>
    <col min="11017" max="11017" width="12.5" style="3" bestFit="1" customWidth="1"/>
    <col min="11018" max="11018" width="7.125" style="3" customWidth="1"/>
    <col min="11019" max="11019" width="9.875" style="3" customWidth="1"/>
    <col min="11020" max="11020" width="10.75" style="3" customWidth="1"/>
    <col min="11021" max="11021" width="9.75" style="3" bestFit="1" customWidth="1"/>
    <col min="11022" max="11022" width="6.125" style="3" customWidth="1"/>
    <col min="11023" max="11023" width="9.5" style="3" bestFit="1" customWidth="1"/>
    <col min="11024" max="11024" width="7.75" style="3" customWidth="1"/>
    <col min="11025" max="11025" width="17.125" style="3" bestFit="1" customWidth="1"/>
    <col min="11026" max="11026" width="16.25" style="3" bestFit="1" customWidth="1"/>
    <col min="11027" max="11027" width="11.375" style="3" bestFit="1" customWidth="1"/>
    <col min="11028" max="11028" width="9.625" style="3" customWidth="1"/>
    <col min="11029" max="11029" width="13.25" style="3" bestFit="1" customWidth="1"/>
    <col min="11030" max="11030" width="9.625" style="3" customWidth="1"/>
    <col min="11031" max="11264" width="9" style="3"/>
    <col min="11265" max="11265" width="16.25" style="3" customWidth="1"/>
    <col min="11266" max="11266" width="4.625" style="3" bestFit="1" customWidth="1"/>
    <col min="11267" max="11267" width="26.875" style="3" customWidth="1"/>
    <col min="11268" max="11268" width="12.75" style="3" bestFit="1" customWidth="1"/>
    <col min="11269" max="11269" width="8.625" style="3" bestFit="1" customWidth="1"/>
    <col min="11270" max="11270" width="8.5" style="3" bestFit="1" customWidth="1"/>
    <col min="11271" max="11271" width="10.625" style="3" bestFit="1" customWidth="1"/>
    <col min="11272" max="11272" width="10" style="3" bestFit="1" customWidth="1"/>
    <col min="11273" max="11273" width="12.5" style="3" bestFit="1" customWidth="1"/>
    <col min="11274" max="11274" width="7.125" style="3" customWidth="1"/>
    <col min="11275" max="11275" width="9.875" style="3" customWidth="1"/>
    <col min="11276" max="11276" width="10.75" style="3" customWidth="1"/>
    <col min="11277" max="11277" width="9.75" style="3" bestFit="1" customWidth="1"/>
    <col min="11278" max="11278" width="6.125" style="3" customWidth="1"/>
    <col min="11279" max="11279" width="9.5" style="3" bestFit="1" customWidth="1"/>
    <col min="11280" max="11280" width="7.75" style="3" customWidth="1"/>
    <col min="11281" max="11281" width="17.125" style="3" bestFit="1" customWidth="1"/>
    <col min="11282" max="11282" width="16.25" style="3" bestFit="1" customWidth="1"/>
    <col min="11283" max="11283" width="11.375" style="3" bestFit="1" customWidth="1"/>
    <col min="11284" max="11284" width="9.625" style="3" customWidth="1"/>
    <col min="11285" max="11285" width="13.25" style="3" bestFit="1" customWidth="1"/>
    <col min="11286" max="11286" width="9.625" style="3" customWidth="1"/>
    <col min="11287" max="11520" width="9" style="3"/>
    <col min="11521" max="11521" width="16.25" style="3" customWidth="1"/>
    <col min="11522" max="11522" width="4.625" style="3" bestFit="1" customWidth="1"/>
    <col min="11523" max="11523" width="26.875" style="3" customWidth="1"/>
    <col min="11524" max="11524" width="12.75" style="3" bestFit="1" customWidth="1"/>
    <col min="11525" max="11525" width="8.625" style="3" bestFit="1" customWidth="1"/>
    <col min="11526" max="11526" width="8.5" style="3" bestFit="1" customWidth="1"/>
    <col min="11527" max="11527" width="10.625" style="3" bestFit="1" customWidth="1"/>
    <col min="11528" max="11528" width="10" style="3" bestFit="1" customWidth="1"/>
    <col min="11529" max="11529" width="12.5" style="3" bestFit="1" customWidth="1"/>
    <col min="11530" max="11530" width="7.125" style="3" customWidth="1"/>
    <col min="11531" max="11531" width="9.875" style="3" customWidth="1"/>
    <col min="11532" max="11532" width="10.75" style="3" customWidth="1"/>
    <col min="11533" max="11533" width="9.75" style="3" bestFit="1" customWidth="1"/>
    <col min="11534" max="11534" width="6.125" style="3" customWidth="1"/>
    <col min="11535" max="11535" width="9.5" style="3" bestFit="1" customWidth="1"/>
    <col min="11536" max="11536" width="7.75" style="3" customWidth="1"/>
    <col min="11537" max="11537" width="17.125" style="3" bestFit="1" customWidth="1"/>
    <col min="11538" max="11538" width="16.25" style="3" bestFit="1" customWidth="1"/>
    <col min="11539" max="11539" width="11.375" style="3" bestFit="1" customWidth="1"/>
    <col min="11540" max="11540" width="9.625" style="3" customWidth="1"/>
    <col min="11541" max="11541" width="13.25" style="3" bestFit="1" customWidth="1"/>
    <col min="11542" max="11542" width="9.625" style="3" customWidth="1"/>
    <col min="11543" max="11776" width="9" style="3"/>
    <col min="11777" max="11777" width="16.25" style="3" customWidth="1"/>
    <col min="11778" max="11778" width="4.625" style="3" bestFit="1" customWidth="1"/>
    <col min="11779" max="11779" width="26.875" style="3" customWidth="1"/>
    <col min="11780" max="11780" width="12.75" style="3" bestFit="1" customWidth="1"/>
    <col min="11781" max="11781" width="8.625" style="3" bestFit="1" customWidth="1"/>
    <col min="11782" max="11782" width="8.5" style="3" bestFit="1" customWidth="1"/>
    <col min="11783" max="11783" width="10.625" style="3" bestFit="1" customWidth="1"/>
    <col min="11784" max="11784" width="10" style="3" bestFit="1" customWidth="1"/>
    <col min="11785" max="11785" width="12.5" style="3" bestFit="1" customWidth="1"/>
    <col min="11786" max="11786" width="7.125" style="3" customWidth="1"/>
    <col min="11787" max="11787" width="9.875" style="3" customWidth="1"/>
    <col min="11788" max="11788" width="10.75" style="3" customWidth="1"/>
    <col min="11789" max="11789" width="9.75" style="3" bestFit="1" customWidth="1"/>
    <col min="11790" max="11790" width="6.125" style="3" customWidth="1"/>
    <col min="11791" max="11791" width="9.5" style="3" bestFit="1" customWidth="1"/>
    <col min="11792" max="11792" width="7.75" style="3" customWidth="1"/>
    <col min="11793" max="11793" width="17.125" style="3" bestFit="1" customWidth="1"/>
    <col min="11794" max="11794" width="16.25" style="3" bestFit="1" customWidth="1"/>
    <col min="11795" max="11795" width="11.375" style="3" bestFit="1" customWidth="1"/>
    <col min="11796" max="11796" width="9.625" style="3" customWidth="1"/>
    <col min="11797" max="11797" width="13.25" style="3" bestFit="1" customWidth="1"/>
    <col min="11798" max="11798" width="9.625" style="3" customWidth="1"/>
    <col min="11799" max="12032" width="9" style="3"/>
    <col min="12033" max="12033" width="16.25" style="3" customWidth="1"/>
    <col min="12034" max="12034" width="4.625" style="3" bestFit="1" customWidth="1"/>
    <col min="12035" max="12035" width="26.875" style="3" customWidth="1"/>
    <col min="12036" max="12036" width="12.75" style="3" bestFit="1" customWidth="1"/>
    <col min="12037" max="12037" width="8.625" style="3" bestFit="1" customWidth="1"/>
    <col min="12038" max="12038" width="8.5" style="3" bestFit="1" customWidth="1"/>
    <col min="12039" max="12039" width="10.625" style="3" bestFit="1" customWidth="1"/>
    <col min="12040" max="12040" width="10" style="3" bestFit="1" customWidth="1"/>
    <col min="12041" max="12041" width="12.5" style="3" bestFit="1" customWidth="1"/>
    <col min="12042" max="12042" width="7.125" style="3" customWidth="1"/>
    <col min="12043" max="12043" width="9.875" style="3" customWidth="1"/>
    <col min="12044" max="12044" width="10.75" style="3" customWidth="1"/>
    <col min="12045" max="12045" width="9.75" style="3" bestFit="1" customWidth="1"/>
    <col min="12046" max="12046" width="6.125" style="3" customWidth="1"/>
    <col min="12047" max="12047" width="9.5" style="3" bestFit="1" customWidth="1"/>
    <col min="12048" max="12048" width="7.75" style="3" customWidth="1"/>
    <col min="12049" max="12049" width="17.125" style="3" bestFit="1" customWidth="1"/>
    <col min="12050" max="12050" width="16.25" style="3" bestFit="1" customWidth="1"/>
    <col min="12051" max="12051" width="11.375" style="3" bestFit="1" customWidth="1"/>
    <col min="12052" max="12052" width="9.625" style="3" customWidth="1"/>
    <col min="12053" max="12053" width="13.25" style="3" bestFit="1" customWidth="1"/>
    <col min="12054" max="12054" width="9.625" style="3" customWidth="1"/>
    <col min="12055" max="12288" width="9" style="3"/>
    <col min="12289" max="12289" width="16.25" style="3" customWidth="1"/>
    <col min="12290" max="12290" width="4.625" style="3" bestFit="1" customWidth="1"/>
    <col min="12291" max="12291" width="26.875" style="3" customWidth="1"/>
    <col min="12292" max="12292" width="12.75" style="3" bestFit="1" customWidth="1"/>
    <col min="12293" max="12293" width="8.625" style="3" bestFit="1" customWidth="1"/>
    <col min="12294" max="12294" width="8.5" style="3" bestFit="1" customWidth="1"/>
    <col min="12295" max="12295" width="10.625" style="3" bestFit="1" customWidth="1"/>
    <col min="12296" max="12296" width="10" style="3" bestFit="1" customWidth="1"/>
    <col min="12297" max="12297" width="12.5" style="3" bestFit="1" customWidth="1"/>
    <col min="12298" max="12298" width="7.125" style="3" customWidth="1"/>
    <col min="12299" max="12299" width="9.875" style="3" customWidth="1"/>
    <col min="12300" max="12300" width="10.75" style="3" customWidth="1"/>
    <col min="12301" max="12301" width="9.75" style="3" bestFit="1" customWidth="1"/>
    <col min="12302" max="12302" width="6.125" style="3" customWidth="1"/>
    <col min="12303" max="12303" width="9.5" style="3" bestFit="1" customWidth="1"/>
    <col min="12304" max="12304" width="7.75" style="3" customWidth="1"/>
    <col min="12305" max="12305" width="17.125" style="3" bestFit="1" customWidth="1"/>
    <col min="12306" max="12306" width="16.25" style="3" bestFit="1" customWidth="1"/>
    <col min="12307" max="12307" width="11.375" style="3" bestFit="1" customWidth="1"/>
    <col min="12308" max="12308" width="9.625" style="3" customWidth="1"/>
    <col min="12309" max="12309" width="13.25" style="3" bestFit="1" customWidth="1"/>
    <col min="12310" max="12310" width="9.625" style="3" customWidth="1"/>
    <col min="12311" max="12544" width="9" style="3"/>
    <col min="12545" max="12545" width="16.25" style="3" customWidth="1"/>
    <col min="12546" max="12546" width="4.625" style="3" bestFit="1" customWidth="1"/>
    <col min="12547" max="12547" width="26.875" style="3" customWidth="1"/>
    <col min="12548" max="12548" width="12.75" style="3" bestFit="1" customWidth="1"/>
    <col min="12549" max="12549" width="8.625" style="3" bestFit="1" customWidth="1"/>
    <col min="12550" max="12550" width="8.5" style="3" bestFit="1" customWidth="1"/>
    <col min="12551" max="12551" width="10.625" style="3" bestFit="1" customWidth="1"/>
    <col min="12552" max="12552" width="10" style="3" bestFit="1" customWidth="1"/>
    <col min="12553" max="12553" width="12.5" style="3" bestFit="1" customWidth="1"/>
    <col min="12554" max="12554" width="7.125" style="3" customWidth="1"/>
    <col min="12555" max="12555" width="9.875" style="3" customWidth="1"/>
    <col min="12556" max="12556" width="10.75" style="3" customWidth="1"/>
    <col min="12557" max="12557" width="9.75" style="3" bestFit="1" customWidth="1"/>
    <col min="12558" max="12558" width="6.125" style="3" customWidth="1"/>
    <col min="12559" max="12559" width="9.5" style="3" bestFit="1" customWidth="1"/>
    <col min="12560" max="12560" width="7.75" style="3" customWidth="1"/>
    <col min="12561" max="12561" width="17.125" style="3" bestFit="1" customWidth="1"/>
    <col min="12562" max="12562" width="16.25" style="3" bestFit="1" customWidth="1"/>
    <col min="12563" max="12563" width="11.375" style="3" bestFit="1" customWidth="1"/>
    <col min="12564" max="12564" width="9.625" style="3" customWidth="1"/>
    <col min="12565" max="12565" width="13.25" style="3" bestFit="1" customWidth="1"/>
    <col min="12566" max="12566" width="9.625" style="3" customWidth="1"/>
    <col min="12567" max="12800" width="9" style="3"/>
    <col min="12801" max="12801" width="16.25" style="3" customWidth="1"/>
    <col min="12802" max="12802" width="4.625" style="3" bestFit="1" customWidth="1"/>
    <col min="12803" max="12803" width="26.875" style="3" customWidth="1"/>
    <col min="12804" max="12804" width="12.75" style="3" bestFit="1" customWidth="1"/>
    <col min="12805" max="12805" width="8.625" style="3" bestFit="1" customWidth="1"/>
    <col min="12806" max="12806" width="8.5" style="3" bestFit="1" customWidth="1"/>
    <col min="12807" max="12807" width="10.625" style="3" bestFit="1" customWidth="1"/>
    <col min="12808" max="12808" width="10" style="3" bestFit="1" customWidth="1"/>
    <col min="12809" max="12809" width="12.5" style="3" bestFit="1" customWidth="1"/>
    <col min="12810" max="12810" width="7.125" style="3" customWidth="1"/>
    <col min="12811" max="12811" width="9.875" style="3" customWidth="1"/>
    <col min="12812" max="12812" width="10.75" style="3" customWidth="1"/>
    <col min="12813" max="12813" width="9.75" style="3" bestFit="1" customWidth="1"/>
    <col min="12814" max="12814" width="6.125" style="3" customWidth="1"/>
    <col min="12815" max="12815" width="9.5" style="3" bestFit="1" customWidth="1"/>
    <col min="12816" max="12816" width="7.75" style="3" customWidth="1"/>
    <col min="12817" max="12817" width="17.125" style="3" bestFit="1" customWidth="1"/>
    <col min="12818" max="12818" width="16.25" style="3" bestFit="1" customWidth="1"/>
    <col min="12819" max="12819" width="11.375" style="3" bestFit="1" customWidth="1"/>
    <col min="12820" max="12820" width="9.625" style="3" customWidth="1"/>
    <col min="12821" max="12821" width="13.25" style="3" bestFit="1" customWidth="1"/>
    <col min="12822" max="12822" width="9.625" style="3" customWidth="1"/>
    <col min="12823" max="13056" width="9" style="3"/>
    <col min="13057" max="13057" width="16.25" style="3" customWidth="1"/>
    <col min="13058" max="13058" width="4.625" style="3" bestFit="1" customWidth="1"/>
    <col min="13059" max="13059" width="26.875" style="3" customWidth="1"/>
    <col min="13060" max="13060" width="12.75" style="3" bestFit="1" customWidth="1"/>
    <col min="13061" max="13061" width="8.625" style="3" bestFit="1" customWidth="1"/>
    <col min="13062" max="13062" width="8.5" style="3" bestFit="1" customWidth="1"/>
    <col min="13063" max="13063" width="10.625" style="3" bestFit="1" customWidth="1"/>
    <col min="13064" max="13064" width="10" style="3" bestFit="1" customWidth="1"/>
    <col min="13065" max="13065" width="12.5" style="3" bestFit="1" customWidth="1"/>
    <col min="13066" max="13066" width="7.125" style="3" customWidth="1"/>
    <col min="13067" max="13067" width="9.875" style="3" customWidth="1"/>
    <col min="13068" max="13068" width="10.75" style="3" customWidth="1"/>
    <col min="13069" max="13069" width="9.75" style="3" bestFit="1" customWidth="1"/>
    <col min="13070" max="13070" width="6.125" style="3" customWidth="1"/>
    <col min="13071" max="13071" width="9.5" style="3" bestFit="1" customWidth="1"/>
    <col min="13072" max="13072" width="7.75" style="3" customWidth="1"/>
    <col min="13073" max="13073" width="17.125" style="3" bestFit="1" customWidth="1"/>
    <col min="13074" max="13074" width="16.25" style="3" bestFit="1" customWidth="1"/>
    <col min="13075" max="13075" width="11.375" style="3" bestFit="1" customWidth="1"/>
    <col min="13076" max="13076" width="9.625" style="3" customWidth="1"/>
    <col min="13077" max="13077" width="13.25" style="3" bestFit="1" customWidth="1"/>
    <col min="13078" max="13078" width="9.625" style="3" customWidth="1"/>
    <col min="13079" max="13312" width="9" style="3"/>
    <col min="13313" max="13313" width="16.25" style="3" customWidth="1"/>
    <col min="13314" max="13314" width="4.625" style="3" bestFit="1" customWidth="1"/>
    <col min="13315" max="13315" width="26.875" style="3" customWidth="1"/>
    <col min="13316" max="13316" width="12.75" style="3" bestFit="1" customWidth="1"/>
    <col min="13317" max="13317" width="8.625" style="3" bestFit="1" customWidth="1"/>
    <col min="13318" max="13318" width="8.5" style="3" bestFit="1" customWidth="1"/>
    <col min="13319" max="13319" width="10.625" style="3" bestFit="1" customWidth="1"/>
    <col min="13320" max="13320" width="10" style="3" bestFit="1" customWidth="1"/>
    <col min="13321" max="13321" width="12.5" style="3" bestFit="1" customWidth="1"/>
    <col min="13322" max="13322" width="7.125" style="3" customWidth="1"/>
    <col min="13323" max="13323" width="9.875" style="3" customWidth="1"/>
    <col min="13324" max="13324" width="10.75" style="3" customWidth="1"/>
    <col min="13325" max="13325" width="9.75" style="3" bestFit="1" customWidth="1"/>
    <col min="13326" max="13326" width="6.125" style="3" customWidth="1"/>
    <col min="13327" max="13327" width="9.5" style="3" bestFit="1" customWidth="1"/>
    <col min="13328" max="13328" width="7.75" style="3" customWidth="1"/>
    <col min="13329" max="13329" width="17.125" style="3" bestFit="1" customWidth="1"/>
    <col min="13330" max="13330" width="16.25" style="3" bestFit="1" customWidth="1"/>
    <col min="13331" max="13331" width="11.375" style="3" bestFit="1" customWidth="1"/>
    <col min="13332" max="13332" width="9.625" style="3" customWidth="1"/>
    <col min="13333" max="13333" width="13.25" style="3" bestFit="1" customWidth="1"/>
    <col min="13334" max="13334" width="9.625" style="3" customWidth="1"/>
    <col min="13335" max="13568" width="9" style="3"/>
    <col min="13569" max="13569" width="16.25" style="3" customWidth="1"/>
    <col min="13570" max="13570" width="4.625" style="3" bestFit="1" customWidth="1"/>
    <col min="13571" max="13571" width="26.875" style="3" customWidth="1"/>
    <col min="13572" max="13572" width="12.75" style="3" bestFit="1" customWidth="1"/>
    <col min="13573" max="13573" width="8.625" style="3" bestFit="1" customWidth="1"/>
    <col min="13574" max="13574" width="8.5" style="3" bestFit="1" customWidth="1"/>
    <col min="13575" max="13575" width="10.625" style="3" bestFit="1" customWidth="1"/>
    <col min="13576" max="13576" width="10" style="3" bestFit="1" customWidth="1"/>
    <col min="13577" max="13577" width="12.5" style="3" bestFit="1" customWidth="1"/>
    <col min="13578" max="13578" width="7.125" style="3" customWidth="1"/>
    <col min="13579" max="13579" width="9.875" style="3" customWidth="1"/>
    <col min="13580" max="13580" width="10.75" style="3" customWidth="1"/>
    <col min="13581" max="13581" width="9.75" style="3" bestFit="1" customWidth="1"/>
    <col min="13582" max="13582" width="6.125" style="3" customWidth="1"/>
    <col min="13583" max="13583" width="9.5" style="3" bestFit="1" customWidth="1"/>
    <col min="13584" max="13584" width="7.75" style="3" customWidth="1"/>
    <col min="13585" max="13585" width="17.125" style="3" bestFit="1" customWidth="1"/>
    <col min="13586" max="13586" width="16.25" style="3" bestFit="1" customWidth="1"/>
    <col min="13587" max="13587" width="11.375" style="3" bestFit="1" customWidth="1"/>
    <col min="13588" max="13588" width="9.625" style="3" customWidth="1"/>
    <col min="13589" max="13589" width="13.25" style="3" bestFit="1" customWidth="1"/>
    <col min="13590" max="13590" width="9.625" style="3" customWidth="1"/>
    <col min="13591" max="13824" width="9" style="3"/>
    <col min="13825" max="13825" width="16.25" style="3" customWidth="1"/>
    <col min="13826" max="13826" width="4.625" style="3" bestFit="1" customWidth="1"/>
    <col min="13827" max="13827" width="26.875" style="3" customWidth="1"/>
    <col min="13828" max="13828" width="12.75" style="3" bestFit="1" customWidth="1"/>
    <col min="13829" max="13829" width="8.625" style="3" bestFit="1" customWidth="1"/>
    <col min="13830" max="13830" width="8.5" style="3" bestFit="1" customWidth="1"/>
    <col min="13831" max="13831" width="10.625" style="3" bestFit="1" customWidth="1"/>
    <col min="13832" max="13832" width="10" style="3" bestFit="1" customWidth="1"/>
    <col min="13833" max="13833" width="12.5" style="3" bestFit="1" customWidth="1"/>
    <col min="13834" max="13834" width="7.125" style="3" customWidth="1"/>
    <col min="13835" max="13835" width="9.875" style="3" customWidth="1"/>
    <col min="13836" max="13836" width="10.75" style="3" customWidth="1"/>
    <col min="13837" max="13837" width="9.75" style="3" bestFit="1" customWidth="1"/>
    <col min="13838" max="13838" width="6.125" style="3" customWidth="1"/>
    <col min="13839" max="13839" width="9.5" style="3" bestFit="1" customWidth="1"/>
    <col min="13840" max="13840" width="7.75" style="3" customWidth="1"/>
    <col min="13841" max="13841" width="17.125" style="3" bestFit="1" customWidth="1"/>
    <col min="13842" max="13842" width="16.25" style="3" bestFit="1" customWidth="1"/>
    <col min="13843" max="13843" width="11.375" style="3" bestFit="1" customWidth="1"/>
    <col min="13844" max="13844" width="9.625" style="3" customWidth="1"/>
    <col min="13845" max="13845" width="13.25" style="3" bestFit="1" customWidth="1"/>
    <col min="13846" max="13846" width="9.625" style="3" customWidth="1"/>
    <col min="13847" max="14080" width="9" style="3"/>
    <col min="14081" max="14081" width="16.25" style="3" customWidth="1"/>
    <col min="14082" max="14082" width="4.625" style="3" bestFit="1" customWidth="1"/>
    <col min="14083" max="14083" width="26.875" style="3" customWidth="1"/>
    <col min="14084" max="14084" width="12.75" style="3" bestFit="1" customWidth="1"/>
    <col min="14085" max="14085" width="8.625" style="3" bestFit="1" customWidth="1"/>
    <col min="14086" max="14086" width="8.5" style="3" bestFit="1" customWidth="1"/>
    <col min="14087" max="14087" width="10.625" style="3" bestFit="1" customWidth="1"/>
    <col min="14088" max="14088" width="10" style="3" bestFit="1" customWidth="1"/>
    <col min="14089" max="14089" width="12.5" style="3" bestFit="1" customWidth="1"/>
    <col min="14090" max="14090" width="7.125" style="3" customWidth="1"/>
    <col min="14091" max="14091" width="9.875" style="3" customWidth="1"/>
    <col min="14092" max="14092" width="10.75" style="3" customWidth="1"/>
    <col min="14093" max="14093" width="9.75" style="3" bestFit="1" customWidth="1"/>
    <col min="14094" max="14094" width="6.125" style="3" customWidth="1"/>
    <col min="14095" max="14095" width="9.5" style="3" bestFit="1" customWidth="1"/>
    <col min="14096" max="14096" width="7.75" style="3" customWidth="1"/>
    <col min="14097" max="14097" width="17.125" style="3" bestFit="1" customWidth="1"/>
    <col min="14098" max="14098" width="16.25" style="3" bestFit="1" customWidth="1"/>
    <col min="14099" max="14099" width="11.375" style="3" bestFit="1" customWidth="1"/>
    <col min="14100" max="14100" width="9.625" style="3" customWidth="1"/>
    <col min="14101" max="14101" width="13.25" style="3" bestFit="1" customWidth="1"/>
    <col min="14102" max="14102" width="9.625" style="3" customWidth="1"/>
    <col min="14103" max="14336" width="9" style="3"/>
    <col min="14337" max="14337" width="16.25" style="3" customWidth="1"/>
    <col min="14338" max="14338" width="4.625" style="3" bestFit="1" customWidth="1"/>
    <col min="14339" max="14339" width="26.875" style="3" customWidth="1"/>
    <col min="14340" max="14340" width="12.75" style="3" bestFit="1" customWidth="1"/>
    <col min="14341" max="14341" width="8.625" style="3" bestFit="1" customWidth="1"/>
    <col min="14342" max="14342" width="8.5" style="3" bestFit="1" customWidth="1"/>
    <col min="14343" max="14343" width="10.625" style="3" bestFit="1" customWidth="1"/>
    <col min="14344" max="14344" width="10" style="3" bestFit="1" customWidth="1"/>
    <col min="14345" max="14345" width="12.5" style="3" bestFit="1" customWidth="1"/>
    <col min="14346" max="14346" width="7.125" style="3" customWidth="1"/>
    <col min="14347" max="14347" width="9.875" style="3" customWidth="1"/>
    <col min="14348" max="14348" width="10.75" style="3" customWidth="1"/>
    <col min="14349" max="14349" width="9.75" style="3" bestFit="1" customWidth="1"/>
    <col min="14350" max="14350" width="6.125" style="3" customWidth="1"/>
    <col min="14351" max="14351" width="9.5" style="3" bestFit="1" customWidth="1"/>
    <col min="14352" max="14352" width="7.75" style="3" customWidth="1"/>
    <col min="14353" max="14353" width="17.125" style="3" bestFit="1" customWidth="1"/>
    <col min="14354" max="14354" width="16.25" style="3" bestFit="1" customWidth="1"/>
    <col min="14355" max="14355" width="11.375" style="3" bestFit="1" customWidth="1"/>
    <col min="14356" max="14356" width="9.625" style="3" customWidth="1"/>
    <col min="14357" max="14357" width="13.25" style="3" bestFit="1" customWidth="1"/>
    <col min="14358" max="14358" width="9.625" style="3" customWidth="1"/>
    <col min="14359" max="14592" width="9" style="3"/>
    <col min="14593" max="14593" width="16.25" style="3" customWidth="1"/>
    <col min="14594" max="14594" width="4.625" style="3" bestFit="1" customWidth="1"/>
    <col min="14595" max="14595" width="26.875" style="3" customWidth="1"/>
    <col min="14596" max="14596" width="12.75" style="3" bestFit="1" customWidth="1"/>
    <col min="14597" max="14597" width="8.625" style="3" bestFit="1" customWidth="1"/>
    <col min="14598" max="14598" width="8.5" style="3" bestFit="1" customWidth="1"/>
    <col min="14599" max="14599" width="10.625" style="3" bestFit="1" customWidth="1"/>
    <col min="14600" max="14600" width="10" style="3" bestFit="1" customWidth="1"/>
    <col min="14601" max="14601" width="12.5" style="3" bestFit="1" customWidth="1"/>
    <col min="14602" max="14602" width="7.125" style="3" customWidth="1"/>
    <col min="14603" max="14603" width="9.875" style="3" customWidth="1"/>
    <col min="14604" max="14604" width="10.75" style="3" customWidth="1"/>
    <col min="14605" max="14605" width="9.75" style="3" bestFit="1" customWidth="1"/>
    <col min="14606" max="14606" width="6.125" style="3" customWidth="1"/>
    <col min="14607" max="14607" width="9.5" style="3" bestFit="1" customWidth="1"/>
    <col min="14608" max="14608" width="7.75" style="3" customWidth="1"/>
    <col min="14609" max="14609" width="17.125" style="3" bestFit="1" customWidth="1"/>
    <col min="14610" max="14610" width="16.25" style="3" bestFit="1" customWidth="1"/>
    <col min="14611" max="14611" width="11.375" style="3" bestFit="1" customWidth="1"/>
    <col min="14612" max="14612" width="9.625" style="3" customWidth="1"/>
    <col min="14613" max="14613" width="13.25" style="3" bestFit="1" customWidth="1"/>
    <col min="14614" max="14614" width="9.625" style="3" customWidth="1"/>
    <col min="14615" max="14848" width="9" style="3"/>
    <col min="14849" max="14849" width="16.25" style="3" customWidth="1"/>
    <col min="14850" max="14850" width="4.625" style="3" bestFit="1" customWidth="1"/>
    <col min="14851" max="14851" width="26.875" style="3" customWidth="1"/>
    <col min="14852" max="14852" width="12.75" style="3" bestFit="1" customWidth="1"/>
    <col min="14853" max="14853" width="8.625" style="3" bestFit="1" customWidth="1"/>
    <col min="14854" max="14854" width="8.5" style="3" bestFit="1" customWidth="1"/>
    <col min="14855" max="14855" width="10.625" style="3" bestFit="1" customWidth="1"/>
    <col min="14856" max="14856" width="10" style="3" bestFit="1" customWidth="1"/>
    <col min="14857" max="14857" width="12.5" style="3" bestFit="1" customWidth="1"/>
    <col min="14858" max="14858" width="7.125" style="3" customWidth="1"/>
    <col min="14859" max="14859" width="9.875" style="3" customWidth="1"/>
    <col min="14860" max="14860" width="10.75" style="3" customWidth="1"/>
    <col min="14861" max="14861" width="9.75" style="3" bestFit="1" customWidth="1"/>
    <col min="14862" max="14862" width="6.125" style="3" customWidth="1"/>
    <col min="14863" max="14863" width="9.5" style="3" bestFit="1" customWidth="1"/>
    <col min="14864" max="14864" width="7.75" style="3" customWidth="1"/>
    <col min="14865" max="14865" width="17.125" style="3" bestFit="1" customWidth="1"/>
    <col min="14866" max="14866" width="16.25" style="3" bestFit="1" customWidth="1"/>
    <col min="14867" max="14867" width="11.375" style="3" bestFit="1" customWidth="1"/>
    <col min="14868" max="14868" width="9.625" style="3" customWidth="1"/>
    <col min="14869" max="14869" width="13.25" style="3" bestFit="1" customWidth="1"/>
    <col min="14870" max="14870" width="9.625" style="3" customWidth="1"/>
    <col min="14871" max="15104" width="9" style="3"/>
    <col min="15105" max="15105" width="16.25" style="3" customWidth="1"/>
    <col min="15106" max="15106" width="4.625" style="3" bestFit="1" customWidth="1"/>
    <col min="15107" max="15107" width="26.875" style="3" customWidth="1"/>
    <col min="15108" max="15108" width="12.75" style="3" bestFit="1" customWidth="1"/>
    <col min="15109" max="15109" width="8.625" style="3" bestFit="1" customWidth="1"/>
    <col min="15110" max="15110" width="8.5" style="3" bestFit="1" customWidth="1"/>
    <col min="15111" max="15111" width="10.625" style="3" bestFit="1" customWidth="1"/>
    <col min="15112" max="15112" width="10" style="3" bestFit="1" customWidth="1"/>
    <col min="15113" max="15113" width="12.5" style="3" bestFit="1" customWidth="1"/>
    <col min="15114" max="15114" width="7.125" style="3" customWidth="1"/>
    <col min="15115" max="15115" width="9.875" style="3" customWidth="1"/>
    <col min="15116" max="15116" width="10.75" style="3" customWidth="1"/>
    <col min="15117" max="15117" width="9.75" style="3" bestFit="1" customWidth="1"/>
    <col min="15118" max="15118" width="6.125" style="3" customWidth="1"/>
    <col min="15119" max="15119" width="9.5" style="3" bestFit="1" customWidth="1"/>
    <col min="15120" max="15120" width="7.75" style="3" customWidth="1"/>
    <col min="15121" max="15121" width="17.125" style="3" bestFit="1" customWidth="1"/>
    <col min="15122" max="15122" width="16.25" style="3" bestFit="1" customWidth="1"/>
    <col min="15123" max="15123" width="11.375" style="3" bestFit="1" customWidth="1"/>
    <col min="15124" max="15124" width="9.625" style="3" customWidth="1"/>
    <col min="15125" max="15125" width="13.25" style="3" bestFit="1" customWidth="1"/>
    <col min="15126" max="15126" width="9.625" style="3" customWidth="1"/>
    <col min="15127" max="15360" width="9" style="3"/>
    <col min="15361" max="15361" width="16.25" style="3" customWidth="1"/>
    <col min="15362" max="15362" width="4.625" style="3" bestFit="1" customWidth="1"/>
    <col min="15363" max="15363" width="26.875" style="3" customWidth="1"/>
    <col min="15364" max="15364" width="12.75" style="3" bestFit="1" customWidth="1"/>
    <col min="15365" max="15365" width="8.625" style="3" bestFit="1" customWidth="1"/>
    <col min="15366" max="15366" width="8.5" style="3" bestFit="1" customWidth="1"/>
    <col min="15367" max="15367" width="10.625" style="3" bestFit="1" customWidth="1"/>
    <col min="15368" max="15368" width="10" style="3" bestFit="1" customWidth="1"/>
    <col min="15369" max="15369" width="12.5" style="3" bestFit="1" customWidth="1"/>
    <col min="15370" max="15370" width="7.125" style="3" customWidth="1"/>
    <col min="15371" max="15371" width="9.875" style="3" customWidth="1"/>
    <col min="15372" max="15372" width="10.75" style="3" customWidth="1"/>
    <col min="15373" max="15373" width="9.75" style="3" bestFit="1" customWidth="1"/>
    <col min="15374" max="15374" width="6.125" style="3" customWidth="1"/>
    <col min="15375" max="15375" width="9.5" style="3" bestFit="1" customWidth="1"/>
    <col min="15376" max="15376" width="7.75" style="3" customWidth="1"/>
    <col min="15377" max="15377" width="17.125" style="3" bestFit="1" customWidth="1"/>
    <col min="15378" max="15378" width="16.25" style="3" bestFit="1" customWidth="1"/>
    <col min="15379" max="15379" width="11.375" style="3" bestFit="1" customWidth="1"/>
    <col min="15380" max="15380" width="9.625" style="3" customWidth="1"/>
    <col min="15381" max="15381" width="13.25" style="3" bestFit="1" customWidth="1"/>
    <col min="15382" max="15382" width="9.625" style="3" customWidth="1"/>
    <col min="15383" max="15616" width="9" style="3"/>
    <col min="15617" max="15617" width="16.25" style="3" customWidth="1"/>
    <col min="15618" max="15618" width="4.625" style="3" bestFit="1" customWidth="1"/>
    <col min="15619" max="15619" width="26.875" style="3" customWidth="1"/>
    <col min="15620" max="15620" width="12.75" style="3" bestFit="1" customWidth="1"/>
    <col min="15621" max="15621" width="8.625" style="3" bestFit="1" customWidth="1"/>
    <col min="15622" max="15622" width="8.5" style="3" bestFit="1" customWidth="1"/>
    <col min="15623" max="15623" width="10.625" style="3" bestFit="1" customWidth="1"/>
    <col min="15624" max="15624" width="10" style="3" bestFit="1" customWidth="1"/>
    <col min="15625" max="15625" width="12.5" style="3" bestFit="1" customWidth="1"/>
    <col min="15626" max="15626" width="7.125" style="3" customWidth="1"/>
    <col min="15627" max="15627" width="9.875" style="3" customWidth="1"/>
    <col min="15628" max="15628" width="10.75" style="3" customWidth="1"/>
    <col min="15629" max="15629" width="9.75" style="3" bestFit="1" customWidth="1"/>
    <col min="15630" max="15630" width="6.125" style="3" customWidth="1"/>
    <col min="15631" max="15631" width="9.5" style="3" bestFit="1" customWidth="1"/>
    <col min="15632" max="15632" width="7.75" style="3" customWidth="1"/>
    <col min="15633" max="15633" width="17.125" style="3" bestFit="1" customWidth="1"/>
    <col min="15634" max="15634" width="16.25" style="3" bestFit="1" customWidth="1"/>
    <col min="15635" max="15635" width="11.375" style="3" bestFit="1" customWidth="1"/>
    <col min="15636" max="15636" width="9.625" style="3" customWidth="1"/>
    <col min="15637" max="15637" width="13.25" style="3" bestFit="1" customWidth="1"/>
    <col min="15638" max="15638" width="9.625" style="3" customWidth="1"/>
    <col min="15639" max="15872" width="9" style="3"/>
    <col min="15873" max="15873" width="16.25" style="3" customWidth="1"/>
    <col min="15874" max="15874" width="4.625" style="3" bestFit="1" customWidth="1"/>
    <col min="15875" max="15875" width="26.875" style="3" customWidth="1"/>
    <col min="15876" max="15876" width="12.75" style="3" bestFit="1" customWidth="1"/>
    <col min="15877" max="15877" width="8.625" style="3" bestFit="1" customWidth="1"/>
    <col min="15878" max="15878" width="8.5" style="3" bestFit="1" customWidth="1"/>
    <col min="15879" max="15879" width="10.625" style="3" bestFit="1" customWidth="1"/>
    <col min="15880" max="15880" width="10" style="3" bestFit="1" customWidth="1"/>
    <col min="15881" max="15881" width="12.5" style="3" bestFit="1" customWidth="1"/>
    <col min="15882" max="15882" width="7.125" style="3" customWidth="1"/>
    <col min="15883" max="15883" width="9.875" style="3" customWidth="1"/>
    <col min="15884" max="15884" width="10.75" style="3" customWidth="1"/>
    <col min="15885" max="15885" width="9.75" style="3" bestFit="1" customWidth="1"/>
    <col min="15886" max="15886" width="6.125" style="3" customWidth="1"/>
    <col min="15887" max="15887" width="9.5" style="3" bestFit="1" customWidth="1"/>
    <col min="15888" max="15888" width="7.75" style="3" customWidth="1"/>
    <col min="15889" max="15889" width="17.125" style="3" bestFit="1" customWidth="1"/>
    <col min="15890" max="15890" width="16.25" style="3" bestFit="1" customWidth="1"/>
    <col min="15891" max="15891" width="11.375" style="3" bestFit="1" customWidth="1"/>
    <col min="15892" max="15892" width="9.625" style="3" customWidth="1"/>
    <col min="15893" max="15893" width="13.25" style="3" bestFit="1" customWidth="1"/>
    <col min="15894" max="15894" width="9.625" style="3" customWidth="1"/>
    <col min="15895" max="16128" width="9" style="3"/>
    <col min="16129" max="16129" width="16.25" style="3" customWidth="1"/>
    <col min="16130" max="16130" width="4.625" style="3" bestFit="1" customWidth="1"/>
    <col min="16131" max="16131" width="26.875" style="3" customWidth="1"/>
    <col min="16132" max="16132" width="12.75" style="3" bestFit="1" customWidth="1"/>
    <col min="16133" max="16133" width="8.625" style="3" bestFit="1" customWidth="1"/>
    <col min="16134" max="16134" width="8.5" style="3" bestFit="1" customWidth="1"/>
    <col min="16135" max="16135" width="10.625" style="3" bestFit="1" customWidth="1"/>
    <col min="16136" max="16136" width="10" style="3" bestFit="1" customWidth="1"/>
    <col min="16137" max="16137" width="12.5" style="3" bestFit="1" customWidth="1"/>
    <col min="16138" max="16138" width="7.125" style="3" customWidth="1"/>
    <col min="16139" max="16139" width="9.875" style="3" customWidth="1"/>
    <col min="16140" max="16140" width="10.75" style="3" customWidth="1"/>
    <col min="16141" max="16141" width="9.75" style="3" bestFit="1" customWidth="1"/>
    <col min="16142" max="16142" width="6.125" style="3" customWidth="1"/>
    <col min="16143" max="16143" width="9.5" style="3" bestFit="1" customWidth="1"/>
    <col min="16144" max="16144" width="7.75" style="3" customWidth="1"/>
    <col min="16145" max="16145" width="17.125" style="3" bestFit="1" customWidth="1"/>
    <col min="16146" max="16146" width="16.25" style="3" bestFit="1" customWidth="1"/>
    <col min="16147" max="16147" width="11.375" style="3" bestFit="1" customWidth="1"/>
    <col min="16148" max="16148" width="9.625" style="3" customWidth="1"/>
    <col min="16149" max="16149" width="13.25" style="3" bestFit="1" customWidth="1"/>
    <col min="16150" max="16150" width="9.625" style="3" customWidth="1"/>
    <col min="16151" max="16384" width="9" style="3"/>
  </cols>
  <sheetData>
    <row r="1" spans="1:22" ht="21" customHeight="1">
      <c r="A1" s="157"/>
      <c r="V1" s="3"/>
    </row>
    <row r="2" spans="1:22" ht="15.75">
      <c r="C2" s="156"/>
      <c r="F2" s="155"/>
      <c r="G2" s="155"/>
      <c r="H2" s="155"/>
      <c r="L2" s="6" t="s">
        <v>737</v>
      </c>
      <c r="M2" s="7"/>
      <c r="N2" s="7"/>
      <c r="O2" s="7"/>
      <c r="P2" s="7"/>
      <c r="Q2" s="7"/>
      <c r="R2" s="7"/>
      <c r="S2" s="154"/>
      <c r="T2" s="153"/>
      <c r="U2" s="153"/>
      <c r="V2" s="153"/>
    </row>
    <row r="3" spans="1:22" ht="19.5" customHeight="1">
      <c r="A3" s="152" t="s">
        <v>1</v>
      </c>
      <c r="V3" s="9" t="s">
        <v>2</v>
      </c>
    </row>
    <row r="4" spans="1:22" ht="11.25" customHeight="1" thickBot="1">
      <c r="A4" s="82" t="s">
        <v>3</v>
      </c>
      <c r="B4" s="82" t="s">
        <v>4</v>
      </c>
      <c r="C4" s="114"/>
      <c r="D4" s="82" t="s">
        <v>5</v>
      </c>
      <c r="E4" s="82" t="s">
        <v>6</v>
      </c>
      <c r="F4" s="82"/>
      <c r="G4" s="82"/>
      <c r="H4" s="82"/>
      <c r="I4" s="95" t="s">
        <v>7</v>
      </c>
      <c r="J4" s="95" t="s">
        <v>8</v>
      </c>
      <c r="K4" s="116" t="s">
        <v>9</v>
      </c>
      <c r="L4" s="116" t="s">
        <v>10</v>
      </c>
      <c r="M4" s="117" t="s">
        <v>11</v>
      </c>
      <c r="N4" s="92" t="s">
        <v>12</v>
      </c>
      <c r="O4" s="93"/>
      <c r="P4" s="94"/>
      <c r="Q4" s="95" t="s">
        <v>13</v>
      </c>
      <c r="R4" s="96" t="s">
        <v>14</v>
      </c>
      <c r="S4" s="96"/>
      <c r="T4" s="96"/>
      <c r="U4" s="97" t="s">
        <v>15</v>
      </c>
      <c r="V4" s="100" t="s">
        <v>16</v>
      </c>
    </row>
    <row r="5" spans="1:22" ht="11.25" customHeight="1">
      <c r="A5" s="82"/>
      <c r="B5" s="82"/>
      <c r="C5" s="114"/>
      <c r="D5" s="82"/>
      <c r="E5" s="82"/>
      <c r="F5" s="82"/>
      <c r="G5" s="82"/>
      <c r="H5" s="82"/>
      <c r="I5" s="95"/>
      <c r="J5" s="95"/>
      <c r="K5" s="116"/>
      <c r="L5" s="116"/>
      <c r="M5" s="118"/>
      <c r="N5" s="103" t="s">
        <v>17</v>
      </c>
      <c r="O5" s="106" t="s">
        <v>18</v>
      </c>
      <c r="P5" s="109" t="s">
        <v>19</v>
      </c>
      <c r="Q5" s="95"/>
      <c r="R5" s="96"/>
      <c r="S5" s="96"/>
      <c r="T5" s="96"/>
      <c r="U5" s="98"/>
      <c r="V5" s="101"/>
    </row>
    <row r="6" spans="1:22">
      <c r="A6" s="82"/>
      <c r="B6" s="82"/>
      <c r="C6" s="114"/>
      <c r="D6" s="82"/>
      <c r="E6" s="10"/>
      <c r="F6" s="81" t="s">
        <v>20</v>
      </c>
      <c r="G6" s="81" t="s">
        <v>21</v>
      </c>
      <c r="H6" s="81" t="s">
        <v>22</v>
      </c>
      <c r="I6" s="95"/>
      <c r="J6" s="95"/>
      <c r="K6" s="116"/>
      <c r="L6" s="116"/>
      <c r="M6" s="118"/>
      <c r="N6" s="104"/>
      <c r="O6" s="107"/>
      <c r="P6" s="150"/>
      <c r="Q6" s="95"/>
      <c r="R6" s="151" t="s">
        <v>23</v>
      </c>
      <c r="S6" s="86" t="s">
        <v>24</v>
      </c>
      <c r="T6" s="89" t="s">
        <v>25</v>
      </c>
      <c r="U6" s="98"/>
      <c r="V6" s="101"/>
    </row>
    <row r="7" spans="1:22">
      <c r="A7" s="82"/>
      <c r="B7" s="82"/>
      <c r="C7" s="114"/>
      <c r="D7" s="82"/>
      <c r="E7" s="10" t="s">
        <v>5</v>
      </c>
      <c r="F7" s="82"/>
      <c r="G7" s="82"/>
      <c r="H7" s="82"/>
      <c r="I7" s="95"/>
      <c r="J7" s="95"/>
      <c r="K7" s="116"/>
      <c r="L7" s="116"/>
      <c r="M7" s="118"/>
      <c r="N7" s="104"/>
      <c r="O7" s="107"/>
      <c r="P7" s="150"/>
      <c r="Q7" s="95"/>
      <c r="R7" s="149"/>
      <c r="S7" s="87"/>
      <c r="T7" s="90"/>
      <c r="U7" s="98"/>
      <c r="V7" s="101"/>
    </row>
    <row r="8" spans="1:22">
      <c r="A8" s="82"/>
      <c r="B8" s="82"/>
      <c r="C8" s="114"/>
      <c r="D8" s="82"/>
      <c r="E8" s="7"/>
      <c r="F8" s="82"/>
      <c r="G8" s="82"/>
      <c r="H8" s="82"/>
      <c r="I8" s="95"/>
      <c r="J8" s="95"/>
      <c r="K8" s="116"/>
      <c r="L8" s="116"/>
      <c r="M8" s="119"/>
      <c r="N8" s="105"/>
      <c r="O8" s="108"/>
      <c r="P8" s="111"/>
      <c r="Q8" s="95"/>
      <c r="R8" s="148"/>
      <c r="S8" s="88"/>
      <c r="T8" s="91"/>
      <c r="U8" s="99"/>
      <c r="V8" s="102"/>
    </row>
    <row r="9" spans="1:22" ht="45">
      <c r="A9" s="180" t="s">
        <v>736</v>
      </c>
      <c r="B9" s="176"/>
      <c r="C9" s="179" t="s">
        <v>735</v>
      </c>
      <c r="D9" s="168" t="s">
        <v>734</v>
      </c>
      <c r="E9" s="161" t="s">
        <v>694</v>
      </c>
      <c r="F9" s="167">
        <v>7.6970000000000001</v>
      </c>
      <c r="G9" s="161">
        <v>1400</v>
      </c>
      <c r="H9" s="161">
        <v>260</v>
      </c>
      <c r="I9" s="161" t="s">
        <v>246</v>
      </c>
      <c r="J9" s="166">
        <v>8765</v>
      </c>
      <c r="K9" s="166">
        <v>24405</v>
      </c>
      <c r="L9" s="161">
        <v>15530</v>
      </c>
      <c r="M9" s="165" t="s">
        <v>589</v>
      </c>
      <c r="N9" s="164">
        <v>4.25</v>
      </c>
      <c r="O9" s="23">
        <f>IF(N9&gt;0,1/N9*37.7*68.6,"")</f>
        <v>608.52235294117645</v>
      </c>
      <c r="P9" s="163">
        <v>4.04</v>
      </c>
      <c r="Q9" s="162" t="s">
        <v>588</v>
      </c>
      <c r="R9" s="161" t="s">
        <v>587</v>
      </c>
      <c r="S9" s="161" t="s">
        <v>724</v>
      </c>
      <c r="T9" s="160"/>
      <c r="U9" s="159"/>
      <c r="V9" s="158">
        <f>IFERROR(IF(N9&lt;P9,"",(ROUNDDOWN(N9/P9*100,0))),"")</f>
        <v>105</v>
      </c>
    </row>
    <row r="10" spans="1:22" ht="45">
      <c r="A10" s="174"/>
      <c r="B10" s="173"/>
      <c r="C10" s="172"/>
      <c r="D10" s="168" t="s">
        <v>734</v>
      </c>
      <c r="E10" s="161" t="s">
        <v>694</v>
      </c>
      <c r="F10" s="167">
        <v>7.6970000000000001</v>
      </c>
      <c r="G10" s="161">
        <v>1400</v>
      </c>
      <c r="H10" s="161">
        <v>280</v>
      </c>
      <c r="I10" s="161" t="s">
        <v>246</v>
      </c>
      <c r="J10" s="166">
        <v>8765</v>
      </c>
      <c r="K10" s="166">
        <v>24405</v>
      </c>
      <c r="L10" s="161">
        <v>15530</v>
      </c>
      <c r="M10" s="165" t="s">
        <v>589</v>
      </c>
      <c r="N10" s="164">
        <v>4.25</v>
      </c>
      <c r="O10" s="23">
        <f>IF(N10&gt;0,1/N10*37.7*68.6,"")</f>
        <v>608.52235294117645</v>
      </c>
      <c r="P10" s="163">
        <v>4.04</v>
      </c>
      <c r="Q10" s="162" t="s">
        <v>588</v>
      </c>
      <c r="R10" s="161" t="s">
        <v>587</v>
      </c>
      <c r="S10" s="161" t="s">
        <v>724</v>
      </c>
      <c r="T10" s="160"/>
      <c r="U10" s="159"/>
      <c r="V10" s="158">
        <f>IFERROR(IF(N10&lt;P10,"",(ROUNDDOWN(N10/P10*100,0))),"")</f>
        <v>105</v>
      </c>
    </row>
    <row r="11" spans="1:22" ht="45">
      <c r="A11" s="174"/>
      <c r="B11" s="173"/>
      <c r="C11" s="172"/>
      <c r="D11" s="168" t="s">
        <v>733</v>
      </c>
      <c r="E11" s="161" t="s">
        <v>681</v>
      </c>
      <c r="F11" s="167">
        <v>10.676</v>
      </c>
      <c r="G11" s="161">
        <v>2000</v>
      </c>
      <c r="H11" s="161">
        <v>290</v>
      </c>
      <c r="I11" s="161" t="s">
        <v>243</v>
      </c>
      <c r="J11" s="166">
        <v>8765</v>
      </c>
      <c r="K11" s="166">
        <v>24405</v>
      </c>
      <c r="L11" s="161">
        <v>15530</v>
      </c>
      <c r="M11" s="165" t="s">
        <v>589</v>
      </c>
      <c r="N11" s="164">
        <v>4.1500000000000004</v>
      </c>
      <c r="O11" s="23">
        <f>IF(N11&gt;0,1/N11*37.7*68.6,"")</f>
        <v>623.1855421686746</v>
      </c>
      <c r="P11" s="163">
        <v>4.04</v>
      </c>
      <c r="Q11" s="162" t="s">
        <v>588</v>
      </c>
      <c r="R11" s="161" t="s">
        <v>587</v>
      </c>
      <c r="S11" s="161" t="s">
        <v>724</v>
      </c>
      <c r="T11" s="160"/>
      <c r="U11" s="159"/>
      <c r="V11" s="158">
        <f>IFERROR(IF(N11&lt;P11,"",(ROUNDDOWN(N11/P11*100,0))),"")</f>
        <v>102</v>
      </c>
    </row>
    <row r="12" spans="1:22" ht="45" customHeight="1">
      <c r="A12" s="174"/>
      <c r="B12" s="173"/>
      <c r="C12" s="172"/>
      <c r="D12" s="168" t="s">
        <v>732</v>
      </c>
      <c r="E12" s="161" t="s">
        <v>681</v>
      </c>
      <c r="F12" s="167">
        <v>10.676</v>
      </c>
      <c r="G12" s="161">
        <v>2000</v>
      </c>
      <c r="H12" s="161">
        <v>265</v>
      </c>
      <c r="I12" s="161" t="s">
        <v>246</v>
      </c>
      <c r="J12" s="166">
        <v>8765</v>
      </c>
      <c r="K12" s="166">
        <v>24405</v>
      </c>
      <c r="L12" s="161">
        <v>15530</v>
      </c>
      <c r="M12" s="165" t="s">
        <v>589</v>
      </c>
      <c r="N12" s="164">
        <v>4.25</v>
      </c>
      <c r="O12" s="23">
        <f>IF(N12&gt;0,1/N12*37.7*68.6,"")</f>
        <v>608.52235294117645</v>
      </c>
      <c r="P12" s="163">
        <v>4.04</v>
      </c>
      <c r="Q12" s="162" t="s">
        <v>588</v>
      </c>
      <c r="R12" s="161" t="s">
        <v>587</v>
      </c>
      <c r="S12" s="161" t="s">
        <v>724</v>
      </c>
      <c r="T12" s="160"/>
      <c r="U12" s="159"/>
      <c r="V12" s="158">
        <f>IFERROR(IF(N12&lt;P12,"",(ROUNDDOWN(N12/P12*100,0))),"")</f>
        <v>105</v>
      </c>
    </row>
    <row r="13" spans="1:22" ht="45" customHeight="1">
      <c r="A13" s="174"/>
      <c r="B13" s="173"/>
      <c r="C13" s="172"/>
      <c r="D13" s="168" t="s">
        <v>732</v>
      </c>
      <c r="E13" s="161" t="s">
        <v>681</v>
      </c>
      <c r="F13" s="167">
        <v>10.676</v>
      </c>
      <c r="G13" s="161">
        <v>2000</v>
      </c>
      <c r="H13" s="161">
        <v>290</v>
      </c>
      <c r="I13" s="161" t="s">
        <v>246</v>
      </c>
      <c r="J13" s="166">
        <v>8765</v>
      </c>
      <c r="K13" s="166">
        <v>24405</v>
      </c>
      <c r="L13" s="161">
        <v>15530</v>
      </c>
      <c r="M13" s="165" t="s">
        <v>589</v>
      </c>
      <c r="N13" s="164">
        <v>4.25</v>
      </c>
      <c r="O13" s="23">
        <f>IF(N13&gt;0,1/N13*37.7*68.6,"")</f>
        <v>608.52235294117645</v>
      </c>
      <c r="P13" s="163">
        <v>4.04</v>
      </c>
      <c r="Q13" s="162" t="s">
        <v>588</v>
      </c>
      <c r="R13" s="161" t="s">
        <v>587</v>
      </c>
      <c r="S13" s="161" t="s">
        <v>724</v>
      </c>
      <c r="T13" s="160"/>
      <c r="U13" s="159"/>
      <c r="V13" s="158">
        <f>IFERROR(IF(N13&lt;P13,"",(ROUNDDOWN(N13/P13*100,0))),"")</f>
        <v>105</v>
      </c>
    </row>
    <row r="14" spans="1:22" ht="45" customHeight="1">
      <c r="A14" s="174"/>
      <c r="B14" s="173"/>
      <c r="C14" s="172"/>
      <c r="D14" s="168" t="s">
        <v>731</v>
      </c>
      <c r="E14" s="161" t="s">
        <v>694</v>
      </c>
      <c r="F14" s="167">
        <v>7.6970000000000001</v>
      </c>
      <c r="G14" s="161">
        <v>1400</v>
      </c>
      <c r="H14" s="161">
        <v>260</v>
      </c>
      <c r="I14" s="161" t="s">
        <v>246</v>
      </c>
      <c r="J14" s="166">
        <v>8765</v>
      </c>
      <c r="K14" s="166">
        <v>24405</v>
      </c>
      <c r="L14" s="161">
        <v>15530</v>
      </c>
      <c r="M14" s="165" t="s">
        <v>589</v>
      </c>
      <c r="N14" s="164">
        <v>4.25</v>
      </c>
      <c r="O14" s="23">
        <f>IF(N14&gt;0,1/N14*37.7*68.6,"")</f>
        <v>608.52235294117645</v>
      </c>
      <c r="P14" s="163">
        <v>4.04</v>
      </c>
      <c r="Q14" s="162" t="s">
        <v>588</v>
      </c>
      <c r="R14" s="161" t="s">
        <v>587</v>
      </c>
      <c r="S14" s="161" t="s">
        <v>724</v>
      </c>
      <c r="T14" s="160"/>
      <c r="U14" s="159"/>
      <c r="V14" s="158">
        <f>IFERROR(IF(N14&lt;P14,"",(ROUNDDOWN(N14/P14*100,0))),"")</f>
        <v>105</v>
      </c>
    </row>
    <row r="15" spans="1:22" ht="45" customHeight="1">
      <c r="A15" s="174"/>
      <c r="B15" s="173"/>
      <c r="C15" s="172"/>
      <c r="D15" s="168" t="s">
        <v>731</v>
      </c>
      <c r="E15" s="161" t="s">
        <v>694</v>
      </c>
      <c r="F15" s="167">
        <v>7.6970000000000001</v>
      </c>
      <c r="G15" s="161">
        <v>1400</v>
      </c>
      <c r="H15" s="161">
        <v>280</v>
      </c>
      <c r="I15" s="161" t="s">
        <v>246</v>
      </c>
      <c r="J15" s="166">
        <v>8765</v>
      </c>
      <c r="K15" s="166">
        <v>24405</v>
      </c>
      <c r="L15" s="161">
        <v>15530</v>
      </c>
      <c r="M15" s="165" t="s">
        <v>589</v>
      </c>
      <c r="N15" s="164">
        <v>4.25</v>
      </c>
      <c r="O15" s="23">
        <f>IF(N15&gt;0,1/N15*37.7*68.6,"")</f>
        <v>608.52235294117645</v>
      </c>
      <c r="P15" s="163">
        <v>4.04</v>
      </c>
      <c r="Q15" s="162" t="s">
        <v>588</v>
      </c>
      <c r="R15" s="161" t="s">
        <v>587</v>
      </c>
      <c r="S15" s="161" t="s">
        <v>724</v>
      </c>
      <c r="T15" s="160"/>
      <c r="U15" s="159"/>
      <c r="V15" s="158">
        <f>IFERROR(IF(N15&lt;P15,"",(ROUNDDOWN(N15/P15*100,0))),"")</f>
        <v>105</v>
      </c>
    </row>
    <row r="16" spans="1:22" ht="45" customHeight="1">
      <c r="A16" s="174"/>
      <c r="B16" s="173"/>
      <c r="C16" s="172"/>
      <c r="D16" s="168" t="s">
        <v>730</v>
      </c>
      <c r="E16" s="161" t="s">
        <v>681</v>
      </c>
      <c r="F16" s="167">
        <v>10.676</v>
      </c>
      <c r="G16" s="161">
        <v>2000</v>
      </c>
      <c r="H16" s="161">
        <v>265</v>
      </c>
      <c r="I16" s="161" t="s">
        <v>246</v>
      </c>
      <c r="J16" s="166">
        <v>8765</v>
      </c>
      <c r="K16" s="166">
        <v>24405</v>
      </c>
      <c r="L16" s="161">
        <v>15530</v>
      </c>
      <c r="M16" s="165" t="s">
        <v>589</v>
      </c>
      <c r="N16" s="164">
        <v>4.25</v>
      </c>
      <c r="O16" s="23">
        <f>IF(N16&gt;0,1/N16*37.7*68.6,"")</f>
        <v>608.52235294117645</v>
      </c>
      <c r="P16" s="163">
        <v>4.04</v>
      </c>
      <c r="Q16" s="162" t="s">
        <v>588</v>
      </c>
      <c r="R16" s="161" t="s">
        <v>587</v>
      </c>
      <c r="S16" s="161" t="s">
        <v>724</v>
      </c>
      <c r="T16" s="160"/>
      <c r="U16" s="159"/>
      <c r="V16" s="158">
        <f>IFERROR(IF(N16&lt;P16,"",(ROUNDDOWN(N16/P16*100,0))),"")</f>
        <v>105</v>
      </c>
    </row>
    <row r="17" spans="1:22" ht="45" customHeight="1">
      <c r="A17" s="174"/>
      <c r="B17" s="173"/>
      <c r="C17" s="172"/>
      <c r="D17" s="168" t="s">
        <v>730</v>
      </c>
      <c r="E17" s="161" t="s">
        <v>681</v>
      </c>
      <c r="F17" s="167">
        <v>10.676</v>
      </c>
      <c r="G17" s="161">
        <v>2000</v>
      </c>
      <c r="H17" s="161">
        <v>290</v>
      </c>
      <c r="I17" s="161" t="s">
        <v>246</v>
      </c>
      <c r="J17" s="166">
        <v>8765</v>
      </c>
      <c r="K17" s="166">
        <v>24405</v>
      </c>
      <c r="L17" s="161">
        <v>15530</v>
      </c>
      <c r="M17" s="165" t="s">
        <v>589</v>
      </c>
      <c r="N17" s="164">
        <v>4.25</v>
      </c>
      <c r="O17" s="23">
        <f>IF(N17&gt;0,1/N17*37.7*68.6,"")</f>
        <v>608.52235294117645</v>
      </c>
      <c r="P17" s="163">
        <v>4.04</v>
      </c>
      <c r="Q17" s="162" t="s">
        <v>588</v>
      </c>
      <c r="R17" s="161" t="s">
        <v>587</v>
      </c>
      <c r="S17" s="161" t="s">
        <v>724</v>
      </c>
      <c r="T17" s="160"/>
      <c r="U17" s="159"/>
      <c r="V17" s="158">
        <f>IFERROR(IF(N17&lt;P17,"",(ROUNDDOWN(N17/P17*100,0))),"")</f>
        <v>105</v>
      </c>
    </row>
    <row r="18" spans="1:22" ht="45" customHeight="1">
      <c r="A18" s="174"/>
      <c r="B18" s="173"/>
      <c r="C18" s="172"/>
      <c r="D18" s="168" t="s">
        <v>729</v>
      </c>
      <c r="E18" s="161" t="s">
        <v>694</v>
      </c>
      <c r="F18" s="167">
        <v>7.6970000000000001</v>
      </c>
      <c r="G18" s="161">
        <v>1400</v>
      </c>
      <c r="H18" s="161">
        <v>260</v>
      </c>
      <c r="I18" s="161" t="s">
        <v>246</v>
      </c>
      <c r="J18" s="166">
        <v>8765</v>
      </c>
      <c r="K18" s="166">
        <v>24405</v>
      </c>
      <c r="L18" s="161">
        <v>15530</v>
      </c>
      <c r="M18" s="165" t="s">
        <v>589</v>
      </c>
      <c r="N18" s="164">
        <v>4.25</v>
      </c>
      <c r="O18" s="23">
        <f>IF(N18&gt;0,1/N18*37.7*68.6,"")</f>
        <v>608.52235294117645</v>
      </c>
      <c r="P18" s="163">
        <v>4.04</v>
      </c>
      <c r="Q18" s="162" t="s">
        <v>588</v>
      </c>
      <c r="R18" s="161" t="s">
        <v>587</v>
      </c>
      <c r="S18" s="161" t="s">
        <v>724</v>
      </c>
      <c r="T18" s="160"/>
      <c r="U18" s="159"/>
      <c r="V18" s="158">
        <f>IFERROR(IF(N18&lt;P18,"",(ROUNDDOWN(N18/P18*100,0))),"")</f>
        <v>105</v>
      </c>
    </row>
    <row r="19" spans="1:22" ht="45" customHeight="1">
      <c r="A19" s="174"/>
      <c r="B19" s="173"/>
      <c r="C19" s="172"/>
      <c r="D19" s="168" t="s">
        <v>729</v>
      </c>
      <c r="E19" s="161" t="s">
        <v>694</v>
      </c>
      <c r="F19" s="167">
        <v>7.6970000000000001</v>
      </c>
      <c r="G19" s="161">
        <v>1400</v>
      </c>
      <c r="H19" s="161">
        <v>280</v>
      </c>
      <c r="I19" s="161" t="s">
        <v>246</v>
      </c>
      <c r="J19" s="166">
        <v>8765</v>
      </c>
      <c r="K19" s="166">
        <v>24405</v>
      </c>
      <c r="L19" s="161">
        <v>15530</v>
      </c>
      <c r="M19" s="165" t="s">
        <v>589</v>
      </c>
      <c r="N19" s="164">
        <v>4.25</v>
      </c>
      <c r="O19" s="23">
        <f>IF(N19&gt;0,1/N19*37.7*68.6,"")</f>
        <v>608.52235294117645</v>
      </c>
      <c r="P19" s="163">
        <v>4.04</v>
      </c>
      <c r="Q19" s="162" t="s">
        <v>588</v>
      </c>
      <c r="R19" s="161" t="s">
        <v>587</v>
      </c>
      <c r="S19" s="161" t="s">
        <v>724</v>
      </c>
      <c r="T19" s="160"/>
      <c r="U19" s="159"/>
      <c r="V19" s="158">
        <f>IFERROR(IF(N19&lt;P19,"",(ROUNDDOWN(N19/P19*100,0))),"")</f>
        <v>105</v>
      </c>
    </row>
    <row r="20" spans="1:22" ht="45" customHeight="1">
      <c r="A20" s="174"/>
      <c r="B20" s="173"/>
      <c r="C20" s="172"/>
      <c r="D20" s="168" t="s">
        <v>728</v>
      </c>
      <c r="E20" s="161" t="s">
        <v>681</v>
      </c>
      <c r="F20" s="167">
        <v>10.676</v>
      </c>
      <c r="G20" s="161">
        <v>2000</v>
      </c>
      <c r="H20" s="161">
        <v>290</v>
      </c>
      <c r="I20" s="161" t="s">
        <v>243</v>
      </c>
      <c r="J20" s="166">
        <v>8765</v>
      </c>
      <c r="K20" s="166">
        <v>24405</v>
      </c>
      <c r="L20" s="161">
        <v>15530</v>
      </c>
      <c r="M20" s="165" t="s">
        <v>589</v>
      </c>
      <c r="N20" s="164">
        <v>4.1500000000000004</v>
      </c>
      <c r="O20" s="23">
        <f>IF(N20&gt;0,1/N20*37.7*68.6,"")</f>
        <v>623.1855421686746</v>
      </c>
      <c r="P20" s="163">
        <v>4.04</v>
      </c>
      <c r="Q20" s="162" t="s">
        <v>588</v>
      </c>
      <c r="R20" s="161" t="s">
        <v>587</v>
      </c>
      <c r="S20" s="161" t="s">
        <v>724</v>
      </c>
      <c r="T20" s="160"/>
      <c r="U20" s="159"/>
      <c r="V20" s="158">
        <f>IFERROR(IF(N20&lt;P20,"",(ROUNDDOWN(N20/P20*100,0))),"")</f>
        <v>102</v>
      </c>
    </row>
    <row r="21" spans="1:22" ht="45" customHeight="1">
      <c r="A21" s="174"/>
      <c r="B21" s="173"/>
      <c r="C21" s="172"/>
      <c r="D21" s="168" t="s">
        <v>727</v>
      </c>
      <c r="E21" s="161" t="s">
        <v>681</v>
      </c>
      <c r="F21" s="167">
        <v>10.676</v>
      </c>
      <c r="G21" s="161">
        <v>2000</v>
      </c>
      <c r="H21" s="161">
        <v>265</v>
      </c>
      <c r="I21" s="161" t="s">
        <v>246</v>
      </c>
      <c r="J21" s="166">
        <v>8765</v>
      </c>
      <c r="K21" s="166">
        <v>24405</v>
      </c>
      <c r="L21" s="161">
        <v>15530</v>
      </c>
      <c r="M21" s="165" t="s">
        <v>589</v>
      </c>
      <c r="N21" s="164">
        <v>4.25</v>
      </c>
      <c r="O21" s="23">
        <f>IF(N21&gt;0,1/N21*37.7*68.6,"")</f>
        <v>608.52235294117645</v>
      </c>
      <c r="P21" s="163">
        <v>4.04</v>
      </c>
      <c r="Q21" s="162" t="s">
        <v>588</v>
      </c>
      <c r="R21" s="161" t="s">
        <v>587</v>
      </c>
      <c r="S21" s="161" t="s">
        <v>724</v>
      </c>
      <c r="T21" s="160"/>
      <c r="U21" s="159"/>
      <c r="V21" s="158">
        <f>IFERROR(IF(N21&lt;P21,"",(ROUNDDOWN(N21/P21*100,0))),"")</f>
        <v>105</v>
      </c>
    </row>
    <row r="22" spans="1:22" ht="45" customHeight="1">
      <c r="A22" s="174"/>
      <c r="B22" s="173"/>
      <c r="C22" s="172"/>
      <c r="D22" s="168" t="s">
        <v>727</v>
      </c>
      <c r="E22" s="161" t="s">
        <v>681</v>
      </c>
      <c r="F22" s="167">
        <v>10.676</v>
      </c>
      <c r="G22" s="161">
        <v>2000</v>
      </c>
      <c r="H22" s="161">
        <v>290</v>
      </c>
      <c r="I22" s="161" t="s">
        <v>246</v>
      </c>
      <c r="J22" s="166">
        <v>8765</v>
      </c>
      <c r="K22" s="166">
        <v>24405</v>
      </c>
      <c r="L22" s="161">
        <v>15530</v>
      </c>
      <c r="M22" s="165" t="s">
        <v>589</v>
      </c>
      <c r="N22" s="164">
        <v>4.25</v>
      </c>
      <c r="O22" s="23">
        <f>IF(N22&gt;0,1/N22*37.7*68.6,"")</f>
        <v>608.52235294117645</v>
      </c>
      <c r="P22" s="163">
        <v>4.04</v>
      </c>
      <c r="Q22" s="162" t="s">
        <v>588</v>
      </c>
      <c r="R22" s="161" t="s">
        <v>587</v>
      </c>
      <c r="S22" s="161" t="s">
        <v>724</v>
      </c>
      <c r="T22" s="160"/>
      <c r="U22" s="159"/>
      <c r="V22" s="158">
        <f>IFERROR(IF(N22&lt;P22,"",(ROUNDDOWN(N22/P22*100,0))),"")</f>
        <v>105</v>
      </c>
    </row>
    <row r="23" spans="1:22" ht="45" customHeight="1">
      <c r="A23" s="174"/>
      <c r="B23" s="173"/>
      <c r="C23" s="172"/>
      <c r="D23" s="168" t="s">
        <v>727</v>
      </c>
      <c r="E23" s="161" t="s">
        <v>681</v>
      </c>
      <c r="F23" s="167">
        <v>10.676</v>
      </c>
      <c r="G23" s="161">
        <v>2100</v>
      </c>
      <c r="H23" s="161">
        <v>315</v>
      </c>
      <c r="I23" s="161" t="s">
        <v>246</v>
      </c>
      <c r="J23" s="166">
        <v>8765</v>
      </c>
      <c r="K23" s="166">
        <v>24405</v>
      </c>
      <c r="L23" s="161">
        <v>15530</v>
      </c>
      <c r="M23" s="165" t="s">
        <v>589</v>
      </c>
      <c r="N23" s="164">
        <v>4.25</v>
      </c>
      <c r="O23" s="23">
        <f>IF(N23&gt;0,1/N23*37.7*68.6,"")</f>
        <v>608.52235294117645</v>
      </c>
      <c r="P23" s="163">
        <v>4.04</v>
      </c>
      <c r="Q23" s="162" t="s">
        <v>588</v>
      </c>
      <c r="R23" s="161" t="s">
        <v>587</v>
      </c>
      <c r="S23" s="161" t="s">
        <v>724</v>
      </c>
      <c r="T23" s="160"/>
      <c r="U23" s="159"/>
      <c r="V23" s="158">
        <f>IFERROR(IF(N23&lt;P23,"",(ROUNDDOWN(N23/P23*100,0))),"")</f>
        <v>105</v>
      </c>
    </row>
    <row r="24" spans="1:22" ht="45" customHeight="1">
      <c r="A24" s="174"/>
      <c r="B24" s="173"/>
      <c r="C24" s="172"/>
      <c r="D24" s="168" t="s">
        <v>726</v>
      </c>
      <c r="E24" s="161" t="s">
        <v>694</v>
      </c>
      <c r="F24" s="167">
        <v>7.6970000000000001</v>
      </c>
      <c r="G24" s="161">
        <v>1400</v>
      </c>
      <c r="H24" s="161">
        <v>260</v>
      </c>
      <c r="I24" s="161" t="s">
        <v>246</v>
      </c>
      <c r="J24" s="166">
        <v>8765</v>
      </c>
      <c r="K24" s="166">
        <v>24405</v>
      </c>
      <c r="L24" s="161">
        <v>15530</v>
      </c>
      <c r="M24" s="165" t="s">
        <v>589</v>
      </c>
      <c r="N24" s="164">
        <v>4.25</v>
      </c>
      <c r="O24" s="23">
        <f>IF(N24&gt;0,1/N24*37.7*68.6,"")</f>
        <v>608.52235294117645</v>
      </c>
      <c r="P24" s="163">
        <v>4.04</v>
      </c>
      <c r="Q24" s="162" t="s">
        <v>588</v>
      </c>
      <c r="R24" s="161" t="s">
        <v>587</v>
      </c>
      <c r="S24" s="161" t="s">
        <v>724</v>
      </c>
      <c r="T24" s="160"/>
      <c r="U24" s="159"/>
      <c r="V24" s="158">
        <f>IFERROR(IF(N24&lt;P24,"",(ROUNDDOWN(N24/P24*100,0))),"")</f>
        <v>105</v>
      </c>
    </row>
    <row r="25" spans="1:22" ht="45" customHeight="1">
      <c r="A25" s="174"/>
      <c r="B25" s="173"/>
      <c r="C25" s="172"/>
      <c r="D25" s="168" t="s">
        <v>726</v>
      </c>
      <c r="E25" s="161" t="s">
        <v>694</v>
      </c>
      <c r="F25" s="167">
        <v>7.6970000000000001</v>
      </c>
      <c r="G25" s="161">
        <v>1400</v>
      </c>
      <c r="H25" s="161">
        <v>280</v>
      </c>
      <c r="I25" s="161" t="s">
        <v>246</v>
      </c>
      <c r="J25" s="166">
        <v>8765</v>
      </c>
      <c r="K25" s="166">
        <v>24405</v>
      </c>
      <c r="L25" s="161">
        <v>15530</v>
      </c>
      <c r="M25" s="165" t="s">
        <v>589</v>
      </c>
      <c r="N25" s="164">
        <v>4.25</v>
      </c>
      <c r="O25" s="23">
        <f>IF(N25&gt;0,1/N25*37.7*68.6,"")</f>
        <v>608.52235294117645</v>
      </c>
      <c r="P25" s="163">
        <v>4.04</v>
      </c>
      <c r="Q25" s="162" t="s">
        <v>588</v>
      </c>
      <c r="R25" s="161" t="s">
        <v>587</v>
      </c>
      <c r="S25" s="161" t="s">
        <v>724</v>
      </c>
      <c r="T25" s="160"/>
      <c r="U25" s="159"/>
      <c r="V25" s="158">
        <f>IFERROR(IF(N25&lt;P25,"",(ROUNDDOWN(N25/P25*100,0))),"")</f>
        <v>105</v>
      </c>
    </row>
    <row r="26" spans="1:22" ht="45" customHeight="1">
      <c r="A26" s="174"/>
      <c r="B26" s="173"/>
      <c r="C26" s="172"/>
      <c r="D26" s="168" t="s">
        <v>725</v>
      </c>
      <c r="E26" s="161" t="s">
        <v>681</v>
      </c>
      <c r="F26" s="167">
        <v>10.676</v>
      </c>
      <c r="G26" s="161">
        <v>2000</v>
      </c>
      <c r="H26" s="161">
        <v>265</v>
      </c>
      <c r="I26" s="161" t="s">
        <v>246</v>
      </c>
      <c r="J26" s="166">
        <v>8765</v>
      </c>
      <c r="K26" s="166">
        <v>24405</v>
      </c>
      <c r="L26" s="161">
        <v>15530</v>
      </c>
      <c r="M26" s="165" t="s">
        <v>589</v>
      </c>
      <c r="N26" s="164">
        <v>4.25</v>
      </c>
      <c r="O26" s="23">
        <f>IF(N26&gt;0,1/N26*37.7*68.6,"")</f>
        <v>608.52235294117645</v>
      </c>
      <c r="P26" s="163">
        <v>4.04</v>
      </c>
      <c r="Q26" s="162" t="s">
        <v>588</v>
      </c>
      <c r="R26" s="161" t="s">
        <v>587</v>
      </c>
      <c r="S26" s="161" t="s">
        <v>724</v>
      </c>
      <c r="T26" s="160"/>
      <c r="U26" s="159"/>
      <c r="V26" s="158">
        <f>IFERROR(IF(N26&lt;P26,"",(ROUNDDOWN(N26/P26*100,0))),"")</f>
        <v>105</v>
      </c>
    </row>
    <row r="27" spans="1:22" ht="45" customHeight="1">
      <c r="A27" s="174"/>
      <c r="B27" s="173"/>
      <c r="C27" s="172"/>
      <c r="D27" s="168" t="s">
        <v>725</v>
      </c>
      <c r="E27" s="161" t="s">
        <v>681</v>
      </c>
      <c r="F27" s="167">
        <v>10.676</v>
      </c>
      <c r="G27" s="161">
        <v>2000</v>
      </c>
      <c r="H27" s="161">
        <v>290</v>
      </c>
      <c r="I27" s="161" t="s">
        <v>246</v>
      </c>
      <c r="J27" s="166">
        <v>8765</v>
      </c>
      <c r="K27" s="166">
        <v>24405</v>
      </c>
      <c r="L27" s="161">
        <v>15530</v>
      </c>
      <c r="M27" s="165" t="s">
        <v>589</v>
      </c>
      <c r="N27" s="164">
        <v>4.25</v>
      </c>
      <c r="O27" s="23">
        <f>IF(N27&gt;0,1/N27*37.7*68.6,"")</f>
        <v>608.52235294117645</v>
      </c>
      <c r="P27" s="163">
        <v>4.04</v>
      </c>
      <c r="Q27" s="162" t="s">
        <v>588</v>
      </c>
      <c r="R27" s="161" t="s">
        <v>587</v>
      </c>
      <c r="S27" s="161" t="s">
        <v>724</v>
      </c>
      <c r="T27" s="160"/>
      <c r="U27" s="159"/>
      <c r="V27" s="158">
        <f>IFERROR(IF(N27&lt;P27,"",(ROUNDDOWN(N27/P27*100,0))),"")</f>
        <v>105</v>
      </c>
    </row>
    <row r="28" spans="1:22" ht="45" customHeight="1">
      <c r="A28" s="174"/>
      <c r="B28" s="173"/>
      <c r="C28" s="172"/>
      <c r="D28" s="168" t="s">
        <v>725</v>
      </c>
      <c r="E28" s="161" t="s">
        <v>681</v>
      </c>
      <c r="F28" s="167">
        <v>10.676</v>
      </c>
      <c r="G28" s="161">
        <v>2100</v>
      </c>
      <c r="H28" s="161">
        <v>315</v>
      </c>
      <c r="I28" s="161" t="s">
        <v>246</v>
      </c>
      <c r="J28" s="166">
        <v>8765</v>
      </c>
      <c r="K28" s="166">
        <v>24405</v>
      </c>
      <c r="L28" s="161">
        <v>15530</v>
      </c>
      <c r="M28" s="165" t="s">
        <v>589</v>
      </c>
      <c r="N28" s="164">
        <v>4.25</v>
      </c>
      <c r="O28" s="23">
        <f>IF(N28&gt;0,1/N28*37.7*68.6,"")</f>
        <v>608.52235294117645</v>
      </c>
      <c r="P28" s="163">
        <v>4.04</v>
      </c>
      <c r="Q28" s="162" t="s">
        <v>588</v>
      </c>
      <c r="R28" s="161" t="s">
        <v>587</v>
      </c>
      <c r="S28" s="161" t="s">
        <v>724</v>
      </c>
      <c r="T28" s="160"/>
      <c r="U28" s="159"/>
      <c r="V28" s="158">
        <f>IFERROR(IF(N28&lt;P28,"",(ROUNDDOWN(N28/P28*100,0))),"")</f>
        <v>105</v>
      </c>
    </row>
    <row r="29" spans="1:22" ht="45" customHeight="1">
      <c r="A29" s="174"/>
      <c r="B29" s="173"/>
      <c r="C29" s="172"/>
      <c r="D29" s="168" t="s">
        <v>723</v>
      </c>
      <c r="E29" s="161" t="s">
        <v>694</v>
      </c>
      <c r="F29" s="167">
        <v>7.6970000000000001</v>
      </c>
      <c r="G29" s="161">
        <v>1400</v>
      </c>
      <c r="H29" s="161">
        <v>260</v>
      </c>
      <c r="I29" s="161" t="s">
        <v>246</v>
      </c>
      <c r="J29" s="166">
        <v>8688</v>
      </c>
      <c r="K29" s="166">
        <v>19887</v>
      </c>
      <c r="L29" s="161">
        <v>11089</v>
      </c>
      <c r="M29" s="165" t="s">
        <v>589</v>
      </c>
      <c r="N29" s="164">
        <v>4.25</v>
      </c>
      <c r="O29" s="23">
        <f>IF(N29&gt;0,1/N29*37.7*68.6,"")</f>
        <v>608.52235294117645</v>
      </c>
      <c r="P29" s="163">
        <v>4.1500000000000004</v>
      </c>
      <c r="Q29" s="162" t="s">
        <v>593</v>
      </c>
      <c r="R29" s="161" t="s">
        <v>587</v>
      </c>
      <c r="S29" s="161" t="s">
        <v>665</v>
      </c>
      <c r="T29" s="160"/>
      <c r="U29" s="159"/>
      <c r="V29" s="158">
        <f>IFERROR(IF(N29&lt;P29,"",(ROUNDDOWN(N29/P29*100,0))),"")</f>
        <v>102</v>
      </c>
    </row>
    <row r="30" spans="1:22" ht="45" customHeight="1">
      <c r="A30" s="174"/>
      <c r="B30" s="173"/>
      <c r="C30" s="172"/>
      <c r="D30" s="168" t="s">
        <v>723</v>
      </c>
      <c r="E30" s="161" t="s">
        <v>694</v>
      </c>
      <c r="F30" s="167">
        <v>7.6970000000000001</v>
      </c>
      <c r="G30" s="161">
        <v>1400</v>
      </c>
      <c r="H30" s="161">
        <v>280</v>
      </c>
      <c r="I30" s="161" t="s">
        <v>246</v>
      </c>
      <c r="J30" s="166">
        <v>8688</v>
      </c>
      <c r="K30" s="166">
        <v>19887</v>
      </c>
      <c r="L30" s="161">
        <v>11089</v>
      </c>
      <c r="M30" s="165" t="s">
        <v>589</v>
      </c>
      <c r="N30" s="164">
        <v>4.25</v>
      </c>
      <c r="O30" s="23">
        <f>IF(N30&gt;0,1/N30*37.7*68.6,"")</f>
        <v>608.52235294117645</v>
      </c>
      <c r="P30" s="163">
        <v>4.1500000000000004</v>
      </c>
      <c r="Q30" s="162" t="s">
        <v>593</v>
      </c>
      <c r="R30" s="161" t="s">
        <v>587</v>
      </c>
      <c r="S30" s="161" t="s">
        <v>665</v>
      </c>
      <c r="T30" s="160"/>
      <c r="U30" s="159"/>
      <c r="V30" s="158">
        <f>IFERROR(IF(N30&lt;P30,"",(ROUNDDOWN(N30/P30*100,0))),"")</f>
        <v>102</v>
      </c>
    </row>
    <row r="31" spans="1:22" ht="45" customHeight="1">
      <c r="A31" s="174"/>
      <c r="B31" s="173"/>
      <c r="C31" s="172"/>
      <c r="D31" s="168" t="s">
        <v>722</v>
      </c>
      <c r="E31" s="161" t="s">
        <v>694</v>
      </c>
      <c r="F31" s="167">
        <v>7.6970000000000001</v>
      </c>
      <c r="G31" s="161">
        <v>1400</v>
      </c>
      <c r="H31" s="161">
        <v>260</v>
      </c>
      <c r="I31" s="161" t="s">
        <v>246</v>
      </c>
      <c r="J31" s="166">
        <v>8688</v>
      </c>
      <c r="K31" s="166">
        <v>19887</v>
      </c>
      <c r="L31" s="161">
        <v>11089</v>
      </c>
      <c r="M31" s="165" t="s">
        <v>589</v>
      </c>
      <c r="N31" s="164">
        <v>4.4000000000000004</v>
      </c>
      <c r="O31" s="23">
        <f>IF(N31&gt;0,1/N31*37.7*68.6,"")</f>
        <v>587.7772727272727</v>
      </c>
      <c r="P31" s="163">
        <v>4.1500000000000004</v>
      </c>
      <c r="Q31" s="162" t="s">
        <v>588</v>
      </c>
      <c r="R31" s="161" t="s">
        <v>587</v>
      </c>
      <c r="S31" s="161" t="s">
        <v>665</v>
      </c>
      <c r="T31" s="160"/>
      <c r="U31" s="159"/>
      <c r="V31" s="158">
        <f>IFERROR(IF(N31&lt;P31,"",(ROUNDDOWN(N31/P31*100,0))),"")</f>
        <v>106</v>
      </c>
    </row>
    <row r="32" spans="1:22" ht="45" customHeight="1">
      <c r="A32" s="174"/>
      <c r="B32" s="173"/>
      <c r="C32" s="172"/>
      <c r="D32" s="168" t="s">
        <v>722</v>
      </c>
      <c r="E32" s="161" t="s">
        <v>694</v>
      </c>
      <c r="F32" s="167">
        <v>7.6970000000000001</v>
      </c>
      <c r="G32" s="161">
        <v>1400</v>
      </c>
      <c r="H32" s="161">
        <v>280</v>
      </c>
      <c r="I32" s="161" t="s">
        <v>246</v>
      </c>
      <c r="J32" s="166">
        <v>8688</v>
      </c>
      <c r="K32" s="166">
        <v>19887</v>
      </c>
      <c r="L32" s="161">
        <v>11089</v>
      </c>
      <c r="M32" s="165" t="s">
        <v>589</v>
      </c>
      <c r="N32" s="164">
        <v>4.4000000000000004</v>
      </c>
      <c r="O32" s="23">
        <f>IF(N32&gt;0,1/N32*37.7*68.6,"")</f>
        <v>587.7772727272727</v>
      </c>
      <c r="P32" s="163">
        <v>4.1500000000000004</v>
      </c>
      <c r="Q32" s="162" t="s">
        <v>588</v>
      </c>
      <c r="R32" s="161" t="s">
        <v>587</v>
      </c>
      <c r="S32" s="161" t="s">
        <v>665</v>
      </c>
      <c r="T32" s="160"/>
      <c r="U32" s="159"/>
      <c r="V32" s="158">
        <f>IFERROR(IF(N32&lt;P32,"",(ROUNDDOWN(N32/P32*100,0))),"")</f>
        <v>106</v>
      </c>
    </row>
    <row r="33" spans="1:22" ht="45" customHeight="1">
      <c r="A33" s="174"/>
      <c r="B33" s="173"/>
      <c r="C33" s="172"/>
      <c r="D33" s="168" t="s">
        <v>721</v>
      </c>
      <c r="E33" s="161" t="s">
        <v>681</v>
      </c>
      <c r="F33" s="167">
        <v>10.676</v>
      </c>
      <c r="G33" s="161">
        <v>2000</v>
      </c>
      <c r="H33" s="161">
        <v>290</v>
      </c>
      <c r="I33" s="161" t="s">
        <v>243</v>
      </c>
      <c r="J33" s="166">
        <v>8688</v>
      </c>
      <c r="K33" s="166">
        <v>19887</v>
      </c>
      <c r="L33" s="161">
        <v>11089</v>
      </c>
      <c r="M33" s="165" t="s">
        <v>589</v>
      </c>
      <c r="N33" s="164">
        <v>4.3</v>
      </c>
      <c r="O33" s="23">
        <f>IF(N33&gt;0,1/N33*37.7*68.6,"")</f>
        <v>601.44651162790706</v>
      </c>
      <c r="P33" s="163">
        <v>4.1500000000000004</v>
      </c>
      <c r="Q33" s="162" t="s">
        <v>588</v>
      </c>
      <c r="R33" s="161" t="s">
        <v>587</v>
      </c>
      <c r="S33" s="161" t="s">
        <v>665</v>
      </c>
      <c r="T33" s="160"/>
      <c r="U33" s="159"/>
      <c r="V33" s="158">
        <f>IFERROR(IF(N33&lt;P33,"",(ROUNDDOWN(N33/P33*100,0))),"")</f>
        <v>103</v>
      </c>
    </row>
    <row r="34" spans="1:22" ht="45" customHeight="1">
      <c r="A34" s="174"/>
      <c r="B34" s="173"/>
      <c r="C34" s="172"/>
      <c r="D34" s="168" t="s">
        <v>721</v>
      </c>
      <c r="E34" s="161" t="s">
        <v>681</v>
      </c>
      <c r="F34" s="167">
        <v>10.676</v>
      </c>
      <c r="G34" s="161">
        <v>2000</v>
      </c>
      <c r="H34" s="161">
        <v>290</v>
      </c>
      <c r="I34" s="161" t="s">
        <v>243</v>
      </c>
      <c r="J34" s="166">
        <v>8688</v>
      </c>
      <c r="K34" s="166">
        <v>19887</v>
      </c>
      <c r="L34" s="161">
        <v>11089</v>
      </c>
      <c r="M34" s="165" t="s">
        <v>589</v>
      </c>
      <c r="N34" s="164">
        <v>4.1500000000000004</v>
      </c>
      <c r="O34" s="23">
        <f>IF(N34&gt;0,1/N34*37.7*68.6,"")</f>
        <v>623.1855421686746</v>
      </c>
      <c r="P34" s="163">
        <v>4.1500000000000004</v>
      </c>
      <c r="Q34" s="162" t="s">
        <v>593</v>
      </c>
      <c r="R34" s="161" t="s">
        <v>587</v>
      </c>
      <c r="S34" s="161" t="s">
        <v>665</v>
      </c>
      <c r="T34" s="160"/>
      <c r="U34" s="159"/>
      <c r="V34" s="158">
        <f>IFERROR(IF(N34&lt;P34,"",(ROUNDDOWN(N34/P34*100,0))),"")</f>
        <v>100</v>
      </c>
    </row>
    <row r="35" spans="1:22" ht="45" customHeight="1">
      <c r="A35" s="174"/>
      <c r="B35" s="173"/>
      <c r="C35" s="172"/>
      <c r="D35" s="168" t="s">
        <v>720</v>
      </c>
      <c r="E35" s="161" t="s">
        <v>681</v>
      </c>
      <c r="F35" s="167">
        <v>10.676</v>
      </c>
      <c r="G35" s="161">
        <v>2000</v>
      </c>
      <c r="H35" s="161">
        <v>265</v>
      </c>
      <c r="I35" s="161" t="s">
        <v>246</v>
      </c>
      <c r="J35" s="166">
        <v>8688</v>
      </c>
      <c r="K35" s="166">
        <v>19887</v>
      </c>
      <c r="L35" s="161">
        <v>11089</v>
      </c>
      <c r="M35" s="165" t="s">
        <v>589</v>
      </c>
      <c r="N35" s="164">
        <v>4.4000000000000004</v>
      </c>
      <c r="O35" s="23">
        <f>IF(N35&gt;0,1/N35*37.7*68.6,"")</f>
        <v>587.7772727272727</v>
      </c>
      <c r="P35" s="163">
        <v>4.1500000000000004</v>
      </c>
      <c r="Q35" s="162" t="s">
        <v>588</v>
      </c>
      <c r="R35" s="161" t="s">
        <v>587</v>
      </c>
      <c r="S35" s="161" t="s">
        <v>665</v>
      </c>
      <c r="T35" s="160"/>
      <c r="U35" s="159"/>
      <c r="V35" s="158">
        <f>IFERROR(IF(N35&lt;P35,"",(ROUNDDOWN(N35/P35*100,0))),"")</f>
        <v>106</v>
      </c>
    </row>
    <row r="36" spans="1:22" ht="45" customHeight="1">
      <c r="A36" s="174"/>
      <c r="B36" s="173"/>
      <c r="C36" s="172"/>
      <c r="D36" s="168" t="s">
        <v>720</v>
      </c>
      <c r="E36" s="161" t="s">
        <v>681</v>
      </c>
      <c r="F36" s="167">
        <v>10.676</v>
      </c>
      <c r="G36" s="161">
        <v>2000</v>
      </c>
      <c r="H36" s="161">
        <v>290</v>
      </c>
      <c r="I36" s="161" t="s">
        <v>246</v>
      </c>
      <c r="J36" s="166">
        <v>8688</v>
      </c>
      <c r="K36" s="166">
        <v>19887</v>
      </c>
      <c r="L36" s="161">
        <v>11089</v>
      </c>
      <c r="M36" s="165" t="s">
        <v>589</v>
      </c>
      <c r="N36" s="164">
        <v>4.4000000000000004</v>
      </c>
      <c r="O36" s="23">
        <f>IF(N36&gt;0,1/N36*37.7*68.6,"")</f>
        <v>587.7772727272727</v>
      </c>
      <c r="P36" s="163">
        <v>4.1500000000000004</v>
      </c>
      <c r="Q36" s="162" t="s">
        <v>588</v>
      </c>
      <c r="R36" s="161" t="s">
        <v>587</v>
      </c>
      <c r="S36" s="161" t="s">
        <v>665</v>
      </c>
      <c r="T36" s="160"/>
      <c r="U36" s="159"/>
      <c r="V36" s="158">
        <f>IFERROR(IF(N36&lt;P36,"",(ROUNDDOWN(N36/P36*100,0))),"")</f>
        <v>106</v>
      </c>
    </row>
    <row r="37" spans="1:22" ht="45" customHeight="1">
      <c r="A37" s="174"/>
      <c r="B37" s="173"/>
      <c r="C37" s="172"/>
      <c r="D37" s="168" t="s">
        <v>720</v>
      </c>
      <c r="E37" s="161" t="s">
        <v>681</v>
      </c>
      <c r="F37" s="167">
        <v>10.676</v>
      </c>
      <c r="G37" s="161">
        <v>2100</v>
      </c>
      <c r="H37" s="161">
        <v>315</v>
      </c>
      <c r="I37" s="161" t="s">
        <v>246</v>
      </c>
      <c r="J37" s="166">
        <v>8688</v>
      </c>
      <c r="K37" s="166">
        <v>19887</v>
      </c>
      <c r="L37" s="161">
        <v>11089</v>
      </c>
      <c r="M37" s="165" t="s">
        <v>589</v>
      </c>
      <c r="N37" s="164">
        <v>4.4000000000000004</v>
      </c>
      <c r="O37" s="23">
        <f>IF(N37&gt;0,1/N37*37.7*68.6,"")</f>
        <v>587.7772727272727</v>
      </c>
      <c r="P37" s="163">
        <v>4.1500000000000004</v>
      </c>
      <c r="Q37" s="162" t="s">
        <v>588</v>
      </c>
      <c r="R37" s="161" t="s">
        <v>587</v>
      </c>
      <c r="S37" s="161" t="s">
        <v>665</v>
      </c>
      <c r="T37" s="160"/>
      <c r="U37" s="159"/>
      <c r="V37" s="158">
        <f>IFERROR(IF(N37&lt;P37,"",(ROUNDDOWN(N37/P37*100,0))),"")</f>
        <v>106</v>
      </c>
    </row>
    <row r="38" spans="1:22" ht="45" customHeight="1">
      <c r="A38" s="174"/>
      <c r="B38" s="173"/>
      <c r="C38" s="172"/>
      <c r="D38" s="168" t="s">
        <v>719</v>
      </c>
      <c r="E38" s="161" t="s">
        <v>694</v>
      </c>
      <c r="F38" s="167">
        <v>7.6970000000000001</v>
      </c>
      <c r="G38" s="161">
        <v>1400</v>
      </c>
      <c r="H38" s="161">
        <v>260</v>
      </c>
      <c r="I38" s="161" t="s">
        <v>246</v>
      </c>
      <c r="J38" s="166">
        <v>8765</v>
      </c>
      <c r="K38" s="166">
        <v>24405</v>
      </c>
      <c r="L38" s="161">
        <v>15530</v>
      </c>
      <c r="M38" s="165" t="s">
        <v>589</v>
      </c>
      <c r="N38" s="164">
        <v>4.25</v>
      </c>
      <c r="O38" s="23">
        <f>IF(N38&gt;0,1/N38*37.7*68.6,"")</f>
        <v>608.52235294117645</v>
      </c>
      <c r="P38" s="163">
        <v>4.04</v>
      </c>
      <c r="Q38" s="162" t="s">
        <v>588</v>
      </c>
      <c r="R38" s="161" t="s">
        <v>587</v>
      </c>
      <c r="S38" s="161" t="s">
        <v>665</v>
      </c>
      <c r="T38" s="160"/>
      <c r="U38" s="159"/>
      <c r="V38" s="158">
        <f>IFERROR(IF(N38&lt;P38,"",(ROUNDDOWN(N38/P38*100,0))),"")</f>
        <v>105</v>
      </c>
    </row>
    <row r="39" spans="1:22" ht="45" customHeight="1">
      <c r="A39" s="174"/>
      <c r="B39" s="173"/>
      <c r="C39" s="172"/>
      <c r="D39" s="168" t="s">
        <v>719</v>
      </c>
      <c r="E39" s="161" t="s">
        <v>694</v>
      </c>
      <c r="F39" s="167">
        <v>7.6970000000000001</v>
      </c>
      <c r="G39" s="161">
        <v>1400</v>
      </c>
      <c r="H39" s="161">
        <v>280</v>
      </c>
      <c r="I39" s="161" t="s">
        <v>246</v>
      </c>
      <c r="J39" s="166">
        <v>8765</v>
      </c>
      <c r="K39" s="166">
        <v>24405</v>
      </c>
      <c r="L39" s="161">
        <v>15530</v>
      </c>
      <c r="M39" s="165" t="s">
        <v>589</v>
      </c>
      <c r="N39" s="164">
        <v>4.25</v>
      </c>
      <c r="O39" s="23">
        <f>IF(N39&gt;0,1/N39*37.7*68.6,"")</f>
        <v>608.52235294117645</v>
      </c>
      <c r="P39" s="163">
        <v>4.04</v>
      </c>
      <c r="Q39" s="162" t="s">
        <v>588</v>
      </c>
      <c r="R39" s="161" t="s">
        <v>587</v>
      </c>
      <c r="S39" s="161" t="s">
        <v>665</v>
      </c>
      <c r="T39" s="160"/>
      <c r="U39" s="159"/>
      <c r="V39" s="158">
        <f>IFERROR(IF(N39&lt;P39,"",(ROUNDDOWN(N39/P39*100,0))),"")</f>
        <v>105</v>
      </c>
    </row>
    <row r="40" spans="1:22" ht="45" customHeight="1">
      <c r="A40" s="174"/>
      <c r="B40" s="173"/>
      <c r="C40" s="172"/>
      <c r="D40" s="168" t="s">
        <v>718</v>
      </c>
      <c r="E40" s="161" t="s">
        <v>681</v>
      </c>
      <c r="F40" s="167">
        <v>10.676</v>
      </c>
      <c r="G40" s="161">
        <v>2000</v>
      </c>
      <c r="H40" s="161">
        <v>290</v>
      </c>
      <c r="I40" s="161" t="s">
        <v>243</v>
      </c>
      <c r="J40" s="166">
        <v>8765</v>
      </c>
      <c r="K40" s="166">
        <v>24405</v>
      </c>
      <c r="L40" s="161">
        <v>15530</v>
      </c>
      <c r="M40" s="165" t="s">
        <v>589</v>
      </c>
      <c r="N40" s="164">
        <v>4.1500000000000004</v>
      </c>
      <c r="O40" s="23">
        <f>IF(N40&gt;0,1/N40*37.7*68.6,"")</f>
        <v>623.1855421686746</v>
      </c>
      <c r="P40" s="163">
        <v>4.04</v>
      </c>
      <c r="Q40" s="162" t="s">
        <v>588</v>
      </c>
      <c r="R40" s="161" t="s">
        <v>587</v>
      </c>
      <c r="S40" s="161" t="s">
        <v>665</v>
      </c>
      <c r="T40" s="160"/>
      <c r="U40" s="159"/>
      <c r="V40" s="158">
        <f>IFERROR(IF(N40&lt;P40,"",(ROUNDDOWN(N40/P40*100,0))),"")</f>
        <v>102</v>
      </c>
    </row>
    <row r="41" spans="1:22" ht="45" customHeight="1">
      <c r="A41" s="174"/>
      <c r="B41" s="173"/>
      <c r="C41" s="172"/>
      <c r="D41" s="168" t="s">
        <v>717</v>
      </c>
      <c r="E41" s="161" t="s">
        <v>681</v>
      </c>
      <c r="F41" s="167">
        <v>10.676</v>
      </c>
      <c r="G41" s="161">
        <v>2000</v>
      </c>
      <c r="H41" s="161">
        <v>265</v>
      </c>
      <c r="I41" s="161" t="s">
        <v>246</v>
      </c>
      <c r="J41" s="166">
        <v>8765</v>
      </c>
      <c r="K41" s="166">
        <v>24405</v>
      </c>
      <c r="L41" s="161">
        <v>15530</v>
      </c>
      <c r="M41" s="165" t="s">
        <v>589</v>
      </c>
      <c r="N41" s="164">
        <v>4.25</v>
      </c>
      <c r="O41" s="23">
        <f>IF(N41&gt;0,1/N41*37.7*68.6,"")</f>
        <v>608.52235294117645</v>
      </c>
      <c r="P41" s="163">
        <v>4.04</v>
      </c>
      <c r="Q41" s="162" t="s">
        <v>588</v>
      </c>
      <c r="R41" s="161" t="s">
        <v>587</v>
      </c>
      <c r="S41" s="161" t="s">
        <v>665</v>
      </c>
      <c r="T41" s="160"/>
      <c r="U41" s="159"/>
      <c r="V41" s="158">
        <f>IFERROR(IF(N41&lt;P41,"",(ROUNDDOWN(N41/P41*100,0))),"")</f>
        <v>105</v>
      </c>
    </row>
    <row r="42" spans="1:22" ht="45" customHeight="1">
      <c r="A42" s="174"/>
      <c r="B42" s="173"/>
      <c r="C42" s="172"/>
      <c r="D42" s="168" t="s">
        <v>717</v>
      </c>
      <c r="E42" s="161" t="s">
        <v>681</v>
      </c>
      <c r="F42" s="167">
        <v>10.676</v>
      </c>
      <c r="G42" s="161">
        <v>2000</v>
      </c>
      <c r="H42" s="161">
        <v>290</v>
      </c>
      <c r="I42" s="161" t="s">
        <v>246</v>
      </c>
      <c r="J42" s="166">
        <v>8765</v>
      </c>
      <c r="K42" s="166">
        <v>24405</v>
      </c>
      <c r="L42" s="161">
        <v>15530</v>
      </c>
      <c r="M42" s="165" t="s">
        <v>589</v>
      </c>
      <c r="N42" s="164">
        <v>4.25</v>
      </c>
      <c r="O42" s="23">
        <f>IF(N42&gt;0,1/N42*37.7*68.6,"")</f>
        <v>608.52235294117645</v>
      </c>
      <c r="P42" s="163">
        <v>4.04</v>
      </c>
      <c r="Q42" s="162" t="s">
        <v>588</v>
      </c>
      <c r="R42" s="161" t="s">
        <v>587</v>
      </c>
      <c r="S42" s="161" t="s">
        <v>665</v>
      </c>
      <c r="T42" s="160"/>
      <c r="U42" s="159"/>
      <c r="V42" s="158">
        <f>IFERROR(IF(N42&lt;P42,"",(ROUNDDOWN(N42/P42*100,0))),"")</f>
        <v>105</v>
      </c>
    </row>
    <row r="43" spans="1:22" ht="45" customHeight="1">
      <c r="A43" s="174"/>
      <c r="B43" s="173"/>
      <c r="C43" s="172"/>
      <c r="D43" s="168" t="s">
        <v>717</v>
      </c>
      <c r="E43" s="161" t="s">
        <v>681</v>
      </c>
      <c r="F43" s="167">
        <v>10.676</v>
      </c>
      <c r="G43" s="161">
        <v>2100</v>
      </c>
      <c r="H43" s="161">
        <v>315</v>
      </c>
      <c r="I43" s="161" t="s">
        <v>246</v>
      </c>
      <c r="J43" s="166">
        <v>8765</v>
      </c>
      <c r="K43" s="166">
        <v>24405</v>
      </c>
      <c r="L43" s="161">
        <v>15530</v>
      </c>
      <c r="M43" s="165" t="s">
        <v>589</v>
      </c>
      <c r="N43" s="164">
        <v>4.25</v>
      </c>
      <c r="O43" s="23">
        <f>IF(N43&gt;0,1/N43*37.7*68.6,"")</f>
        <v>608.52235294117645</v>
      </c>
      <c r="P43" s="163">
        <v>4.04</v>
      </c>
      <c r="Q43" s="162" t="s">
        <v>588</v>
      </c>
      <c r="R43" s="161" t="s">
        <v>587</v>
      </c>
      <c r="S43" s="161" t="s">
        <v>665</v>
      </c>
      <c r="T43" s="160"/>
      <c r="U43" s="159"/>
      <c r="V43" s="158">
        <f>IFERROR(IF(N43&lt;P43,"",(ROUNDDOWN(N43/P43*100,0))),"")</f>
        <v>105</v>
      </c>
    </row>
    <row r="44" spans="1:22" ht="45" customHeight="1">
      <c r="A44" s="174"/>
      <c r="B44" s="173"/>
      <c r="C44" s="172"/>
      <c r="D44" s="168" t="s">
        <v>716</v>
      </c>
      <c r="E44" s="161" t="s">
        <v>694</v>
      </c>
      <c r="F44" s="167">
        <v>7.6970000000000001</v>
      </c>
      <c r="G44" s="161">
        <v>1400</v>
      </c>
      <c r="H44" s="161">
        <v>280</v>
      </c>
      <c r="I44" s="161" t="s">
        <v>246</v>
      </c>
      <c r="J44" s="166">
        <v>8765</v>
      </c>
      <c r="K44" s="166">
        <v>24405</v>
      </c>
      <c r="L44" s="161">
        <v>15530</v>
      </c>
      <c r="M44" s="165" t="s">
        <v>589</v>
      </c>
      <c r="N44" s="164">
        <v>4.25</v>
      </c>
      <c r="O44" s="23">
        <f>IF(N44&gt;0,1/N44*37.7*68.6,"")</f>
        <v>608.52235294117645</v>
      </c>
      <c r="P44" s="163">
        <v>4.04</v>
      </c>
      <c r="Q44" s="162" t="s">
        <v>588</v>
      </c>
      <c r="R44" s="161" t="s">
        <v>587</v>
      </c>
      <c r="S44" s="161" t="s">
        <v>665</v>
      </c>
      <c r="T44" s="160"/>
      <c r="U44" s="159"/>
      <c r="V44" s="158">
        <f>IFERROR(IF(N44&lt;P44,"",(ROUNDDOWN(N44/P44*100,0))),"")</f>
        <v>105</v>
      </c>
    </row>
    <row r="45" spans="1:22" ht="45" customHeight="1">
      <c r="A45" s="174"/>
      <c r="B45" s="173"/>
      <c r="C45" s="172"/>
      <c r="D45" s="168" t="s">
        <v>715</v>
      </c>
      <c r="E45" s="161" t="s">
        <v>681</v>
      </c>
      <c r="F45" s="167">
        <v>10.676</v>
      </c>
      <c r="G45" s="161">
        <v>2000</v>
      </c>
      <c r="H45" s="161">
        <v>290</v>
      </c>
      <c r="I45" s="161" t="s">
        <v>243</v>
      </c>
      <c r="J45" s="166">
        <v>8765</v>
      </c>
      <c r="K45" s="166">
        <v>24405</v>
      </c>
      <c r="L45" s="161">
        <v>15530</v>
      </c>
      <c r="M45" s="165" t="s">
        <v>589</v>
      </c>
      <c r="N45" s="164">
        <v>4.1500000000000004</v>
      </c>
      <c r="O45" s="23">
        <f>IF(N45&gt;0,1/N45*37.7*68.6,"")</f>
        <v>623.1855421686746</v>
      </c>
      <c r="P45" s="163">
        <v>4.04</v>
      </c>
      <c r="Q45" s="162" t="s">
        <v>588</v>
      </c>
      <c r="R45" s="161" t="s">
        <v>587</v>
      </c>
      <c r="S45" s="161" t="s">
        <v>665</v>
      </c>
      <c r="T45" s="160"/>
      <c r="U45" s="159"/>
      <c r="V45" s="158">
        <f>IFERROR(IF(N45&lt;P45,"",(ROUNDDOWN(N45/P45*100,0))),"")</f>
        <v>102</v>
      </c>
    </row>
    <row r="46" spans="1:22" ht="45" customHeight="1">
      <c r="A46" s="174"/>
      <c r="B46" s="173"/>
      <c r="C46" s="172"/>
      <c r="D46" s="168" t="s">
        <v>714</v>
      </c>
      <c r="E46" s="161" t="s">
        <v>681</v>
      </c>
      <c r="F46" s="167">
        <v>10.676</v>
      </c>
      <c r="G46" s="161">
        <v>2000</v>
      </c>
      <c r="H46" s="161">
        <v>290</v>
      </c>
      <c r="I46" s="161" t="s">
        <v>246</v>
      </c>
      <c r="J46" s="166">
        <v>8765</v>
      </c>
      <c r="K46" s="166">
        <v>24405</v>
      </c>
      <c r="L46" s="161">
        <v>15530</v>
      </c>
      <c r="M46" s="165" t="s">
        <v>589</v>
      </c>
      <c r="N46" s="164">
        <v>4.25</v>
      </c>
      <c r="O46" s="23">
        <f>IF(N46&gt;0,1/N46*37.7*68.6,"")</f>
        <v>608.52235294117645</v>
      </c>
      <c r="P46" s="163">
        <v>4.04</v>
      </c>
      <c r="Q46" s="162" t="s">
        <v>588</v>
      </c>
      <c r="R46" s="161" t="s">
        <v>587</v>
      </c>
      <c r="S46" s="161" t="s">
        <v>665</v>
      </c>
      <c r="T46" s="160"/>
      <c r="U46" s="159"/>
      <c r="V46" s="158">
        <f>IFERROR(IF(N46&lt;P46,"",(ROUNDDOWN(N46/P46*100,0))),"")</f>
        <v>105</v>
      </c>
    </row>
    <row r="47" spans="1:22" ht="45" customHeight="1">
      <c r="A47" s="174"/>
      <c r="B47" s="173"/>
      <c r="C47" s="172"/>
      <c r="D47" s="168" t="s">
        <v>714</v>
      </c>
      <c r="E47" s="161" t="s">
        <v>681</v>
      </c>
      <c r="F47" s="167">
        <v>10.676</v>
      </c>
      <c r="G47" s="161">
        <v>2100</v>
      </c>
      <c r="H47" s="161">
        <v>315</v>
      </c>
      <c r="I47" s="161" t="s">
        <v>246</v>
      </c>
      <c r="J47" s="166">
        <v>8765</v>
      </c>
      <c r="K47" s="166">
        <v>24405</v>
      </c>
      <c r="L47" s="161">
        <v>15530</v>
      </c>
      <c r="M47" s="165" t="s">
        <v>589</v>
      </c>
      <c r="N47" s="164">
        <v>4.25</v>
      </c>
      <c r="O47" s="23">
        <f>IF(N47&gt;0,1/N47*37.7*68.6,"")</f>
        <v>608.52235294117645</v>
      </c>
      <c r="P47" s="163">
        <v>4.04</v>
      </c>
      <c r="Q47" s="162" t="s">
        <v>588</v>
      </c>
      <c r="R47" s="161" t="s">
        <v>587</v>
      </c>
      <c r="S47" s="161" t="s">
        <v>665</v>
      </c>
      <c r="T47" s="160"/>
      <c r="U47" s="159"/>
      <c r="V47" s="158">
        <f>IFERROR(IF(N47&lt;P47,"",(ROUNDDOWN(N47/P47*100,0))),"")</f>
        <v>105</v>
      </c>
    </row>
    <row r="48" spans="1:22" ht="45" customHeight="1">
      <c r="A48" s="174"/>
      <c r="B48" s="173"/>
      <c r="C48" s="172"/>
      <c r="D48" s="168" t="s">
        <v>713</v>
      </c>
      <c r="E48" s="161" t="s">
        <v>694</v>
      </c>
      <c r="F48" s="167">
        <v>7.6970000000000001</v>
      </c>
      <c r="G48" s="161">
        <v>1400</v>
      </c>
      <c r="H48" s="161">
        <v>280</v>
      </c>
      <c r="I48" s="161" t="s">
        <v>246</v>
      </c>
      <c r="J48" s="166">
        <v>8765</v>
      </c>
      <c r="K48" s="166">
        <v>24405</v>
      </c>
      <c r="L48" s="161">
        <v>15530</v>
      </c>
      <c r="M48" s="165" t="s">
        <v>589</v>
      </c>
      <c r="N48" s="164">
        <v>4.25</v>
      </c>
      <c r="O48" s="23">
        <f>IF(N48&gt;0,1/N48*37.7*68.6,"")</f>
        <v>608.52235294117645</v>
      </c>
      <c r="P48" s="163">
        <v>4.04</v>
      </c>
      <c r="Q48" s="162" t="s">
        <v>588</v>
      </c>
      <c r="R48" s="161" t="s">
        <v>587</v>
      </c>
      <c r="S48" s="161" t="s">
        <v>665</v>
      </c>
      <c r="T48" s="160"/>
      <c r="U48" s="159"/>
      <c r="V48" s="158">
        <f>IFERROR(IF(N48&lt;P48,"",(ROUNDDOWN(N48/P48*100,0))),"")</f>
        <v>105</v>
      </c>
    </row>
    <row r="49" spans="1:22" ht="45" customHeight="1">
      <c r="A49" s="174"/>
      <c r="B49" s="173"/>
      <c r="C49" s="172"/>
      <c r="D49" s="168" t="s">
        <v>712</v>
      </c>
      <c r="E49" s="161" t="s">
        <v>681</v>
      </c>
      <c r="F49" s="167">
        <v>10.676</v>
      </c>
      <c r="G49" s="161">
        <v>2000</v>
      </c>
      <c r="H49" s="161">
        <v>290</v>
      </c>
      <c r="I49" s="161" t="s">
        <v>246</v>
      </c>
      <c r="J49" s="166">
        <v>8765</v>
      </c>
      <c r="K49" s="166">
        <v>24405</v>
      </c>
      <c r="L49" s="161">
        <v>15530</v>
      </c>
      <c r="M49" s="165" t="s">
        <v>589</v>
      </c>
      <c r="N49" s="164">
        <v>4.25</v>
      </c>
      <c r="O49" s="23">
        <f>IF(N49&gt;0,1/N49*37.7*68.6,"")</f>
        <v>608.52235294117645</v>
      </c>
      <c r="P49" s="163">
        <v>4.04</v>
      </c>
      <c r="Q49" s="162" t="s">
        <v>588</v>
      </c>
      <c r="R49" s="161" t="s">
        <v>587</v>
      </c>
      <c r="S49" s="161" t="s">
        <v>665</v>
      </c>
      <c r="T49" s="160"/>
      <c r="U49" s="159"/>
      <c r="V49" s="158">
        <f>IFERROR(IF(N49&lt;P49,"",(ROUNDDOWN(N49/P49*100,0))),"")</f>
        <v>105</v>
      </c>
    </row>
    <row r="50" spans="1:22" ht="45" customHeight="1">
      <c r="A50" s="174"/>
      <c r="B50" s="173"/>
      <c r="C50" s="172"/>
      <c r="D50" s="168" t="s">
        <v>712</v>
      </c>
      <c r="E50" s="161" t="s">
        <v>681</v>
      </c>
      <c r="F50" s="167">
        <v>10.676</v>
      </c>
      <c r="G50" s="161">
        <v>2100</v>
      </c>
      <c r="H50" s="161">
        <v>315</v>
      </c>
      <c r="I50" s="161" t="s">
        <v>246</v>
      </c>
      <c r="J50" s="166">
        <v>8765</v>
      </c>
      <c r="K50" s="166">
        <v>24405</v>
      </c>
      <c r="L50" s="161">
        <v>15530</v>
      </c>
      <c r="M50" s="165" t="s">
        <v>589</v>
      </c>
      <c r="N50" s="164">
        <v>4.25</v>
      </c>
      <c r="O50" s="23">
        <f>IF(N50&gt;0,1/N50*37.7*68.6,"")</f>
        <v>608.52235294117645</v>
      </c>
      <c r="P50" s="163">
        <v>4.04</v>
      </c>
      <c r="Q50" s="162" t="s">
        <v>588</v>
      </c>
      <c r="R50" s="161" t="s">
        <v>587</v>
      </c>
      <c r="S50" s="161" t="s">
        <v>665</v>
      </c>
      <c r="T50" s="160"/>
      <c r="U50" s="159"/>
      <c r="V50" s="158">
        <f>IFERROR(IF(N50&lt;P50,"",(ROUNDDOWN(N50/P50*100,0))),"")</f>
        <v>105</v>
      </c>
    </row>
    <row r="51" spans="1:22" ht="45" customHeight="1">
      <c r="A51" s="174"/>
      <c r="B51" s="173"/>
      <c r="C51" s="172"/>
      <c r="D51" s="168" t="s">
        <v>711</v>
      </c>
      <c r="E51" s="161" t="s">
        <v>694</v>
      </c>
      <c r="F51" s="167">
        <v>7.6970000000000001</v>
      </c>
      <c r="G51" s="161">
        <v>1400</v>
      </c>
      <c r="H51" s="161">
        <v>260</v>
      </c>
      <c r="I51" s="161" t="s">
        <v>246</v>
      </c>
      <c r="J51" s="166">
        <v>8765</v>
      </c>
      <c r="K51" s="166">
        <v>24405</v>
      </c>
      <c r="L51" s="161">
        <v>15530</v>
      </c>
      <c r="M51" s="165" t="s">
        <v>589</v>
      </c>
      <c r="N51" s="164">
        <v>4.25</v>
      </c>
      <c r="O51" s="23">
        <f>IF(N51&gt;0,1/N51*37.7*68.6,"")</f>
        <v>608.52235294117645</v>
      </c>
      <c r="P51" s="163">
        <v>4.04</v>
      </c>
      <c r="Q51" s="162" t="s">
        <v>588</v>
      </c>
      <c r="R51" s="161" t="s">
        <v>587</v>
      </c>
      <c r="S51" s="161" t="s">
        <v>665</v>
      </c>
      <c r="T51" s="160"/>
      <c r="U51" s="159"/>
      <c r="V51" s="158">
        <f>IFERROR(IF(N51&lt;P51,"",(ROUNDDOWN(N51/P51*100,0))),"")</f>
        <v>105</v>
      </c>
    </row>
    <row r="52" spans="1:22" ht="45" customHeight="1">
      <c r="A52" s="174"/>
      <c r="B52" s="173"/>
      <c r="C52" s="172"/>
      <c r="D52" s="168" t="s">
        <v>711</v>
      </c>
      <c r="E52" s="161" t="s">
        <v>694</v>
      </c>
      <c r="F52" s="167">
        <v>7.6970000000000001</v>
      </c>
      <c r="G52" s="161">
        <v>1400</v>
      </c>
      <c r="H52" s="161">
        <v>280</v>
      </c>
      <c r="I52" s="161" t="s">
        <v>246</v>
      </c>
      <c r="J52" s="166">
        <v>8765</v>
      </c>
      <c r="K52" s="166">
        <v>24405</v>
      </c>
      <c r="L52" s="161">
        <v>15530</v>
      </c>
      <c r="M52" s="165" t="s">
        <v>589</v>
      </c>
      <c r="N52" s="164">
        <v>4.25</v>
      </c>
      <c r="O52" s="23">
        <f>IF(N52&gt;0,1/N52*37.7*68.6,"")</f>
        <v>608.52235294117645</v>
      </c>
      <c r="P52" s="163">
        <v>4.04</v>
      </c>
      <c r="Q52" s="162" t="s">
        <v>588</v>
      </c>
      <c r="R52" s="161" t="s">
        <v>587</v>
      </c>
      <c r="S52" s="161" t="s">
        <v>665</v>
      </c>
      <c r="T52" s="160"/>
      <c r="U52" s="159"/>
      <c r="V52" s="158">
        <f>IFERROR(IF(N52&lt;P52,"",(ROUNDDOWN(N52/P52*100,0))),"")</f>
        <v>105</v>
      </c>
    </row>
    <row r="53" spans="1:22" ht="45" customHeight="1">
      <c r="A53" s="174"/>
      <c r="B53" s="173"/>
      <c r="C53" s="172"/>
      <c r="D53" s="168" t="s">
        <v>710</v>
      </c>
      <c r="E53" s="161" t="s">
        <v>681</v>
      </c>
      <c r="F53" s="167">
        <v>10.676</v>
      </c>
      <c r="G53" s="161">
        <v>2000</v>
      </c>
      <c r="H53" s="161">
        <v>265</v>
      </c>
      <c r="I53" s="161" t="s">
        <v>246</v>
      </c>
      <c r="J53" s="166">
        <v>8765</v>
      </c>
      <c r="K53" s="166">
        <v>24405</v>
      </c>
      <c r="L53" s="161">
        <v>15530</v>
      </c>
      <c r="M53" s="165" t="s">
        <v>589</v>
      </c>
      <c r="N53" s="164">
        <v>4.25</v>
      </c>
      <c r="O53" s="23">
        <f>IF(N53&gt;0,1/N53*37.7*68.6,"")</f>
        <v>608.52235294117645</v>
      </c>
      <c r="P53" s="163">
        <v>4.04</v>
      </c>
      <c r="Q53" s="162" t="s">
        <v>588</v>
      </c>
      <c r="R53" s="161" t="s">
        <v>587</v>
      </c>
      <c r="S53" s="161" t="s">
        <v>665</v>
      </c>
      <c r="T53" s="160"/>
      <c r="U53" s="159"/>
      <c r="V53" s="158">
        <f>IFERROR(IF(N53&lt;P53,"",(ROUNDDOWN(N53/P53*100,0))),"")</f>
        <v>105</v>
      </c>
    </row>
    <row r="54" spans="1:22" ht="45" customHeight="1">
      <c r="A54" s="174"/>
      <c r="B54" s="173"/>
      <c r="C54" s="172"/>
      <c r="D54" s="168" t="s">
        <v>710</v>
      </c>
      <c r="E54" s="161" t="s">
        <v>681</v>
      </c>
      <c r="F54" s="167">
        <v>10.676</v>
      </c>
      <c r="G54" s="161">
        <v>2000</v>
      </c>
      <c r="H54" s="161">
        <v>290</v>
      </c>
      <c r="I54" s="161" t="s">
        <v>246</v>
      </c>
      <c r="J54" s="166">
        <v>8765</v>
      </c>
      <c r="K54" s="166">
        <v>24405</v>
      </c>
      <c r="L54" s="161">
        <v>15530</v>
      </c>
      <c r="M54" s="165" t="s">
        <v>589</v>
      </c>
      <c r="N54" s="164">
        <v>4.25</v>
      </c>
      <c r="O54" s="23">
        <f>IF(N54&gt;0,1/N54*37.7*68.6,"")</f>
        <v>608.52235294117645</v>
      </c>
      <c r="P54" s="163">
        <v>4.04</v>
      </c>
      <c r="Q54" s="162" t="s">
        <v>588</v>
      </c>
      <c r="R54" s="161" t="s">
        <v>587</v>
      </c>
      <c r="S54" s="161" t="s">
        <v>665</v>
      </c>
      <c r="T54" s="160"/>
      <c r="U54" s="159"/>
      <c r="V54" s="158">
        <f>IFERROR(IF(N54&lt;P54,"",(ROUNDDOWN(N54/P54*100,0))),"")</f>
        <v>105</v>
      </c>
    </row>
    <row r="55" spans="1:22" ht="45" customHeight="1">
      <c r="A55" s="174"/>
      <c r="B55" s="173"/>
      <c r="C55" s="172"/>
      <c r="D55" s="168" t="s">
        <v>709</v>
      </c>
      <c r="E55" s="161" t="s">
        <v>694</v>
      </c>
      <c r="F55" s="167">
        <v>7.6970000000000001</v>
      </c>
      <c r="G55" s="161">
        <v>1400</v>
      </c>
      <c r="H55" s="161">
        <v>260</v>
      </c>
      <c r="I55" s="161" t="s">
        <v>246</v>
      </c>
      <c r="J55" s="166">
        <v>8765</v>
      </c>
      <c r="K55" s="166">
        <v>24405</v>
      </c>
      <c r="L55" s="161">
        <v>15530</v>
      </c>
      <c r="M55" s="165" t="s">
        <v>589</v>
      </c>
      <c r="N55" s="164">
        <v>4.25</v>
      </c>
      <c r="O55" s="23">
        <f>IF(N55&gt;0,1/N55*37.7*68.6,"")</f>
        <v>608.52235294117645</v>
      </c>
      <c r="P55" s="163">
        <v>4.04</v>
      </c>
      <c r="Q55" s="162" t="s">
        <v>588</v>
      </c>
      <c r="R55" s="161" t="s">
        <v>587</v>
      </c>
      <c r="S55" s="161" t="s">
        <v>665</v>
      </c>
      <c r="T55" s="160"/>
      <c r="U55" s="159"/>
      <c r="V55" s="158">
        <f>IFERROR(IF(N55&lt;P55,"",(ROUNDDOWN(N55/P55*100,0))),"")</f>
        <v>105</v>
      </c>
    </row>
    <row r="56" spans="1:22" ht="45" customHeight="1">
      <c r="A56" s="174"/>
      <c r="B56" s="173"/>
      <c r="C56" s="172"/>
      <c r="D56" s="168" t="s">
        <v>709</v>
      </c>
      <c r="E56" s="161" t="s">
        <v>694</v>
      </c>
      <c r="F56" s="167">
        <v>7.6970000000000001</v>
      </c>
      <c r="G56" s="161">
        <v>1400</v>
      </c>
      <c r="H56" s="161">
        <v>280</v>
      </c>
      <c r="I56" s="161" t="s">
        <v>246</v>
      </c>
      <c r="J56" s="166">
        <v>8765</v>
      </c>
      <c r="K56" s="166">
        <v>24405</v>
      </c>
      <c r="L56" s="161">
        <v>15530</v>
      </c>
      <c r="M56" s="165" t="s">
        <v>589</v>
      </c>
      <c r="N56" s="164">
        <v>4.25</v>
      </c>
      <c r="O56" s="23">
        <f>IF(N56&gt;0,1/N56*37.7*68.6,"")</f>
        <v>608.52235294117645</v>
      </c>
      <c r="P56" s="163">
        <v>4.04</v>
      </c>
      <c r="Q56" s="162" t="s">
        <v>588</v>
      </c>
      <c r="R56" s="161" t="s">
        <v>587</v>
      </c>
      <c r="S56" s="161" t="s">
        <v>665</v>
      </c>
      <c r="T56" s="160"/>
      <c r="U56" s="159"/>
      <c r="V56" s="158">
        <f>IFERROR(IF(N56&lt;P56,"",(ROUNDDOWN(N56/P56*100,0))),"")</f>
        <v>105</v>
      </c>
    </row>
    <row r="57" spans="1:22" ht="45" customHeight="1">
      <c r="A57" s="174"/>
      <c r="B57" s="173"/>
      <c r="C57" s="172"/>
      <c r="D57" s="168" t="s">
        <v>708</v>
      </c>
      <c r="E57" s="161" t="s">
        <v>681</v>
      </c>
      <c r="F57" s="167">
        <v>10.676</v>
      </c>
      <c r="G57" s="161">
        <v>2000</v>
      </c>
      <c r="H57" s="161">
        <v>265</v>
      </c>
      <c r="I57" s="161" t="s">
        <v>246</v>
      </c>
      <c r="J57" s="166">
        <v>8765</v>
      </c>
      <c r="K57" s="166">
        <v>24405</v>
      </c>
      <c r="L57" s="161">
        <v>15530</v>
      </c>
      <c r="M57" s="165" t="s">
        <v>589</v>
      </c>
      <c r="N57" s="164">
        <v>4.25</v>
      </c>
      <c r="O57" s="23">
        <f>IF(N57&gt;0,1/N57*37.7*68.6,"")</f>
        <v>608.52235294117645</v>
      </c>
      <c r="P57" s="163">
        <v>4.04</v>
      </c>
      <c r="Q57" s="162" t="s">
        <v>588</v>
      </c>
      <c r="R57" s="161" t="s">
        <v>587</v>
      </c>
      <c r="S57" s="161" t="s">
        <v>665</v>
      </c>
      <c r="T57" s="160"/>
      <c r="U57" s="159"/>
      <c r="V57" s="158">
        <f>IFERROR(IF(N57&lt;P57,"",(ROUNDDOWN(N57/P57*100,0))),"")</f>
        <v>105</v>
      </c>
    </row>
    <row r="58" spans="1:22" ht="45" customHeight="1">
      <c r="A58" s="174"/>
      <c r="B58" s="173"/>
      <c r="C58" s="172"/>
      <c r="D58" s="168" t="s">
        <v>708</v>
      </c>
      <c r="E58" s="161" t="s">
        <v>681</v>
      </c>
      <c r="F58" s="167">
        <v>10.676</v>
      </c>
      <c r="G58" s="161">
        <v>2000</v>
      </c>
      <c r="H58" s="161">
        <v>290</v>
      </c>
      <c r="I58" s="161" t="s">
        <v>246</v>
      </c>
      <c r="J58" s="166">
        <v>8765</v>
      </c>
      <c r="K58" s="166">
        <v>24405</v>
      </c>
      <c r="L58" s="161">
        <v>15530</v>
      </c>
      <c r="M58" s="165" t="s">
        <v>589</v>
      </c>
      <c r="N58" s="164">
        <v>4.25</v>
      </c>
      <c r="O58" s="23">
        <f>IF(N58&gt;0,1/N58*37.7*68.6,"")</f>
        <v>608.52235294117645</v>
      </c>
      <c r="P58" s="163">
        <v>4.04</v>
      </c>
      <c r="Q58" s="162" t="s">
        <v>588</v>
      </c>
      <c r="R58" s="161" t="s">
        <v>587</v>
      </c>
      <c r="S58" s="161" t="s">
        <v>665</v>
      </c>
      <c r="T58" s="160"/>
      <c r="U58" s="159"/>
      <c r="V58" s="158">
        <f>IFERROR(IF(N58&lt;P58,"",(ROUNDDOWN(N58/P58*100,0))),"")</f>
        <v>105</v>
      </c>
    </row>
    <row r="59" spans="1:22" ht="45" customHeight="1">
      <c r="A59" s="174"/>
      <c r="B59" s="173"/>
      <c r="C59" s="172"/>
      <c r="D59" s="168" t="s">
        <v>707</v>
      </c>
      <c r="E59" s="161" t="s">
        <v>694</v>
      </c>
      <c r="F59" s="167">
        <v>7.6970000000000001</v>
      </c>
      <c r="G59" s="161">
        <v>1400</v>
      </c>
      <c r="H59" s="161">
        <v>260</v>
      </c>
      <c r="I59" s="161" t="s">
        <v>246</v>
      </c>
      <c r="J59" s="166">
        <v>8765</v>
      </c>
      <c r="K59" s="166">
        <v>24405</v>
      </c>
      <c r="L59" s="161">
        <v>15530</v>
      </c>
      <c r="M59" s="165" t="s">
        <v>589</v>
      </c>
      <c r="N59" s="164">
        <v>4.25</v>
      </c>
      <c r="O59" s="23">
        <f>IF(N59&gt;0,1/N59*37.7*68.6,"")</f>
        <v>608.52235294117645</v>
      </c>
      <c r="P59" s="163">
        <v>4.04</v>
      </c>
      <c r="Q59" s="162" t="s">
        <v>588</v>
      </c>
      <c r="R59" s="161" t="s">
        <v>587</v>
      </c>
      <c r="S59" s="161" t="s">
        <v>696</v>
      </c>
      <c r="T59" s="160"/>
      <c r="U59" s="159"/>
      <c r="V59" s="158">
        <f>IFERROR(IF(N59&lt;P59,"",(ROUNDDOWN(N59/P59*100,0))),"")</f>
        <v>105</v>
      </c>
    </row>
    <row r="60" spans="1:22" ht="45" customHeight="1">
      <c r="A60" s="174"/>
      <c r="B60" s="173"/>
      <c r="C60" s="172"/>
      <c r="D60" s="168" t="s">
        <v>707</v>
      </c>
      <c r="E60" s="161" t="s">
        <v>694</v>
      </c>
      <c r="F60" s="167">
        <v>7.6970000000000001</v>
      </c>
      <c r="G60" s="161">
        <v>1400</v>
      </c>
      <c r="H60" s="161">
        <v>280</v>
      </c>
      <c r="I60" s="161" t="s">
        <v>246</v>
      </c>
      <c r="J60" s="166">
        <v>8765</v>
      </c>
      <c r="K60" s="166">
        <v>24405</v>
      </c>
      <c r="L60" s="161">
        <v>15530</v>
      </c>
      <c r="M60" s="165" t="s">
        <v>589</v>
      </c>
      <c r="N60" s="164">
        <v>4.25</v>
      </c>
      <c r="O60" s="23">
        <f>IF(N60&gt;0,1/N60*37.7*68.6,"")</f>
        <v>608.52235294117645</v>
      </c>
      <c r="P60" s="163">
        <v>4.04</v>
      </c>
      <c r="Q60" s="162" t="s">
        <v>588</v>
      </c>
      <c r="R60" s="161" t="s">
        <v>587</v>
      </c>
      <c r="S60" s="161" t="s">
        <v>696</v>
      </c>
      <c r="T60" s="160"/>
      <c r="U60" s="159"/>
      <c r="V60" s="158">
        <f>IFERROR(IF(N60&lt;P60,"",(ROUNDDOWN(N60/P60*100,0))),"")</f>
        <v>105</v>
      </c>
    </row>
    <row r="61" spans="1:22" ht="45" customHeight="1">
      <c r="A61" s="174"/>
      <c r="B61" s="173"/>
      <c r="C61" s="172"/>
      <c r="D61" s="168" t="s">
        <v>706</v>
      </c>
      <c r="E61" s="161" t="s">
        <v>681</v>
      </c>
      <c r="F61" s="167">
        <v>10.676</v>
      </c>
      <c r="G61" s="161">
        <v>2000</v>
      </c>
      <c r="H61" s="161">
        <v>265</v>
      </c>
      <c r="I61" s="161" t="s">
        <v>246</v>
      </c>
      <c r="J61" s="166">
        <v>8765</v>
      </c>
      <c r="K61" s="166">
        <v>24405</v>
      </c>
      <c r="L61" s="161">
        <v>15530</v>
      </c>
      <c r="M61" s="165" t="s">
        <v>589</v>
      </c>
      <c r="N61" s="164">
        <v>4.25</v>
      </c>
      <c r="O61" s="23">
        <f>IF(N61&gt;0,1/N61*37.7*68.6,"")</f>
        <v>608.52235294117645</v>
      </c>
      <c r="P61" s="163">
        <v>4.04</v>
      </c>
      <c r="Q61" s="162" t="s">
        <v>588</v>
      </c>
      <c r="R61" s="161" t="s">
        <v>587</v>
      </c>
      <c r="S61" s="161" t="s">
        <v>696</v>
      </c>
      <c r="T61" s="160"/>
      <c r="U61" s="159"/>
      <c r="V61" s="158">
        <f>IFERROR(IF(N61&lt;P61,"",(ROUNDDOWN(N61/P61*100,0))),"")</f>
        <v>105</v>
      </c>
    </row>
    <row r="62" spans="1:22" ht="45" customHeight="1">
      <c r="A62" s="174"/>
      <c r="B62" s="173"/>
      <c r="C62" s="172"/>
      <c r="D62" s="168" t="s">
        <v>706</v>
      </c>
      <c r="E62" s="161" t="s">
        <v>681</v>
      </c>
      <c r="F62" s="167">
        <v>10.676</v>
      </c>
      <c r="G62" s="161">
        <v>2000</v>
      </c>
      <c r="H62" s="161">
        <v>290</v>
      </c>
      <c r="I62" s="161" t="s">
        <v>246</v>
      </c>
      <c r="J62" s="166">
        <v>8765</v>
      </c>
      <c r="K62" s="166">
        <v>24405</v>
      </c>
      <c r="L62" s="161">
        <v>15530</v>
      </c>
      <c r="M62" s="165" t="s">
        <v>589</v>
      </c>
      <c r="N62" s="164">
        <v>4.25</v>
      </c>
      <c r="O62" s="23">
        <f>IF(N62&gt;0,1/N62*37.7*68.6,"")</f>
        <v>608.52235294117645</v>
      </c>
      <c r="P62" s="163">
        <v>4.04</v>
      </c>
      <c r="Q62" s="162" t="s">
        <v>588</v>
      </c>
      <c r="R62" s="161" t="s">
        <v>587</v>
      </c>
      <c r="S62" s="161" t="s">
        <v>696</v>
      </c>
      <c r="T62" s="160"/>
      <c r="U62" s="159"/>
      <c r="V62" s="158">
        <f>IFERROR(IF(N62&lt;P62,"",(ROUNDDOWN(N62/P62*100,0))),"")</f>
        <v>105</v>
      </c>
    </row>
    <row r="63" spans="1:22" ht="45" customHeight="1">
      <c r="A63" s="174"/>
      <c r="B63" s="173"/>
      <c r="C63" s="172"/>
      <c r="D63" s="168" t="s">
        <v>705</v>
      </c>
      <c r="E63" s="161" t="s">
        <v>694</v>
      </c>
      <c r="F63" s="167">
        <v>7.6970000000000001</v>
      </c>
      <c r="G63" s="161">
        <v>1400</v>
      </c>
      <c r="H63" s="161">
        <v>280</v>
      </c>
      <c r="I63" s="161" t="s">
        <v>246</v>
      </c>
      <c r="J63" s="166">
        <v>8765</v>
      </c>
      <c r="K63" s="166">
        <v>24405</v>
      </c>
      <c r="L63" s="161">
        <v>15530</v>
      </c>
      <c r="M63" s="165" t="s">
        <v>589</v>
      </c>
      <c r="N63" s="164">
        <v>4.25</v>
      </c>
      <c r="O63" s="23">
        <f>IF(N63&gt;0,1/N63*37.7*68.6,"")</f>
        <v>608.52235294117645</v>
      </c>
      <c r="P63" s="163">
        <v>4.04</v>
      </c>
      <c r="Q63" s="162" t="s">
        <v>588</v>
      </c>
      <c r="R63" s="161" t="s">
        <v>587</v>
      </c>
      <c r="S63" s="161" t="s">
        <v>696</v>
      </c>
      <c r="T63" s="160"/>
      <c r="U63" s="159"/>
      <c r="V63" s="158">
        <f>IFERROR(IF(N63&lt;P63,"",(ROUNDDOWN(N63/P63*100,0))),"")</f>
        <v>105</v>
      </c>
    </row>
    <row r="64" spans="1:22" ht="45" customHeight="1">
      <c r="A64" s="174"/>
      <c r="B64" s="173"/>
      <c r="C64" s="172"/>
      <c r="D64" s="168" t="s">
        <v>704</v>
      </c>
      <c r="E64" s="161" t="s">
        <v>681</v>
      </c>
      <c r="F64" s="167">
        <v>10.676</v>
      </c>
      <c r="G64" s="161">
        <v>2000</v>
      </c>
      <c r="H64" s="161">
        <v>265</v>
      </c>
      <c r="I64" s="161" t="s">
        <v>246</v>
      </c>
      <c r="J64" s="166">
        <v>8765</v>
      </c>
      <c r="K64" s="166">
        <v>24405</v>
      </c>
      <c r="L64" s="161">
        <v>15530</v>
      </c>
      <c r="M64" s="165" t="s">
        <v>589</v>
      </c>
      <c r="N64" s="164">
        <v>4.25</v>
      </c>
      <c r="O64" s="23">
        <f>IF(N64&gt;0,1/N64*37.7*68.6,"")</f>
        <v>608.52235294117645</v>
      </c>
      <c r="P64" s="163">
        <v>4.04</v>
      </c>
      <c r="Q64" s="162" t="s">
        <v>588</v>
      </c>
      <c r="R64" s="161" t="s">
        <v>587</v>
      </c>
      <c r="S64" s="161" t="s">
        <v>696</v>
      </c>
      <c r="T64" s="160"/>
      <c r="U64" s="159"/>
      <c r="V64" s="158">
        <f>IFERROR(IF(N64&lt;P64,"",(ROUNDDOWN(N64/P64*100,0))),"")</f>
        <v>105</v>
      </c>
    </row>
    <row r="65" spans="1:22" ht="45" customHeight="1">
      <c r="A65" s="174"/>
      <c r="B65" s="173"/>
      <c r="C65" s="172"/>
      <c r="D65" s="168" t="s">
        <v>704</v>
      </c>
      <c r="E65" s="161" t="s">
        <v>681</v>
      </c>
      <c r="F65" s="167">
        <v>10.676</v>
      </c>
      <c r="G65" s="161">
        <v>2000</v>
      </c>
      <c r="H65" s="161">
        <v>290</v>
      </c>
      <c r="I65" s="161" t="s">
        <v>246</v>
      </c>
      <c r="J65" s="166">
        <v>8765</v>
      </c>
      <c r="K65" s="166">
        <v>24405</v>
      </c>
      <c r="L65" s="161">
        <v>15530</v>
      </c>
      <c r="M65" s="165" t="s">
        <v>589</v>
      </c>
      <c r="N65" s="164">
        <v>4.25</v>
      </c>
      <c r="O65" s="23">
        <f>IF(N65&gt;0,1/N65*37.7*68.6,"")</f>
        <v>608.52235294117645</v>
      </c>
      <c r="P65" s="163">
        <v>4.04</v>
      </c>
      <c r="Q65" s="162" t="s">
        <v>588</v>
      </c>
      <c r="R65" s="161" t="s">
        <v>587</v>
      </c>
      <c r="S65" s="161" t="s">
        <v>696</v>
      </c>
      <c r="T65" s="160"/>
      <c r="U65" s="159"/>
      <c r="V65" s="158">
        <f>IFERROR(IF(N65&lt;P65,"",(ROUNDDOWN(N65/P65*100,0))),"")</f>
        <v>105</v>
      </c>
    </row>
    <row r="66" spans="1:22" ht="45" customHeight="1">
      <c r="A66" s="174"/>
      <c r="B66" s="173"/>
      <c r="C66" s="172"/>
      <c r="D66" s="168" t="s">
        <v>703</v>
      </c>
      <c r="E66" s="161" t="s">
        <v>681</v>
      </c>
      <c r="F66" s="167">
        <v>10.676</v>
      </c>
      <c r="G66" s="161">
        <v>2000</v>
      </c>
      <c r="H66" s="161">
        <v>290</v>
      </c>
      <c r="I66" s="161" t="s">
        <v>243</v>
      </c>
      <c r="J66" s="166">
        <v>8765</v>
      </c>
      <c r="K66" s="166">
        <v>24405</v>
      </c>
      <c r="L66" s="161">
        <v>15530</v>
      </c>
      <c r="M66" s="165" t="s">
        <v>589</v>
      </c>
      <c r="N66" s="164">
        <v>4.1500000000000004</v>
      </c>
      <c r="O66" s="23">
        <f>IF(N66&gt;0,1/N66*37.7*68.6,"")</f>
        <v>623.1855421686746</v>
      </c>
      <c r="P66" s="163">
        <v>4.04</v>
      </c>
      <c r="Q66" s="162" t="s">
        <v>588</v>
      </c>
      <c r="R66" s="161" t="s">
        <v>587</v>
      </c>
      <c r="S66" s="161" t="s">
        <v>696</v>
      </c>
      <c r="T66" s="160"/>
      <c r="U66" s="159"/>
      <c r="V66" s="158">
        <f>IFERROR(IF(N66&lt;P66,"",(ROUNDDOWN(N66/P66*100,0))),"")</f>
        <v>102</v>
      </c>
    </row>
    <row r="67" spans="1:22" ht="45" customHeight="1">
      <c r="A67" s="174"/>
      <c r="B67" s="173"/>
      <c r="C67" s="172"/>
      <c r="D67" s="168" t="s">
        <v>702</v>
      </c>
      <c r="E67" s="161" t="s">
        <v>681</v>
      </c>
      <c r="F67" s="167">
        <v>10.676</v>
      </c>
      <c r="G67" s="161">
        <v>2000</v>
      </c>
      <c r="H67" s="161">
        <v>265</v>
      </c>
      <c r="I67" s="161" t="s">
        <v>246</v>
      </c>
      <c r="J67" s="166">
        <v>8765</v>
      </c>
      <c r="K67" s="166">
        <v>24405</v>
      </c>
      <c r="L67" s="161">
        <v>15530</v>
      </c>
      <c r="M67" s="165" t="s">
        <v>589</v>
      </c>
      <c r="N67" s="164">
        <v>4.25</v>
      </c>
      <c r="O67" s="23">
        <f>IF(N67&gt;0,1/N67*37.7*68.6,"")</f>
        <v>608.52235294117645</v>
      </c>
      <c r="P67" s="163">
        <v>4.04</v>
      </c>
      <c r="Q67" s="162" t="s">
        <v>588</v>
      </c>
      <c r="R67" s="161" t="s">
        <v>587</v>
      </c>
      <c r="S67" s="161" t="s">
        <v>696</v>
      </c>
      <c r="T67" s="160"/>
      <c r="U67" s="159"/>
      <c r="V67" s="158">
        <f>IFERROR(IF(N67&lt;P67,"",(ROUNDDOWN(N67/P67*100,0))),"")</f>
        <v>105</v>
      </c>
    </row>
    <row r="68" spans="1:22" ht="45" customHeight="1">
      <c r="A68" s="174"/>
      <c r="B68" s="173"/>
      <c r="C68" s="172"/>
      <c r="D68" s="168" t="s">
        <v>702</v>
      </c>
      <c r="E68" s="161" t="s">
        <v>681</v>
      </c>
      <c r="F68" s="167">
        <v>10.676</v>
      </c>
      <c r="G68" s="161">
        <v>2000</v>
      </c>
      <c r="H68" s="161">
        <v>290</v>
      </c>
      <c r="I68" s="161" t="s">
        <v>246</v>
      </c>
      <c r="J68" s="166">
        <v>8765</v>
      </c>
      <c r="K68" s="166">
        <v>24405</v>
      </c>
      <c r="L68" s="161">
        <v>15530</v>
      </c>
      <c r="M68" s="165" t="s">
        <v>589</v>
      </c>
      <c r="N68" s="164">
        <v>4.25</v>
      </c>
      <c r="O68" s="23">
        <f>IF(N68&gt;0,1/N68*37.7*68.6,"")</f>
        <v>608.52235294117645</v>
      </c>
      <c r="P68" s="163">
        <v>4.04</v>
      </c>
      <c r="Q68" s="162" t="s">
        <v>588</v>
      </c>
      <c r="R68" s="161" t="s">
        <v>587</v>
      </c>
      <c r="S68" s="161" t="s">
        <v>696</v>
      </c>
      <c r="T68" s="160"/>
      <c r="U68" s="159"/>
      <c r="V68" s="158">
        <f>IFERROR(IF(N68&lt;P68,"",(ROUNDDOWN(N68/P68*100,0))),"")</f>
        <v>105</v>
      </c>
    </row>
    <row r="69" spans="1:22" ht="45" customHeight="1">
      <c r="A69" s="174"/>
      <c r="B69" s="173"/>
      <c r="C69" s="172"/>
      <c r="D69" s="168" t="s">
        <v>702</v>
      </c>
      <c r="E69" s="161" t="s">
        <v>681</v>
      </c>
      <c r="F69" s="167">
        <v>10.676</v>
      </c>
      <c r="G69" s="161">
        <v>2100</v>
      </c>
      <c r="H69" s="161">
        <v>315</v>
      </c>
      <c r="I69" s="161" t="s">
        <v>246</v>
      </c>
      <c r="J69" s="166">
        <v>8765</v>
      </c>
      <c r="K69" s="166">
        <v>24405</v>
      </c>
      <c r="L69" s="161">
        <v>15530</v>
      </c>
      <c r="M69" s="165" t="s">
        <v>589</v>
      </c>
      <c r="N69" s="164">
        <v>4.25</v>
      </c>
      <c r="O69" s="23">
        <f>IF(N69&gt;0,1/N69*37.7*68.6,"")</f>
        <v>608.52235294117645</v>
      </c>
      <c r="P69" s="163">
        <v>4.04</v>
      </c>
      <c r="Q69" s="162" t="s">
        <v>588</v>
      </c>
      <c r="R69" s="161" t="s">
        <v>587</v>
      </c>
      <c r="S69" s="161" t="s">
        <v>696</v>
      </c>
      <c r="T69" s="160"/>
      <c r="U69" s="159"/>
      <c r="V69" s="158">
        <f>IFERROR(IF(N69&lt;P69,"",(ROUNDDOWN(N69/P69*100,0))),"")</f>
        <v>105</v>
      </c>
    </row>
    <row r="70" spans="1:22" ht="45" customHeight="1">
      <c r="A70" s="174"/>
      <c r="B70" s="173"/>
      <c r="C70" s="172"/>
      <c r="D70" s="168" t="s">
        <v>701</v>
      </c>
      <c r="E70" s="161" t="s">
        <v>694</v>
      </c>
      <c r="F70" s="167">
        <v>7.6970000000000001</v>
      </c>
      <c r="G70" s="161">
        <v>1400</v>
      </c>
      <c r="H70" s="161">
        <v>260</v>
      </c>
      <c r="I70" s="161" t="s">
        <v>246</v>
      </c>
      <c r="J70" s="166">
        <v>8765</v>
      </c>
      <c r="K70" s="166">
        <v>24405</v>
      </c>
      <c r="L70" s="161">
        <v>15530</v>
      </c>
      <c r="M70" s="165" t="s">
        <v>589</v>
      </c>
      <c r="N70" s="164">
        <v>4.25</v>
      </c>
      <c r="O70" s="23">
        <f>IF(N70&gt;0,1/N70*37.7*68.6,"")</f>
        <v>608.52235294117645</v>
      </c>
      <c r="P70" s="163">
        <v>4.04</v>
      </c>
      <c r="Q70" s="162" t="s">
        <v>588</v>
      </c>
      <c r="R70" s="161" t="s">
        <v>587</v>
      </c>
      <c r="S70" s="161" t="s">
        <v>696</v>
      </c>
      <c r="T70" s="160"/>
      <c r="U70" s="159"/>
      <c r="V70" s="158">
        <f>IFERROR(IF(N70&lt;P70,"",(ROUNDDOWN(N70/P70*100,0))),"")</f>
        <v>105</v>
      </c>
    </row>
    <row r="71" spans="1:22" ht="45" customHeight="1">
      <c r="A71" s="174"/>
      <c r="B71" s="173"/>
      <c r="C71" s="172"/>
      <c r="D71" s="168" t="s">
        <v>701</v>
      </c>
      <c r="E71" s="161" t="s">
        <v>694</v>
      </c>
      <c r="F71" s="167">
        <v>7.6970000000000001</v>
      </c>
      <c r="G71" s="161">
        <v>1400</v>
      </c>
      <c r="H71" s="161">
        <v>280</v>
      </c>
      <c r="I71" s="161" t="s">
        <v>246</v>
      </c>
      <c r="J71" s="166">
        <v>8765</v>
      </c>
      <c r="K71" s="166">
        <v>24405</v>
      </c>
      <c r="L71" s="161">
        <v>15530</v>
      </c>
      <c r="M71" s="165" t="s">
        <v>589</v>
      </c>
      <c r="N71" s="164">
        <v>4.25</v>
      </c>
      <c r="O71" s="23">
        <f>IF(N71&gt;0,1/N71*37.7*68.6,"")</f>
        <v>608.52235294117645</v>
      </c>
      <c r="P71" s="163">
        <v>4.04</v>
      </c>
      <c r="Q71" s="162" t="s">
        <v>588</v>
      </c>
      <c r="R71" s="161" t="s">
        <v>587</v>
      </c>
      <c r="S71" s="161" t="s">
        <v>696</v>
      </c>
      <c r="T71" s="160"/>
      <c r="U71" s="159"/>
      <c r="V71" s="158">
        <f>IFERROR(IF(N71&lt;P71,"",(ROUNDDOWN(N71/P71*100,0))),"")</f>
        <v>105</v>
      </c>
    </row>
    <row r="72" spans="1:22" ht="45" customHeight="1">
      <c r="A72" s="174"/>
      <c r="B72" s="173"/>
      <c r="C72" s="172"/>
      <c r="D72" s="168" t="s">
        <v>700</v>
      </c>
      <c r="E72" s="161" t="s">
        <v>681</v>
      </c>
      <c r="F72" s="167">
        <v>10.676</v>
      </c>
      <c r="G72" s="161">
        <v>2000</v>
      </c>
      <c r="H72" s="161">
        <v>290</v>
      </c>
      <c r="I72" s="161" t="s">
        <v>243</v>
      </c>
      <c r="J72" s="166">
        <v>8765</v>
      </c>
      <c r="K72" s="166">
        <v>24405</v>
      </c>
      <c r="L72" s="161">
        <v>15530</v>
      </c>
      <c r="M72" s="165" t="s">
        <v>589</v>
      </c>
      <c r="N72" s="164">
        <v>4.1500000000000004</v>
      </c>
      <c r="O72" s="23">
        <f>IF(N72&gt;0,1/N72*37.7*68.6,"")</f>
        <v>623.1855421686746</v>
      </c>
      <c r="P72" s="163">
        <v>4.04</v>
      </c>
      <c r="Q72" s="162" t="s">
        <v>588</v>
      </c>
      <c r="R72" s="161" t="s">
        <v>587</v>
      </c>
      <c r="S72" s="161" t="s">
        <v>696</v>
      </c>
      <c r="T72" s="160"/>
      <c r="U72" s="159"/>
      <c r="V72" s="158">
        <f>IFERROR(IF(N72&lt;P72,"",(ROUNDDOWN(N72/P72*100,0))),"")</f>
        <v>102</v>
      </c>
    </row>
    <row r="73" spans="1:22" ht="45" customHeight="1">
      <c r="A73" s="174"/>
      <c r="B73" s="173"/>
      <c r="C73" s="172"/>
      <c r="D73" s="168" t="s">
        <v>699</v>
      </c>
      <c r="E73" s="161" t="s">
        <v>681</v>
      </c>
      <c r="F73" s="167">
        <v>10.676</v>
      </c>
      <c r="G73" s="161">
        <v>2000</v>
      </c>
      <c r="H73" s="161">
        <v>265</v>
      </c>
      <c r="I73" s="161" t="s">
        <v>246</v>
      </c>
      <c r="J73" s="166">
        <v>8765</v>
      </c>
      <c r="K73" s="166">
        <v>24405</v>
      </c>
      <c r="L73" s="161">
        <v>15530</v>
      </c>
      <c r="M73" s="165" t="s">
        <v>589</v>
      </c>
      <c r="N73" s="164">
        <v>4.25</v>
      </c>
      <c r="O73" s="23">
        <f>IF(N73&gt;0,1/N73*37.7*68.6,"")</f>
        <v>608.52235294117645</v>
      </c>
      <c r="P73" s="163">
        <v>4.04</v>
      </c>
      <c r="Q73" s="162" t="s">
        <v>588</v>
      </c>
      <c r="R73" s="161" t="s">
        <v>587</v>
      </c>
      <c r="S73" s="161" t="s">
        <v>696</v>
      </c>
      <c r="T73" s="160"/>
      <c r="U73" s="159"/>
      <c r="V73" s="158">
        <f>IFERROR(IF(N73&lt;P73,"",(ROUNDDOWN(N73/P73*100,0))),"")</f>
        <v>105</v>
      </c>
    </row>
    <row r="74" spans="1:22" ht="45" customHeight="1">
      <c r="A74" s="174"/>
      <c r="B74" s="173"/>
      <c r="C74" s="172"/>
      <c r="D74" s="168" t="s">
        <v>699</v>
      </c>
      <c r="E74" s="161" t="s">
        <v>681</v>
      </c>
      <c r="F74" s="167">
        <v>10.676</v>
      </c>
      <c r="G74" s="161">
        <v>2000</v>
      </c>
      <c r="H74" s="161">
        <v>290</v>
      </c>
      <c r="I74" s="161" t="s">
        <v>246</v>
      </c>
      <c r="J74" s="166">
        <v>8765</v>
      </c>
      <c r="K74" s="166">
        <v>24405</v>
      </c>
      <c r="L74" s="161">
        <v>15530</v>
      </c>
      <c r="M74" s="165" t="s">
        <v>589</v>
      </c>
      <c r="N74" s="164">
        <v>4.25</v>
      </c>
      <c r="O74" s="23">
        <f>IF(N74&gt;0,1/N74*37.7*68.6,"")</f>
        <v>608.52235294117645</v>
      </c>
      <c r="P74" s="163">
        <v>4.04</v>
      </c>
      <c r="Q74" s="162" t="s">
        <v>588</v>
      </c>
      <c r="R74" s="161" t="s">
        <v>587</v>
      </c>
      <c r="S74" s="161" t="s">
        <v>696</v>
      </c>
      <c r="T74" s="160"/>
      <c r="U74" s="159"/>
      <c r="V74" s="158">
        <f>IFERROR(IF(N74&lt;P74,"",(ROUNDDOWN(N74/P74*100,0))),"")</f>
        <v>105</v>
      </c>
    </row>
    <row r="75" spans="1:22" ht="45" customHeight="1">
      <c r="A75" s="174"/>
      <c r="B75" s="173"/>
      <c r="C75" s="172"/>
      <c r="D75" s="168" t="s">
        <v>699</v>
      </c>
      <c r="E75" s="161" t="s">
        <v>681</v>
      </c>
      <c r="F75" s="167">
        <v>10.676</v>
      </c>
      <c r="G75" s="161">
        <v>2100</v>
      </c>
      <c r="H75" s="161">
        <v>315</v>
      </c>
      <c r="I75" s="161" t="s">
        <v>246</v>
      </c>
      <c r="J75" s="166">
        <v>8765</v>
      </c>
      <c r="K75" s="166">
        <v>24405</v>
      </c>
      <c r="L75" s="161">
        <v>15530</v>
      </c>
      <c r="M75" s="165" t="s">
        <v>589</v>
      </c>
      <c r="N75" s="164">
        <v>4.25</v>
      </c>
      <c r="O75" s="23">
        <f>IF(N75&gt;0,1/N75*37.7*68.6,"")</f>
        <v>608.52235294117645</v>
      </c>
      <c r="P75" s="163">
        <v>4.04</v>
      </c>
      <c r="Q75" s="162" t="s">
        <v>588</v>
      </c>
      <c r="R75" s="161" t="s">
        <v>587</v>
      </c>
      <c r="S75" s="161" t="s">
        <v>696</v>
      </c>
      <c r="T75" s="160"/>
      <c r="U75" s="159"/>
      <c r="V75" s="158">
        <f>IFERROR(IF(N75&lt;P75,"",(ROUNDDOWN(N75/P75*100,0))),"")</f>
        <v>105</v>
      </c>
    </row>
    <row r="76" spans="1:22" ht="45" customHeight="1">
      <c r="A76" s="174"/>
      <c r="B76" s="173"/>
      <c r="C76" s="172"/>
      <c r="D76" s="168" t="s">
        <v>698</v>
      </c>
      <c r="E76" s="161" t="s">
        <v>694</v>
      </c>
      <c r="F76" s="167">
        <v>7.6970000000000001</v>
      </c>
      <c r="G76" s="161">
        <v>1400</v>
      </c>
      <c r="H76" s="161">
        <v>260</v>
      </c>
      <c r="I76" s="161" t="s">
        <v>246</v>
      </c>
      <c r="J76" s="166">
        <v>8765</v>
      </c>
      <c r="K76" s="166">
        <v>24405</v>
      </c>
      <c r="L76" s="161">
        <v>15530</v>
      </c>
      <c r="M76" s="165" t="s">
        <v>589</v>
      </c>
      <c r="N76" s="164">
        <v>4.25</v>
      </c>
      <c r="O76" s="23">
        <f>IF(N76&gt;0,1/N76*37.7*68.6,"")</f>
        <v>608.52235294117645</v>
      </c>
      <c r="P76" s="163">
        <v>4.04</v>
      </c>
      <c r="Q76" s="162" t="s">
        <v>588</v>
      </c>
      <c r="R76" s="161" t="s">
        <v>587</v>
      </c>
      <c r="S76" s="161" t="s">
        <v>696</v>
      </c>
      <c r="T76" s="160"/>
      <c r="U76" s="159"/>
      <c r="V76" s="158">
        <f>IFERROR(IF(N76&lt;P76,"",(ROUNDDOWN(N76/P76*100,0))),"")</f>
        <v>105</v>
      </c>
    </row>
    <row r="77" spans="1:22" ht="45" customHeight="1">
      <c r="A77" s="174"/>
      <c r="B77" s="173"/>
      <c r="C77" s="172"/>
      <c r="D77" s="168" t="s">
        <v>698</v>
      </c>
      <c r="E77" s="161" t="s">
        <v>694</v>
      </c>
      <c r="F77" s="167">
        <v>7.6970000000000001</v>
      </c>
      <c r="G77" s="161">
        <v>1400</v>
      </c>
      <c r="H77" s="161">
        <v>280</v>
      </c>
      <c r="I77" s="161" t="s">
        <v>246</v>
      </c>
      <c r="J77" s="166">
        <v>8765</v>
      </c>
      <c r="K77" s="166">
        <v>24405</v>
      </c>
      <c r="L77" s="161">
        <v>15530</v>
      </c>
      <c r="M77" s="165" t="s">
        <v>589</v>
      </c>
      <c r="N77" s="164">
        <v>4.25</v>
      </c>
      <c r="O77" s="23">
        <f>IF(N77&gt;0,1/N77*37.7*68.6,"")</f>
        <v>608.52235294117645</v>
      </c>
      <c r="P77" s="163">
        <v>4.04</v>
      </c>
      <c r="Q77" s="162" t="s">
        <v>588</v>
      </c>
      <c r="R77" s="161" t="s">
        <v>587</v>
      </c>
      <c r="S77" s="161" t="s">
        <v>696</v>
      </c>
      <c r="T77" s="160"/>
      <c r="U77" s="159"/>
      <c r="V77" s="158">
        <f>IFERROR(IF(N77&lt;P77,"",(ROUNDDOWN(N77/P77*100,0))),"")</f>
        <v>105</v>
      </c>
    </row>
    <row r="78" spans="1:22" ht="45" customHeight="1">
      <c r="A78" s="174"/>
      <c r="B78" s="173"/>
      <c r="C78" s="172"/>
      <c r="D78" s="168" t="s">
        <v>697</v>
      </c>
      <c r="E78" s="161" t="s">
        <v>681</v>
      </c>
      <c r="F78" s="167">
        <v>10.676</v>
      </c>
      <c r="G78" s="161">
        <v>2000</v>
      </c>
      <c r="H78" s="161">
        <v>265</v>
      </c>
      <c r="I78" s="161" t="s">
        <v>246</v>
      </c>
      <c r="J78" s="166">
        <v>8765</v>
      </c>
      <c r="K78" s="166">
        <v>24405</v>
      </c>
      <c r="L78" s="161">
        <v>15530</v>
      </c>
      <c r="M78" s="165" t="s">
        <v>589</v>
      </c>
      <c r="N78" s="164">
        <v>4.25</v>
      </c>
      <c r="O78" s="23">
        <f>IF(N78&gt;0,1/N78*37.7*68.6,"")</f>
        <v>608.52235294117645</v>
      </c>
      <c r="P78" s="163">
        <v>4.04</v>
      </c>
      <c r="Q78" s="162" t="s">
        <v>588</v>
      </c>
      <c r="R78" s="161" t="s">
        <v>587</v>
      </c>
      <c r="S78" s="161" t="s">
        <v>696</v>
      </c>
      <c r="T78" s="160"/>
      <c r="U78" s="159"/>
      <c r="V78" s="158">
        <f>IFERROR(IF(N78&lt;P78,"",(ROUNDDOWN(N78/P78*100,0))),"")</f>
        <v>105</v>
      </c>
    </row>
    <row r="79" spans="1:22" ht="45" customHeight="1">
      <c r="A79" s="174"/>
      <c r="B79" s="173"/>
      <c r="C79" s="172"/>
      <c r="D79" s="168" t="s">
        <v>697</v>
      </c>
      <c r="E79" s="161" t="s">
        <v>681</v>
      </c>
      <c r="F79" s="167">
        <v>10.676</v>
      </c>
      <c r="G79" s="161">
        <v>2000</v>
      </c>
      <c r="H79" s="161">
        <v>290</v>
      </c>
      <c r="I79" s="161" t="s">
        <v>246</v>
      </c>
      <c r="J79" s="166">
        <v>8765</v>
      </c>
      <c r="K79" s="166">
        <v>24405</v>
      </c>
      <c r="L79" s="161">
        <v>15530</v>
      </c>
      <c r="M79" s="165" t="s">
        <v>589</v>
      </c>
      <c r="N79" s="164">
        <v>4.25</v>
      </c>
      <c r="O79" s="23">
        <f>IF(N79&gt;0,1/N79*37.7*68.6,"")</f>
        <v>608.52235294117645</v>
      </c>
      <c r="P79" s="163">
        <v>4.04</v>
      </c>
      <c r="Q79" s="162" t="s">
        <v>588</v>
      </c>
      <c r="R79" s="161" t="s">
        <v>587</v>
      </c>
      <c r="S79" s="161" t="s">
        <v>696</v>
      </c>
      <c r="T79" s="160"/>
      <c r="U79" s="159"/>
      <c r="V79" s="158">
        <f>IFERROR(IF(N79&lt;P79,"",(ROUNDDOWN(N79/P79*100,0))),"")</f>
        <v>105</v>
      </c>
    </row>
    <row r="80" spans="1:22" ht="45" customHeight="1">
      <c r="A80" s="174"/>
      <c r="B80" s="173"/>
      <c r="C80" s="172"/>
      <c r="D80" s="168" t="s">
        <v>697</v>
      </c>
      <c r="E80" s="161" t="s">
        <v>681</v>
      </c>
      <c r="F80" s="167">
        <v>10.676</v>
      </c>
      <c r="G80" s="161">
        <v>2100</v>
      </c>
      <c r="H80" s="161">
        <v>315</v>
      </c>
      <c r="I80" s="161" t="s">
        <v>246</v>
      </c>
      <c r="J80" s="166">
        <v>8765</v>
      </c>
      <c r="K80" s="166">
        <v>24405</v>
      </c>
      <c r="L80" s="161">
        <v>15530</v>
      </c>
      <c r="M80" s="165" t="s">
        <v>589</v>
      </c>
      <c r="N80" s="164">
        <v>4.25</v>
      </c>
      <c r="O80" s="23">
        <f>IF(N80&gt;0,1/N80*37.7*68.6,"")</f>
        <v>608.52235294117645</v>
      </c>
      <c r="P80" s="163">
        <v>4.04</v>
      </c>
      <c r="Q80" s="162" t="s">
        <v>588</v>
      </c>
      <c r="R80" s="161" t="s">
        <v>587</v>
      </c>
      <c r="S80" s="161" t="s">
        <v>696</v>
      </c>
      <c r="T80" s="160"/>
      <c r="U80" s="159"/>
      <c r="V80" s="158">
        <f>IFERROR(IF(N80&lt;P80,"",(ROUNDDOWN(N80/P80*100,0))),"")</f>
        <v>105</v>
      </c>
    </row>
    <row r="81" spans="1:22" ht="45" customHeight="1">
      <c r="A81" s="174"/>
      <c r="B81" s="173"/>
      <c r="C81" s="172"/>
      <c r="D81" s="168" t="s">
        <v>695</v>
      </c>
      <c r="E81" s="161" t="s">
        <v>694</v>
      </c>
      <c r="F81" s="167">
        <v>7.6970000000000001</v>
      </c>
      <c r="G81" s="161">
        <v>1400</v>
      </c>
      <c r="H81" s="161">
        <v>280</v>
      </c>
      <c r="I81" s="161" t="s">
        <v>246</v>
      </c>
      <c r="J81" s="166">
        <v>10525</v>
      </c>
      <c r="K81" s="166">
        <v>34635</v>
      </c>
      <c r="L81" s="161">
        <v>24000</v>
      </c>
      <c r="M81" s="165" t="s">
        <v>680</v>
      </c>
      <c r="N81" s="164">
        <v>3.25</v>
      </c>
      <c r="O81" s="23">
        <f>IF(N81&gt;0,1/N81*37.7*68.6,"")</f>
        <v>795.76</v>
      </c>
      <c r="P81" s="163">
        <v>3.09</v>
      </c>
      <c r="Q81" s="162" t="s">
        <v>588</v>
      </c>
      <c r="R81" s="161" t="s">
        <v>587</v>
      </c>
      <c r="S81" s="161" t="s">
        <v>586</v>
      </c>
      <c r="T81" s="160"/>
      <c r="U81" s="159"/>
      <c r="V81" s="158">
        <f>IFERROR(IF(N81&lt;P81,"",(ROUNDDOWN(N81/P81*100,0))),"")</f>
        <v>105</v>
      </c>
    </row>
    <row r="82" spans="1:22" ht="45" customHeight="1">
      <c r="A82" s="174"/>
      <c r="B82" s="173"/>
      <c r="C82" s="172"/>
      <c r="D82" s="168" t="s">
        <v>693</v>
      </c>
      <c r="E82" s="161" t="s">
        <v>681</v>
      </c>
      <c r="F82" s="167">
        <v>10.676</v>
      </c>
      <c r="G82" s="161">
        <v>2000</v>
      </c>
      <c r="H82" s="161">
        <v>290</v>
      </c>
      <c r="I82" s="161" t="s">
        <v>246</v>
      </c>
      <c r="J82" s="166">
        <v>10525</v>
      </c>
      <c r="K82" s="166">
        <v>34635</v>
      </c>
      <c r="L82" s="161">
        <v>24000</v>
      </c>
      <c r="M82" s="165" t="s">
        <v>680</v>
      </c>
      <c r="N82" s="164">
        <v>3.35</v>
      </c>
      <c r="O82" s="23">
        <f>IF(N82&gt;0,1/N82*37.7*68.6,"")</f>
        <v>772.00597014925359</v>
      </c>
      <c r="P82" s="163">
        <v>3.09</v>
      </c>
      <c r="Q82" s="162" t="s">
        <v>588</v>
      </c>
      <c r="R82" s="161" t="s">
        <v>587</v>
      </c>
      <c r="S82" s="161" t="s">
        <v>586</v>
      </c>
      <c r="T82" s="160"/>
      <c r="U82" s="159"/>
      <c r="V82" s="158">
        <f>IFERROR(IF(N82&lt;P82,"",(ROUNDDOWN(N82/P82*100,0))),"")</f>
        <v>108</v>
      </c>
    </row>
    <row r="83" spans="1:22" ht="45" customHeight="1">
      <c r="A83" s="174"/>
      <c r="B83" s="173"/>
      <c r="C83" s="172"/>
      <c r="D83" s="168" t="s">
        <v>693</v>
      </c>
      <c r="E83" s="161" t="s">
        <v>681</v>
      </c>
      <c r="F83" s="167">
        <v>10.676</v>
      </c>
      <c r="G83" s="161">
        <v>2100</v>
      </c>
      <c r="H83" s="161">
        <v>315</v>
      </c>
      <c r="I83" s="161" t="s">
        <v>246</v>
      </c>
      <c r="J83" s="166">
        <v>10525</v>
      </c>
      <c r="K83" s="166">
        <v>34635</v>
      </c>
      <c r="L83" s="161">
        <v>24000</v>
      </c>
      <c r="M83" s="165" t="s">
        <v>680</v>
      </c>
      <c r="N83" s="164">
        <v>3.35</v>
      </c>
      <c r="O83" s="23">
        <f>IF(N83&gt;0,1/N83*37.7*68.6,"")</f>
        <v>772.00597014925359</v>
      </c>
      <c r="P83" s="163">
        <v>3.09</v>
      </c>
      <c r="Q83" s="162" t="s">
        <v>588</v>
      </c>
      <c r="R83" s="161" t="s">
        <v>587</v>
      </c>
      <c r="S83" s="161" t="s">
        <v>586</v>
      </c>
      <c r="T83" s="160"/>
      <c r="U83" s="159"/>
      <c r="V83" s="158">
        <f>IFERROR(IF(N83&lt;P83,"",(ROUNDDOWN(N83/P83*100,0))),"")</f>
        <v>108</v>
      </c>
    </row>
    <row r="84" spans="1:22" ht="45" customHeight="1">
      <c r="A84" s="174"/>
      <c r="B84" s="173"/>
      <c r="C84" s="172"/>
      <c r="D84" s="168" t="s">
        <v>693</v>
      </c>
      <c r="E84" s="161" t="s">
        <v>681</v>
      </c>
      <c r="F84" s="167">
        <v>10.676</v>
      </c>
      <c r="G84" s="161">
        <v>2200</v>
      </c>
      <c r="H84" s="161">
        <v>338</v>
      </c>
      <c r="I84" s="161" t="s">
        <v>246</v>
      </c>
      <c r="J84" s="166">
        <v>10525</v>
      </c>
      <c r="K84" s="166">
        <v>34635</v>
      </c>
      <c r="L84" s="161">
        <v>24000</v>
      </c>
      <c r="M84" s="165" t="s">
        <v>680</v>
      </c>
      <c r="N84" s="164">
        <v>3.35</v>
      </c>
      <c r="O84" s="23">
        <f>IF(N84&gt;0,1/N84*37.7*68.6,"")</f>
        <v>772.00597014925359</v>
      </c>
      <c r="P84" s="163">
        <v>3.09</v>
      </c>
      <c r="Q84" s="162" t="s">
        <v>588</v>
      </c>
      <c r="R84" s="161" t="s">
        <v>587</v>
      </c>
      <c r="S84" s="161" t="s">
        <v>586</v>
      </c>
      <c r="T84" s="160"/>
      <c r="U84" s="159"/>
      <c r="V84" s="158">
        <f>IFERROR(IF(N84&lt;P84,"",(ROUNDDOWN(N84/P84*100,0))),"")</f>
        <v>108</v>
      </c>
    </row>
    <row r="85" spans="1:22" ht="45" customHeight="1">
      <c r="A85" s="174"/>
      <c r="B85" s="173"/>
      <c r="C85" s="172"/>
      <c r="D85" s="168" t="s">
        <v>692</v>
      </c>
      <c r="E85" s="161" t="s">
        <v>681</v>
      </c>
      <c r="F85" s="167">
        <v>10.676</v>
      </c>
      <c r="G85" s="161">
        <v>2100</v>
      </c>
      <c r="H85" s="161">
        <v>315</v>
      </c>
      <c r="I85" s="161" t="s">
        <v>246</v>
      </c>
      <c r="J85" s="166">
        <v>10525</v>
      </c>
      <c r="K85" s="166">
        <v>34635</v>
      </c>
      <c r="L85" s="161">
        <v>24000</v>
      </c>
      <c r="M85" s="165" t="s">
        <v>680</v>
      </c>
      <c r="N85" s="164">
        <v>3.4</v>
      </c>
      <c r="O85" s="23">
        <f>IF(N85&gt;0,1/N85*37.7*68.6,"")</f>
        <v>760.65294117647068</v>
      </c>
      <c r="P85" s="163">
        <v>3.09</v>
      </c>
      <c r="Q85" s="162" t="s">
        <v>588</v>
      </c>
      <c r="R85" s="161" t="s">
        <v>587</v>
      </c>
      <c r="S85" s="161" t="s">
        <v>586</v>
      </c>
      <c r="T85" s="160"/>
      <c r="U85" s="159"/>
      <c r="V85" s="158">
        <f>IFERROR(IF(N85&lt;P85,"",(ROUNDDOWN(N85/P85*100,0))),"")</f>
        <v>110</v>
      </c>
    </row>
    <row r="86" spans="1:22" ht="45" customHeight="1">
      <c r="A86" s="174"/>
      <c r="B86" s="173"/>
      <c r="C86" s="172"/>
      <c r="D86" s="168" t="s">
        <v>692</v>
      </c>
      <c r="E86" s="161" t="s">
        <v>681</v>
      </c>
      <c r="F86" s="167">
        <v>10.676</v>
      </c>
      <c r="G86" s="161">
        <v>2200</v>
      </c>
      <c r="H86" s="161">
        <v>338</v>
      </c>
      <c r="I86" s="161" t="s">
        <v>246</v>
      </c>
      <c r="J86" s="166">
        <v>10525</v>
      </c>
      <c r="K86" s="166">
        <v>34635</v>
      </c>
      <c r="L86" s="161">
        <v>24000</v>
      </c>
      <c r="M86" s="165" t="s">
        <v>680</v>
      </c>
      <c r="N86" s="164">
        <v>3.4</v>
      </c>
      <c r="O86" s="23">
        <f>IF(N86&gt;0,1/N86*37.7*68.6,"")</f>
        <v>760.65294117647068</v>
      </c>
      <c r="P86" s="163">
        <v>3.09</v>
      </c>
      <c r="Q86" s="162" t="s">
        <v>588</v>
      </c>
      <c r="R86" s="161" t="s">
        <v>587</v>
      </c>
      <c r="S86" s="161" t="s">
        <v>586</v>
      </c>
      <c r="T86" s="160"/>
      <c r="U86" s="159"/>
      <c r="V86" s="158">
        <f>IFERROR(IF(N86&lt;P86,"",(ROUNDDOWN(N86/P86*100,0))),"")</f>
        <v>110</v>
      </c>
    </row>
    <row r="87" spans="1:22" ht="45" customHeight="1">
      <c r="A87" s="174"/>
      <c r="B87" s="173"/>
      <c r="C87" s="172"/>
      <c r="D87" s="168" t="s">
        <v>691</v>
      </c>
      <c r="E87" s="161" t="s">
        <v>681</v>
      </c>
      <c r="F87" s="167">
        <v>10.676</v>
      </c>
      <c r="G87" s="161">
        <v>2000</v>
      </c>
      <c r="H87" s="161">
        <v>290</v>
      </c>
      <c r="I87" s="161" t="s">
        <v>246</v>
      </c>
      <c r="J87" s="166">
        <v>10525</v>
      </c>
      <c r="K87" s="166">
        <v>34635</v>
      </c>
      <c r="L87" s="161">
        <v>24000</v>
      </c>
      <c r="M87" s="165" t="s">
        <v>680</v>
      </c>
      <c r="N87" s="164">
        <v>3.35</v>
      </c>
      <c r="O87" s="23">
        <f>IF(N87&gt;0,1/N87*37.7*68.6,"")</f>
        <v>772.00597014925359</v>
      </c>
      <c r="P87" s="163">
        <v>3.09</v>
      </c>
      <c r="Q87" s="162" t="s">
        <v>588</v>
      </c>
      <c r="R87" s="161" t="s">
        <v>587</v>
      </c>
      <c r="S87" s="161" t="s">
        <v>586</v>
      </c>
      <c r="T87" s="160"/>
      <c r="U87" s="159"/>
      <c r="V87" s="158">
        <f>IFERROR(IF(N87&lt;P87,"",(ROUNDDOWN(N87/P87*100,0))),"")</f>
        <v>108</v>
      </c>
    </row>
    <row r="88" spans="1:22" ht="45" customHeight="1">
      <c r="A88" s="174"/>
      <c r="B88" s="173"/>
      <c r="C88" s="172"/>
      <c r="D88" s="168" t="s">
        <v>691</v>
      </c>
      <c r="E88" s="161" t="s">
        <v>681</v>
      </c>
      <c r="F88" s="167">
        <v>10.676</v>
      </c>
      <c r="G88" s="161">
        <v>2100</v>
      </c>
      <c r="H88" s="161">
        <v>315</v>
      </c>
      <c r="I88" s="161" t="s">
        <v>246</v>
      </c>
      <c r="J88" s="166">
        <v>10525</v>
      </c>
      <c r="K88" s="166">
        <v>34635</v>
      </c>
      <c r="L88" s="161">
        <v>24000</v>
      </c>
      <c r="M88" s="165" t="s">
        <v>680</v>
      </c>
      <c r="N88" s="164">
        <v>3.35</v>
      </c>
      <c r="O88" s="23">
        <f>IF(N88&gt;0,1/N88*37.7*68.6,"")</f>
        <v>772.00597014925359</v>
      </c>
      <c r="P88" s="163">
        <v>3.09</v>
      </c>
      <c r="Q88" s="162" t="s">
        <v>588</v>
      </c>
      <c r="R88" s="161" t="s">
        <v>587</v>
      </c>
      <c r="S88" s="161" t="s">
        <v>586</v>
      </c>
      <c r="T88" s="160"/>
      <c r="U88" s="159"/>
      <c r="V88" s="158">
        <f>IFERROR(IF(N88&lt;P88,"",(ROUNDDOWN(N88/P88*100,0))),"")</f>
        <v>108</v>
      </c>
    </row>
    <row r="89" spans="1:22" ht="45" customHeight="1">
      <c r="A89" s="174"/>
      <c r="B89" s="173"/>
      <c r="C89" s="172"/>
      <c r="D89" s="168" t="s">
        <v>691</v>
      </c>
      <c r="E89" s="161" t="s">
        <v>681</v>
      </c>
      <c r="F89" s="167">
        <v>10.676</v>
      </c>
      <c r="G89" s="161">
        <v>2200</v>
      </c>
      <c r="H89" s="161">
        <v>338</v>
      </c>
      <c r="I89" s="161" t="s">
        <v>246</v>
      </c>
      <c r="J89" s="166">
        <v>10525</v>
      </c>
      <c r="K89" s="166">
        <v>34635</v>
      </c>
      <c r="L89" s="161">
        <v>24000</v>
      </c>
      <c r="M89" s="165" t="s">
        <v>680</v>
      </c>
      <c r="N89" s="164">
        <v>3.35</v>
      </c>
      <c r="O89" s="23">
        <f>IF(N89&gt;0,1/N89*37.7*68.6,"")</f>
        <v>772.00597014925359</v>
      </c>
      <c r="P89" s="163">
        <v>3.09</v>
      </c>
      <c r="Q89" s="162" t="s">
        <v>588</v>
      </c>
      <c r="R89" s="161" t="s">
        <v>587</v>
      </c>
      <c r="S89" s="161" t="s">
        <v>586</v>
      </c>
      <c r="T89" s="160"/>
      <c r="U89" s="159"/>
      <c r="V89" s="158">
        <f>IFERROR(IF(N89&lt;P89,"",(ROUNDDOWN(N89/P89*100,0))),"")</f>
        <v>108</v>
      </c>
    </row>
    <row r="90" spans="1:22" ht="45" customHeight="1">
      <c r="A90" s="174"/>
      <c r="B90" s="173"/>
      <c r="C90" s="172"/>
      <c r="D90" s="168" t="s">
        <v>690</v>
      </c>
      <c r="E90" s="161" t="s">
        <v>681</v>
      </c>
      <c r="F90" s="167">
        <v>10.676</v>
      </c>
      <c r="G90" s="161">
        <v>2100</v>
      </c>
      <c r="H90" s="161">
        <v>315</v>
      </c>
      <c r="I90" s="161" t="s">
        <v>246</v>
      </c>
      <c r="J90" s="166">
        <v>10525</v>
      </c>
      <c r="K90" s="166">
        <v>34635</v>
      </c>
      <c r="L90" s="161">
        <v>24000</v>
      </c>
      <c r="M90" s="165" t="s">
        <v>680</v>
      </c>
      <c r="N90" s="164">
        <v>3.4</v>
      </c>
      <c r="O90" s="23">
        <f>IF(N90&gt;0,1/N90*37.7*68.6,"")</f>
        <v>760.65294117647068</v>
      </c>
      <c r="P90" s="163">
        <v>3.09</v>
      </c>
      <c r="Q90" s="162" t="s">
        <v>588</v>
      </c>
      <c r="R90" s="161" t="s">
        <v>587</v>
      </c>
      <c r="S90" s="161" t="s">
        <v>586</v>
      </c>
      <c r="T90" s="160"/>
      <c r="U90" s="159"/>
      <c r="V90" s="158">
        <f>IFERROR(IF(N90&lt;P90,"",(ROUNDDOWN(N90/P90*100,0))),"")</f>
        <v>110</v>
      </c>
    </row>
    <row r="91" spans="1:22" ht="45" customHeight="1">
      <c r="A91" s="174"/>
      <c r="B91" s="173"/>
      <c r="C91" s="172"/>
      <c r="D91" s="168" t="s">
        <v>690</v>
      </c>
      <c r="E91" s="161" t="s">
        <v>681</v>
      </c>
      <c r="F91" s="167">
        <v>10.676</v>
      </c>
      <c r="G91" s="161">
        <v>2200</v>
      </c>
      <c r="H91" s="161">
        <v>338</v>
      </c>
      <c r="I91" s="161" t="s">
        <v>246</v>
      </c>
      <c r="J91" s="166">
        <v>10525</v>
      </c>
      <c r="K91" s="166">
        <v>34635</v>
      </c>
      <c r="L91" s="161">
        <v>24000</v>
      </c>
      <c r="M91" s="165" t="s">
        <v>680</v>
      </c>
      <c r="N91" s="164">
        <v>3.4</v>
      </c>
      <c r="O91" s="23">
        <f>IF(N91&gt;0,1/N91*37.7*68.6,"")</f>
        <v>760.65294117647068</v>
      </c>
      <c r="P91" s="163">
        <v>3.09</v>
      </c>
      <c r="Q91" s="162" t="s">
        <v>588</v>
      </c>
      <c r="R91" s="161" t="s">
        <v>587</v>
      </c>
      <c r="S91" s="161" t="s">
        <v>586</v>
      </c>
      <c r="T91" s="160"/>
      <c r="U91" s="159"/>
      <c r="V91" s="158">
        <f>IFERROR(IF(N91&lt;P91,"",(ROUNDDOWN(N91/P91*100,0))),"")</f>
        <v>110</v>
      </c>
    </row>
    <row r="92" spans="1:22" ht="45" customHeight="1">
      <c r="A92" s="174"/>
      <c r="B92" s="173"/>
      <c r="C92" s="172"/>
      <c r="D92" s="168" t="s">
        <v>689</v>
      </c>
      <c r="E92" s="161" t="s">
        <v>681</v>
      </c>
      <c r="F92" s="167">
        <v>10.676</v>
      </c>
      <c r="G92" s="161">
        <v>2000</v>
      </c>
      <c r="H92" s="161">
        <v>290</v>
      </c>
      <c r="I92" s="161" t="s">
        <v>246</v>
      </c>
      <c r="J92" s="166">
        <v>10525</v>
      </c>
      <c r="K92" s="166">
        <v>34635</v>
      </c>
      <c r="L92" s="161">
        <v>24000</v>
      </c>
      <c r="M92" s="165" t="s">
        <v>680</v>
      </c>
      <c r="N92" s="164">
        <v>3.35</v>
      </c>
      <c r="O92" s="23">
        <f>IF(N92&gt;0,1/N92*37.7*68.6,"")</f>
        <v>772.00597014925359</v>
      </c>
      <c r="P92" s="163">
        <v>3.09</v>
      </c>
      <c r="Q92" s="162" t="s">
        <v>588</v>
      </c>
      <c r="R92" s="161" t="s">
        <v>587</v>
      </c>
      <c r="S92" s="161" t="s">
        <v>586</v>
      </c>
      <c r="T92" s="160"/>
      <c r="U92" s="159"/>
      <c r="V92" s="158">
        <f>IFERROR(IF(N92&lt;P92,"",(ROUNDDOWN(N92/P92*100,0))),"")</f>
        <v>108</v>
      </c>
    </row>
    <row r="93" spans="1:22" ht="45" customHeight="1">
      <c r="A93" s="174"/>
      <c r="B93" s="173"/>
      <c r="C93" s="172"/>
      <c r="D93" s="168" t="s">
        <v>689</v>
      </c>
      <c r="E93" s="161" t="s">
        <v>681</v>
      </c>
      <c r="F93" s="167">
        <v>10.676</v>
      </c>
      <c r="G93" s="161">
        <v>2100</v>
      </c>
      <c r="H93" s="161">
        <v>315</v>
      </c>
      <c r="I93" s="161" t="s">
        <v>246</v>
      </c>
      <c r="J93" s="166">
        <v>10525</v>
      </c>
      <c r="K93" s="166">
        <v>34635</v>
      </c>
      <c r="L93" s="161">
        <v>24000</v>
      </c>
      <c r="M93" s="165" t="s">
        <v>680</v>
      </c>
      <c r="N93" s="164">
        <v>3.35</v>
      </c>
      <c r="O93" s="23">
        <f>IF(N93&gt;0,1/N93*37.7*68.6,"")</f>
        <v>772.00597014925359</v>
      </c>
      <c r="P93" s="163">
        <v>3.09</v>
      </c>
      <c r="Q93" s="162" t="s">
        <v>588</v>
      </c>
      <c r="R93" s="161" t="s">
        <v>587</v>
      </c>
      <c r="S93" s="161" t="s">
        <v>586</v>
      </c>
      <c r="T93" s="160"/>
      <c r="U93" s="159"/>
      <c r="V93" s="158">
        <f>IFERROR(IF(N93&lt;P93,"",(ROUNDDOWN(N93/P93*100,0))),"")</f>
        <v>108</v>
      </c>
    </row>
    <row r="94" spans="1:22" ht="45" customHeight="1">
      <c r="A94" s="174"/>
      <c r="B94" s="173"/>
      <c r="C94" s="172"/>
      <c r="D94" s="168" t="s">
        <v>689</v>
      </c>
      <c r="E94" s="161" t="s">
        <v>681</v>
      </c>
      <c r="F94" s="167">
        <v>10.676</v>
      </c>
      <c r="G94" s="161">
        <v>2200</v>
      </c>
      <c r="H94" s="161">
        <v>338</v>
      </c>
      <c r="I94" s="161" t="s">
        <v>246</v>
      </c>
      <c r="J94" s="166">
        <v>10525</v>
      </c>
      <c r="K94" s="166">
        <v>34635</v>
      </c>
      <c r="L94" s="161">
        <v>24000</v>
      </c>
      <c r="M94" s="165" t="s">
        <v>680</v>
      </c>
      <c r="N94" s="164">
        <v>3.35</v>
      </c>
      <c r="O94" s="23">
        <f>IF(N94&gt;0,1/N94*37.7*68.6,"")</f>
        <v>772.00597014925359</v>
      </c>
      <c r="P94" s="163">
        <v>3.09</v>
      </c>
      <c r="Q94" s="162" t="s">
        <v>588</v>
      </c>
      <c r="R94" s="161" t="s">
        <v>587</v>
      </c>
      <c r="S94" s="161" t="s">
        <v>586</v>
      </c>
      <c r="T94" s="160"/>
      <c r="U94" s="159"/>
      <c r="V94" s="158">
        <f>IFERROR(IF(N94&lt;P94,"",(ROUNDDOWN(N94/P94*100,0))),"")</f>
        <v>108</v>
      </c>
    </row>
    <row r="95" spans="1:22" ht="45" customHeight="1">
      <c r="A95" s="174"/>
      <c r="B95" s="173"/>
      <c r="C95" s="172"/>
      <c r="D95" s="168" t="s">
        <v>688</v>
      </c>
      <c r="E95" s="161" t="s">
        <v>681</v>
      </c>
      <c r="F95" s="167">
        <v>10.676</v>
      </c>
      <c r="G95" s="161">
        <v>2100</v>
      </c>
      <c r="H95" s="161">
        <v>315</v>
      </c>
      <c r="I95" s="161" t="s">
        <v>246</v>
      </c>
      <c r="J95" s="166">
        <v>10525</v>
      </c>
      <c r="K95" s="166">
        <v>34635</v>
      </c>
      <c r="L95" s="161">
        <v>24000</v>
      </c>
      <c r="M95" s="165" t="s">
        <v>680</v>
      </c>
      <c r="N95" s="164">
        <v>3.4</v>
      </c>
      <c r="O95" s="23">
        <f>IF(N95&gt;0,1/N95*37.7*68.6,"")</f>
        <v>760.65294117647068</v>
      </c>
      <c r="P95" s="163">
        <v>3.09</v>
      </c>
      <c r="Q95" s="162" t="s">
        <v>588</v>
      </c>
      <c r="R95" s="161" t="s">
        <v>587</v>
      </c>
      <c r="S95" s="161" t="s">
        <v>586</v>
      </c>
      <c r="T95" s="160"/>
      <c r="U95" s="159"/>
      <c r="V95" s="158">
        <f>IFERROR(IF(N95&lt;P95,"",(ROUNDDOWN(N95/P95*100,0))),"")</f>
        <v>110</v>
      </c>
    </row>
    <row r="96" spans="1:22" ht="45" customHeight="1">
      <c r="A96" s="174"/>
      <c r="B96" s="173"/>
      <c r="C96" s="172"/>
      <c r="D96" s="168" t="s">
        <v>688</v>
      </c>
      <c r="E96" s="161" t="s">
        <v>681</v>
      </c>
      <c r="F96" s="167">
        <v>10.676</v>
      </c>
      <c r="G96" s="161">
        <v>2200</v>
      </c>
      <c r="H96" s="161">
        <v>338</v>
      </c>
      <c r="I96" s="161" t="s">
        <v>246</v>
      </c>
      <c r="J96" s="166">
        <v>10525</v>
      </c>
      <c r="K96" s="166">
        <v>34635</v>
      </c>
      <c r="L96" s="161">
        <v>24000</v>
      </c>
      <c r="M96" s="165" t="s">
        <v>680</v>
      </c>
      <c r="N96" s="164">
        <v>3.4</v>
      </c>
      <c r="O96" s="23">
        <f>IF(N96&gt;0,1/N96*37.7*68.6,"")</f>
        <v>760.65294117647068</v>
      </c>
      <c r="P96" s="163">
        <v>3.09</v>
      </c>
      <c r="Q96" s="162" t="s">
        <v>588</v>
      </c>
      <c r="R96" s="161" t="s">
        <v>587</v>
      </c>
      <c r="S96" s="161" t="s">
        <v>586</v>
      </c>
      <c r="T96" s="160"/>
      <c r="U96" s="159"/>
      <c r="V96" s="158">
        <f>IFERROR(IF(N96&lt;P96,"",(ROUNDDOWN(N96/P96*100,0))),"")</f>
        <v>110</v>
      </c>
    </row>
    <row r="97" spans="1:22" ht="45" customHeight="1">
      <c r="A97" s="174"/>
      <c r="B97" s="173"/>
      <c r="C97" s="172"/>
      <c r="D97" s="168" t="s">
        <v>687</v>
      </c>
      <c r="E97" s="161" t="s">
        <v>681</v>
      </c>
      <c r="F97" s="167">
        <v>10.676</v>
      </c>
      <c r="G97" s="161">
        <v>2200</v>
      </c>
      <c r="H97" s="161">
        <v>338</v>
      </c>
      <c r="I97" s="161" t="s">
        <v>246</v>
      </c>
      <c r="J97" s="166">
        <v>19028</v>
      </c>
      <c r="K97" s="166">
        <v>59138</v>
      </c>
      <c r="L97" s="161">
        <v>40000</v>
      </c>
      <c r="M97" s="165" t="s">
        <v>680</v>
      </c>
      <c r="N97" s="164">
        <v>2.0499999999999998</v>
      </c>
      <c r="O97" s="23">
        <f>IF(N97&gt;0,1/N97*37.7*68.6,"")</f>
        <v>1261.5707317073172</v>
      </c>
      <c r="P97" s="163">
        <v>2.0099999999999998</v>
      </c>
      <c r="Q97" s="162" t="s">
        <v>588</v>
      </c>
      <c r="R97" s="161" t="s">
        <v>587</v>
      </c>
      <c r="S97" s="161" t="s">
        <v>665</v>
      </c>
      <c r="T97" s="160"/>
      <c r="U97" s="159"/>
      <c r="V97" s="158">
        <f>IFERROR(IF(N97&lt;P97,"",(ROUNDDOWN(N97/P97*100,0))),"")</f>
        <v>101</v>
      </c>
    </row>
    <row r="98" spans="1:22" ht="45" customHeight="1">
      <c r="A98" s="174"/>
      <c r="B98" s="173"/>
      <c r="C98" s="172"/>
      <c r="D98" s="168" t="s">
        <v>686</v>
      </c>
      <c r="E98" s="161" t="s">
        <v>681</v>
      </c>
      <c r="F98" s="167">
        <v>10.676</v>
      </c>
      <c r="G98" s="161">
        <v>2200</v>
      </c>
      <c r="H98" s="161">
        <v>338</v>
      </c>
      <c r="I98" s="161" t="s">
        <v>246</v>
      </c>
      <c r="J98" s="166">
        <v>19028</v>
      </c>
      <c r="K98" s="166">
        <v>59138</v>
      </c>
      <c r="L98" s="161">
        <v>40000</v>
      </c>
      <c r="M98" s="165" t="s">
        <v>680</v>
      </c>
      <c r="N98" s="164">
        <v>2.0499999999999998</v>
      </c>
      <c r="O98" s="23">
        <f>IF(N98&gt;0,1/N98*37.7*68.6,"")</f>
        <v>1261.5707317073172</v>
      </c>
      <c r="P98" s="163">
        <v>2.0099999999999998</v>
      </c>
      <c r="Q98" s="162" t="s">
        <v>588</v>
      </c>
      <c r="R98" s="161" t="s">
        <v>587</v>
      </c>
      <c r="S98" s="161" t="s">
        <v>665</v>
      </c>
      <c r="T98" s="160"/>
      <c r="U98" s="159"/>
      <c r="V98" s="158">
        <f>IFERROR(IF(N98&lt;P98,"",(ROUNDDOWN(N98/P98*100,0))),"")</f>
        <v>101</v>
      </c>
    </row>
    <row r="99" spans="1:22" ht="45" customHeight="1">
      <c r="A99" s="174"/>
      <c r="B99" s="173"/>
      <c r="C99" s="172"/>
      <c r="D99" s="168" t="s">
        <v>685</v>
      </c>
      <c r="E99" s="161" t="s">
        <v>681</v>
      </c>
      <c r="F99" s="167">
        <v>10.676</v>
      </c>
      <c r="G99" s="161">
        <v>2200</v>
      </c>
      <c r="H99" s="161">
        <v>338</v>
      </c>
      <c r="I99" s="161" t="s">
        <v>246</v>
      </c>
      <c r="J99" s="166">
        <v>10525</v>
      </c>
      <c r="K99" s="166">
        <v>34635</v>
      </c>
      <c r="L99" s="161">
        <v>24000</v>
      </c>
      <c r="M99" s="165" t="s">
        <v>680</v>
      </c>
      <c r="N99" s="164">
        <v>3.35</v>
      </c>
      <c r="O99" s="23">
        <f>IF(N99&gt;0,1/N99*37.7*68.6,"")</f>
        <v>772.00597014925359</v>
      </c>
      <c r="P99" s="163">
        <v>3.09</v>
      </c>
      <c r="Q99" s="162" t="s">
        <v>588</v>
      </c>
      <c r="R99" s="161" t="s">
        <v>587</v>
      </c>
      <c r="S99" s="161" t="s">
        <v>665</v>
      </c>
      <c r="T99" s="160"/>
      <c r="U99" s="159"/>
      <c r="V99" s="158">
        <f>IFERROR(IF(N99&lt;P99,"",(ROUNDDOWN(N99/P99*100,0))),"")</f>
        <v>108</v>
      </c>
    </row>
    <row r="100" spans="1:22" ht="45" customHeight="1">
      <c r="A100" s="174"/>
      <c r="B100" s="173"/>
      <c r="C100" s="172"/>
      <c r="D100" s="168" t="s">
        <v>685</v>
      </c>
      <c r="E100" s="161" t="s">
        <v>681</v>
      </c>
      <c r="F100" s="167">
        <v>10.676</v>
      </c>
      <c r="G100" s="161">
        <v>2200</v>
      </c>
      <c r="H100" s="161">
        <v>338</v>
      </c>
      <c r="I100" s="161" t="s">
        <v>246</v>
      </c>
      <c r="J100" s="166">
        <v>10525</v>
      </c>
      <c r="K100" s="166">
        <v>34635</v>
      </c>
      <c r="L100" s="161">
        <v>24000</v>
      </c>
      <c r="M100" s="165" t="s">
        <v>680</v>
      </c>
      <c r="N100" s="164">
        <v>3.25</v>
      </c>
      <c r="O100" s="23">
        <f>IF(N100&gt;0,1/N100*37.7*68.6,"")</f>
        <v>795.76</v>
      </c>
      <c r="P100" s="163">
        <v>3.09</v>
      </c>
      <c r="Q100" s="162" t="s">
        <v>588</v>
      </c>
      <c r="R100" s="161" t="s">
        <v>587</v>
      </c>
      <c r="S100" s="161" t="s">
        <v>665</v>
      </c>
      <c r="T100" s="160"/>
      <c r="U100" s="159"/>
      <c r="V100" s="158">
        <f>IFERROR(IF(N100&lt;P100,"",(ROUNDDOWN(N100/P100*100,0))),"")</f>
        <v>105</v>
      </c>
    </row>
    <row r="101" spans="1:22" ht="45" customHeight="1">
      <c r="A101" s="174"/>
      <c r="B101" s="173"/>
      <c r="C101" s="172"/>
      <c r="D101" s="168" t="s">
        <v>684</v>
      </c>
      <c r="E101" s="161" t="s">
        <v>681</v>
      </c>
      <c r="F101" s="167">
        <v>10.676</v>
      </c>
      <c r="G101" s="161">
        <v>2200</v>
      </c>
      <c r="H101" s="161">
        <v>338</v>
      </c>
      <c r="I101" s="161" t="s">
        <v>246</v>
      </c>
      <c r="J101" s="166">
        <v>10525</v>
      </c>
      <c r="K101" s="166">
        <v>34635</v>
      </c>
      <c r="L101" s="161">
        <v>24000</v>
      </c>
      <c r="M101" s="165" t="s">
        <v>680</v>
      </c>
      <c r="N101" s="164">
        <v>3.4</v>
      </c>
      <c r="O101" s="23">
        <f>IF(N101&gt;0,1/N101*37.7*68.6,"")</f>
        <v>760.65294117647068</v>
      </c>
      <c r="P101" s="163">
        <v>3.09</v>
      </c>
      <c r="Q101" s="162" t="s">
        <v>588</v>
      </c>
      <c r="R101" s="161" t="s">
        <v>587</v>
      </c>
      <c r="S101" s="161" t="s">
        <v>665</v>
      </c>
      <c r="T101" s="160"/>
      <c r="U101" s="159"/>
      <c r="V101" s="158">
        <f>IFERROR(IF(N101&lt;P101,"",(ROUNDDOWN(N101/P101*100,0))),"")</f>
        <v>110</v>
      </c>
    </row>
    <row r="102" spans="1:22" ht="45" customHeight="1">
      <c r="A102" s="174"/>
      <c r="B102" s="173"/>
      <c r="C102" s="172"/>
      <c r="D102" s="168" t="s">
        <v>683</v>
      </c>
      <c r="E102" s="161" t="s">
        <v>681</v>
      </c>
      <c r="F102" s="167">
        <v>10.676</v>
      </c>
      <c r="G102" s="161">
        <v>2200</v>
      </c>
      <c r="H102" s="161">
        <v>338</v>
      </c>
      <c r="I102" s="161" t="s">
        <v>246</v>
      </c>
      <c r="J102" s="166">
        <v>19028</v>
      </c>
      <c r="K102" s="166">
        <v>59138</v>
      </c>
      <c r="L102" s="161">
        <v>40000</v>
      </c>
      <c r="M102" s="165" t="s">
        <v>680</v>
      </c>
      <c r="N102" s="164">
        <v>2.0499999999999998</v>
      </c>
      <c r="O102" s="23">
        <f>IF(N102&gt;0,1/N102*37.7*68.6,"")</f>
        <v>1261.5707317073172</v>
      </c>
      <c r="P102" s="163">
        <v>2.0099999999999998</v>
      </c>
      <c r="Q102" s="162" t="s">
        <v>588</v>
      </c>
      <c r="R102" s="161" t="s">
        <v>587</v>
      </c>
      <c r="S102" s="161" t="s">
        <v>665</v>
      </c>
      <c r="T102" s="160"/>
      <c r="U102" s="159"/>
      <c r="V102" s="158">
        <f>IFERROR(IF(N102&lt;P102,"",(ROUNDDOWN(N102/P102*100,0))),"")</f>
        <v>101</v>
      </c>
    </row>
    <row r="103" spans="1:22" ht="45" customHeight="1">
      <c r="A103" s="171"/>
      <c r="B103" s="170"/>
      <c r="C103" s="169"/>
      <c r="D103" s="168" t="s">
        <v>682</v>
      </c>
      <c r="E103" s="161" t="s">
        <v>681</v>
      </c>
      <c r="F103" s="167">
        <v>10.676</v>
      </c>
      <c r="G103" s="161">
        <v>2200</v>
      </c>
      <c r="H103" s="161">
        <v>338</v>
      </c>
      <c r="I103" s="161" t="s">
        <v>246</v>
      </c>
      <c r="J103" s="166">
        <v>19028</v>
      </c>
      <c r="K103" s="166">
        <v>59138</v>
      </c>
      <c r="L103" s="161">
        <v>40000</v>
      </c>
      <c r="M103" s="165" t="s">
        <v>680</v>
      </c>
      <c r="N103" s="164">
        <v>2.0499999999999998</v>
      </c>
      <c r="O103" s="23">
        <f>IF(N103&gt;0,1/N103*37.7*68.6,"")</f>
        <v>1261.5707317073172</v>
      </c>
      <c r="P103" s="163">
        <v>2.0099999999999998</v>
      </c>
      <c r="Q103" s="162" t="s">
        <v>588</v>
      </c>
      <c r="R103" s="161" t="s">
        <v>587</v>
      </c>
      <c r="S103" s="161" t="s">
        <v>665</v>
      </c>
      <c r="T103" s="160"/>
      <c r="U103" s="159"/>
      <c r="V103" s="158">
        <f>IFERROR(IF(N103&lt;P103,"",(ROUNDDOWN(N103/P103*100,0))),"")</f>
        <v>101</v>
      </c>
    </row>
    <row r="104" spans="1:22" ht="45" customHeight="1">
      <c r="A104" s="178"/>
      <c r="B104" s="176"/>
      <c r="C104" s="177" t="s">
        <v>679</v>
      </c>
      <c r="D104" s="168" t="s">
        <v>678</v>
      </c>
      <c r="E104" s="161" t="s">
        <v>643</v>
      </c>
      <c r="F104" s="167">
        <v>7.5449999999999999</v>
      </c>
      <c r="G104" s="161">
        <v>745</v>
      </c>
      <c r="H104" s="161">
        <v>162</v>
      </c>
      <c r="I104" s="161" t="s">
        <v>71</v>
      </c>
      <c r="J104" s="166">
        <v>3543</v>
      </c>
      <c r="K104" s="166">
        <v>7928</v>
      </c>
      <c r="L104" s="161">
        <v>4275</v>
      </c>
      <c r="M104" s="165" t="s">
        <v>589</v>
      </c>
      <c r="N104" s="164">
        <v>7.3</v>
      </c>
      <c r="O104" s="23">
        <f>IF(N104&gt;0,1/N104*37.7*68.6,"")</f>
        <v>354.27671232876708</v>
      </c>
      <c r="P104" s="163">
        <v>7.24</v>
      </c>
      <c r="Q104" s="162" t="s">
        <v>588</v>
      </c>
      <c r="R104" s="161" t="s">
        <v>587</v>
      </c>
      <c r="S104" s="161" t="s">
        <v>586</v>
      </c>
      <c r="T104" s="160"/>
      <c r="U104" s="159"/>
      <c r="V104" s="158">
        <f>IFERROR(IF(N104&lt;P104,"",(ROUNDDOWN(N104/P104*100,0))),"")</f>
        <v>100</v>
      </c>
    </row>
    <row r="105" spans="1:22" ht="45" customHeight="1">
      <c r="A105" s="174"/>
      <c r="B105" s="173"/>
      <c r="C105" s="172"/>
      <c r="D105" s="168" t="s">
        <v>678</v>
      </c>
      <c r="E105" s="161" t="s">
        <v>643</v>
      </c>
      <c r="F105" s="167">
        <v>7.5449999999999999</v>
      </c>
      <c r="G105" s="161">
        <v>745</v>
      </c>
      <c r="H105" s="161">
        <v>162</v>
      </c>
      <c r="I105" s="161" t="s">
        <v>71</v>
      </c>
      <c r="J105" s="166">
        <v>3543</v>
      </c>
      <c r="K105" s="166">
        <v>7928</v>
      </c>
      <c r="L105" s="161">
        <v>4275</v>
      </c>
      <c r="M105" s="165" t="s">
        <v>589</v>
      </c>
      <c r="N105" s="164">
        <v>7.3</v>
      </c>
      <c r="O105" s="23">
        <f>IF(N105&gt;0,1/N105*37.7*68.6,"")</f>
        <v>354.27671232876708</v>
      </c>
      <c r="P105" s="163">
        <v>7.24</v>
      </c>
      <c r="Q105" s="162" t="s">
        <v>593</v>
      </c>
      <c r="R105" s="161" t="s">
        <v>587</v>
      </c>
      <c r="S105" s="161" t="s">
        <v>586</v>
      </c>
      <c r="T105" s="160"/>
      <c r="U105" s="159"/>
      <c r="V105" s="158">
        <f>IFERROR(IF(N105&lt;P105,"",(ROUNDDOWN(N105/P105*100,0))),"")</f>
        <v>100</v>
      </c>
    </row>
    <row r="106" spans="1:22" ht="45" customHeight="1">
      <c r="A106" s="174"/>
      <c r="B106" s="173"/>
      <c r="C106" s="172"/>
      <c r="D106" s="168" t="s">
        <v>678</v>
      </c>
      <c r="E106" s="161" t="s">
        <v>643</v>
      </c>
      <c r="F106" s="167">
        <v>7.5449999999999999</v>
      </c>
      <c r="G106" s="161">
        <v>745</v>
      </c>
      <c r="H106" s="161">
        <v>177</v>
      </c>
      <c r="I106" s="161" t="s">
        <v>71</v>
      </c>
      <c r="J106" s="166">
        <v>3543</v>
      </c>
      <c r="K106" s="166">
        <v>7928</v>
      </c>
      <c r="L106" s="161">
        <v>4275</v>
      </c>
      <c r="M106" s="165" t="s">
        <v>589</v>
      </c>
      <c r="N106" s="164">
        <v>7.3</v>
      </c>
      <c r="O106" s="23">
        <f>IF(N106&gt;0,1/N106*37.7*68.6,"")</f>
        <v>354.27671232876708</v>
      </c>
      <c r="P106" s="163">
        <v>7.24</v>
      </c>
      <c r="Q106" s="162" t="s">
        <v>588</v>
      </c>
      <c r="R106" s="161" t="s">
        <v>587</v>
      </c>
      <c r="S106" s="161" t="s">
        <v>586</v>
      </c>
      <c r="T106" s="160"/>
      <c r="U106" s="159"/>
      <c r="V106" s="158">
        <f>IFERROR(IF(N106&lt;P106,"",(ROUNDDOWN(N106/P106*100,0))),"")</f>
        <v>100</v>
      </c>
    </row>
    <row r="107" spans="1:22" ht="45" customHeight="1">
      <c r="A107" s="174"/>
      <c r="B107" s="173"/>
      <c r="C107" s="172"/>
      <c r="D107" s="168" t="s">
        <v>677</v>
      </c>
      <c r="E107" s="161" t="s">
        <v>643</v>
      </c>
      <c r="F107" s="167">
        <v>7.5449999999999999</v>
      </c>
      <c r="G107" s="161">
        <v>745</v>
      </c>
      <c r="H107" s="161">
        <v>162</v>
      </c>
      <c r="I107" s="161" t="s">
        <v>71</v>
      </c>
      <c r="J107" s="166">
        <v>3543</v>
      </c>
      <c r="K107" s="166">
        <v>7928</v>
      </c>
      <c r="L107" s="161">
        <v>4275</v>
      </c>
      <c r="M107" s="165" t="s">
        <v>589</v>
      </c>
      <c r="N107" s="164">
        <v>7.3</v>
      </c>
      <c r="O107" s="23">
        <f>IF(N107&gt;0,1/N107*37.7*68.6,"")</f>
        <v>354.27671232876708</v>
      </c>
      <c r="P107" s="163">
        <v>7.24</v>
      </c>
      <c r="Q107" s="162" t="s">
        <v>588</v>
      </c>
      <c r="R107" s="161" t="s">
        <v>587</v>
      </c>
      <c r="S107" s="161" t="s">
        <v>586</v>
      </c>
      <c r="T107" s="160"/>
      <c r="U107" s="159"/>
      <c r="V107" s="158">
        <f>IFERROR(IF(N107&lt;P107,"",(ROUNDDOWN(N107/P107*100,0))),"")</f>
        <v>100</v>
      </c>
    </row>
    <row r="108" spans="1:22" ht="45" customHeight="1">
      <c r="A108" s="174"/>
      <c r="B108" s="173"/>
      <c r="C108" s="172"/>
      <c r="D108" s="168" t="s">
        <v>677</v>
      </c>
      <c r="E108" s="161" t="s">
        <v>643</v>
      </c>
      <c r="F108" s="167">
        <v>7.5449999999999999</v>
      </c>
      <c r="G108" s="161">
        <v>745</v>
      </c>
      <c r="H108" s="161">
        <v>162</v>
      </c>
      <c r="I108" s="161" t="s">
        <v>71</v>
      </c>
      <c r="J108" s="166">
        <v>3543</v>
      </c>
      <c r="K108" s="166">
        <v>7928</v>
      </c>
      <c r="L108" s="161">
        <v>4275</v>
      </c>
      <c r="M108" s="165" t="s">
        <v>589</v>
      </c>
      <c r="N108" s="164">
        <v>7.3</v>
      </c>
      <c r="O108" s="23">
        <f>IF(N108&gt;0,1/N108*37.7*68.6,"")</f>
        <v>354.27671232876708</v>
      </c>
      <c r="P108" s="163">
        <v>7.24</v>
      </c>
      <c r="Q108" s="162" t="s">
        <v>593</v>
      </c>
      <c r="R108" s="161" t="s">
        <v>587</v>
      </c>
      <c r="S108" s="161" t="s">
        <v>586</v>
      </c>
      <c r="T108" s="160"/>
      <c r="U108" s="159"/>
      <c r="V108" s="158">
        <f>IFERROR(IF(N108&lt;P108,"",(ROUNDDOWN(N108/P108*100,0))),"")</f>
        <v>100</v>
      </c>
    </row>
    <row r="109" spans="1:22" ht="45" customHeight="1">
      <c r="A109" s="174"/>
      <c r="B109" s="173"/>
      <c r="C109" s="172"/>
      <c r="D109" s="168" t="s">
        <v>677</v>
      </c>
      <c r="E109" s="161" t="s">
        <v>643</v>
      </c>
      <c r="F109" s="167">
        <v>7.5449999999999999</v>
      </c>
      <c r="G109" s="161">
        <v>745</v>
      </c>
      <c r="H109" s="161">
        <v>177</v>
      </c>
      <c r="I109" s="161" t="s">
        <v>71</v>
      </c>
      <c r="J109" s="166">
        <v>3543</v>
      </c>
      <c r="K109" s="166">
        <v>7928</v>
      </c>
      <c r="L109" s="161">
        <v>4275</v>
      </c>
      <c r="M109" s="165" t="s">
        <v>589</v>
      </c>
      <c r="N109" s="164">
        <v>7.3</v>
      </c>
      <c r="O109" s="23">
        <f>IF(N109&gt;0,1/N109*37.7*68.6,"")</f>
        <v>354.27671232876708</v>
      </c>
      <c r="P109" s="163">
        <v>7.24</v>
      </c>
      <c r="Q109" s="162" t="s">
        <v>588</v>
      </c>
      <c r="R109" s="161" t="s">
        <v>587</v>
      </c>
      <c r="S109" s="161" t="s">
        <v>586</v>
      </c>
      <c r="T109" s="160"/>
      <c r="U109" s="159"/>
      <c r="V109" s="158">
        <f>IFERROR(IF(N109&lt;P109,"",(ROUNDDOWN(N109/P109*100,0))),"")</f>
        <v>100</v>
      </c>
    </row>
    <row r="110" spans="1:22" ht="45" customHeight="1">
      <c r="A110" s="174"/>
      <c r="B110" s="173"/>
      <c r="C110" s="172"/>
      <c r="D110" s="168" t="s">
        <v>677</v>
      </c>
      <c r="E110" s="161" t="s">
        <v>643</v>
      </c>
      <c r="F110" s="167">
        <v>7.5449999999999999</v>
      </c>
      <c r="G110" s="161">
        <v>785</v>
      </c>
      <c r="H110" s="161">
        <v>199</v>
      </c>
      <c r="I110" s="161" t="s">
        <v>71</v>
      </c>
      <c r="J110" s="166">
        <v>3543</v>
      </c>
      <c r="K110" s="166">
        <v>7928</v>
      </c>
      <c r="L110" s="161">
        <v>4275</v>
      </c>
      <c r="M110" s="165" t="s">
        <v>589</v>
      </c>
      <c r="N110" s="164">
        <v>7.3</v>
      </c>
      <c r="O110" s="23">
        <f>IF(N110&gt;0,1/N110*37.7*68.6,"")</f>
        <v>354.27671232876708</v>
      </c>
      <c r="P110" s="163">
        <v>7.24</v>
      </c>
      <c r="Q110" s="162" t="s">
        <v>588</v>
      </c>
      <c r="R110" s="161" t="s">
        <v>587</v>
      </c>
      <c r="S110" s="161" t="s">
        <v>586</v>
      </c>
      <c r="T110" s="160"/>
      <c r="U110" s="159"/>
      <c r="V110" s="158">
        <f>IFERROR(IF(N110&lt;P110,"",(ROUNDDOWN(N110/P110*100,0))),"")</f>
        <v>100</v>
      </c>
    </row>
    <row r="111" spans="1:22" ht="45" customHeight="1">
      <c r="A111" s="174"/>
      <c r="B111" s="173"/>
      <c r="C111" s="172"/>
      <c r="D111" s="168" t="s">
        <v>676</v>
      </c>
      <c r="E111" s="161" t="s">
        <v>643</v>
      </c>
      <c r="F111" s="167">
        <v>7.5449999999999999</v>
      </c>
      <c r="G111" s="161">
        <v>745</v>
      </c>
      <c r="H111" s="161">
        <v>162</v>
      </c>
      <c r="I111" s="161" t="s">
        <v>71</v>
      </c>
      <c r="J111" s="166">
        <v>3543</v>
      </c>
      <c r="K111" s="166">
        <v>7928</v>
      </c>
      <c r="L111" s="161">
        <v>4275</v>
      </c>
      <c r="M111" s="165" t="s">
        <v>589</v>
      </c>
      <c r="N111" s="164">
        <v>7.3</v>
      </c>
      <c r="O111" s="23">
        <f>IF(N111&gt;0,1/N111*37.7*68.6,"")</f>
        <v>354.27671232876708</v>
      </c>
      <c r="P111" s="163">
        <v>7.24</v>
      </c>
      <c r="Q111" s="162" t="s">
        <v>588</v>
      </c>
      <c r="R111" s="161" t="s">
        <v>587</v>
      </c>
      <c r="S111" s="161" t="s">
        <v>586</v>
      </c>
      <c r="T111" s="160"/>
      <c r="U111" s="159"/>
      <c r="V111" s="158">
        <f>IFERROR(IF(N111&lt;P111,"",(ROUNDDOWN(N111/P111*100,0))),"")</f>
        <v>100</v>
      </c>
    </row>
    <row r="112" spans="1:22" ht="45" customHeight="1">
      <c r="A112" s="174"/>
      <c r="B112" s="173"/>
      <c r="C112" s="172"/>
      <c r="D112" s="168" t="s">
        <v>676</v>
      </c>
      <c r="E112" s="161" t="s">
        <v>643</v>
      </c>
      <c r="F112" s="167">
        <v>7.5449999999999999</v>
      </c>
      <c r="G112" s="161">
        <v>745</v>
      </c>
      <c r="H112" s="161">
        <v>162</v>
      </c>
      <c r="I112" s="161" t="s">
        <v>71</v>
      </c>
      <c r="J112" s="166">
        <v>3543</v>
      </c>
      <c r="K112" s="166">
        <v>7928</v>
      </c>
      <c r="L112" s="161">
        <v>4275</v>
      </c>
      <c r="M112" s="165" t="s">
        <v>589</v>
      </c>
      <c r="N112" s="164">
        <v>7.3</v>
      </c>
      <c r="O112" s="23">
        <f>IF(N112&gt;0,1/N112*37.7*68.6,"")</f>
        <v>354.27671232876708</v>
      </c>
      <c r="P112" s="163">
        <v>7.24</v>
      </c>
      <c r="Q112" s="162" t="s">
        <v>593</v>
      </c>
      <c r="R112" s="161" t="s">
        <v>587</v>
      </c>
      <c r="S112" s="161" t="s">
        <v>586</v>
      </c>
      <c r="T112" s="160"/>
      <c r="U112" s="159"/>
      <c r="V112" s="158">
        <f>IFERROR(IF(N112&lt;P112,"",(ROUNDDOWN(N112/P112*100,0))),"")</f>
        <v>100</v>
      </c>
    </row>
    <row r="113" spans="1:22" ht="45" customHeight="1">
      <c r="A113" s="174"/>
      <c r="B113" s="173"/>
      <c r="C113" s="172"/>
      <c r="D113" s="168" t="s">
        <v>676</v>
      </c>
      <c r="E113" s="161" t="s">
        <v>643</v>
      </c>
      <c r="F113" s="167">
        <v>7.5449999999999999</v>
      </c>
      <c r="G113" s="161">
        <v>745</v>
      </c>
      <c r="H113" s="161">
        <v>177</v>
      </c>
      <c r="I113" s="161" t="s">
        <v>71</v>
      </c>
      <c r="J113" s="166">
        <v>3543</v>
      </c>
      <c r="K113" s="166">
        <v>7928</v>
      </c>
      <c r="L113" s="161">
        <v>4275</v>
      </c>
      <c r="M113" s="165" t="s">
        <v>589</v>
      </c>
      <c r="N113" s="164">
        <v>7.3</v>
      </c>
      <c r="O113" s="23">
        <f>IF(N113&gt;0,1/N113*37.7*68.6,"")</f>
        <v>354.27671232876708</v>
      </c>
      <c r="P113" s="163">
        <v>7.24</v>
      </c>
      <c r="Q113" s="162" t="s">
        <v>588</v>
      </c>
      <c r="R113" s="161" t="s">
        <v>587</v>
      </c>
      <c r="S113" s="161" t="s">
        <v>586</v>
      </c>
      <c r="T113" s="160"/>
      <c r="U113" s="159"/>
      <c r="V113" s="158">
        <f>IFERROR(IF(N113&lt;P113,"",(ROUNDDOWN(N113/P113*100,0))),"")</f>
        <v>100</v>
      </c>
    </row>
    <row r="114" spans="1:22" ht="45" customHeight="1">
      <c r="A114" s="174"/>
      <c r="B114" s="173"/>
      <c r="C114" s="172"/>
      <c r="D114" s="168" t="s">
        <v>675</v>
      </c>
      <c r="E114" s="161" t="s">
        <v>643</v>
      </c>
      <c r="F114" s="167">
        <v>7.5449999999999999</v>
      </c>
      <c r="G114" s="161">
        <v>745</v>
      </c>
      <c r="H114" s="161">
        <v>162</v>
      </c>
      <c r="I114" s="161" t="s">
        <v>71</v>
      </c>
      <c r="J114" s="166">
        <v>3543</v>
      </c>
      <c r="K114" s="166">
        <v>7928</v>
      </c>
      <c r="L114" s="161">
        <v>4275</v>
      </c>
      <c r="M114" s="165" t="s">
        <v>589</v>
      </c>
      <c r="N114" s="164">
        <v>7.3</v>
      </c>
      <c r="O114" s="23">
        <f>IF(N114&gt;0,1/N114*37.7*68.6,"")</f>
        <v>354.27671232876708</v>
      </c>
      <c r="P114" s="163">
        <v>7.24</v>
      </c>
      <c r="Q114" s="162" t="s">
        <v>588</v>
      </c>
      <c r="R114" s="161" t="s">
        <v>587</v>
      </c>
      <c r="S114" s="161" t="s">
        <v>586</v>
      </c>
      <c r="T114" s="160"/>
      <c r="U114" s="159"/>
      <c r="V114" s="158">
        <f>IFERROR(IF(N114&lt;P114,"",(ROUNDDOWN(N114/P114*100,0))),"")</f>
        <v>100</v>
      </c>
    </row>
    <row r="115" spans="1:22" ht="45" customHeight="1">
      <c r="A115" s="174"/>
      <c r="B115" s="173"/>
      <c r="C115" s="172"/>
      <c r="D115" s="168" t="s">
        <v>675</v>
      </c>
      <c r="E115" s="161" t="s">
        <v>643</v>
      </c>
      <c r="F115" s="167">
        <v>7.5449999999999999</v>
      </c>
      <c r="G115" s="161">
        <v>745</v>
      </c>
      <c r="H115" s="161">
        <v>162</v>
      </c>
      <c r="I115" s="161" t="s">
        <v>71</v>
      </c>
      <c r="J115" s="166">
        <v>3543</v>
      </c>
      <c r="K115" s="166">
        <v>7928</v>
      </c>
      <c r="L115" s="161">
        <v>4275</v>
      </c>
      <c r="M115" s="165" t="s">
        <v>589</v>
      </c>
      <c r="N115" s="164">
        <v>7.3</v>
      </c>
      <c r="O115" s="23">
        <f>IF(N115&gt;0,1/N115*37.7*68.6,"")</f>
        <v>354.27671232876708</v>
      </c>
      <c r="P115" s="163">
        <v>7.24</v>
      </c>
      <c r="Q115" s="162" t="s">
        <v>593</v>
      </c>
      <c r="R115" s="161" t="s">
        <v>587</v>
      </c>
      <c r="S115" s="161" t="s">
        <v>586</v>
      </c>
      <c r="T115" s="160"/>
      <c r="U115" s="159"/>
      <c r="V115" s="158">
        <f>IFERROR(IF(N115&lt;P115,"",(ROUNDDOWN(N115/P115*100,0))),"")</f>
        <v>100</v>
      </c>
    </row>
    <row r="116" spans="1:22" ht="45" customHeight="1">
      <c r="A116" s="174"/>
      <c r="B116" s="173"/>
      <c r="C116" s="172"/>
      <c r="D116" s="168" t="s">
        <v>675</v>
      </c>
      <c r="E116" s="161" t="s">
        <v>643</v>
      </c>
      <c r="F116" s="167">
        <v>7.5449999999999999</v>
      </c>
      <c r="G116" s="161">
        <v>745</v>
      </c>
      <c r="H116" s="161">
        <v>177</v>
      </c>
      <c r="I116" s="161" t="s">
        <v>71</v>
      </c>
      <c r="J116" s="166">
        <v>3543</v>
      </c>
      <c r="K116" s="166">
        <v>7928</v>
      </c>
      <c r="L116" s="161">
        <v>4275</v>
      </c>
      <c r="M116" s="165" t="s">
        <v>589</v>
      </c>
      <c r="N116" s="164">
        <v>7.3</v>
      </c>
      <c r="O116" s="23">
        <f>IF(N116&gt;0,1/N116*37.7*68.6,"")</f>
        <v>354.27671232876708</v>
      </c>
      <c r="P116" s="163">
        <v>7.24</v>
      </c>
      <c r="Q116" s="162" t="s">
        <v>588</v>
      </c>
      <c r="R116" s="161" t="s">
        <v>587</v>
      </c>
      <c r="S116" s="161" t="s">
        <v>586</v>
      </c>
      <c r="T116" s="160"/>
      <c r="U116" s="159"/>
      <c r="V116" s="158">
        <f>IFERROR(IF(N116&lt;P116,"",(ROUNDDOWN(N116/P116*100,0))),"")</f>
        <v>100</v>
      </c>
    </row>
    <row r="117" spans="1:22" ht="45" customHeight="1">
      <c r="A117" s="174"/>
      <c r="B117" s="173"/>
      <c r="C117" s="172"/>
      <c r="D117" s="168" t="s">
        <v>675</v>
      </c>
      <c r="E117" s="161" t="s">
        <v>643</v>
      </c>
      <c r="F117" s="167">
        <v>7.5449999999999999</v>
      </c>
      <c r="G117" s="161">
        <v>785</v>
      </c>
      <c r="H117" s="161">
        <v>199</v>
      </c>
      <c r="I117" s="161" t="s">
        <v>71</v>
      </c>
      <c r="J117" s="166">
        <v>3543</v>
      </c>
      <c r="K117" s="166">
        <v>7928</v>
      </c>
      <c r="L117" s="161">
        <v>4275</v>
      </c>
      <c r="M117" s="165" t="s">
        <v>589</v>
      </c>
      <c r="N117" s="164">
        <v>7.3</v>
      </c>
      <c r="O117" s="23">
        <f>IF(N117&gt;0,1/N117*37.7*68.6,"")</f>
        <v>354.27671232876708</v>
      </c>
      <c r="P117" s="163">
        <v>7.24</v>
      </c>
      <c r="Q117" s="162" t="s">
        <v>588</v>
      </c>
      <c r="R117" s="161" t="s">
        <v>587</v>
      </c>
      <c r="S117" s="161" t="s">
        <v>586</v>
      </c>
      <c r="T117" s="160"/>
      <c r="U117" s="159"/>
      <c r="V117" s="158">
        <f>IFERROR(IF(N117&lt;P117,"",(ROUNDDOWN(N117/P117*100,0))),"")</f>
        <v>100</v>
      </c>
    </row>
    <row r="118" spans="1:22" ht="45" customHeight="1">
      <c r="A118" s="174"/>
      <c r="B118" s="173"/>
      <c r="C118" s="172"/>
      <c r="D118" s="168" t="s">
        <v>674</v>
      </c>
      <c r="E118" s="161" t="s">
        <v>643</v>
      </c>
      <c r="F118" s="167">
        <v>7.5449999999999999</v>
      </c>
      <c r="G118" s="161">
        <v>745</v>
      </c>
      <c r="H118" s="161">
        <v>162</v>
      </c>
      <c r="I118" s="161" t="s">
        <v>71</v>
      </c>
      <c r="J118" s="166">
        <v>3543</v>
      </c>
      <c r="K118" s="166">
        <v>7928</v>
      </c>
      <c r="L118" s="161">
        <v>4275</v>
      </c>
      <c r="M118" s="165" t="s">
        <v>589</v>
      </c>
      <c r="N118" s="164">
        <v>7.3</v>
      </c>
      <c r="O118" s="23">
        <f>IF(N118&gt;0,1/N118*37.7*68.6,"")</f>
        <v>354.27671232876708</v>
      </c>
      <c r="P118" s="163">
        <v>7.24</v>
      </c>
      <c r="Q118" s="162" t="s">
        <v>588</v>
      </c>
      <c r="R118" s="161" t="s">
        <v>587</v>
      </c>
      <c r="S118" s="161" t="s">
        <v>586</v>
      </c>
      <c r="T118" s="160"/>
      <c r="U118" s="159"/>
      <c r="V118" s="158">
        <f>IFERROR(IF(N118&lt;P118,"",(ROUNDDOWN(N118/P118*100,0))),"")</f>
        <v>100</v>
      </c>
    </row>
    <row r="119" spans="1:22" ht="45" customHeight="1">
      <c r="A119" s="174"/>
      <c r="B119" s="173"/>
      <c r="C119" s="172"/>
      <c r="D119" s="168" t="s">
        <v>674</v>
      </c>
      <c r="E119" s="161" t="s">
        <v>643</v>
      </c>
      <c r="F119" s="167">
        <v>7.5449999999999999</v>
      </c>
      <c r="G119" s="161">
        <v>745</v>
      </c>
      <c r="H119" s="161">
        <v>162</v>
      </c>
      <c r="I119" s="161" t="s">
        <v>71</v>
      </c>
      <c r="J119" s="166">
        <v>3543</v>
      </c>
      <c r="K119" s="166">
        <v>7928</v>
      </c>
      <c r="L119" s="161">
        <v>4275</v>
      </c>
      <c r="M119" s="165" t="s">
        <v>589</v>
      </c>
      <c r="N119" s="164">
        <v>7.3</v>
      </c>
      <c r="O119" s="23">
        <f>IF(N119&gt;0,1/N119*37.7*68.6,"")</f>
        <v>354.27671232876708</v>
      </c>
      <c r="P119" s="163">
        <v>7.24</v>
      </c>
      <c r="Q119" s="162" t="s">
        <v>593</v>
      </c>
      <c r="R119" s="161" t="s">
        <v>587</v>
      </c>
      <c r="S119" s="161" t="s">
        <v>586</v>
      </c>
      <c r="T119" s="160"/>
      <c r="U119" s="159"/>
      <c r="V119" s="158">
        <f>IFERROR(IF(N119&lt;P119,"",(ROUNDDOWN(N119/P119*100,0))),"")</f>
        <v>100</v>
      </c>
    </row>
    <row r="120" spans="1:22" ht="45" customHeight="1">
      <c r="A120" s="174"/>
      <c r="B120" s="173"/>
      <c r="C120" s="172"/>
      <c r="D120" s="168" t="s">
        <v>674</v>
      </c>
      <c r="E120" s="161" t="s">
        <v>643</v>
      </c>
      <c r="F120" s="167">
        <v>7.5449999999999999</v>
      </c>
      <c r="G120" s="161">
        <v>745</v>
      </c>
      <c r="H120" s="161">
        <v>177</v>
      </c>
      <c r="I120" s="161" t="s">
        <v>71</v>
      </c>
      <c r="J120" s="166">
        <v>3543</v>
      </c>
      <c r="K120" s="166">
        <v>7928</v>
      </c>
      <c r="L120" s="161">
        <v>4275</v>
      </c>
      <c r="M120" s="165" t="s">
        <v>589</v>
      </c>
      <c r="N120" s="164">
        <v>7.3</v>
      </c>
      <c r="O120" s="23">
        <f>IF(N120&gt;0,1/N120*37.7*68.6,"")</f>
        <v>354.27671232876708</v>
      </c>
      <c r="P120" s="163">
        <v>7.24</v>
      </c>
      <c r="Q120" s="162" t="s">
        <v>588</v>
      </c>
      <c r="R120" s="161" t="s">
        <v>587</v>
      </c>
      <c r="S120" s="161" t="s">
        <v>586</v>
      </c>
      <c r="T120" s="160"/>
      <c r="U120" s="159"/>
      <c r="V120" s="158">
        <f>IFERROR(IF(N120&lt;P120,"",(ROUNDDOWN(N120/P120*100,0))),"")</f>
        <v>100</v>
      </c>
    </row>
    <row r="121" spans="1:22" ht="45" customHeight="1">
      <c r="A121" s="174"/>
      <c r="B121" s="173"/>
      <c r="C121" s="172"/>
      <c r="D121" s="168" t="s">
        <v>673</v>
      </c>
      <c r="E121" s="161" t="s">
        <v>643</v>
      </c>
      <c r="F121" s="167">
        <v>7.5449999999999999</v>
      </c>
      <c r="G121" s="161">
        <v>745</v>
      </c>
      <c r="H121" s="161">
        <v>177</v>
      </c>
      <c r="I121" s="161" t="s">
        <v>71</v>
      </c>
      <c r="J121" s="166">
        <v>4048</v>
      </c>
      <c r="K121" s="166">
        <v>11641</v>
      </c>
      <c r="L121" s="161">
        <v>7483</v>
      </c>
      <c r="M121" s="165" t="s">
        <v>589</v>
      </c>
      <c r="N121" s="164">
        <v>6</v>
      </c>
      <c r="O121" s="23">
        <f>IF(N121&gt;0,1/N121*37.7*68.6,"")</f>
        <v>431.03666666666663</v>
      </c>
      <c r="P121" s="163" t="s">
        <v>670</v>
      </c>
      <c r="Q121" s="162" t="s">
        <v>593</v>
      </c>
      <c r="R121" s="161" t="s">
        <v>587</v>
      </c>
      <c r="S121" s="161" t="s">
        <v>586</v>
      </c>
      <c r="T121" s="160"/>
      <c r="U121" s="159"/>
      <c r="V121" s="158" t="str">
        <f>IFERROR(IF(N121&lt;P121,"",(ROUNDDOWN(N121/P121*100,0))),"")</f>
        <v/>
      </c>
    </row>
    <row r="122" spans="1:22" ht="45" customHeight="1">
      <c r="A122" s="174"/>
      <c r="B122" s="173"/>
      <c r="C122" s="172"/>
      <c r="D122" s="168" t="s">
        <v>672</v>
      </c>
      <c r="E122" s="161" t="s">
        <v>643</v>
      </c>
      <c r="F122" s="167">
        <v>7.5449999999999999</v>
      </c>
      <c r="G122" s="161">
        <v>745</v>
      </c>
      <c r="H122" s="161">
        <v>177</v>
      </c>
      <c r="I122" s="161" t="s">
        <v>71</v>
      </c>
      <c r="J122" s="166">
        <v>4048</v>
      </c>
      <c r="K122" s="166">
        <v>11641</v>
      </c>
      <c r="L122" s="161">
        <v>7483</v>
      </c>
      <c r="M122" s="165" t="s">
        <v>589</v>
      </c>
      <c r="N122" s="164">
        <v>6</v>
      </c>
      <c r="O122" s="23">
        <f>IF(N122&gt;0,1/N122*37.7*68.6,"")</f>
        <v>431.03666666666663</v>
      </c>
      <c r="P122" s="163" t="s">
        <v>670</v>
      </c>
      <c r="Q122" s="162" t="s">
        <v>593</v>
      </c>
      <c r="R122" s="161" t="s">
        <v>587</v>
      </c>
      <c r="S122" s="161" t="s">
        <v>586</v>
      </c>
      <c r="T122" s="160"/>
      <c r="U122" s="159"/>
      <c r="V122" s="158" t="str">
        <f>IFERROR(IF(N122&lt;P122,"",(ROUNDDOWN(N122/P122*100,0))),"")</f>
        <v/>
      </c>
    </row>
    <row r="123" spans="1:22" ht="45" customHeight="1">
      <c r="A123" s="174"/>
      <c r="B123" s="173"/>
      <c r="C123" s="172"/>
      <c r="D123" s="168" t="s">
        <v>672</v>
      </c>
      <c r="E123" s="161" t="s">
        <v>643</v>
      </c>
      <c r="F123" s="167">
        <v>7.5449999999999999</v>
      </c>
      <c r="G123" s="161">
        <v>785</v>
      </c>
      <c r="H123" s="161">
        <v>199</v>
      </c>
      <c r="I123" s="161" t="s">
        <v>71</v>
      </c>
      <c r="J123" s="166">
        <v>4048</v>
      </c>
      <c r="K123" s="166">
        <v>11641</v>
      </c>
      <c r="L123" s="161">
        <v>7483</v>
      </c>
      <c r="M123" s="165" t="s">
        <v>589</v>
      </c>
      <c r="N123" s="164">
        <v>6</v>
      </c>
      <c r="O123" s="23">
        <f>IF(N123&gt;0,1/N123*37.7*68.6,"")</f>
        <v>431.03666666666663</v>
      </c>
      <c r="P123" s="163" t="s">
        <v>670</v>
      </c>
      <c r="Q123" s="162" t="s">
        <v>593</v>
      </c>
      <c r="R123" s="161" t="s">
        <v>587</v>
      </c>
      <c r="S123" s="161" t="s">
        <v>586</v>
      </c>
      <c r="T123" s="160"/>
      <c r="U123" s="159"/>
      <c r="V123" s="158" t="str">
        <f>IFERROR(IF(N123&lt;P123,"",(ROUNDDOWN(N123/P123*100,0))),"")</f>
        <v/>
      </c>
    </row>
    <row r="124" spans="1:22" ht="45" customHeight="1">
      <c r="A124" s="174"/>
      <c r="B124" s="173"/>
      <c r="C124" s="172"/>
      <c r="D124" s="168" t="s">
        <v>671</v>
      </c>
      <c r="E124" s="161" t="s">
        <v>643</v>
      </c>
      <c r="F124" s="167">
        <v>7.5449999999999999</v>
      </c>
      <c r="G124" s="161">
        <v>745</v>
      </c>
      <c r="H124" s="161">
        <v>177</v>
      </c>
      <c r="I124" s="161" t="s">
        <v>71</v>
      </c>
      <c r="J124" s="166">
        <v>4048</v>
      </c>
      <c r="K124" s="166">
        <v>11641</v>
      </c>
      <c r="L124" s="161">
        <v>7483</v>
      </c>
      <c r="M124" s="165" t="s">
        <v>589</v>
      </c>
      <c r="N124" s="164">
        <v>6</v>
      </c>
      <c r="O124" s="23">
        <f>IF(N124&gt;0,1/N124*37.7*68.6,"")</f>
        <v>431.03666666666663</v>
      </c>
      <c r="P124" s="163" t="s">
        <v>670</v>
      </c>
      <c r="Q124" s="162" t="s">
        <v>593</v>
      </c>
      <c r="R124" s="161" t="s">
        <v>587</v>
      </c>
      <c r="S124" s="161" t="s">
        <v>586</v>
      </c>
      <c r="T124" s="160"/>
      <c r="U124" s="159"/>
      <c r="V124" s="158" t="str">
        <f>IFERROR(IF(N124&lt;P124,"",(ROUNDDOWN(N124/P124*100,0))),"")</f>
        <v/>
      </c>
    </row>
    <row r="125" spans="1:22" ht="45" customHeight="1">
      <c r="A125" s="174"/>
      <c r="B125" s="173"/>
      <c r="C125" s="172"/>
      <c r="D125" s="168" t="s">
        <v>671</v>
      </c>
      <c r="E125" s="161" t="s">
        <v>643</v>
      </c>
      <c r="F125" s="167">
        <v>7.5449999999999999</v>
      </c>
      <c r="G125" s="161">
        <v>785</v>
      </c>
      <c r="H125" s="161">
        <v>199</v>
      </c>
      <c r="I125" s="161" t="s">
        <v>71</v>
      </c>
      <c r="J125" s="166">
        <v>4048</v>
      </c>
      <c r="K125" s="166">
        <v>11641</v>
      </c>
      <c r="L125" s="161">
        <v>7483</v>
      </c>
      <c r="M125" s="165" t="s">
        <v>589</v>
      </c>
      <c r="N125" s="164">
        <v>6</v>
      </c>
      <c r="O125" s="23">
        <f>IF(N125&gt;0,1/N125*37.7*68.6,"")</f>
        <v>431.03666666666663</v>
      </c>
      <c r="P125" s="163" t="s">
        <v>670</v>
      </c>
      <c r="Q125" s="162" t="s">
        <v>593</v>
      </c>
      <c r="R125" s="161" t="s">
        <v>587</v>
      </c>
      <c r="S125" s="161" t="s">
        <v>586</v>
      </c>
      <c r="T125" s="160"/>
      <c r="U125" s="159"/>
      <c r="V125" s="158" t="str">
        <f>IFERROR(IF(N125&lt;P125,"",(ROUNDDOWN(N125/P125*100,0))),"")</f>
        <v/>
      </c>
    </row>
    <row r="126" spans="1:22" ht="45" customHeight="1">
      <c r="A126" s="174"/>
      <c r="B126" s="173"/>
      <c r="C126" s="172"/>
      <c r="D126" s="168" t="s">
        <v>669</v>
      </c>
      <c r="E126" s="161" t="s">
        <v>643</v>
      </c>
      <c r="F126" s="167">
        <v>7.5449999999999999</v>
      </c>
      <c r="G126" s="161">
        <v>745</v>
      </c>
      <c r="H126" s="161">
        <v>177</v>
      </c>
      <c r="I126" s="161" t="s">
        <v>71</v>
      </c>
      <c r="J126" s="166">
        <v>4516</v>
      </c>
      <c r="K126" s="166">
        <v>12618</v>
      </c>
      <c r="L126" s="161">
        <v>7992</v>
      </c>
      <c r="M126" s="165" t="s">
        <v>589</v>
      </c>
      <c r="N126" s="164">
        <v>5.7</v>
      </c>
      <c r="O126" s="23">
        <f>IF(N126&gt;0,1/N126*37.7*68.6,"")</f>
        <v>453.7228070175438</v>
      </c>
      <c r="P126" s="163">
        <v>5.69</v>
      </c>
      <c r="Q126" s="162" t="s">
        <v>593</v>
      </c>
      <c r="R126" s="161" t="s">
        <v>587</v>
      </c>
      <c r="S126" s="161" t="s">
        <v>586</v>
      </c>
      <c r="T126" s="160"/>
      <c r="U126" s="159"/>
      <c r="V126" s="158">
        <f>IFERROR(IF(N126&lt;P126,"",(ROUNDDOWN(N126/P126*100,0))),"")</f>
        <v>100</v>
      </c>
    </row>
    <row r="127" spans="1:22" ht="45" customHeight="1">
      <c r="A127" s="174"/>
      <c r="B127" s="173"/>
      <c r="C127" s="172"/>
      <c r="D127" s="168" t="s">
        <v>669</v>
      </c>
      <c r="E127" s="161" t="s">
        <v>643</v>
      </c>
      <c r="F127" s="167">
        <v>7.5449999999999999</v>
      </c>
      <c r="G127" s="161">
        <v>745</v>
      </c>
      <c r="H127" s="161">
        <v>177</v>
      </c>
      <c r="I127" s="161" t="s">
        <v>71</v>
      </c>
      <c r="J127" s="166">
        <v>5533</v>
      </c>
      <c r="K127" s="166">
        <v>14543</v>
      </c>
      <c r="L127" s="161">
        <v>8900</v>
      </c>
      <c r="M127" s="165" t="s">
        <v>589</v>
      </c>
      <c r="N127" s="164">
        <v>5</v>
      </c>
      <c r="O127" s="23">
        <f>IF(N127&gt;0,1/N127*37.7*68.6,"")</f>
        <v>517.24400000000003</v>
      </c>
      <c r="P127" s="163">
        <v>4.97</v>
      </c>
      <c r="Q127" s="162" t="s">
        <v>593</v>
      </c>
      <c r="R127" s="161" t="s">
        <v>587</v>
      </c>
      <c r="S127" s="161" t="s">
        <v>586</v>
      </c>
      <c r="T127" s="160"/>
      <c r="U127" s="159"/>
      <c r="V127" s="158">
        <f>IFERROR(IF(N127&lt;P127,"",(ROUNDDOWN(N127/P127*100,0))),"")</f>
        <v>100</v>
      </c>
    </row>
    <row r="128" spans="1:22" ht="45" customHeight="1">
      <c r="A128" s="174"/>
      <c r="B128" s="173"/>
      <c r="C128" s="172"/>
      <c r="D128" s="168" t="s">
        <v>668</v>
      </c>
      <c r="E128" s="161" t="s">
        <v>643</v>
      </c>
      <c r="F128" s="167">
        <v>7.5449999999999999</v>
      </c>
      <c r="G128" s="161">
        <v>745</v>
      </c>
      <c r="H128" s="161">
        <v>177</v>
      </c>
      <c r="I128" s="161" t="s">
        <v>71</v>
      </c>
      <c r="J128" s="166">
        <v>4516</v>
      </c>
      <c r="K128" s="166">
        <v>12618</v>
      </c>
      <c r="L128" s="161">
        <v>7992</v>
      </c>
      <c r="M128" s="165" t="s">
        <v>589</v>
      </c>
      <c r="N128" s="164">
        <v>5.7</v>
      </c>
      <c r="O128" s="23">
        <f>IF(N128&gt;0,1/N128*37.7*68.6,"")</f>
        <v>453.7228070175438</v>
      </c>
      <c r="P128" s="163">
        <v>5.69</v>
      </c>
      <c r="Q128" s="162" t="s">
        <v>593</v>
      </c>
      <c r="R128" s="161" t="s">
        <v>587</v>
      </c>
      <c r="S128" s="161" t="s">
        <v>586</v>
      </c>
      <c r="T128" s="160"/>
      <c r="U128" s="159"/>
      <c r="V128" s="158">
        <f>IFERROR(IF(N128&lt;P128,"",(ROUNDDOWN(N128/P128*100,0))),"")</f>
        <v>100</v>
      </c>
    </row>
    <row r="129" spans="1:22" ht="45" customHeight="1">
      <c r="A129" s="174"/>
      <c r="B129" s="173"/>
      <c r="C129" s="172"/>
      <c r="D129" s="168" t="s">
        <v>668</v>
      </c>
      <c r="E129" s="161" t="s">
        <v>643</v>
      </c>
      <c r="F129" s="167">
        <v>7.5449999999999999</v>
      </c>
      <c r="G129" s="161">
        <v>745</v>
      </c>
      <c r="H129" s="161">
        <v>177</v>
      </c>
      <c r="I129" s="161" t="s">
        <v>71</v>
      </c>
      <c r="J129" s="166">
        <v>5533</v>
      </c>
      <c r="K129" s="166">
        <v>14543</v>
      </c>
      <c r="L129" s="161">
        <v>8900</v>
      </c>
      <c r="M129" s="165" t="s">
        <v>589</v>
      </c>
      <c r="N129" s="164">
        <v>5</v>
      </c>
      <c r="O129" s="23">
        <f>IF(N129&gt;0,1/N129*37.7*68.6,"")</f>
        <v>517.24400000000003</v>
      </c>
      <c r="P129" s="163">
        <v>4.97</v>
      </c>
      <c r="Q129" s="162" t="s">
        <v>593</v>
      </c>
      <c r="R129" s="161" t="s">
        <v>587</v>
      </c>
      <c r="S129" s="161" t="s">
        <v>586</v>
      </c>
      <c r="T129" s="160"/>
      <c r="U129" s="159"/>
      <c r="V129" s="158">
        <f>IFERROR(IF(N129&lt;P129,"",(ROUNDDOWN(N129/P129*100,0))),"")</f>
        <v>100</v>
      </c>
    </row>
    <row r="130" spans="1:22" ht="45" customHeight="1">
      <c r="A130" s="174"/>
      <c r="B130" s="173"/>
      <c r="C130" s="172"/>
      <c r="D130" s="168" t="s">
        <v>668</v>
      </c>
      <c r="E130" s="161" t="s">
        <v>643</v>
      </c>
      <c r="F130" s="167">
        <v>7.5449999999999999</v>
      </c>
      <c r="G130" s="161">
        <v>785</v>
      </c>
      <c r="H130" s="161">
        <v>199</v>
      </c>
      <c r="I130" s="161" t="s">
        <v>71</v>
      </c>
      <c r="J130" s="166">
        <v>4516</v>
      </c>
      <c r="K130" s="166">
        <v>12618</v>
      </c>
      <c r="L130" s="161">
        <v>7992</v>
      </c>
      <c r="M130" s="165" t="s">
        <v>589</v>
      </c>
      <c r="N130" s="164">
        <v>5.7</v>
      </c>
      <c r="O130" s="23">
        <f>IF(N130&gt;0,1/N130*37.7*68.6,"")</f>
        <v>453.7228070175438</v>
      </c>
      <c r="P130" s="163">
        <v>5.69</v>
      </c>
      <c r="Q130" s="162" t="s">
        <v>593</v>
      </c>
      <c r="R130" s="161" t="s">
        <v>587</v>
      </c>
      <c r="S130" s="161" t="s">
        <v>586</v>
      </c>
      <c r="T130" s="160"/>
      <c r="U130" s="159"/>
      <c r="V130" s="158">
        <f>IFERROR(IF(N130&lt;P130,"",(ROUNDDOWN(N130/P130*100,0))),"")</f>
        <v>100</v>
      </c>
    </row>
    <row r="131" spans="1:22" ht="45" customHeight="1">
      <c r="A131" s="174"/>
      <c r="B131" s="173"/>
      <c r="C131" s="172"/>
      <c r="D131" s="168" t="s">
        <v>668</v>
      </c>
      <c r="E131" s="161" t="s">
        <v>643</v>
      </c>
      <c r="F131" s="167">
        <v>7.5449999999999999</v>
      </c>
      <c r="G131" s="161">
        <v>785</v>
      </c>
      <c r="H131" s="161">
        <v>199</v>
      </c>
      <c r="I131" s="161" t="s">
        <v>71</v>
      </c>
      <c r="J131" s="166">
        <v>5533</v>
      </c>
      <c r="K131" s="166">
        <v>14543</v>
      </c>
      <c r="L131" s="161">
        <v>8900</v>
      </c>
      <c r="M131" s="165" t="s">
        <v>589</v>
      </c>
      <c r="N131" s="164">
        <v>5</v>
      </c>
      <c r="O131" s="23">
        <f>IF(N131&gt;0,1/N131*37.7*68.6,"")</f>
        <v>517.24400000000003</v>
      </c>
      <c r="P131" s="163">
        <v>4.97</v>
      </c>
      <c r="Q131" s="162" t="s">
        <v>593</v>
      </c>
      <c r="R131" s="161" t="s">
        <v>587</v>
      </c>
      <c r="S131" s="161" t="s">
        <v>586</v>
      </c>
      <c r="T131" s="160"/>
      <c r="U131" s="159"/>
      <c r="V131" s="158">
        <f>IFERROR(IF(N131&lt;P131,"",(ROUNDDOWN(N131/P131*100,0))),"")</f>
        <v>100</v>
      </c>
    </row>
    <row r="132" spans="1:22" ht="45" customHeight="1">
      <c r="A132" s="174"/>
      <c r="B132" s="173"/>
      <c r="C132" s="172"/>
      <c r="D132" s="168" t="s">
        <v>667</v>
      </c>
      <c r="E132" s="161" t="s">
        <v>643</v>
      </c>
      <c r="F132" s="167">
        <v>7.5449999999999999</v>
      </c>
      <c r="G132" s="161">
        <v>745</v>
      </c>
      <c r="H132" s="161">
        <v>177</v>
      </c>
      <c r="I132" s="161" t="s">
        <v>71</v>
      </c>
      <c r="J132" s="166">
        <v>4516</v>
      </c>
      <c r="K132" s="166">
        <v>12618</v>
      </c>
      <c r="L132" s="161">
        <v>7992</v>
      </c>
      <c r="M132" s="165" t="s">
        <v>589</v>
      </c>
      <c r="N132" s="164">
        <v>5.7</v>
      </c>
      <c r="O132" s="23">
        <f>IF(N132&gt;0,1/N132*37.7*68.6,"")</f>
        <v>453.7228070175438</v>
      </c>
      <c r="P132" s="163">
        <v>5.69</v>
      </c>
      <c r="Q132" s="162" t="s">
        <v>593</v>
      </c>
      <c r="R132" s="161" t="s">
        <v>587</v>
      </c>
      <c r="S132" s="161" t="s">
        <v>586</v>
      </c>
      <c r="T132" s="160"/>
      <c r="U132" s="159"/>
      <c r="V132" s="158">
        <f>IFERROR(IF(N132&lt;P132,"",(ROUNDDOWN(N132/P132*100,0))),"")</f>
        <v>100</v>
      </c>
    </row>
    <row r="133" spans="1:22" ht="45" customHeight="1">
      <c r="A133" s="174"/>
      <c r="B133" s="173"/>
      <c r="C133" s="172"/>
      <c r="D133" s="168" t="s">
        <v>667</v>
      </c>
      <c r="E133" s="161" t="s">
        <v>643</v>
      </c>
      <c r="F133" s="167">
        <v>7.5449999999999999</v>
      </c>
      <c r="G133" s="161">
        <v>745</v>
      </c>
      <c r="H133" s="161">
        <v>177</v>
      </c>
      <c r="I133" s="161" t="s">
        <v>71</v>
      </c>
      <c r="J133" s="166">
        <v>5533</v>
      </c>
      <c r="K133" s="166">
        <v>14543</v>
      </c>
      <c r="L133" s="161">
        <v>8900</v>
      </c>
      <c r="M133" s="165" t="s">
        <v>589</v>
      </c>
      <c r="N133" s="164">
        <v>5</v>
      </c>
      <c r="O133" s="23">
        <f>IF(N133&gt;0,1/N133*37.7*68.6,"")</f>
        <v>517.24400000000003</v>
      </c>
      <c r="P133" s="163">
        <v>4.97</v>
      </c>
      <c r="Q133" s="162" t="s">
        <v>593</v>
      </c>
      <c r="R133" s="161" t="s">
        <v>587</v>
      </c>
      <c r="S133" s="161" t="s">
        <v>586</v>
      </c>
      <c r="T133" s="160"/>
      <c r="U133" s="159"/>
      <c r="V133" s="158">
        <f>IFERROR(IF(N133&lt;P133,"",(ROUNDDOWN(N133/P133*100,0))),"")</f>
        <v>100</v>
      </c>
    </row>
    <row r="134" spans="1:22" ht="45" customHeight="1">
      <c r="A134" s="174"/>
      <c r="B134" s="173"/>
      <c r="C134" s="172"/>
      <c r="D134" s="168" t="s">
        <v>667</v>
      </c>
      <c r="E134" s="161" t="s">
        <v>643</v>
      </c>
      <c r="F134" s="167">
        <v>7.5449999999999999</v>
      </c>
      <c r="G134" s="161">
        <v>785</v>
      </c>
      <c r="H134" s="161">
        <v>199</v>
      </c>
      <c r="I134" s="161" t="s">
        <v>71</v>
      </c>
      <c r="J134" s="166">
        <v>4516</v>
      </c>
      <c r="K134" s="166">
        <v>12618</v>
      </c>
      <c r="L134" s="161">
        <v>7992</v>
      </c>
      <c r="M134" s="165" t="s">
        <v>589</v>
      </c>
      <c r="N134" s="164">
        <v>5.7</v>
      </c>
      <c r="O134" s="23">
        <f>IF(N134&gt;0,1/N134*37.7*68.6,"")</f>
        <v>453.7228070175438</v>
      </c>
      <c r="P134" s="163">
        <v>5.69</v>
      </c>
      <c r="Q134" s="162" t="s">
        <v>593</v>
      </c>
      <c r="R134" s="161" t="s">
        <v>587</v>
      </c>
      <c r="S134" s="161" t="s">
        <v>586</v>
      </c>
      <c r="T134" s="160"/>
      <c r="U134" s="159"/>
      <c r="V134" s="158">
        <f>IFERROR(IF(N134&lt;P134,"",(ROUNDDOWN(N134/P134*100,0))),"")</f>
        <v>100</v>
      </c>
    </row>
    <row r="135" spans="1:22" ht="45" customHeight="1">
      <c r="A135" s="174"/>
      <c r="B135" s="173"/>
      <c r="C135" s="172"/>
      <c r="D135" s="168" t="s">
        <v>667</v>
      </c>
      <c r="E135" s="161" t="s">
        <v>643</v>
      </c>
      <c r="F135" s="167">
        <v>7.5449999999999999</v>
      </c>
      <c r="G135" s="161">
        <v>785</v>
      </c>
      <c r="H135" s="161">
        <v>199</v>
      </c>
      <c r="I135" s="161" t="s">
        <v>71</v>
      </c>
      <c r="J135" s="166">
        <v>5533</v>
      </c>
      <c r="K135" s="166">
        <v>14543</v>
      </c>
      <c r="L135" s="161">
        <v>8900</v>
      </c>
      <c r="M135" s="165" t="s">
        <v>589</v>
      </c>
      <c r="N135" s="164">
        <v>5</v>
      </c>
      <c r="O135" s="23">
        <f>IF(N135&gt;0,1/N135*37.7*68.6,"")</f>
        <v>517.24400000000003</v>
      </c>
      <c r="P135" s="163">
        <v>4.97</v>
      </c>
      <c r="Q135" s="162" t="s">
        <v>593</v>
      </c>
      <c r="R135" s="161" t="s">
        <v>587</v>
      </c>
      <c r="S135" s="161" t="s">
        <v>586</v>
      </c>
      <c r="T135" s="160"/>
      <c r="U135" s="159"/>
      <c r="V135" s="158">
        <f>IFERROR(IF(N135&lt;P135,"",(ROUNDDOWN(N135/P135*100,0))),"")</f>
        <v>100</v>
      </c>
    </row>
    <row r="136" spans="1:22" ht="45" customHeight="1">
      <c r="A136" s="174"/>
      <c r="B136" s="173"/>
      <c r="C136" s="172"/>
      <c r="D136" s="168" t="s">
        <v>666</v>
      </c>
      <c r="E136" s="161" t="s">
        <v>643</v>
      </c>
      <c r="F136" s="167">
        <v>7.5449999999999999</v>
      </c>
      <c r="G136" s="161">
        <v>785</v>
      </c>
      <c r="H136" s="161">
        <v>199</v>
      </c>
      <c r="I136" s="161" t="s">
        <v>71</v>
      </c>
      <c r="J136" s="166">
        <v>8688</v>
      </c>
      <c r="K136" s="166">
        <v>19887</v>
      </c>
      <c r="L136" s="161">
        <v>11089</v>
      </c>
      <c r="M136" s="165" t="s">
        <v>589</v>
      </c>
      <c r="N136" s="164">
        <v>3.85</v>
      </c>
      <c r="O136" s="23">
        <f>IF(N136&gt;0,1/N136*37.7*68.6,"")</f>
        <v>671.74545454545444</v>
      </c>
      <c r="P136" s="163">
        <v>4.1500000000000004</v>
      </c>
      <c r="Q136" s="162" t="s">
        <v>593</v>
      </c>
      <c r="R136" s="161" t="s">
        <v>587</v>
      </c>
      <c r="S136" s="161" t="s">
        <v>665</v>
      </c>
      <c r="T136" s="160"/>
      <c r="U136" s="159"/>
      <c r="V136" s="158" t="str">
        <f>IFERROR(IF(N136&lt;P136,"",(ROUNDDOWN(N136/P136*100,0))),"")</f>
        <v/>
      </c>
    </row>
    <row r="137" spans="1:22" ht="45" customHeight="1">
      <c r="A137" s="174"/>
      <c r="B137" s="173"/>
      <c r="C137" s="172"/>
      <c r="D137" s="168" t="s">
        <v>664</v>
      </c>
      <c r="E137" s="161" t="s">
        <v>648</v>
      </c>
      <c r="F137" s="167">
        <v>3.907</v>
      </c>
      <c r="G137" s="161">
        <v>520</v>
      </c>
      <c r="H137" s="161">
        <v>125</v>
      </c>
      <c r="I137" s="161" t="s">
        <v>71</v>
      </c>
      <c r="J137" s="166">
        <v>2979</v>
      </c>
      <c r="K137" s="166">
        <v>6893</v>
      </c>
      <c r="L137" s="161">
        <v>3749</v>
      </c>
      <c r="M137" s="165" t="s">
        <v>589</v>
      </c>
      <c r="N137" s="164">
        <v>8.6</v>
      </c>
      <c r="O137" s="23">
        <f>IF(N137&gt;0,1/N137*37.7*68.6,"")</f>
        <v>300.72325581395353</v>
      </c>
      <c r="P137" s="163">
        <v>8.1199999999999992</v>
      </c>
      <c r="Q137" s="162" t="s">
        <v>593</v>
      </c>
      <c r="R137" s="161" t="s">
        <v>587</v>
      </c>
      <c r="S137" s="161" t="s">
        <v>586</v>
      </c>
      <c r="T137" s="160"/>
      <c r="U137" s="159"/>
      <c r="V137" s="158">
        <f>IFERROR(IF(N137&lt;P137,"",(ROUNDDOWN(N137/P137*100,0))),"")</f>
        <v>105</v>
      </c>
    </row>
    <row r="138" spans="1:22" ht="45" customHeight="1">
      <c r="A138" s="174"/>
      <c r="B138" s="173"/>
      <c r="C138" s="172"/>
      <c r="D138" s="168" t="s">
        <v>663</v>
      </c>
      <c r="E138" s="161" t="s">
        <v>648</v>
      </c>
      <c r="F138" s="167">
        <v>3.907</v>
      </c>
      <c r="G138" s="161">
        <v>520</v>
      </c>
      <c r="H138" s="161">
        <v>125</v>
      </c>
      <c r="I138" s="161" t="s">
        <v>71</v>
      </c>
      <c r="J138" s="166">
        <v>2979</v>
      </c>
      <c r="K138" s="166">
        <v>6893</v>
      </c>
      <c r="L138" s="161">
        <v>3749</v>
      </c>
      <c r="M138" s="165" t="s">
        <v>589</v>
      </c>
      <c r="N138" s="164">
        <v>8.6</v>
      </c>
      <c r="O138" s="23">
        <f>IF(N138&gt;0,1/N138*37.7*68.6,"")</f>
        <v>300.72325581395353</v>
      </c>
      <c r="P138" s="163">
        <v>8.1199999999999992</v>
      </c>
      <c r="Q138" s="162" t="s">
        <v>593</v>
      </c>
      <c r="R138" s="161" t="s">
        <v>587</v>
      </c>
      <c r="S138" s="161" t="s">
        <v>586</v>
      </c>
      <c r="T138" s="160"/>
      <c r="U138" s="159"/>
      <c r="V138" s="158">
        <f>IFERROR(IF(N138&lt;P138,"",(ROUNDDOWN(N138/P138*100,0))),"")</f>
        <v>105</v>
      </c>
    </row>
    <row r="139" spans="1:22" ht="45" customHeight="1">
      <c r="A139" s="174"/>
      <c r="B139" s="173"/>
      <c r="C139" s="172"/>
      <c r="D139" s="168" t="s">
        <v>662</v>
      </c>
      <c r="E139" s="161" t="s">
        <v>648</v>
      </c>
      <c r="F139" s="167">
        <v>3.907</v>
      </c>
      <c r="G139" s="161">
        <v>520</v>
      </c>
      <c r="H139" s="161">
        <v>125</v>
      </c>
      <c r="I139" s="161" t="s">
        <v>71</v>
      </c>
      <c r="J139" s="166">
        <v>2979</v>
      </c>
      <c r="K139" s="166">
        <v>6893</v>
      </c>
      <c r="L139" s="161">
        <v>3749</v>
      </c>
      <c r="M139" s="165" t="s">
        <v>589</v>
      </c>
      <c r="N139" s="164">
        <v>8.6</v>
      </c>
      <c r="O139" s="23">
        <f>IF(N139&gt;0,1/N139*37.7*68.6,"")</f>
        <v>300.72325581395353</v>
      </c>
      <c r="P139" s="163">
        <v>8.1199999999999992</v>
      </c>
      <c r="Q139" s="162" t="s">
        <v>593</v>
      </c>
      <c r="R139" s="161" t="s">
        <v>587</v>
      </c>
      <c r="S139" s="161" t="s">
        <v>586</v>
      </c>
      <c r="T139" s="160"/>
      <c r="U139" s="159"/>
      <c r="V139" s="158">
        <f>IFERROR(IF(N139&lt;P139,"",(ROUNDDOWN(N139/P139*100,0))),"")</f>
        <v>105</v>
      </c>
    </row>
    <row r="140" spans="1:22" ht="45" customHeight="1">
      <c r="A140" s="174"/>
      <c r="B140" s="173"/>
      <c r="C140" s="172"/>
      <c r="D140" s="168" t="s">
        <v>661</v>
      </c>
      <c r="E140" s="161" t="s">
        <v>648</v>
      </c>
      <c r="F140" s="167">
        <v>3.907</v>
      </c>
      <c r="G140" s="161">
        <v>520</v>
      </c>
      <c r="H140" s="161">
        <v>125</v>
      </c>
      <c r="I140" s="161" t="s">
        <v>71</v>
      </c>
      <c r="J140" s="166">
        <v>2979</v>
      </c>
      <c r="K140" s="166">
        <v>6893</v>
      </c>
      <c r="L140" s="161">
        <v>3749</v>
      </c>
      <c r="M140" s="165" t="s">
        <v>589</v>
      </c>
      <c r="N140" s="164">
        <v>8.6</v>
      </c>
      <c r="O140" s="23">
        <f>IF(N140&gt;0,1/N140*37.7*68.6,"")</f>
        <v>300.72325581395353</v>
      </c>
      <c r="P140" s="163">
        <v>8.1199999999999992</v>
      </c>
      <c r="Q140" s="162" t="s">
        <v>593</v>
      </c>
      <c r="R140" s="161" t="s">
        <v>587</v>
      </c>
      <c r="S140" s="161" t="s">
        <v>586</v>
      </c>
      <c r="T140" s="160"/>
      <c r="U140" s="159"/>
      <c r="V140" s="158">
        <f>IFERROR(IF(N140&lt;P140,"",(ROUNDDOWN(N140/P140*100,0))),"")</f>
        <v>105</v>
      </c>
    </row>
    <row r="141" spans="1:22" ht="45" customHeight="1">
      <c r="A141" s="174"/>
      <c r="B141" s="173"/>
      <c r="C141" s="172"/>
      <c r="D141" s="168" t="s">
        <v>660</v>
      </c>
      <c r="E141" s="161" t="s">
        <v>648</v>
      </c>
      <c r="F141" s="167">
        <v>3.907</v>
      </c>
      <c r="G141" s="161">
        <v>520</v>
      </c>
      <c r="H141" s="161">
        <v>125</v>
      </c>
      <c r="I141" s="161" t="s">
        <v>71</v>
      </c>
      <c r="J141" s="166">
        <v>3543</v>
      </c>
      <c r="K141" s="166">
        <v>7928</v>
      </c>
      <c r="L141" s="161">
        <v>4275</v>
      </c>
      <c r="M141" s="165" t="s">
        <v>589</v>
      </c>
      <c r="N141" s="164">
        <v>7.7</v>
      </c>
      <c r="O141" s="23">
        <f>IF(N141&gt;0,1/N141*37.7*68.6,"")</f>
        <v>335.87272727272722</v>
      </c>
      <c r="P141" s="163">
        <v>7.24</v>
      </c>
      <c r="Q141" s="162" t="s">
        <v>593</v>
      </c>
      <c r="R141" s="161" t="s">
        <v>587</v>
      </c>
      <c r="S141" s="161" t="s">
        <v>586</v>
      </c>
      <c r="T141" s="160"/>
      <c r="U141" s="159"/>
      <c r="V141" s="158">
        <f>IFERROR(IF(N141&lt;P141,"",(ROUNDDOWN(N141/P141*100,0))),"")</f>
        <v>106</v>
      </c>
    </row>
    <row r="142" spans="1:22" ht="45" customHeight="1">
      <c r="A142" s="174"/>
      <c r="B142" s="173"/>
      <c r="C142" s="172"/>
      <c r="D142" s="168" t="s">
        <v>659</v>
      </c>
      <c r="E142" s="161" t="s">
        <v>648</v>
      </c>
      <c r="F142" s="167">
        <v>3.907</v>
      </c>
      <c r="G142" s="161">
        <v>520</v>
      </c>
      <c r="H142" s="161">
        <v>125</v>
      </c>
      <c r="I142" s="161" t="s">
        <v>71</v>
      </c>
      <c r="J142" s="166">
        <v>3543</v>
      </c>
      <c r="K142" s="166">
        <v>7928</v>
      </c>
      <c r="L142" s="161">
        <v>4275</v>
      </c>
      <c r="M142" s="165" t="s">
        <v>589</v>
      </c>
      <c r="N142" s="164">
        <v>7.7</v>
      </c>
      <c r="O142" s="23">
        <f>IF(N142&gt;0,1/N142*37.7*68.6,"")</f>
        <v>335.87272727272722</v>
      </c>
      <c r="P142" s="163">
        <v>7.24</v>
      </c>
      <c r="Q142" s="162" t="s">
        <v>593</v>
      </c>
      <c r="R142" s="161" t="s">
        <v>587</v>
      </c>
      <c r="S142" s="161" t="s">
        <v>586</v>
      </c>
      <c r="T142" s="160"/>
      <c r="U142" s="159"/>
      <c r="V142" s="158">
        <f>IFERROR(IF(N142&lt;P142,"",(ROUNDDOWN(N142/P142*100,0))),"")</f>
        <v>106</v>
      </c>
    </row>
    <row r="143" spans="1:22" ht="45" customHeight="1">
      <c r="A143" s="174"/>
      <c r="B143" s="173"/>
      <c r="C143" s="172"/>
      <c r="D143" s="168" t="s">
        <v>658</v>
      </c>
      <c r="E143" s="161" t="s">
        <v>648</v>
      </c>
      <c r="F143" s="167">
        <v>3.907</v>
      </c>
      <c r="G143" s="161">
        <v>520</v>
      </c>
      <c r="H143" s="161">
        <v>125</v>
      </c>
      <c r="I143" s="161" t="s">
        <v>71</v>
      </c>
      <c r="J143" s="166">
        <v>3543</v>
      </c>
      <c r="K143" s="166">
        <v>7928</v>
      </c>
      <c r="L143" s="161">
        <v>4275</v>
      </c>
      <c r="M143" s="165" t="s">
        <v>589</v>
      </c>
      <c r="N143" s="164">
        <v>7.7</v>
      </c>
      <c r="O143" s="23">
        <f>IF(N143&gt;0,1/N143*37.7*68.6,"")</f>
        <v>335.87272727272722</v>
      </c>
      <c r="P143" s="163">
        <v>7.24</v>
      </c>
      <c r="Q143" s="162" t="s">
        <v>593</v>
      </c>
      <c r="R143" s="161" t="s">
        <v>587</v>
      </c>
      <c r="S143" s="161" t="s">
        <v>586</v>
      </c>
      <c r="T143" s="160"/>
      <c r="U143" s="159"/>
      <c r="V143" s="158">
        <f>IFERROR(IF(N143&lt;P143,"",(ROUNDDOWN(N143/P143*100,0))),"")</f>
        <v>106</v>
      </c>
    </row>
    <row r="144" spans="1:22" ht="45" customHeight="1">
      <c r="A144" s="174"/>
      <c r="B144" s="173"/>
      <c r="C144" s="172"/>
      <c r="D144" s="168" t="s">
        <v>657</v>
      </c>
      <c r="E144" s="161" t="s">
        <v>648</v>
      </c>
      <c r="F144" s="167">
        <v>3.907</v>
      </c>
      <c r="G144" s="161">
        <v>520</v>
      </c>
      <c r="H144" s="161">
        <v>125</v>
      </c>
      <c r="I144" s="161" t="s">
        <v>71</v>
      </c>
      <c r="J144" s="166">
        <v>3543</v>
      </c>
      <c r="K144" s="166">
        <v>7928</v>
      </c>
      <c r="L144" s="161">
        <v>4275</v>
      </c>
      <c r="M144" s="165" t="s">
        <v>589</v>
      </c>
      <c r="N144" s="164">
        <v>7.7</v>
      </c>
      <c r="O144" s="23">
        <f>IF(N144&gt;0,1/N144*37.7*68.6,"")</f>
        <v>335.87272727272722</v>
      </c>
      <c r="P144" s="163">
        <v>7.24</v>
      </c>
      <c r="Q144" s="162" t="s">
        <v>593</v>
      </c>
      <c r="R144" s="161" t="s">
        <v>587</v>
      </c>
      <c r="S144" s="161" t="s">
        <v>586</v>
      </c>
      <c r="T144" s="160"/>
      <c r="U144" s="159"/>
      <c r="V144" s="158">
        <f>IFERROR(IF(N144&lt;P144,"",(ROUNDDOWN(N144/P144*100,0))),"")</f>
        <v>106</v>
      </c>
    </row>
    <row r="145" spans="1:22" ht="45" customHeight="1">
      <c r="A145" s="174"/>
      <c r="B145" s="173"/>
      <c r="C145" s="172"/>
      <c r="D145" s="168" t="s">
        <v>656</v>
      </c>
      <c r="E145" s="161" t="s">
        <v>648</v>
      </c>
      <c r="F145" s="167">
        <v>3.907</v>
      </c>
      <c r="G145" s="161">
        <v>520</v>
      </c>
      <c r="H145" s="161">
        <v>125</v>
      </c>
      <c r="I145" s="161" t="s">
        <v>71</v>
      </c>
      <c r="J145" s="166">
        <v>3543</v>
      </c>
      <c r="K145" s="166">
        <v>7928</v>
      </c>
      <c r="L145" s="161">
        <v>4275</v>
      </c>
      <c r="M145" s="165" t="s">
        <v>589</v>
      </c>
      <c r="N145" s="164">
        <v>7.7</v>
      </c>
      <c r="O145" s="23">
        <f>IF(N145&gt;0,1/N145*37.7*68.6,"")</f>
        <v>335.87272727272722</v>
      </c>
      <c r="P145" s="163">
        <v>7.24</v>
      </c>
      <c r="Q145" s="162" t="s">
        <v>588</v>
      </c>
      <c r="R145" s="161" t="s">
        <v>587</v>
      </c>
      <c r="S145" s="161" t="s">
        <v>586</v>
      </c>
      <c r="T145" s="160"/>
      <c r="U145" s="159"/>
      <c r="V145" s="158">
        <f>IFERROR(IF(N145&lt;P145,"",(ROUNDDOWN(N145/P145*100,0))),"")</f>
        <v>106</v>
      </c>
    </row>
    <row r="146" spans="1:22" ht="45" customHeight="1">
      <c r="A146" s="174"/>
      <c r="B146" s="173"/>
      <c r="C146" s="172"/>
      <c r="D146" s="168" t="s">
        <v>655</v>
      </c>
      <c r="E146" s="161" t="s">
        <v>648</v>
      </c>
      <c r="F146" s="167">
        <v>3.907</v>
      </c>
      <c r="G146" s="161">
        <v>520</v>
      </c>
      <c r="H146" s="161">
        <v>125</v>
      </c>
      <c r="I146" s="161" t="s">
        <v>71</v>
      </c>
      <c r="J146" s="166">
        <v>3543</v>
      </c>
      <c r="K146" s="166">
        <v>7928</v>
      </c>
      <c r="L146" s="161">
        <v>4275</v>
      </c>
      <c r="M146" s="165" t="s">
        <v>589</v>
      </c>
      <c r="N146" s="164">
        <v>7.7</v>
      </c>
      <c r="O146" s="23">
        <f>IF(N146&gt;0,1/N146*37.7*68.6,"")</f>
        <v>335.87272727272722</v>
      </c>
      <c r="P146" s="163">
        <v>7.24</v>
      </c>
      <c r="Q146" s="162" t="s">
        <v>588</v>
      </c>
      <c r="R146" s="161" t="s">
        <v>587</v>
      </c>
      <c r="S146" s="161" t="s">
        <v>586</v>
      </c>
      <c r="T146" s="160"/>
      <c r="U146" s="159"/>
      <c r="V146" s="158">
        <f>IFERROR(IF(N146&lt;P146,"",(ROUNDDOWN(N146/P146*100,0))),"")</f>
        <v>106</v>
      </c>
    </row>
    <row r="147" spans="1:22" ht="45" customHeight="1">
      <c r="A147" s="174"/>
      <c r="B147" s="173"/>
      <c r="C147" s="172"/>
      <c r="D147" s="168" t="s">
        <v>654</v>
      </c>
      <c r="E147" s="161" t="s">
        <v>648</v>
      </c>
      <c r="F147" s="167">
        <v>3.907</v>
      </c>
      <c r="G147" s="161">
        <v>520</v>
      </c>
      <c r="H147" s="161">
        <v>125</v>
      </c>
      <c r="I147" s="161" t="s">
        <v>71</v>
      </c>
      <c r="J147" s="166">
        <v>3543</v>
      </c>
      <c r="K147" s="166">
        <v>7928</v>
      </c>
      <c r="L147" s="161">
        <v>4275</v>
      </c>
      <c r="M147" s="165" t="s">
        <v>589</v>
      </c>
      <c r="N147" s="164">
        <v>7.7</v>
      </c>
      <c r="O147" s="23">
        <f>IF(N147&gt;0,1/N147*37.7*68.6,"")</f>
        <v>335.87272727272722</v>
      </c>
      <c r="P147" s="163">
        <v>7.24</v>
      </c>
      <c r="Q147" s="162" t="s">
        <v>588</v>
      </c>
      <c r="R147" s="161" t="s">
        <v>587</v>
      </c>
      <c r="S147" s="161" t="s">
        <v>586</v>
      </c>
      <c r="T147" s="160"/>
      <c r="U147" s="159"/>
      <c r="V147" s="158">
        <f>IFERROR(IF(N147&lt;P147,"",(ROUNDDOWN(N147/P147*100,0))),"")</f>
        <v>106</v>
      </c>
    </row>
    <row r="148" spans="1:22" ht="45" customHeight="1">
      <c r="A148" s="174"/>
      <c r="B148" s="173"/>
      <c r="C148" s="172"/>
      <c r="D148" s="168" t="s">
        <v>653</v>
      </c>
      <c r="E148" s="161" t="s">
        <v>648</v>
      </c>
      <c r="F148" s="167">
        <v>3.907</v>
      </c>
      <c r="G148" s="161">
        <v>520</v>
      </c>
      <c r="H148" s="161">
        <v>125</v>
      </c>
      <c r="I148" s="161" t="s">
        <v>71</v>
      </c>
      <c r="J148" s="166">
        <v>3543</v>
      </c>
      <c r="K148" s="166">
        <v>7928</v>
      </c>
      <c r="L148" s="161">
        <v>4275</v>
      </c>
      <c r="M148" s="165" t="s">
        <v>589</v>
      </c>
      <c r="N148" s="164">
        <v>7.7</v>
      </c>
      <c r="O148" s="23">
        <f>IF(N148&gt;0,1/N148*37.7*68.6,"")</f>
        <v>335.87272727272722</v>
      </c>
      <c r="P148" s="163">
        <v>7.24</v>
      </c>
      <c r="Q148" s="162" t="s">
        <v>588</v>
      </c>
      <c r="R148" s="161" t="s">
        <v>587</v>
      </c>
      <c r="S148" s="161" t="s">
        <v>586</v>
      </c>
      <c r="T148" s="160"/>
      <c r="U148" s="159"/>
      <c r="V148" s="158">
        <f>IFERROR(IF(N148&lt;P148,"",(ROUNDDOWN(N148/P148*100,0))),"")</f>
        <v>106</v>
      </c>
    </row>
    <row r="149" spans="1:22" ht="45" customHeight="1">
      <c r="A149" s="174"/>
      <c r="B149" s="173"/>
      <c r="C149" s="172"/>
      <c r="D149" s="168" t="s">
        <v>652</v>
      </c>
      <c r="E149" s="161" t="s">
        <v>648</v>
      </c>
      <c r="F149" s="167">
        <v>3.907</v>
      </c>
      <c r="G149" s="161">
        <v>520</v>
      </c>
      <c r="H149" s="161">
        <v>125</v>
      </c>
      <c r="I149" s="161" t="s">
        <v>71</v>
      </c>
      <c r="J149" s="166">
        <v>2979</v>
      </c>
      <c r="K149" s="166">
        <v>6893</v>
      </c>
      <c r="L149" s="161">
        <v>3749</v>
      </c>
      <c r="M149" s="165" t="s">
        <v>589</v>
      </c>
      <c r="N149" s="164">
        <v>8.6</v>
      </c>
      <c r="O149" s="23">
        <f>IF(N149&gt;0,1/N149*37.7*68.6,"")</f>
        <v>300.72325581395353</v>
      </c>
      <c r="P149" s="163">
        <v>8.1199999999999992</v>
      </c>
      <c r="Q149" s="162" t="s">
        <v>588</v>
      </c>
      <c r="R149" s="161" t="s">
        <v>587</v>
      </c>
      <c r="S149" s="161" t="s">
        <v>586</v>
      </c>
      <c r="T149" s="160"/>
      <c r="U149" s="159"/>
      <c r="V149" s="158">
        <f>IFERROR(IF(N149&lt;P149,"",(ROUNDDOWN(N149/P149*100,0))),"")</f>
        <v>105</v>
      </c>
    </row>
    <row r="150" spans="1:22" ht="45" customHeight="1">
      <c r="A150" s="174"/>
      <c r="B150" s="173"/>
      <c r="C150" s="172"/>
      <c r="D150" s="168" t="s">
        <v>651</v>
      </c>
      <c r="E150" s="161" t="s">
        <v>648</v>
      </c>
      <c r="F150" s="167">
        <v>3.907</v>
      </c>
      <c r="G150" s="161">
        <v>520</v>
      </c>
      <c r="H150" s="161">
        <v>125</v>
      </c>
      <c r="I150" s="161" t="s">
        <v>71</v>
      </c>
      <c r="J150" s="166">
        <v>2979</v>
      </c>
      <c r="K150" s="166">
        <v>6893</v>
      </c>
      <c r="L150" s="161">
        <v>3749</v>
      </c>
      <c r="M150" s="165" t="s">
        <v>589</v>
      </c>
      <c r="N150" s="164">
        <v>8.6</v>
      </c>
      <c r="O150" s="23">
        <f>IF(N150&gt;0,1/N150*37.7*68.6,"")</f>
        <v>300.72325581395353</v>
      </c>
      <c r="P150" s="163">
        <v>8.1199999999999992</v>
      </c>
      <c r="Q150" s="162" t="s">
        <v>588</v>
      </c>
      <c r="R150" s="161" t="s">
        <v>587</v>
      </c>
      <c r="S150" s="161" t="s">
        <v>586</v>
      </c>
      <c r="T150" s="160"/>
      <c r="U150" s="159"/>
      <c r="V150" s="158">
        <f>IFERROR(IF(N150&lt;P150,"",(ROUNDDOWN(N150/P150*100,0))),"")</f>
        <v>105</v>
      </c>
    </row>
    <row r="151" spans="1:22" ht="45" customHeight="1">
      <c r="A151" s="174"/>
      <c r="B151" s="173"/>
      <c r="C151" s="172"/>
      <c r="D151" s="168" t="s">
        <v>650</v>
      </c>
      <c r="E151" s="161" t="s">
        <v>648</v>
      </c>
      <c r="F151" s="167">
        <v>3.907</v>
      </c>
      <c r="G151" s="161">
        <v>520</v>
      </c>
      <c r="H151" s="161">
        <v>125</v>
      </c>
      <c r="I151" s="161" t="s">
        <v>71</v>
      </c>
      <c r="J151" s="166">
        <v>2979</v>
      </c>
      <c r="K151" s="166">
        <v>6893</v>
      </c>
      <c r="L151" s="161">
        <v>3749</v>
      </c>
      <c r="M151" s="165" t="s">
        <v>589</v>
      </c>
      <c r="N151" s="164">
        <v>8.6</v>
      </c>
      <c r="O151" s="23">
        <f>IF(N151&gt;0,1/N151*37.7*68.6,"")</f>
        <v>300.72325581395353</v>
      </c>
      <c r="P151" s="163">
        <v>8.1199999999999992</v>
      </c>
      <c r="Q151" s="162" t="s">
        <v>588</v>
      </c>
      <c r="R151" s="161" t="s">
        <v>587</v>
      </c>
      <c r="S151" s="161" t="s">
        <v>586</v>
      </c>
      <c r="T151" s="160"/>
      <c r="U151" s="159"/>
      <c r="V151" s="158">
        <f>IFERROR(IF(N151&lt;P151,"",(ROUNDDOWN(N151/P151*100,0))),"")</f>
        <v>105</v>
      </c>
    </row>
    <row r="152" spans="1:22" ht="45" customHeight="1">
      <c r="A152" s="174"/>
      <c r="B152" s="173"/>
      <c r="C152" s="172"/>
      <c r="D152" s="168" t="s">
        <v>649</v>
      </c>
      <c r="E152" s="161" t="s">
        <v>648</v>
      </c>
      <c r="F152" s="167">
        <v>3.907</v>
      </c>
      <c r="G152" s="161">
        <v>520</v>
      </c>
      <c r="H152" s="161">
        <v>125</v>
      </c>
      <c r="I152" s="161" t="s">
        <v>71</v>
      </c>
      <c r="J152" s="166">
        <v>2979</v>
      </c>
      <c r="K152" s="166">
        <v>6893</v>
      </c>
      <c r="L152" s="161">
        <v>3749</v>
      </c>
      <c r="M152" s="165" t="s">
        <v>589</v>
      </c>
      <c r="N152" s="164">
        <v>8.6</v>
      </c>
      <c r="O152" s="23">
        <f>IF(N152&gt;0,1/N152*37.7*68.6,"")</f>
        <v>300.72325581395353</v>
      </c>
      <c r="P152" s="163">
        <v>8.1199999999999992</v>
      </c>
      <c r="Q152" s="162" t="s">
        <v>588</v>
      </c>
      <c r="R152" s="161" t="s">
        <v>587</v>
      </c>
      <c r="S152" s="161" t="s">
        <v>586</v>
      </c>
      <c r="T152" s="160"/>
      <c r="U152" s="159"/>
      <c r="V152" s="158">
        <f>IFERROR(IF(N152&lt;P152,"",(ROUNDDOWN(N152/P152*100,0))),"")</f>
        <v>105</v>
      </c>
    </row>
    <row r="153" spans="1:22" ht="45" customHeight="1">
      <c r="A153" s="174"/>
      <c r="B153" s="173"/>
      <c r="C153" s="172"/>
      <c r="D153" s="168" t="s">
        <v>647</v>
      </c>
      <c r="E153" s="161" t="s">
        <v>643</v>
      </c>
      <c r="F153" s="167">
        <v>7.5449999999999999</v>
      </c>
      <c r="G153" s="161">
        <v>745</v>
      </c>
      <c r="H153" s="161">
        <v>162</v>
      </c>
      <c r="I153" s="161" t="s">
        <v>71</v>
      </c>
      <c r="J153" s="166">
        <v>3543</v>
      </c>
      <c r="K153" s="166">
        <v>7928</v>
      </c>
      <c r="L153" s="161">
        <v>4275</v>
      </c>
      <c r="M153" s="165" t="s">
        <v>589</v>
      </c>
      <c r="N153" s="164">
        <v>7.3</v>
      </c>
      <c r="O153" s="23">
        <f>IF(N153&gt;0,1/N153*37.7*68.6,"")</f>
        <v>354.27671232876708</v>
      </c>
      <c r="P153" s="163">
        <v>7.24</v>
      </c>
      <c r="Q153" s="162" t="s">
        <v>593</v>
      </c>
      <c r="R153" s="161" t="s">
        <v>587</v>
      </c>
      <c r="S153" s="161" t="s">
        <v>586</v>
      </c>
      <c r="T153" s="160"/>
      <c r="U153" s="159"/>
      <c r="V153" s="158">
        <f>IFERROR(IF(N153&lt;P153,"",(ROUNDDOWN(N153/P153*100,0))),"")</f>
        <v>100</v>
      </c>
    </row>
    <row r="154" spans="1:22" ht="45" customHeight="1">
      <c r="A154" s="174"/>
      <c r="B154" s="173"/>
      <c r="C154" s="172"/>
      <c r="D154" s="168" t="s">
        <v>646</v>
      </c>
      <c r="E154" s="161" t="s">
        <v>643</v>
      </c>
      <c r="F154" s="167">
        <v>7.5449999999999999</v>
      </c>
      <c r="G154" s="161">
        <v>745</v>
      </c>
      <c r="H154" s="161">
        <v>162</v>
      </c>
      <c r="I154" s="161" t="s">
        <v>71</v>
      </c>
      <c r="J154" s="166">
        <v>3543</v>
      </c>
      <c r="K154" s="166">
        <v>7928</v>
      </c>
      <c r="L154" s="161">
        <v>4275</v>
      </c>
      <c r="M154" s="165" t="s">
        <v>589</v>
      </c>
      <c r="N154" s="164">
        <v>7.3</v>
      </c>
      <c r="O154" s="23">
        <f>IF(N154&gt;0,1/N154*37.7*68.6,"")</f>
        <v>354.27671232876708</v>
      </c>
      <c r="P154" s="163">
        <v>7.24</v>
      </c>
      <c r="Q154" s="162" t="s">
        <v>593</v>
      </c>
      <c r="R154" s="161" t="s">
        <v>587</v>
      </c>
      <c r="S154" s="161" t="s">
        <v>586</v>
      </c>
      <c r="T154" s="160"/>
      <c r="U154" s="159"/>
      <c r="V154" s="158">
        <f>IFERROR(IF(N154&lt;P154,"",(ROUNDDOWN(N154/P154*100,0))),"")</f>
        <v>100</v>
      </c>
    </row>
    <row r="155" spans="1:22" ht="45" customHeight="1">
      <c r="A155" s="174"/>
      <c r="B155" s="173"/>
      <c r="C155" s="172"/>
      <c r="D155" s="168" t="s">
        <v>646</v>
      </c>
      <c r="E155" s="161" t="s">
        <v>643</v>
      </c>
      <c r="F155" s="167">
        <v>7.5449999999999999</v>
      </c>
      <c r="G155" s="161">
        <v>745</v>
      </c>
      <c r="H155" s="161">
        <v>177</v>
      </c>
      <c r="I155" s="161" t="s">
        <v>71</v>
      </c>
      <c r="J155" s="166">
        <v>3543</v>
      </c>
      <c r="K155" s="166">
        <v>7928</v>
      </c>
      <c r="L155" s="161">
        <v>4275</v>
      </c>
      <c r="M155" s="165" t="s">
        <v>589</v>
      </c>
      <c r="N155" s="164">
        <v>7.3</v>
      </c>
      <c r="O155" s="23">
        <f>IF(N155&gt;0,1/N155*37.7*68.6,"")</f>
        <v>354.27671232876708</v>
      </c>
      <c r="P155" s="163">
        <v>7.24</v>
      </c>
      <c r="Q155" s="162" t="s">
        <v>588</v>
      </c>
      <c r="R155" s="161" t="s">
        <v>587</v>
      </c>
      <c r="S155" s="161" t="s">
        <v>586</v>
      </c>
      <c r="T155" s="160"/>
      <c r="U155" s="159"/>
      <c r="V155" s="158">
        <f>IFERROR(IF(N155&lt;P155,"",(ROUNDDOWN(N155/P155*100,0))),"")</f>
        <v>100</v>
      </c>
    </row>
    <row r="156" spans="1:22" ht="45" customHeight="1">
      <c r="A156" s="174"/>
      <c r="B156" s="173"/>
      <c r="C156" s="172"/>
      <c r="D156" s="168" t="s">
        <v>646</v>
      </c>
      <c r="E156" s="161" t="s">
        <v>643</v>
      </c>
      <c r="F156" s="167">
        <v>7.5449999999999999</v>
      </c>
      <c r="G156" s="161">
        <v>785</v>
      </c>
      <c r="H156" s="161">
        <v>199</v>
      </c>
      <c r="I156" s="161" t="s">
        <v>71</v>
      </c>
      <c r="J156" s="166">
        <v>3543</v>
      </c>
      <c r="K156" s="166">
        <v>7928</v>
      </c>
      <c r="L156" s="161">
        <v>4275</v>
      </c>
      <c r="M156" s="165" t="s">
        <v>589</v>
      </c>
      <c r="N156" s="164">
        <v>7.3</v>
      </c>
      <c r="O156" s="23">
        <f>IF(N156&gt;0,1/N156*37.7*68.6,"")</f>
        <v>354.27671232876708</v>
      </c>
      <c r="P156" s="163">
        <v>7.24</v>
      </c>
      <c r="Q156" s="162" t="s">
        <v>588</v>
      </c>
      <c r="R156" s="161" t="s">
        <v>587</v>
      </c>
      <c r="S156" s="161" t="s">
        <v>586</v>
      </c>
      <c r="T156" s="160"/>
      <c r="U156" s="159"/>
      <c r="V156" s="158">
        <f>IFERROR(IF(N156&lt;P156,"",(ROUNDDOWN(N156/P156*100,0))),"")</f>
        <v>100</v>
      </c>
    </row>
    <row r="157" spans="1:22" ht="45" customHeight="1">
      <c r="A157" s="174"/>
      <c r="B157" s="173"/>
      <c r="C157" s="172"/>
      <c r="D157" s="168" t="s">
        <v>645</v>
      </c>
      <c r="E157" s="161" t="s">
        <v>643</v>
      </c>
      <c r="F157" s="167">
        <v>7.5449999999999999</v>
      </c>
      <c r="G157" s="161">
        <v>745</v>
      </c>
      <c r="H157" s="161">
        <v>162</v>
      </c>
      <c r="I157" s="161" t="s">
        <v>71</v>
      </c>
      <c r="J157" s="166">
        <v>3543</v>
      </c>
      <c r="K157" s="166">
        <v>7928</v>
      </c>
      <c r="L157" s="161">
        <v>4275</v>
      </c>
      <c r="M157" s="165" t="s">
        <v>589</v>
      </c>
      <c r="N157" s="164">
        <v>7.3</v>
      </c>
      <c r="O157" s="23">
        <f>IF(N157&gt;0,1/N157*37.7*68.6,"")</f>
        <v>354.27671232876708</v>
      </c>
      <c r="P157" s="163">
        <v>7.24</v>
      </c>
      <c r="Q157" s="162" t="s">
        <v>593</v>
      </c>
      <c r="R157" s="161" t="s">
        <v>587</v>
      </c>
      <c r="S157" s="161" t="s">
        <v>586</v>
      </c>
      <c r="T157" s="160"/>
      <c r="U157" s="159"/>
      <c r="V157" s="158">
        <f>IFERROR(IF(N157&lt;P157,"",(ROUNDDOWN(N157/P157*100,0))),"")</f>
        <v>100</v>
      </c>
    </row>
    <row r="158" spans="1:22" ht="45" customHeight="1">
      <c r="A158" s="174"/>
      <c r="B158" s="173"/>
      <c r="C158" s="172"/>
      <c r="D158" s="168" t="s">
        <v>644</v>
      </c>
      <c r="E158" s="161" t="s">
        <v>643</v>
      </c>
      <c r="F158" s="167">
        <v>7.5449999999999999</v>
      </c>
      <c r="G158" s="161">
        <v>745</v>
      </c>
      <c r="H158" s="161">
        <v>162</v>
      </c>
      <c r="I158" s="161" t="s">
        <v>71</v>
      </c>
      <c r="J158" s="166">
        <v>3543</v>
      </c>
      <c r="K158" s="166">
        <v>7928</v>
      </c>
      <c r="L158" s="161">
        <v>4275</v>
      </c>
      <c r="M158" s="165" t="s">
        <v>589</v>
      </c>
      <c r="N158" s="164">
        <v>7.3</v>
      </c>
      <c r="O158" s="23">
        <f>IF(N158&gt;0,1/N158*37.7*68.6,"")</f>
        <v>354.27671232876708</v>
      </c>
      <c r="P158" s="163">
        <v>7.24</v>
      </c>
      <c r="Q158" s="162" t="s">
        <v>593</v>
      </c>
      <c r="R158" s="161" t="s">
        <v>587</v>
      </c>
      <c r="S158" s="161" t="s">
        <v>586</v>
      </c>
      <c r="T158" s="160"/>
      <c r="U158" s="159"/>
      <c r="V158" s="158">
        <f>IFERROR(IF(N158&lt;P158,"",(ROUNDDOWN(N158/P158*100,0))),"")</f>
        <v>100</v>
      </c>
    </row>
    <row r="159" spans="1:22" ht="45" customHeight="1">
      <c r="A159" s="174"/>
      <c r="B159" s="173"/>
      <c r="C159" s="172"/>
      <c r="D159" s="168" t="s">
        <v>644</v>
      </c>
      <c r="E159" s="161" t="s">
        <v>643</v>
      </c>
      <c r="F159" s="167">
        <v>7.5449999999999999</v>
      </c>
      <c r="G159" s="161">
        <v>745</v>
      </c>
      <c r="H159" s="161">
        <v>177</v>
      </c>
      <c r="I159" s="161" t="s">
        <v>71</v>
      </c>
      <c r="J159" s="166">
        <v>3543</v>
      </c>
      <c r="K159" s="166">
        <v>7928</v>
      </c>
      <c r="L159" s="161">
        <v>4275</v>
      </c>
      <c r="M159" s="165" t="s">
        <v>589</v>
      </c>
      <c r="N159" s="164">
        <v>7.3</v>
      </c>
      <c r="O159" s="23">
        <f>IF(N159&gt;0,1/N159*37.7*68.6,"")</f>
        <v>354.27671232876708</v>
      </c>
      <c r="P159" s="163">
        <v>7.24</v>
      </c>
      <c r="Q159" s="162" t="s">
        <v>588</v>
      </c>
      <c r="R159" s="161" t="s">
        <v>587</v>
      </c>
      <c r="S159" s="161" t="s">
        <v>586</v>
      </c>
      <c r="T159" s="160"/>
      <c r="U159" s="159"/>
      <c r="V159" s="158">
        <f>IFERROR(IF(N159&lt;P159,"",(ROUNDDOWN(N159/P159*100,0))),"")</f>
        <v>100</v>
      </c>
    </row>
    <row r="160" spans="1:22" ht="45" customHeight="1">
      <c r="A160" s="174"/>
      <c r="B160" s="170"/>
      <c r="C160" s="169"/>
      <c r="D160" s="168" t="s">
        <v>644</v>
      </c>
      <c r="E160" s="161" t="s">
        <v>643</v>
      </c>
      <c r="F160" s="167">
        <v>7.5449999999999999</v>
      </c>
      <c r="G160" s="161">
        <v>785</v>
      </c>
      <c r="H160" s="161">
        <v>199</v>
      </c>
      <c r="I160" s="161" t="s">
        <v>71</v>
      </c>
      <c r="J160" s="166">
        <v>3543</v>
      </c>
      <c r="K160" s="166">
        <v>7928</v>
      </c>
      <c r="L160" s="161">
        <v>4275</v>
      </c>
      <c r="M160" s="165" t="s">
        <v>589</v>
      </c>
      <c r="N160" s="164">
        <v>7.3</v>
      </c>
      <c r="O160" s="23">
        <f>IF(N160&gt;0,1/N160*37.7*68.6,"")</f>
        <v>354.27671232876708</v>
      </c>
      <c r="P160" s="163">
        <v>7.24</v>
      </c>
      <c r="Q160" s="162" t="s">
        <v>588</v>
      </c>
      <c r="R160" s="161" t="s">
        <v>587</v>
      </c>
      <c r="S160" s="161" t="s">
        <v>586</v>
      </c>
      <c r="T160" s="160"/>
      <c r="U160" s="159"/>
      <c r="V160" s="158">
        <f>IFERROR(IF(N160&lt;P160,"",(ROUNDDOWN(N160/P160*100,0))),"")</f>
        <v>100</v>
      </c>
    </row>
    <row r="161" spans="1:22" ht="45" customHeight="1">
      <c r="A161" s="174"/>
      <c r="B161" s="176"/>
      <c r="C161" s="175" t="s">
        <v>642</v>
      </c>
      <c r="D161" s="168" t="s">
        <v>641</v>
      </c>
      <c r="E161" s="161" t="s">
        <v>590</v>
      </c>
      <c r="F161" s="167">
        <v>2.9980000000000002</v>
      </c>
      <c r="G161" s="161">
        <v>430</v>
      </c>
      <c r="H161" s="161">
        <v>110</v>
      </c>
      <c r="I161" s="161" t="s">
        <v>71</v>
      </c>
      <c r="J161" s="166">
        <v>2979</v>
      </c>
      <c r="K161" s="166">
        <v>6893</v>
      </c>
      <c r="L161" s="161">
        <v>3749</v>
      </c>
      <c r="M161" s="165" t="s">
        <v>589</v>
      </c>
      <c r="N161" s="164">
        <v>8.8000000000000007</v>
      </c>
      <c r="O161" s="23">
        <f>IF(N161&gt;0,1/N161*37.7*68.6,"")</f>
        <v>293.88863636363635</v>
      </c>
      <c r="P161" s="163">
        <v>8.1199999999999992</v>
      </c>
      <c r="Q161" s="162" t="s">
        <v>593</v>
      </c>
      <c r="R161" s="161" t="s">
        <v>587</v>
      </c>
      <c r="S161" s="161" t="s">
        <v>586</v>
      </c>
      <c r="T161" s="160"/>
      <c r="U161" s="159"/>
      <c r="V161" s="158">
        <f>IFERROR(IF(N161&lt;P161,"",(ROUNDDOWN(N161/P161*100,0))),"")</f>
        <v>108</v>
      </c>
    </row>
    <row r="162" spans="1:22" ht="45" customHeight="1">
      <c r="A162" s="174"/>
      <c r="B162" s="173"/>
      <c r="C162" s="172"/>
      <c r="D162" s="168" t="s">
        <v>641</v>
      </c>
      <c r="E162" s="161" t="s">
        <v>590</v>
      </c>
      <c r="F162" s="167">
        <v>2.9980000000000002</v>
      </c>
      <c r="G162" s="161">
        <v>430</v>
      </c>
      <c r="H162" s="161">
        <v>110</v>
      </c>
      <c r="I162" s="161" t="s">
        <v>70</v>
      </c>
      <c r="J162" s="166">
        <v>2979</v>
      </c>
      <c r="K162" s="166">
        <v>6893</v>
      </c>
      <c r="L162" s="161">
        <v>3749</v>
      </c>
      <c r="M162" s="165" t="s">
        <v>589</v>
      </c>
      <c r="N162" s="164">
        <v>8.6999999999999993</v>
      </c>
      <c r="O162" s="23">
        <f>IF(N162&gt;0,1/N162*37.7*68.6,"")</f>
        <v>297.26666666666671</v>
      </c>
      <c r="P162" s="163">
        <v>8.1199999999999992</v>
      </c>
      <c r="Q162" s="162" t="s">
        <v>593</v>
      </c>
      <c r="R162" s="161" t="s">
        <v>587</v>
      </c>
      <c r="S162" s="161" t="s">
        <v>586</v>
      </c>
      <c r="T162" s="160"/>
      <c r="U162" s="159"/>
      <c r="V162" s="158">
        <f>IFERROR(IF(N162&lt;P162,"",(ROUNDDOWN(N162/P162*100,0))),"")</f>
        <v>107</v>
      </c>
    </row>
    <row r="163" spans="1:22" ht="45" customHeight="1">
      <c r="A163" s="174"/>
      <c r="B163" s="173"/>
      <c r="C163" s="172"/>
      <c r="D163" s="168" t="s">
        <v>641</v>
      </c>
      <c r="E163" s="161" t="s">
        <v>590</v>
      </c>
      <c r="F163" s="167">
        <v>2.9980000000000002</v>
      </c>
      <c r="G163" s="161">
        <v>430</v>
      </c>
      <c r="H163" s="161">
        <v>110</v>
      </c>
      <c r="I163" s="161" t="s">
        <v>598</v>
      </c>
      <c r="J163" s="166">
        <v>3543</v>
      </c>
      <c r="K163" s="166">
        <v>7928</v>
      </c>
      <c r="L163" s="161">
        <v>4275</v>
      </c>
      <c r="M163" s="165" t="s">
        <v>589</v>
      </c>
      <c r="N163" s="164">
        <v>7.9</v>
      </c>
      <c r="O163" s="23">
        <f>IF(N163&gt;0,1/N163*37.7*68.6,"")</f>
        <v>327.3696202531645</v>
      </c>
      <c r="P163" s="163">
        <v>7.24</v>
      </c>
      <c r="Q163" s="162" t="s">
        <v>593</v>
      </c>
      <c r="R163" s="161" t="s">
        <v>587</v>
      </c>
      <c r="S163" s="161" t="s">
        <v>586</v>
      </c>
      <c r="T163" s="160"/>
      <c r="U163" s="159"/>
      <c r="V163" s="158">
        <f>IFERROR(IF(N163&lt;P163,"",(ROUNDDOWN(N163/P163*100,0))),"")</f>
        <v>109</v>
      </c>
    </row>
    <row r="164" spans="1:22" ht="45" customHeight="1">
      <c r="A164" s="174"/>
      <c r="B164" s="173"/>
      <c r="C164" s="172"/>
      <c r="D164" s="168" t="s">
        <v>641</v>
      </c>
      <c r="E164" s="161" t="s">
        <v>590</v>
      </c>
      <c r="F164" s="167">
        <v>2.9980000000000002</v>
      </c>
      <c r="G164" s="161">
        <v>430</v>
      </c>
      <c r="H164" s="161">
        <v>129</v>
      </c>
      <c r="I164" s="161" t="s">
        <v>71</v>
      </c>
      <c r="J164" s="166">
        <v>3543</v>
      </c>
      <c r="K164" s="166">
        <v>7928</v>
      </c>
      <c r="L164" s="161">
        <v>4275</v>
      </c>
      <c r="M164" s="165" t="s">
        <v>589</v>
      </c>
      <c r="N164" s="164">
        <v>7.9</v>
      </c>
      <c r="O164" s="23">
        <f>IF(N164&gt;0,1/N164*37.7*68.6,"")</f>
        <v>327.3696202531645</v>
      </c>
      <c r="P164" s="163">
        <v>7.24</v>
      </c>
      <c r="Q164" s="162" t="s">
        <v>593</v>
      </c>
      <c r="R164" s="161" t="s">
        <v>587</v>
      </c>
      <c r="S164" s="161" t="s">
        <v>586</v>
      </c>
      <c r="T164" s="160"/>
      <c r="U164" s="159"/>
      <c r="V164" s="158">
        <f>IFERROR(IF(N164&lt;P164,"",(ROUNDDOWN(N164/P164*100,0))),"")</f>
        <v>109</v>
      </c>
    </row>
    <row r="165" spans="1:22" ht="45" customHeight="1">
      <c r="A165" s="174"/>
      <c r="B165" s="173"/>
      <c r="C165" s="172"/>
      <c r="D165" s="168" t="s">
        <v>641</v>
      </c>
      <c r="E165" s="161" t="s">
        <v>590</v>
      </c>
      <c r="F165" s="167">
        <v>2.9980000000000002</v>
      </c>
      <c r="G165" s="161">
        <v>430</v>
      </c>
      <c r="H165" s="161">
        <v>129</v>
      </c>
      <c r="I165" s="161" t="s">
        <v>70</v>
      </c>
      <c r="J165" s="166">
        <v>3543</v>
      </c>
      <c r="K165" s="166">
        <v>7928</v>
      </c>
      <c r="L165" s="161">
        <v>4275</v>
      </c>
      <c r="M165" s="165" t="s">
        <v>589</v>
      </c>
      <c r="N165" s="164">
        <v>7.8</v>
      </c>
      <c r="O165" s="23">
        <f>IF(N165&gt;0,1/N165*37.7*68.6,"")</f>
        <v>331.56666666666666</v>
      </c>
      <c r="P165" s="163">
        <v>7.24</v>
      </c>
      <c r="Q165" s="162" t="s">
        <v>593</v>
      </c>
      <c r="R165" s="161" t="s">
        <v>587</v>
      </c>
      <c r="S165" s="161" t="s">
        <v>586</v>
      </c>
      <c r="T165" s="160"/>
      <c r="U165" s="159"/>
      <c r="V165" s="158">
        <f>IFERROR(IF(N165&lt;P165,"",(ROUNDDOWN(N165/P165*100,0))),"")</f>
        <v>107</v>
      </c>
    </row>
    <row r="166" spans="1:22" ht="45" customHeight="1">
      <c r="A166" s="174"/>
      <c r="B166" s="173"/>
      <c r="C166" s="172"/>
      <c r="D166" s="168" t="s">
        <v>641</v>
      </c>
      <c r="E166" s="161" t="s">
        <v>590</v>
      </c>
      <c r="F166" s="167">
        <v>2.9980000000000002</v>
      </c>
      <c r="G166" s="161">
        <v>430</v>
      </c>
      <c r="H166" s="161">
        <v>129</v>
      </c>
      <c r="I166" s="161" t="s">
        <v>71</v>
      </c>
      <c r="J166" s="166">
        <v>2979</v>
      </c>
      <c r="K166" s="166">
        <v>6893</v>
      </c>
      <c r="L166" s="161">
        <v>3749</v>
      </c>
      <c r="M166" s="165" t="s">
        <v>589</v>
      </c>
      <c r="N166" s="164">
        <v>8.6999999999999993</v>
      </c>
      <c r="O166" s="23">
        <f>IF(N166&gt;0,1/N166*37.7*68.6,"")</f>
        <v>297.26666666666671</v>
      </c>
      <c r="P166" s="163">
        <v>8.1199999999999992</v>
      </c>
      <c r="Q166" s="162" t="s">
        <v>593</v>
      </c>
      <c r="R166" s="161" t="s">
        <v>587</v>
      </c>
      <c r="S166" s="161" t="s">
        <v>586</v>
      </c>
      <c r="T166" s="160"/>
      <c r="U166" s="159"/>
      <c r="V166" s="158">
        <f>IFERROR(IF(N166&lt;P166,"",(ROUNDDOWN(N166/P166*100,0))),"")</f>
        <v>107</v>
      </c>
    </row>
    <row r="167" spans="1:22" ht="45" customHeight="1">
      <c r="A167" s="174"/>
      <c r="B167" s="173"/>
      <c r="C167" s="172"/>
      <c r="D167" s="168" t="s">
        <v>641</v>
      </c>
      <c r="E167" s="161" t="s">
        <v>590</v>
      </c>
      <c r="F167" s="167">
        <v>2.9980000000000002</v>
      </c>
      <c r="G167" s="161">
        <v>430</v>
      </c>
      <c r="H167" s="161">
        <v>129</v>
      </c>
      <c r="I167" s="161" t="s">
        <v>70</v>
      </c>
      <c r="J167" s="166">
        <v>2979</v>
      </c>
      <c r="K167" s="166">
        <v>6893</v>
      </c>
      <c r="L167" s="161">
        <v>3749</v>
      </c>
      <c r="M167" s="165" t="s">
        <v>589</v>
      </c>
      <c r="N167" s="164">
        <v>8.6</v>
      </c>
      <c r="O167" s="23">
        <f>IF(N167&gt;0,1/N167*37.7*68.6,"")</f>
        <v>300.72325581395353</v>
      </c>
      <c r="P167" s="163">
        <v>8.1199999999999992</v>
      </c>
      <c r="Q167" s="162" t="s">
        <v>593</v>
      </c>
      <c r="R167" s="161" t="s">
        <v>587</v>
      </c>
      <c r="S167" s="161" t="s">
        <v>586</v>
      </c>
      <c r="T167" s="160"/>
      <c r="U167" s="159"/>
      <c r="V167" s="158">
        <f>IFERROR(IF(N167&lt;P167,"",(ROUNDDOWN(N167/P167*100,0))),"")</f>
        <v>105</v>
      </c>
    </row>
    <row r="168" spans="1:22" ht="45" customHeight="1">
      <c r="A168" s="174"/>
      <c r="B168" s="173"/>
      <c r="C168" s="172"/>
      <c r="D168" s="168" t="s">
        <v>641</v>
      </c>
      <c r="E168" s="161" t="s">
        <v>590</v>
      </c>
      <c r="F168" s="167">
        <v>2.9980000000000002</v>
      </c>
      <c r="G168" s="161">
        <v>430</v>
      </c>
      <c r="H168" s="161">
        <v>129</v>
      </c>
      <c r="I168" s="161" t="s">
        <v>70</v>
      </c>
      <c r="J168" s="166">
        <v>2979</v>
      </c>
      <c r="K168" s="166">
        <v>6893</v>
      </c>
      <c r="L168" s="161">
        <v>3749</v>
      </c>
      <c r="M168" s="165" t="s">
        <v>589</v>
      </c>
      <c r="N168" s="164">
        <v>8.8000000000000007</v>
      </c>
      <c r="O168" s="23">
        <f>IF(N168&gt;0,1/N168*37.7*68.6,"")</f>
        <v>293.88863636363635</v>
      </c>
      <c r="P168" s="163">
        <v>8.1199999999999992</v>
      </c>
      <c r="Q168" s="162" t="s">
        <v>588</v>
      </c>
      <c r="R168" s="161" t="s">
        <v>587</v>
      </c>
      <c r="S168" s="161" t="s">
        <v>586</v>
      </c>
      <c r="T168" s="160"/>
      <c r="U168" s="159"/>
      <c r="V168" s="158">
        <f>IFERROR(IF(N168&lt;P168,"",(ROUNDDOWN(N168/P168*100,0))),"")</f>
        <v>108</v>
      </c>
    </row>
    <row r="169" spans="1:22" ht="45" customHeight="1">
      <c r="A169" s="174"/>
      <c r="B169" s="173"/>
      <c r="C169" s="172"/>
      <c r="D169" s="168" t="s">
        <v>641</v>
      </c>
      <c r="E169" s="161" t="s">
        <v>590</v>
      </c>
      <c r="F169" s="167">
        <v>2.9980000000000002</v>
      </c>
      <c r="G169" s="161">
        <v>430</v>
      </c>
      <c r="H169" s="161">
        <v>129</v>
      </c>
      <c r="I169" s="161" t="s">
        <v>70</v>
      </c>
      <c r="J169" s="166">
        <v>3543</v>
      </c>
      <c r="K169" s="166">
        <v>7928</v>
      </c>
      <c r="L169" s="161">
        <v>4275</v>
      </c>
      <c r="M169" s="165" t="s">
        <v>589</v>
      </c>
      <c r="N169" s="164">
        <v>7.7</v>
      </c>
      <c r="O169" s="23">
        <f>IF(N169&gt;0,1/N169*37.7*68.6,"")</f>
        <v>335.87272727272722</v>
      </c>
      <c r="P169" s="163">
        <v>7.24</v>
      </c>
      <c r="Q169" s="162" t="s">
        <v>588</v>
      </c>
      <c r="R169" s="161" t="s">
        <v>587</v>
      </c>
      <c r="S169" s="161" t="s">
        <v>586</v>
      </c>
      <c r="T169" s="160"/>
      <c r="U169" s="159"/>
      <c r="V169" s="158">
        <f>IFERROR(IF(N169&lt;P169,"",(ROUNDDOWN(N169/P169*100,0))),"")</f>
        <v>106</v>
      </c>
    </row>
    <row r="170" spans="1:22" ht="45" customHeight="1">
      <c r="A170" s="174"/>
      <c r="B170" s="173"/>
      <c r="C170" s="172"/>
      <c r="D170" s="168" t="s">
        <v>640</v>
      </c>
      <c r="E170" s="161" t="s">
        <v>590</v>
      </c>
      <c r="F170" s="167">
        <v>2.9980000000000002</v>
      </c>
      <c r="G170" s="161">
        <v>430</v>
      </c>
      <c r="H170" s="161">
        <v>110</v>
      </c>
      <c r="I170" s="161" t="s">
        <v>598</v>
      </c>
      <c r="J170" s="166">
        <v>2979</v>
      </c>
      <c r="K170" s="166">
        <v>6893</v>
      </c>
      <c r="L170" s="161">
        <v>3749</v>
      </c>
      <c r="M170" s="165" t="s">
        <v>589</v>
      </c>
      <c r="N170" s="164">
        <v>9</v>
      </c>
      <c r="O170" s="23">
        <f>IF(N170&gt;0,1/N170*37.7*68.6,"")</f>
        <v>287.35777777777776</v>
      </c>
      <c r="P170" s="163">
        <v>8.1199999999999992</v>
      </c>
      <c r="Q170" s="162" t="s">
        <v>588</v>
      </c>
      <c r="R170" s="161" t="s">
        <v>587</v>
      </c>
      <c r="S170" s="161" t="s">
        <v>586</v>
      </c>
      <c r="T170" s="160"/>
      <c r="U170" s="159"/>
      <c r="V170" s="158">
        <f>IFERROR(IF(N170&lt;P170,"",(ROUNDDOWN(N170/P170*100,0))),"")</f>
        <v>110</v>
      </c>
    </row>
    <row r="171" spans="1:22" ht="45" customHeight="1">
      <c r="A171" s="174"/>
      <c r="B171" s="173"/>
      <c r="C171" s="172"/>
      <c r="D171" s="168" t="s">
        <v>640</v>
      </c>
      <c r="E171" s="161" t="s">
        <v>590</v>
      </c>
      <c r="F171" s="167">
        <v>2.9980000000000002</v>
      </c>
      <c r="G171" s="161">
        <v>430</v>
      </c>
      <c r="H171" s="161">
        <v>110</v>
      </c>
      <c r="I171" s="161" t="s">
        <v>71</v>
      </c>
      <c r="J171" s="166">
        <v>3543</v>
      </c>
      <c r="K171" s="166">
        <v>7928</v>
      </c>
      <c r="L171" s="161">
        <v>4275</v>
      </c>
      <c r="M171" s="165" t="s">
        <v>589</v>
      </c>
      <c r="N171" s="164">
        <v>8.1</v>
      </c>
      <c r="O171" s="23">
        <f>IF(N171&gt;0,1/N171*37.7*68.6,"")</f>
        <v>319.28641975308642</v>
      </c>
      <c r="P171" s="163">
        <v>7.24</v>
      </c>
      <c r="Q171" s="162" t="s">
        <v>588</v>
      </c>
      <c r="R171" s="161" t="s">
        <v>587</v>
      </c>
      <c r="S171" s="161" t="s">
        <v>586</v>
      </c>
      <c r="T171" s="160"/>
      <c r="U171" s="159"/>
      <c r="V171" s="158">
        <f>IFERROR(IF(N171&lt;P171,"",(ROUNDDOWN(N171/P171*100,0))),"")</f>
        <v>111</v>
      </c>
    </row>
    <row r="172" spans="1:22" ht="45" customHeight="1">
      <c r="A172" s="174"/>
      <c r="B172" s="173"/>
      <c r="C172" s="172"/>
      <c r="D172" s="168" t="s">
        <v>640</v>
      </c>
      <c r="E172" s="161" t="s">
        <v>590</v>
      </c>
      <c r="F172" s="167">
        <v>2.9980000000000002</v>
      </c>
      <c r="G172" s="161">
        <v>430</v>
      </c>
      <c r="H172" s="161">
        <v>110</v>
      </c>
      <c r="I172" s="161" t="s">
        <v>70</v>
      </c>
      <c r="J172" s="166">
        <v>3543</v>
      </c>
      <c r="K172" s="166">
        <v>7928</v>
      </c>
      <c r="L172" s="161">
        <v>4275</v>
      </c>
      <c r="M172" s="165" t="s">
        <v>589</v>
      </c>
      <c r="N172" s="164">
        <v>8</v>
      </c>
      <c r="O172" s="23">
        <f>IF(N172&gt;0,1/N172*37.7*68.6,"")</f>
        <v>323.27749999999997</v>
      </c>
      <c r="P172" s="163">
        <v>7.24</v>
      </c>
      <c r="Q172" s="162" t="s">
        <v>588</v>
      </c>
      <c r="R172" s="161" t="s">
        <v>587</v>
      </c>
      <c r="S172" s="161" t="s">
        <v>586</v>
      </c>
      <c r="T172" s="160"/>
      <c r="U172" s="159"/>
      <c r="V172" s="158">
        <f>IFERROR(IF(N172&lt;P172,"",(ROUNDDOWN(N172/P172*100,0))),"")</f>
        <v>110</v>
      </c>
    </row>
    <row r="173" spans="1:22" ht="45" customHeight="1">
      <c r="A173" s="174"/>
      <c r="B173" s="173"/>
      <c r="C173" s="172"/>
      <c r="D173" s="168" t="s">
        <v>640</v>
      </c>
      <c r="E173" s="161" t="s">
        <v>590</v>
      </c>
      <c r="F173" s="167">
        <v>2.9980000000000002</v>
      </c>
      <c r="G173" s="161">
        <v>430</v>
      </c>
      <c r="H173" s="161">
        <v>129</v>
      </c>
      <c r="I173" s="161" t="s">
        <v>71</v>
      </c>
      <c r="J173" s="166">
        <v>3543</v>
      </c>
      <c r="K173" s="166">
        <v>7928</v>
      </c>
      <c r="L173" s="161">
        <v>4275</v>
      </c>
      <c r="M173" s="165" t="s">
        <v>589</v>
      </c>
      <c r="N173" s="164">
        <v>8.1</v>
      </c>
      <c r="O173" s="23">
        <f>IF(N173&gt;0,1/N173*37.7*68.6,"")</f>
        <v>319.28641975308642</v>
      </c>
      <c r="P173" s="163">
        <v>7.24</v>
      </c>
      <c r="Q173" s="162" t="s">
        <v>588</v>
      </c>
      <c r="R173" s="161" t="s">
        <v>587</v>
      </c>
      <c r="S173" s="161" t="s">
        <v>586</v>
      </c>
      <c r="T173" s="160"/>
      <c r="U173" s="159"/>
      <c r="V173" s="158">
        <f>IFERROR(IF(N173&lt;P173,"",(ROUNDDOWN(N173/P173*100,0))),"")</f>
        <v>111</v>
      </c>
    </row>
    <row r="174" spans="1:22" ht="45" customHeight="1">
      <c r="A174" s="174"/>
      <c r="B174" s="173"/>
      <c r="C174" s="172"/>
      <c r="D174" s="168" t="s">
        <v>640</v>
      </c>
      <c r="E174" s="161" t="s">
        <v>590</v>
      </c>
      <c r="F174" s="167">
        <v>2.9980000000000002</v>
      </c>
      <c r="G174" s="161">
        <v>430</v>
      </c>
      <c r="H174" s="161">
        <v>129</v>
      </c>
      <c r="I174" s="161" t="s">
        <v>70</v>
      </c>
      <c r="J174" s="166">
        <v>3543</v>
      </c>
      <c r="K174" s="166">
        <v>7928</v>
      </c>
      <c r="L174" s="161">
        <v>4275</v>
      </c>
      <c r="M174" s="165" t="s">
        <v>589</v>
      </c>
      <c r="N174" s="164">
        <v>8</v>
      </c>
      <c r="O174" s="23">
        <f>IF(N174&gt;0,1/N174*37.7*68.6,"")</f>
        <v>323.27749999999997</v>
      </c>
      <c r="P174" s="163">
        <v>7.24</v>
      </c>
      <c r="Q174" s="162" t="s">
        <v>588</v>
      </c>
      <c r="R174" s="161" t="s">
        <v>587</v>
      </c>
      <c r="S174" s="161" t="s">
        <v>586</v>
      </c>
      <c r="T174" s="160"/>
      <c r="U174" s="159"/>
      <c r="V174" s="158">
        <f>IFERROR(IF(N174&lt;P174,"",(ROUNDDOWN(N174/P174*100,0))),"")</f>
        <v>110</v>
      </c>
    </row>
    <row r="175" spans="1:22" ht="45" customHeight="1">
      <c r="A175" s="174"/>
      <c r="B175" s="173"/>
      <c r="C175" s="172"/>
      <c r="D175" s="168" t="s">
        <v>640</v>
      </c>
      <c r="E175" s="161" t="s">
        <v>590</v>
      </c>
      <c r="F175" s="167">
        <v>2.9980000000000002</v>
      </c>
      <c r="G175" s="161">
        <v>430</v>
      </c>
      <c r="H175" s="161">
        <v>129</v>
      </c>
      <c r="I175" s="161" t="s">
        <v>71</v>
      </c>
      <c r="J175" s="166">
        <v>2979</v>
      </c>
      <c r="K175" s="166">
        <v>6893</v>
      </c>
      <c r="L175" s="161">
        <v>3749</v>
      </c>
      <c r="M175" s="165" t="s">
        <v>589</v>
      </c>
      <c r="N175" s="164">
        <v>9</v>
      </c>
      <c r="O175" s="23">
        <f>IF(N175&gt;0,1/N175*37.7*68.6,"")</f>
        <v>287.35777777777776</v>
      </c>
      <c r="P175" s="163">
        <v>8.1199999999999992</v>
      </c>
      <c r="Q175" s="162" t="s">
        <v>588</v>
      </c>
      <c r="R175" s="161" t="s">
        <v>587</v>
      </c>
      <c r="S175" s="161" t="s">
        <v>586</v>
      </c>
      <c r="T175" s="160"/>
      <c r="U175" s="159"/>
      <c r="V175" s="158">
        <f>IFERROR(IF(N175&lt;P175,"",(ROUNDDOWN(N175/P175*100,0))),"")</f>
        <v>110</v>
      </c>
    </row>
    <row r="176" spans="1:22" ht="45" customHeight="1">
      <c r="A176" s="174"/>
      <c r="B176" s="173"/>
      <c r="C176" s="172"/>
      <c r="D176" s="168" t="s">
        <v>640</v>
      </c>
      <c r="E176" s="161" t="s">
        <v>590</v>
      </c>
      <c r="F176" s="167">
        <v>2.9980000000000002</v>
      </c>
      <c r="G176" s="161">
        <v>430</v>
      </c>
      <c r="H176" s="161">
        <v>129</v>
      </c>
      <c r="I176" s="161" t="s">
        <v>71</v>
      </c>
      <c r="J176" s="166">
        <v>3543</v>
      </c>
      <c r="K176" s="166">
        <v>7928</v>
      </c>
      <c r="L176" s="161">
        <v>4275</v>
      </c>
      <c r="M176" s="165" t="s">
        <v>589</v>
      </c>
      <c r="N176" s="164">
        <v>8</v>
      </c>
      <c r="O176" s="23">
        <f>IF(N176&gt;0,1/N176*37.7*68.6,"")</f>
        <v>323.27749999999997</v>
      </c>
      <c r="P176" s="163">
        <v>7.24</v>
      </c>
      <c r="Q176" s="162" t="s">
        <v>588</v>
      </c>
      <c r="R176" s="161" t="s">
        <v>587</v>
      </c>
      <c r="S176" s="161" t="s">
        <v>586</v>
      </c>
      <c r="T176" s="160"/>
      <c r="U176" s="159"/>
      <c r="V176" s="158">
        <f>IFERROR(IF(N176&lt;P176,"",(ROUNDDOWN(N176/P176*100,0))),"")</f>
        <v>110</v>
      </c>
    </row>
    <row r="177" spans="1:22" ht="45" customHeight="1">
      <c r="A177" s="174"/>
      <c r="B177" s="173"/>
      <c r="C177" s="172"/>
      <c r="D177" s="168" t="s">
        <v>639</v>
      </c>
      <c r="E177" s="161" t="s">
        <v>590</v>
      </c>
      <c r="F177" s="167">
        <v>2.9980000000000002</v>
      </c>
      <c r="G177" s="161">
        <v>430</v>
      </c>
      <c r="H177" s="161">
        <v>129</v>
      </c>
      <c r="I177" s="161" t="s">
        <v>71</v>
      </c>
      <c r="J177" s="166">
        <v>3543</v>
      </c>
      <c r="K177" s="166">
        <v>7928</v>
      </c>
      <c r="L177" s="161">
        <v>4275</v>
      </c>
      <c r="M177" s="165" t="s">
        <v>589</v>
      </c>
      <c r="N177" s="164">
        <v>7.9</v>
      </c>
      <c r="O177" s="23">
        <f>IF(N177&gt;0,1/N177*37.7*68.6,"")</f>
        <v>327.3696202531645</v>
      </c>
      <c r="P177" s="163">
        <v>7.24</v>
      </c>
      <c r="Q177" s="162" t="s">
        <v>593</v>
      </c>
      <c r="R177" s="161" t="s">
        <v>587</v>
      </c>
      <c r="S177" s="161" t="s">
        <v>586</v>
      </c>
      <c r="T177" s="160"/>
      <c r="U177" s="159"/>
      <c r="V177" s="158">
        <f>IFERROR(IF(N177&lt;P177,"",(ROUNDDOWN(N177/P177*100,0))),"")</f>
        <v>109</v>
      </c>
    </row>
    <row r="178" spans="1:22" ht="45" customHeight="1">
      <c r="A178" s="174"/>
      <c r="B178" s="173"/>
      <c r="C178" s="172"/>
      <c r="D178" s="168" t="s">
        <v>639</v>
      </c>
      <c r="E178" s="161" t="s">
        <v>590</v>
      </c>
      <c r="F178" s="167">
        <v>2.9980000000000002</v>
      </c>
      <c r="G178" s="161">
        <v>430</v>
      </c>
      <c r="H178" s="161">
        <v>129</v>
      </c>
      <c r="I178" s="161" t="s">
        <v>70</v>
      </c>
      <c r="J178" s="166">
        <v>3543</v>
      </c>
      <c r="K178" s="166">
        <v>7928</v>
      </c>
      <c r="L178" s="161">
        <v>4275</v>
      </c>
      <c r="M178" s="165" t="s">
        <v>589</v>
      </c>
      <c r="N178" s="164">
        <v>7.8</v>
      </c>
      <c r="O178" s="23">
        <f>IF(N178&gt;0,1/N178*37.7*68.6,"")</f>
        <v>331.56666666666666</v>
      </c>
      <c r="P178" s="163">
        <v>7.24</v>
      </c>
      <c r="Q178" s="162" t="s">
        <v>593</v>
      </c>
      <c r="R178" s="161" t="s">
        <v>587</v>
      </c>
      <c r="S178" s="161" t="s">
        <v>586</v>
      </c>
      <c r="T178" s="160"/>
      <c r="U178" s="159"/>
      <c r="V178" s="158">
        <f>IFERROR(IF(N178&lt;P178,"",(ROUNDDOWN(N178/P178*100,0))),"")</f>
        <v>107</v>
      </c>
    </row>
    <row r="179" spans="1:22" ht="45" customHeight="1">
      <c r="A179" s="174"/>
      <c r="B179" s="173"/>
      <c r="C179" s="172"/>
      <c r="D179" s="168" t="s">
        <v>639</v>
      </c>
      <c r="E179" s="161" t="s">
        <v>590</v>
      </c>
      <c r="F179" s="167">
        <v>2.9980000000000002</v>
      </c>
      <c r="G179" s="161">
        <v>430</v>
      </c>
      <c r="H179" s="161">
        <v>129</v>
      </c>
      <c r="I179" s="161" t="s">
        <v>598</v>
      </c>
      <c r="J179" s="166">
        <v>3543</v>
      </c>
      <c r="K179" s="166">
        <v>7928</v>
      </c>
      <c r="L179" s="161">
        <v>4275</v>
      </c>
      <c r="M179" s="165" t="s">
        <v>589</v>
      </c>
      <c r="N179" s="164">
        <v>7.7</v>
      </c>
      <c r="O179" s="23">
        <f>IF(N179&gt;0,1/N179*37.7*68.6,"")</f>
        <v>335.87272727272722</v>
      </c>
      <c r="P179" s="163">
        <v>7.24</v>
      </c>
      <c r="Q179" s="162" t="s">
        <v>593</v>
      </c>
      <c r="R179" s="161" t="s">
        <v>587</v>
      </c>
      <c r="S179" s="161" t="s">
        <v>586</v>
      </c>
      <c r="T179" s="160"/>
      <c r="U179" s="159"/>
      <c r="V179" s="158">
        <f>IFERROR(IF(N179&lt;P179,"",(ROUNDDOWN(N179/P179*100,0))),"")</f>
        <v>106</v>
      </c>
    </row>
    <row r="180" spans="1:22" ht="45" customHeight="1">
      <c r="A180" s="174"/>
      <c r="B180" s="173"/>
      <c r="C180" s="172"/>
      <c r="D180" s="168" t="s">
        <v>638</v>
      </c>
      <c r="E180" s="161" t="s">
        <v>590</v>
      </c>
      <c r="F180" s="167">
        <v>2.9980000000000002</v>
      </c>
      <c r="G180" s="161">
        <v>430</v>
      </c>
      <c r="H180" s="161">
        <v>129</v>
      </c>
      <c r="I180" s="161" t="s">
        <v>71</v>
      </c>
      <c r="J180" s="166">
        <v>3543</v>
      </c>
      <c r="K180" s="166">
        <v>7928</v>
      </c>
      <c r="L180" s="161">
        <v>4275</v>
      </c>
      <c r="M180" s="165" t="s">
        <v>589</v>
      </c>
      <c r="N180" s="164">
        <v>7.9</v>
      </c>
      <c r="O180" s="23">
        <f>IF(N180&gt;0,1/N180*37.7*68.6,"")</f>
        <v>327.3696202531645</v>
      </c>
      <c r="P180" s="163">
        <v>7.24</v>
      </c>
      <c r="Q180" s="162" t="s">
        <v>593</v>
      </c>
      <c r="R180" s="161" t="s">
        <v>587</v>
      </c>
      <c r="S180" s="161" t="s">
        <v>586</v>
      </c>
      <c r="T180" s="160"/>
      <c r="U180" s="159"/>
      <c r="V180" s="158">
        <f>IFERROR(IF(N180&lt;P180,"",(ROUNDDOWN(N180/P180*100,0))),"")</f>
        <v>109</v>
      </c>
    </row>
    <row r="181" spans="1:22" ht="45" customHeight="1">
      <c r="A181" s="174"/>
      <c r="B181" s="173"/>
      <c r="C181" s="172"/>
      <c r="D181" s="168" t="s">
        <v>638</v>
      </c>
      <c r="E181" s="161" t="s">
        <v>590</v>
      </c>
      <c r="F181" s="167">
        <v>2.9980000000000002</v>
      </c>
      <c r="G181" s="161">
        <v>430</v>
      </c>
      <c r="H181" s="161">
        <v>129</v>
      </c>
      <c r="I181" s="161" t="s">
        <v>70</v>
      </c>
      <c r="J181" s="166">
        <v>3543</v>
      </c>
      <c r="K181" s="166">
        <v>7928</v>
      </c>
      <c r="L181" s="161">
        <v>4275</v>
      </c>
      <c r="M181" s="165" t="s">
        <v>589</v>
      </c>
      <c r="N181" s="164">
        <v>7.8</v>
      </c>
      <c r="O181" s="23">
        <f>IF(N181&gt;0,1/N181*37.7*68.6,"")</f>
        <v>331.56666666666666</v>
      </c>
      <c r="P181" s="163">
        <v>7.24</v>
      </c>
      <c r="Q181" s="162" t="s">
        <v>593</v>
      </c>
      <c r="R181" s="161" t="s">
        <v>587</v>
      </c>
      <c r="S181" s="161" t="s">
        <v>586</v>
      </c>
      <c r="T181" s="160"/>
      <c r="U181" s="159"/>
      <c r="V181" s="158">
        <f>IFERROR(IF(N181&lt;P181,"",(ROUNDDOWN(N181/P181*100,0))),"")</f>
        <v>107</v>
      </c>
    </row>
    <row r="182" spans="1:22" ht="45" customHeight="1">
      <c r="A182" s="174"/>
      <c r="B182" s="173"/>
      <c r="C182" s="172"/>
      <c r="D182" s="168" t="s">
        <v>638</v>
      </c>
      <c r="E182" s="161" t="s">
        <v>590</v>
      </c>
      <c r="F182" s="167">
        <v>2.9980000000000002</v>
      </c>
      <c r="G182" s="161">
        <v>430</v>
      </c>
      <c r="H182" s="161">
        <v>129</v>
      </c>
      <c r="I182" s="161" t="s">
        <v>70</v>
      </c>
      <c r="J182" s="166">
        <v>3543</v>
      </c>
      <c r="K182" s="166">
        <v>7928</v>
      </c>
      <c r="L182" s="161">
        <v>4275</v>
      </c>
      <c r="M182" s="165" t="s">
        <v>589</v>
      </c>
      <c r="N182" s="164">
        <v>7.7</v>
      </c>
      <c r="O182" s="23">
        <f>IF(N182&gt;0,1/N182*37.7*68.6,"")</f>
        <v>335.87272727272722</v>
      </c>
      <c r="P182" s="163">
        <v>7.24</v>
      </c>
      <c r="Q182" s="162" t="s">
        <v>588</v>
      </c>
      <c r="R182" s="161" t="s">
        <v>587</v>
      </c>
      <c r="S182" s="161" t="s">
        <v>586</v>
      </c>
      <c r="T182" s="160"/>
      <c r="U182" s="159"/>
      <c r="V182" s="158">
        <f>IFERROR(IF(N182&lt;P182,"",(ROUNDDOWN(N182/P182*100,0))),"")</f>
        <v>106</v>
      </c>
    </row>
    <row r="183" spans="1:22" ht="45" customHeight="1">
      <c r="A183" s="174"/>
      <c r="B183" s="173"/>
      <c r="C183" s="172"/>
      <c r="D183" s="168" t="s">
        <v>637</v>
      </c>
      <c r="E183" s="161" t="s">
        <v>590</v>
      </c>
      <c r="F183" s="167">
        <v>2.9980000000000002</v>
      </c>
      <c r="G183" s="161">
        <v>430</v>
      </c>
      <c r="H183" s="161">
        <v>129</v>
      </c>
      <c r="I183" s="161" t="s">
        <v>71</v>
      </c>
      <c r="J183" s="166">
        <v>3543</v>
      </c>
      <c r="K183" s="166">
        <v>7928</v>
      </c>
      <c r="L183" s="161">
        <v>4275</v>
      </c>
      <c r="M183" s="165" t="s">
        <v>589</v>
      </c>
      <c r="N183" s="164">
        <v>8.1</v>
      </c>
      <c r="O183" s="23">
        <f>IF(N183&gt;0,1/N183*37.7*68.6,"")</f>
        <v>319.28641975308642</v>
      </c>
      <c r="P183" s="163">
        <v>7.24</v>
      </c>
      <c r="Q183" s="162" t="s">
        <v>588</v>
      </c>
      <c r="R183" s="161" t="s">
        <v>587</v>
      </c>
      <c r="S183" s="161" t="s">
        <v>586</v>
      </c>
      <c r="T183" s="160"/>
      <c r="U183" s="159"/>
      <c r="V183" s="158">
        <f>IFERROR(IF(N183&lt;P183,"",(ROUNDDOWN(N183/P183*100,0))),"")</f>
        <v>111</v>
      </c>
    </row>
    <row r="184" spans="1:22" ht="45" customHeight="1">
      <c r="A184" s="174"/>
      <c r="B184" s="173"/>
      <c r="C184" s="172"/>
      <c r="D184" s="168" t="s">
        <v>637</v>
      </c>
      <c r="E184" s="161" t="s">
        <v>590</v>
      </c>
      <c r="F184" s="167">
        <v>2.9980000000000002</v>
      </c>
      <c r="G184" s="161">
        <v>430</v>
      </c>
      <c r="H184" s="161">
        <v>129</v>
      </c>
      <c r="I184" s="161" t="s">
        <v>70</v>
      </c>
      <c r="J184" s="166">
        <v>3543</v>
      </c>
      <c r="K184" s="166">
        <v>7928</v>
      </c>
      <c r="L184" s="161">
        <v>4275</v>
      </c>
      <c r="M184" s="165" t="s">
        <v>589</v>
      </c>
      <c r="N184" s="164">
        <v>8</v>
      </c>
      <c r="O184" s="23">
        <f>IF(N184&gt;0,1/N184*37.7*68.6,"")</f>
        <v>323.27749999999997</v>
      </c>
      <c r="P184" s="163">
        <v>7.24</v>
      </c>
      <c r="Q184" s="162" t="s">
        <v>588</v>
      </c>
      <c r="R184" s="161" t="s">
        <v>587</v>
      </c>
      <c r="S184" s="161" t="s">
        <v>586</v>
      </c>
      <c r="T184" s="160"/>
      <c r="U184" s="159"/>
      <c r="V184" s="158">
        <f>IFERROR(IF(N184&lt;P184,"",(ROUNDDOWN(N184/P184*100,0))),"")</f>
        <v>110</v>
      </c>
    </row>
    <row r="185" spans="1:22" ht="45" customHeight="1">
      <c r="A185" s="174"/>
      <c r="B185" s="173"/>
      <c r="C185" s="172"/>
      <c r="D185" s="168" t="s">
        <v>637</v>
      </c>
      <c r="E185" s="161" t="s">
        <v>590</v>
      </c>
      <c r="F185" s="167">
        <v>2.9980000000000002</v>
      </c>
      <c r="G185" s="161">
        <v>430</v>
      </c>
      <c r="H185" s="161">
        <v>129</v>
      </c>
      <c r="I185" s="161" t="s">
        <v>71</v>
      </c>
      <c r="J185" s="166">
        <v>3543</v>
      </c>
      <c r="K185" s="166">
        <v>7928</v>
      </c>
      <c r="L185" s="161">
        <v>4275</v>
      </c>
      <c r="M185" s="165" t="s">
        <v>589</v>
      </c>
      <c r="N185" s="164">
        <v>8</v>
      </c>
      <c r="O185" s="23">
        <f>IF(N185&gt;0,1/N185*37.7*68.6,"")</f>
        <v>323.27749999999997</v>
      </c>
      <c r="P185" s="163">
        <v>7.24</v>
      </c>
      <c r="Q185" s="162" t="s">
        <v>588</v>
      </c>
      <c r="R185" s="161" t="s">
        <v>587</v>
      </c>
      <c r="S185" s="161" t="s">
        <v>586</v>
      </c>
      <c r="T185" s="160"/>
      <c r="U185" s="159"/>
      <c r="V185" s="158">
        <f>IFERROR(IF(N185&lt;P185,"",(ROUNDDOWN(N185/P185*100,0))),"")</f>
        <v>110</v>
      </c>
    </row>
    <row r="186" spans="1:22" ht="45" customHeight="1">
      <c r="A186" s="174"/>
      <c r="B186" s="173"/>
      <c r="C186" s="172"/>
      <c r="D186" s="168" t="s">
        <v>636</v>
      </c>
      <c r="E186" s="161" t="s">
        <v>590</v>
      </c>
      <c r="F186" s="167">
        <v>2.9980000000000002</v>
      </c>
      <c r="G186" s="161">
        <v>430</v>
      </c>
      <c r="H186" s="161">
        <v>129</v>
      </c>
      <c r="I186" s="161" t="s">
        <v>71</v>
      </c>
      <c r="J186" s="166">
        <v>3543</v>
      </c>
      <c r="K186" s="166">
        <v>7928</v>
      </c>
      <c r="L186" s="161">
        <v>4275</v>
      </c>
      <c r="M186" s="165" t="s">
        <v>589</v>
      </c>
      <c r="N186" s="164">
        <v>7.9</v>
      </c>
      <c r="O186" s="23">
        <f>IF(N186&gt;0,1/N186*37.7*68.6,"")</f>
        <v>327.3696202531645</v>
      </c>
      <c r="P186" s="163">
        <v>7.24</v>
      </c>
      <c r="Q186" s="162" t="s">
        <v>593</v>
      </c>
      <c r="R186" s="161" t="s">
        <v>587</v>
      </c>
      <c r="S186" s="161" t="s">
        <v>586</v>
      </c>
      <c r="T186" s="160"/>
      <c r="U186" s="159"/>
      <c r="V186" s="158">
        <f>IFERROR(IF(N186&lt;P186,"",(ROUNDDOWN(N186/P186*100,0))),"")</f>
        <v>109</v>
      </c>
    </row>
    <row r="187" spans="1:22" ht="45" customHeight="1">
      <c r="A187" s="174"/>
      <c r="B187" s="173"/>
      <c r="C187" s="172"/>
      <c r="D187" s="168" t="s">
        <v>636</v>
      </c>
      <c r="E187" s="161" t="s">
        <v>590</v>
      </c>
      <c r="F187" s="167">
        <v>2.9980000000000002</v>
      </c>
      <c r="G187" s="161">
        <v>430</v>
      </c>
      <c r="H187" s="161">
        <v>129</v>
      </c>
      <c r="I187" s="161" t="s">
        <v>70</v>
      </c>
      <c r="J187" s="166">
        <v>3543</v>
      </c>
      <c r="K187" s="166">
        <v>7928</v>
      </c>
      <c r="L187" s="161">
        <v>4275</v>
      </c>
      <c r="M187" s="165" t="s">
        <v>589</v>
      </c>
      <c r="N187" s="164">
        <v>7.8</v>
      </c>
      <c r="O187" s="23">
        <f>IF(N187&gt;0,1/N187*37.7*68.6,"")</f>
        <v>331.56666666666666</v>
      </c>
      <c r="P187" s="163">
        <v>7.24</v>
      </c>
      <c r="Q187" s="162" t="s">
        <v>593</v>
      </c>
      <c r="R187" s="161" t="s">
        <v>587</v>
      </c>
      <c r="S187" s="161" t="s">
        <v>586</v>
      </c>
      <c r="T187" s="160"/>
      <c r="U187" s="159"/>
      <c r="V187" s="158">
        <f>IFERROR(IF(N187&lt;P187,"",(ROUNDDOWN(N187/P187*100,0))),"")</f>
        <v>107</v>
      </c>
    </row>
    <row r="188" spans="1:22" ht="45" customHeight="1">
      <c r="A188" s="174"/>
      <c r="B188" s="173"/>
      <c r="C188" s="172"/>
      <c r="D188" s="168" t="s">
        <v>636</v>
      </c>
      <c r="E188" s="161" t="s">
        <v>590</v>
      </c>
      <c r="F188" s="167">
        <v>2.9980000000000002</v>
      </c>
      <c r="G188" s="161">
        <v>430</v>
      </c>
      <c r="H188" s="161">
        <v>129</v>
      </c>
      <c r="I188" s="161" t="s">
        <v>70</v>
      </c>
      <c r="J188" s="166">
        <v>3543</v>
      </c>
      <c r="K188" s="166">
        <v>7928</v>
      </c>
      <c r="L188" s="161">
        <v>4275</v>
      </c>
      <c r="M188" s="165" t="s">
        <v>589</v>
      </c>
      <c r="N188" s="164">
        <v>7.7</v>
      </c>
      <c r="O188" s="23">
        <f>IF(N188&gt;0,1/N188*37.7*68.6,"")</f>
        <v>335.87272727272722</v>
      </c>
      <c r="P188" s="163">
        <v>7.24</v>
      </c>
      <c r="Q188" s="162" t="s">
        <v>588</v>
      </c>
      <c r="R188" s="161" t="s">
        <v>587</v>
      </c>
      <c r="S188" s="161" t="s">
        <v>586</v>
      </c>
      <c r="T188" s="160"/>
      <c r="U188" s="159"/>
      <c r="V188" s="158">
        <f>IFERROR(IF(N188&lt;P188,"",(ROUNDDOWN(N188/P188*100,0))),"")</f>
        <v>106</v>
      </c>
    </row>
    <row r="189" spans="1:22" ht="45" customHeight="1">
      <c r="A189" s="174"/>
      <c r="B189" s="173"/>
      <c r="C189" s="172"/>
      <c r="D189" s="168" t="s">
        <v>635</v>
      </c>
      <c r="E189" s="161" t="s">
        <v>590</v>
      </c>
      <c r="F189" s="167">
        <v>2.9980000000000002</v>
      </c>
      <c r="G189" s="161">
        <v>430</v>
      </c>
      <c r="H189" s="161">
        <v>129</v>
      </c>
      <c r="I189" s="161" t="s">
        <v>71</v>
      </c>
      <c r="J189" s="166">
        <v>3543</v>
      </c>
      <c r="K189" s="166">
        <v>7928</v>
      </c>
      <c r="L189" s="161">
        <v>4275</v>
      </c>
      <c r="M189" s="165" t="s">
        <v>589</v>
      </c>
      <c r="N189" s="164">
        <v>8.1</v>
      </c>
      <c r="O189" s="23">
        <f>IF(N189&gt;0,1/N189*37.7*68.6,"")</f>
        <v>319.28641975308642</v>
      </c>
      <c r="P189" s="163">
        <v>7.24</v>
      </c>
      <c r="Q189" s="162" t="s">
        <v>588</v>
      </c>
      <c r="R189" s="161" t="s">
        <v>587</v>
      </c>
      <c r="S189" s="161" t="s">
        <v>586</v>
      </c>
      <c r="T189" s="160"/>
      <c r="U189" s="159"/>
      <c r="V189" s="158">
        <f>IFERROR(IF(N189&lt;P189,"",(ROUNDDOWN(N189/P189*100,0))),"")</f>
        <v>111</v>
      </c>
    </row>
    <row r="190" spans="1:22" ht="45" customHeight="1">
      <c r="A190" s="174"/>
      <c r="B190" s="173"/>
      <c r="C190" s="172"/>
      <c r="D190" s="168" t="s">
        <v>635</v>
      </c>
      <c r="E190" s="161" t="s">
        <v>590</v>
      </c>
      <c r="F190" s="167">
        <v>2.9980000000000002</v>
      </c>
      <c r="G190" s="161">
        <v>430</v>
      </c>
      <c r="H190" s="161">
        <v>129</v>
      </c>
      <c r="I190" s="161" t="s">
        <v>70</v>
      </c>
      <c r="J190" s="166">
        <v>3543</v>
      </c>
      <c r="K190" s="166">
        <v>7928</v>
      </c>
      <c r="L190" s="161">
        <v>4275</v>
      </c>
      <c r="M190" s="165" t="s">
        <v>589</v>
      </c>
      <c r="N190" s="164">
        <v>8</v>
      </c>
      <c r="O190" s="23">
        <f>IF(N190&gt;0,1/N190*37.7*68.6,"")</f>
        <v>323.27749999999997</v>
      </c>
      <c r="P190" s="163">
        <v>7.24</v>
      </c>
      <c r="Q190" s="162" t="s">
        <v>588</v>
      </c>
      <c r="R190" s="161" t="s">
        <v>587</v>
      </c>
      <c r="S190" s="161" t="s">
        <v>586</v>
      </c>
      <c r="T190" s="160"/>
      <c r="U190" s="159"/>
      <c r="V190" s="158">
        <f>IFERROR(IF(N190&lt;P190,"",(ROUNDDOWN(N190/P190*100,0))),"")</f>
        <v>110</v>
      </c>
    </row>
    <row r="191" spans="1:22" ht="45" customHeight="1">
      <c r="A191" s="174"/>
      <c r="B191" s="173"/>
      <c r="C191" s="172"/>
      <c r="D191" s="168" t="s">
        <v>635</v>
      </c>
      <c r="E191" s="161" t="s">
        <v>590</v>
      </c>
      <c r="F191" s="167">
        <v>2.9980000000000002</v>
      </c>
      <c r="G191" s="161">
        <v>430</v>
      </c>
      <c r="H191" s="161">
        <v>129</v>
      </c>
      <c r="I191" s="161" t="s">
        <v>71</v>
      </c>
      <c r="J191" s="166">
        <v>3543</v>
      </c>
      <c r="K191" s="166">
        <v>7928</v>
      </c>
      <c r="L191" s="161">
        <v>4275</v>
      </c>
      <c r="M191" s="165" t="s">
        <v>589</v>
      </c>
      <c r="N191" s="164">
        <v>8</v>
      </c>
      <c r="O191" s="23">
        <f>IF(N191&gt;0,1/N191*37.7*68.6,"")</f>
        <v>323.27749999999997</v>
      </c>
      <c r="P191" s="163">
        <v>7.24</v>
      </c>
      <c r="Q191" s="162" t="s">
        <v>588</v>
      </c>
      <c r="R191" s="161" t="s">
        <v>587</v>
      </c>
      <c r="S191" s="161" t="s">
        <v>586</v>
      </c>
      <c r="T191" s="160"/>
      <c r="U191" s="159"/>
      <c r="V191" s="158">
        <f>IFERROR(IF(N191&lt;P191,"",(ROUNDDOWN(N191/P191*100,0))),"")</f>
        <v>110</v>
      </c>
    </row>
    <row r="192" spans="1:22" ht="45" customHeight="1">
      <c r="A192" s="174"/>
      <c r="B192" s="173"/>
      <c r="C192" s="172"/>
      <c r="D192" s="168" t="s">
        <v>634</v>
      </c>
      <c r="E192" s="161" t="s">
        <v>590</v>
      </c>
      <c r="F192" s="167">
        <v>2.9980000000000002</v>
      </c>
      <c r="G192" s="161">
        <v>430</v>
      </c>
      <c r="H192" s="161">
        <v>110</v>
      </c>
      <c r="I192" s="161" t="s">
        <v>598</v>
      </c>
      <c r="J192" s="166">
        <v>2356</v>
      </c>
      <c r="K192" s="166">
        <v>4521</v>
      </c>
      <c r="L192" s="161">
        <v>2000</v>
      </c>
      <c r="M192" s="165" t="s">
        <v>589</v>
      </c>
      <c r="N192" s="164">
        <v>11.2</v>
      </c>
      <c r="O192" s="23">
        <f>IF(N192&gt;0,1/N192*37.7*68.6,"")</f>
        <v>230.91249999999999</v>
      </c>
      <c r="P192" s="163">
        <v>10.35</v>
      </c>
      <c r="Q192" s="162" t="s">
        <v>593</v>
      </c>
      <c r="R192" s="161" t="s">
        <v>587</v>
      </c>
      <c r="S192" s="161" t="s">
        <v>586</v>
      </c>
      <c r="T192" s="160"/>
      <c r="U192" s="159"/>
      <c r="V192" s="158">
        <f>IFERROR(IF(N192&lt;P192,"",(ROUNDDOWN(N192/P192*100,0))),"")</f>
        <v>108</v>
      </c>
    </row>
    <row r="193" spans="1:22" ht="45" customHeight="1">
      <c r="A193" s="174"/>
      <c r="B193" s="173"/>
      <c r="C193" s="172"/>
      <c r="D193" s="168" t="s">
        <v>633</v>
      </c>
      <c r="E193" s="161" t="s">
        <v>590</v>
      </c>
      <c r="F193" s="167">
        <v>2.9980000000000002</v>
      </c>
      <c r="G193" s="161">
        <v>430</v>
      </c>
      <c r="H193" s="161">
        <v>110</v>
      </c>
      <c r="I193" s="161" t="s">
        <v>598</v>
      </c>
      <c r="J193" s="166">
        <v>2356</v>
      </c>
      <c r="K193" s="166">
        <v>4521</v>
      </c>
      <c r="L193" s="161">
        <v>2000</v>
      </c>
      <c r="M193" s="165" t="s">
        <v>589</v>
      </c>
      <c r="N193" s="164">
        <v>11.6</v>
      </c>
      <c r="O193" s="23">
        <f>IF(N193&gt;0,1/N193*37.7*68.6,"")</f>
        <v>222.95000000000002</v>
      </c>
      <c r="P193" s="163">
        <v>10.35</v>
      </c>
      <c r="Q193" s="162" t="s">
        <v>588</v>
      </c>
      <c r="R193" s="161" t="s">
        <v>587</v>
      </c>
      <c r="S193" s="161" t="s">
        <v>586</v>
      </c>
      <c r="T193" s="160"/>
      <c r="U193" s="159"/>
      <c r="V193" s="158">
        <f>IFERROR(IF(N193&lt;P193,"",(ROUNDDOWN(N193/P193*100,0))),"")</f>
        <v>112</v>
      </c>
    </row>
    <row r="194" spans="1:22" ht="45" customHeight="1">
      <c r="A194" s="174"/>
      <c r="B194" s="173"/>
      <c r="C194" s="172"/>
      <c r="D194" s="168" t="s">
        <v>633</v>
      </c>
      <c r="E194" s="161" t="s">
        <v>590</v>
      </c>
      <c r="F194" s="167">
        <v>2.9980000000000002</v>
      </c>
      <c r="G194" s="161">
        <v>430</v>
      </c>
      <c r="H194" s="161">
        <v>110</v>
      </c>
      <c r="I194" s="161" t="s">
        <v>598</v>
      </c>
      <c r="J194" s="166">
        <v>2356</v>
      </c>
      <c r="K194" s="166">
        <v>4521</v>
      </c>
      <c r="L194" s="161">
        <v>2000</v>
      </c>
      <c r="M194" s="165" t="s">
        <v>589</v>
      </c>
      <c r="N194" s="164">
        <v>11.4</v>
      </c>
      <c r="O194" s="23">
        <f>IF(N194&gt;0,1/N194*37.7*68.6,"")</f>
        <v>226.8614035087719</v>
      </c>
      <c r="P194" s="163">
        <v>10.35</v>
      </c>
      <c r="Q194" s="162" t="s">
        <v>588</v>
      </c>
      <c r="R194" s="161" t="s">
        <v>587</v>
      </c>
      <c r="S194" s="161" t="s">
        <v>586</v>
      </c>
      <c r="T194" s="160"/>
      <c r="U194" s="159"/>
      <c r="V194" s="158">
        <f>IFERROR(IF(N194&lt;P194,"",(ROUNDDOWN(N194/P194*100,0))),"")</f>
        <v>110</v>
      </c>
    </row>
    <row r="195" spans="1:22" ht="45" customHeight="1">
      <c r="A195" s="174"/>
      <c r="B195" s="173"/>
      <c r="C195" s="172"/>
      <c r="D195" s="168" t="s">
        <v>632</v>
      </c>
      <c r="E195" s="161" t="s">
        <v>590</v>
      </c>
      <c r="F195" s="167">
        <v>2.9980000000000002</v>
      </c>
      <c r="G195" s="161">
        <v>430</v>
      </c>
      <c r="H195" s="161">
        <v>110</v>
      </c>
      <c r="I195" s="161" t="s">
        <v>598</v>
      </c>
      <c r="J195" s="166">
        <v>2356</v>
      </c>
      <c r="K195" s="166">
        <v>4521</v>
      </c>
      <c r="L195" s="161">
        <v>2000</v>
      </c>
      <c r="M195" s="165" t="s">
        <v>589</v>
      </c>
      <c r="N195" s="164">
        <v>11.2</v>
      </c>
      <c r="O195" s="23">
        <f>IF(N195&gt;0,1/N195*37.7*68.6,"")</f>
        <v>230.91249999999999</v>
      </c>
      <c r="P195" s="163">
        <v>10.35</v>
      </c>
      <c r="Q195" s="162" t="s">
        <v>593</v>
      </c>
      <c r="R195" s="161" t="s">
        <v>587</v>
      </c>
      <c r="S195" s="161" t="s">
        <v>586</v>
      </c>
      <c r="T195" s="160"/>
      <c r="U195" s="159"/>
      <c r="V195" s="158">
        <f>IFERROR(IF(N195&lt;P195,"",(ROUNDDOWN(N195/P195*100,0))),"")</f>
        <v>108</v>
      </c>
    </row>
    <row r="196" spans="1:22" ht="45" customHeight="1">
      <c r="A196" s="174"/>
      <c r="B196" s="173"/>
      <c r="C196" s="172"/>
      <c r="D196" s="168" t="s">
        <v>632</v>
      </c>
      <c r="E196" s="161" t="s">
        <v>590</v>
      </c>
      <c r="F196" s="167">
        <v>2.9980000000000002</v>
      </c>
      <c r="G196" s="161">
        <v>430</v>
      </c>
      <c r="H196" s="161">
        <v>110</v>
      </c>
      <c r="I196" s="161" t="s">
        <v>598</v>
      </c>
      <c r="J196" s="166">
        <v>2652</v>
      </c>
      <c r="K196" s="166">
        <v>5812</v>
      </c>
      <c r="L196" s="161">
        <v>2995</v>
      </c>
      <c r="M196" s="165" t="s">
        <v>589</v>
      </c>
      <c r="N196" s="164">
        <v>10.4</v>
      </c>
      <c r="O196" s="23">
        <f>IF(N196&gt;0,1/N196*37.7*68.6,"")</f>
        <v>248.67499999999998</v>
      </c>
      <c r="P196" s="163">
        <v>9.51</v>
      </c>
      <c r="Q196" s="162" t="s">
        <v>593</v>
      </c>
      <c r="R196" s="161" t="s">
        <v>587</v>
      </c>
      <c r="S196" s="161" t="s">
        <v>586</v>
      </c>
      <c r="T196" s="160"/>
      <c r="U196" s="159"/>
      <c r="V196" s="158">
        <f>IFERROR(IF(N196&lt;P196,"",(ROUNDDOWN(N196/P196*100,0))),"")</f>
        <v>109</v>
      </c>
    </row>
    <row r="197" spans="1:22" ht="45" customHeight="1">
      <c r="A197" s="174"/>
      <c r="B197" s="173"/>
      <c r="C197" s="172"/>
      <c r="D197" s="168" t="s">
        <v>631</v>
      </c>
      <c r="E197" s="161" t="s">
        <v>590</v>
      </c>
      <c r="F197" s="167">
        <v>2.9980000000000002</v>
      </c>
      <c r="G197" s="161">
        <v>430</v>
      </c>
      <c r="H197" s="161">
        <v>110</v>
      </c>
      <c r="I197" s="161" t="s">
        <v>598</v>
      </c>
      <c r="J197" s="166">
        <v>2356</v>
      </c>
      <c r="K197" s="166">
        <v>4521</v>
      </c>
      <c r="L197" s="161">
        <v>2000</v>
      </c>
      <c r="M197" s="165" t="s">
        <v>589</v>
      </c>
      <c r="N197" s="164">
        <v>11.6</v>
      </c>
      <c r="O197" s="23">
        <f>IF(N197&gt;0,1/N197*37.7*68.6,"")</f>
        <v>222.95000000000002</v>
      </c>
      <c r="P197" s="163">
        <v>10.35</v>
      </c>
      <c r="Q197" s="162" t="s">
        <v>588</v>
      </c>
      <c r="R197" s="161" t="s">
        <v>587</v>
      </c>
      <c r="S197" s="161" t="s">
        <v>586</v>
      </c>
      <c r="T197" s="160"/>
      <c r="U197" s="159"/>
      <c r="V197" s="158">
        <f>IFERROR(IF(N197&lt;P197,"",(ROUNDDOWN(N197/P197*100,0))),"")</f>
        <v>112</v>
      </c>
    </row>
    <row r="198" spans="1:22" ht="45" customHeight="1">
      <c r="A198" s="174"/>
      <c r="B198" s="173"/>
      <c r="C198" s="172"/>
      <c r="D198" s="168" t="s">
        <v>631</v>
      </c>
      <c r="E198" s="161" t="s">
        <v>590</v>
      </c>
      <c r="F198" s="167">
        <v>2.9980000000000002</v>
      </c>
      <c r="G198" s="161">
        <v>430</v>
      </c>
      <c r="H198" s="161">
        <v>110</v>
      </c>
      <c r="I198" s="161" t="s">
        <v>71</v>
      </c>
      <c r="J198" s="166">
        <v>2652</v>
      </c>
      <c r="K198" s="166">
        <v>5812</v>
      </c>
      <c r="L198" s="161">
        <v>2995</v>
      </c>
      <c r="M198" s="165" t="s">
        <v>589</v>
      </c>
      <c r="N198" s="164">
        <v>10.8</v>
      </c>
      <c r="O198" s="23">
        <f>IF(N198&gt;0,1/N198*37.7*68.6,"")</f>
        <v>239.46481481481482</v>
      </c>
      <c r="P198" s="163">
        <v>9.51</v>
      </c>
      <c r="Q198" s="162" t="s">
        <v>588</v>
      </c>
      <c r="R198" s="161" t="s">
        <v>587</v>
      </c>
      <c r="S198" s="161" t="s">
        <v>586</v>
      </c>
      <c r="T198" s="160"/>
      <c r="U198" s="159"/>
      <c r="V198" s="158">
        <f>IFERROR(IF(N198&lt;P198,"",(ROUNDDOWN(N198/P198*100,0))),"")</f>
        <v>113</v>
      </c>
    </row>
    <row r="199" spans="1:22" ht="45" customHeight="1">
      <c r="A199" s="174"/>
      <c r="B199" s="173"/>
      <c r="C199" s="172"/>
      <c r="D199" s="168" t="s">
        <v>631</v>
      </c>
      <c r="E199" s="161" t="s">
        <v>590</v>
      </c>
      <c r="F199" s="167">
        <v>2.9980000000000002</v>
      </c>
      <c r="G199" s="161">
        <v>430</v>
      </c>
      <c r="H199" s="161">
        <v>110</v>
      </c>
      <c r="I199" s="161" t="s">
        <v>70</v>
      </c>
      <c r="J199" s="166">
        <v>2652</v>
      </c>
      <c r="K199" s="166">
        <v>5812</v>
      </c>
      <c r="L199" s="161">
        <v>2995</v>
      </c>
      <c r="M199" s="165" t="s">
        <v>589</v>
      </c>
      <c r="N199" s="164">
        <v>10.6</v>
      </c>
      <c r="O199" s="23">
        <f>IF(N199&gt;0,1/N199*37.7*68.6,"")</f>
        <v>243.98301886792456</v>
      </c>
      <c r="P199" s="163">
        <v>9.51</v>
      </c>
      <c r="Q199" s="162" t="s">
        <v>588</v>
      </c>
      <c r="R199" s="161" t="s">
        <v>587</v>
      </c>
      <c r="S199" s="161" t="s">
        <v>586</v>
      </c>
      <c r="T199" s="160"/>
      <c r="U199" s="159"/>
      <c r="V199" s="158">
        <f>IFERROR(IF(N199&lt;P199,"",(ROUNDDOWN(N199/P199*100,0))),"")</f>
        <v>111</v>
      </c>
    </row>
    <row r="200" spans="1:22" ht="45" customHeight="1">
      <c r="A200" s="174"/>
      <c r="B200" s="173"/>
      <c r="C200" s="172"/>
      <c r="D200" s="168" t="s">
        <v>631</v>
      </c>
      <c r="E200" s="161" t="s">
        <v>590</v>
      </c>
      <c r="F200" s="167">
        <v>2.9980000000000002</v>
      </c>
      <c r="G200" s="161">
        <v>430</v>
      </c>
      <c r="H200" s="161">
        <v>110</v>
      </c>
      <c r="I200" s="161" t="s">
        <v>598</v>
      </c>
      <c r="J200" s="166">
        <v>2356</v>
      </c>
      <c r="K200" s="166">
        <v>4521</v>
      </c>
      <c r="L200" s="161">
        <v>2000</v>
      </c>
      <c r="M200" s="165" t="s">
        <v>589</v>
      </c>
      <c r="N200" s="164">
        <v>11.4</v>
      </c>
      <c r="O200" s="23">
        <f>IF(N200&gt;0,1/N200*37.7*68.6,"")</f>
        <v>226.8614035087719</v>
      </c>
      <c r="P200" s="163">
        <v>10.35</v>
      </c>
      <c r="Q200" s="162" t="s">
        <v>588</v>
      </c>
      <c r="R200" s="161" t="s">
        <v>587</v>
      </c>
      <c r="S200" s="161" t="s">
        <v>586</v>
      </c>
      <c r="T200" s="160"/>
      <c r="U200" s="159"/>
      <c r="V200" s="158">
        <f>IFERROR(IF(N200&lt;P200,"",(ROUNDDOWN(N200/P200*100,0))),"")</f>
        <v>110</v>
      </c>
    </row>
    <row r="201" spans="1:22" ht="45" customHeight="1">
      <c r="A201" s="174"/>
      <c r="B201" s="173"/>
      <c r="C201" s="172"/>
      <c r="D201" s="168" t="s">
        <v>631</v>
      </c>
      <c r="E201" s="161" t="s">
        <v>590</v>
      </c>
      <c r="F201" s="167">
        <v>2.9980000000000002</v>
      </c>
      <c r="G201" s="161">
        <v>430</v>
      </c>
      <c r="H201" s="161">
        <v>110</v>
      </c>
      <c r="I201" s="161" t="s">
        <v>71</v>
      </c>
      <c r="J201" s="166">
        <v>2652</v>
      </c>
      <c r="K201" s="166">
        <v>5812</v>
      </c>
      <c r="L201" s="161">
        <v>2995</v>
      </c>
      <c r="M201" s="165" t="s">
        <v>589</v>
      </c>
      <c r="N201" s="164">
        <v>10.6</v>
      </c>
      <c r="O201" s="23">
        <f>IF(N201&gt;0,1/N201*37.7*68.6,"")</f>
        <v>243.98301886792456</v>
      </c>
      <c r="P201" s="163">
        <v>9.51</v>
      </c>
      <c r="Q201" s="162" t="s">
        <v>588</v>
      </c>
      <c r="R201" s="161" t="s">
        <v>587</v>
      </c>
      <c r="S201" s="161" t="s">
        <v>586</v>
      </c>
      <c r="T201" s="160"/>
      <c r="U201" s="159"/>
      <c r="V201" s="158">
        <f>IFERROR(IF(N201&lt;P201,"",(ROUNDDOWN(N201/P201*100,0))),"")</f>
        <v>111</v>
      </c>
    </row>
    <row r="202" spans="1:22" ht="45" customHeight="1">
      <c r="A202" s="174"/>
      <c r="B202" s="173"/>
      <c r="C202" s="172"/>
      <c r="D202" s="168" t="s">
        <v>630</v>
      </c>
      <c r="E202" s="161" t="s">
        <v>590</v>
      </c>
      <c r="F202" s="167">
        <v>2.9980000000000002</v>
      </c>
      <c r="G202" s="161">
        <v>430</v>
      </c>
      <c r="H202" s="161">
        <v>96</v>
      </c>
      <c r="I202" s="161" t="s">
        <v>71</v>
      </c>
      <c r="J202" s="166">
        <v>2356</v>
      </c>
      <c r="K202" s="166">
        <v>4521</v>
      </c>
      <c r="L202" s="161">
        <v>2000</v>
      </c>
      <c r="M202" s="165" t="s">
        <v>589</v>
      </c>
      <c r="N202" s="164">
        <v>11.8</v>
      </c>
      <c r="O202" s="23">
        <f>IF(N202&gt;0,1/N202*37.7*68.6,"")</f>
        <v>219.17118644067796</v>
      </c>
      <c r="P202" s="163">
        <v>10.35</v>
      </c>
      <c r="Q202" s="162" t="s">
        <v>588</v>
      </c>
      <c r="R202" s="161" t="s">
        <v>587</v>
      </c>
      <c r="S202" s="161" t="s">
        <v>110</v>
      </c>
      <c r="T202" s="160"/>
      <c r="U202" s="159"/>
      <c r="V202" s="158">
        <f>IFERROR(IF(N202&lt;P202,"",(ROUNDDOWN(N202/P202*100,0))),"")</f>
        <v>114</v>
      </c>
    </row>
    <row r="203" spans="1:22" ht="45" customHeight="1">
      <c r="A203" s="174"/>
      <c r="B203" s="173"/>
      <c r="C203" s="172"/>
      <c r="D203" s="168" t="s">
        <v>630</v>
      </c>
      <c r="E203" s="161" t="s">
        <v>590</v>
      </c>
      <c r="F203" s="167">
        <v>2.9980000000000002</v>
      </c>
      <c r="G203" s="161">
        <v>430</v>
      </c>
      <c r="H203" s="161">
        <v>96</v>
      </c>
      <c r="I203" s="161" t="s">
        <v>71</v>
      </c>
      <c r="J203" s="166">
        <v>2356</v>
      </c>
      <c r="K203" s="166">
        <v>4521</v>
      </c>
      <c r="L203" s="161">
        <v>2000</v>
      </c>
      <c r="M203" s="165" t="s">
        <v>589</v>
      </c>
      <c r="N203" s="164">
        <v>11.4</v>
      </c>
      <c r="O203" s="23">
        <f>IF(N203&gt;0,1/N203*37.7*68.6,"")</f>
        <v>226.8614035087719</v>
      </c>
      <c r="P203" s="163">
        <v>10.35</v>
      </c>
      <c r="Q203" s="162" t="s">
        <v>593</v>
      </c>
      <c r="R203" s="161" t="s">
        <v>587</v>
      </c>
      <c r="S203" s="161" t="s">
        <v>110</v>
      </c>
      <c r="T203" s="160"/>
      <c r="U203" s="159"/>
      <c r="V203" s="158">
        <f>IFERROR(IF(N203&lt;P203,"",(ROUNDDOWN(N203/P203*100,0))),"")</f>
        <v>110</v>
      </c>
    </row>
    <row r="204" spans="1:22" ht="45" customHeight="1">
      <c r="A204" s="174"/>
      <c r="B204" s="173"/>
      <c r="C204" s="172"/>
      <c r="D204" s="168" t="s">
        <v>630</v>
      </c>
      <c r="E204" s="161" t="s">
        <v>590</v>
      </c>
      <c r="F204" s="167">
        <v>2.9980000000000002</v>
      </c>
      <c r="G204" s="161">
        <v>430</v>
      </c>
      <c r="H204" s="161">
        <v>96</v>
      </c>
      <c r="I204" s="161" t="s">
        <v>71</v>
      </c>
      <c r="J204" s="166">
        <v>2356</v>
      </c>
      <c r="K204" s="166">
        <v>4521</v>
      </c>
      <c r="L204" s="161">
        <v>2000</v>
      </c>
      <c r="M204" s="165" t="s">
        <v>589</v>
      </c>
      <c r="N204" s="164">
        <v>11.4</v>
      </c>
      <c r="O204" s="23">
        <f>IF(N204&gt;0,1/N204*37.7*68.6,"")</f>
        <v>226.8614035087719</v>
      </c>
      <c r="P204" s="163">
        <v>10.35</v>
      </c>
      <c r="Q204" s="162" t="s">
        <v>629</v>
      </c>
      <c r="R204" s="161" t="s">
        <v>587</v>
      </c>
      <c r="S204" s="161" t="s">
        <v>110</v>
      </c>
      <c r="T204" s="160"/>
      <c r="U204" s="159"/>
      <c r="V204" s="158">
        <f>IFERROR(IF(N204&lt;P204,"",(ROUNDDOWN(N204/P204*100,0))),"")</f>
        <v>110</v>
      </c>
    </row>
    <row r="205" spans="1:22" ht="45" customHeight="1">
      <c r="A205" s="174"/>
      <c r="B205" s="173"/>
      <c r="C205" s="172"/>
      <c r="D205" s="168" t="s">
        <v>628</v>
      </c>
      <c r="E205" s="161" t="s">
        <v>590</v>
      </c>
      <c r="F205" s="167">
        <v>2.9980000000000002</v>
      </c>
      <c r="G205" s="161">
        <v>430</v>
      </c>
      <c r="H205" s="161">
        <v>110</v>
      </c>
      <c r="I205" s="161" t="s">
        <v>71</v>
      </c>
      <c r="J205" s="166">
        <v>2356</v>
      </c>
      <c r="K205" s="166">
        <v>4521</v>
      </c>
      <c r="L205" s="161">
        <v>2000</v>
      </c>
      <c r="M205" s="165" t="s">
        <v>589</v>
      </c>
      <c r="N205" s="164">
        <v>11.2</v>
      </c>
      <c r="O205" s="23">
        <f>IF(N205&gt;0,1/N205*37.7*68.6,"")</f>
        <v>230.91249999999999</v>
      </c>
      <c r="P205" s="163">
        <v>10.35</v>
      </c>
      <c r="Q205" s="162" t="s">
        <v>593</v>
      </c>
      <c r="R205" s="161" t="s">
        <v>587</v>
      </c>
      <c r="S205" s="161" t="s">
        <v>110</v>
      </c>
      <c r="T205" s="160"/>
      <c r="U205" s="159"/>
      <c r="V205" s="158">
        <f>IFERROR(IF(N205&lt;P205,"",(ROUNDDOWN(N205/P205*100,0))),"")</f>
        <v>108</v>
      </c>
    </row>
    <row r="206" spans="1:22" ht="45" customHeight="1">
      <c r="A206" s="174"/>
      <c r="B206" s="173"/>
      <c r="C206" s="172"/>
      <c r="D206" s="168" t="s">
        <v>628</v>
      </c>
      <c r="E206" s="161" t="s">
        <v>590</v>
      </c>
      <c r="F206" s="167">
        <v>2.9980000000000002</v>
      </c>
      <c r="G206" s="161">
        <v>430</v>
      </c>
      <c r="H206" s="161">
        <v>110</v>
      </c>
      <c r="I206" s="161" t="s">
        <v>71</v>
      </c>
      <c r="J206" s="166">
        <v>2652</v>
      </c>
      <c r="K206" s="166">
        <v>5812</v>
      </c>
      <c r="L206" s="161">
        <v>2995</v>
      </c>
      <c r="M206" s="165" t="s">
        <v>589</v>
      </c>
      <c r="N206" s="164">
        <v>10.4</v>
      </c>
      <c r="O206" s="23">
        <f>IF(N206&gt;0,1/N206*37.7*68.6,"")</f>
        <v>248.67499999999998</v>
      </c>
      <c r="P206" s="163">
        <v>9.51</v>
      </c>
      <c r="Q206" s="162" t="s">
        <v>593</v>
      </c>
      <c r="R206" s="161" t="s">
        <v>587</v>
      </c>
      <c r="S206" s="161" t="s">
        <v>110</v>
      </c>
      <c r="T206" s="160"/>
      <c r="U206" s="159"/>
      <c r="V206" s="158">
        <f>IFERROR(IF(N206&lt;P206,"",(ROUNDDOWN(N206/P206*100,0))),"")</f>
        <v>109</v>
      </c>
    </row>
    <row r="207" spans="1:22" ht="45" customHeight="1">
      <c r="A207" s="174"/>
      <c r="B207" s="173"/>
      <c r="C207" s="172"/>
      <c r="D207" s="168" t="s">
        <v>627</v>
      </c>
      <c r="E207" s="161" t="s">
        <v>590</v>
      </c>
      <c r="F207" s="167">
        <v>2.9980000000000002</v>
      </c>
      <c r="G207" s="161">
        <v>430</v>
      </c>
      <c r="H207" s="161">
        <v>110</v>
      </c>
      <c r="I207" s="161" t="s">
        <v>71</v>
      </c>
      <c r="J207" s="166">
        <v>2356</v>
      </c>
      <c r="K207" s="166">
        <v>4521</v>
      </c>
      <c r="L207" s="161">
        <v>2000</v>
      </c>
      <c r="M207" s="165" t="s">
        <v>589</v>
      </c>
      <c r="N207" s="164">
        <v>11.6</v>
      </c>
      <c r="O207" s="23">
        <f>IF(N207&gt;0,1/N207*37.7*68.6,"")</f>
        <v>222.95000000000002</v>
      </c>
      <c r="P207" s="163">
        <v>10.35</v>
      </c>
      <c r="Q207" s="162" t="s">
        <v>588</v>
      </c>
      <c r="R207" s="161" t="s">
        <v>587</v>
      </c>
      <c r="S207" s="161" t="s">
        <v>110</v>
      </c>
      <c r="T207" s="160"/>
      <c r="U207" s="159"/>
      <c r="V207" s="158">
        <f>IFERROR(IF(N207&lt;P207,"",(ROUNDDOWN(N207/P207*100,0))),"")</f>
        <v>112</v>
      </c>
    </row>
    <row r="208" spans="1:22" ht="45" customHeight="1">
      <c r="A208" s="174"/>
      <c r="B208" s="173"/>
      <c r="C208" s="172"/>
      <c r="D208" s="168" t="s">
        <v>627</v>
      </c>
      <c r="E208" s="161" t="s">
        <v>590</v>
      </c>
      <c r="F208" s="167">
        <v>2.9980000000000002</v>
      </c>
      <c r="G208" s="161">
        <v>430</v>
      </c>
      <c r="H208" s="161">
        <v>110</v>
      </c>
      <c r="I208" s="161" t="s">
        <v>71</v>
      </c>
      <c r="J208" s="166">
        <v>2652</v>
      </c>
      <c r="K208" s="166">
        <v>5812</v>
      </c>
      <c r="L208" s="161">
        <v>2995</v>
      </c>
      <c r="M208" s="165" t="s">
        <v>589</v>
      </c>
      <c r="N208" s="164">
        <v>10.8</v>
      </c>
      <c r="O208" s="23">
        <f>IF(N208&gt;0,1/N208*37.7*68.6,"")</f>
        <v>239.46481481481482</v>
      </c>
      <c r="P208" s="163">
        <v>9.51</v>
      </c>
      <c r="Q208" s="162" t="s">
        <v>588</v>
      </c>
      <c r="R208" s="161" t="s">
        <v>587</v>
      </c>
      <c r="S208" s="161" t="s">
        <v>110</v>
      </c>
      <c r="T208" s="160"/>
      <c r="U208" s="159"/>
      <c r="V208" s="158">
        <f>IFERROR(IF(N208&lt;P208,"",(ROUNDDOWN(N208/P208*100,0))),"")</f>
        <v>113</v>
      </c>
    </row>
    <row r="209" spans="1:22" ht="45" customHeight="1">
      <c r="A209" s="174"/>
      <c r="B209" s="173"/>
      <c r="C209" s="172"/>
      <c r="D209" s="168" t="s">
        <v>627</v>
      </c>
      <c r="E209" s="161" t="s">
        <v>590</v>
      </c>
      <c r="F209" s="167">
        <v>2.9980000000000002</v>
      </c>
      <c r="G209" s="161">
        <v>430</v>
      </c>
      <c r="H209" s="161">
        <v>110</v>
      </c>
      <c r="I209" s="161" t="s">
        <v>71</v>
      </c>
      <c r="J209" s="166">
        <v>2356</v>
      </c>
      <c r="K209" s="166">
        <v>4521</v>
      </c>
      <c r="L209" s="161">
        <v>2000</v>
      </c>
      <c r="M209" s="165" t="s">
        <v>589</v>
      </c>
      <c r="N209" s="164">
        <v>11.4</v>
      </c>
      <c r="O209" s="23">
        <f>IF(N209&gt;0,1/N209*37.7*68.6,"")</f>
        <v>226.8614035087719</v>
      </c>
      <c r="P209" s="163">
        <v>10.35</v>
      </c>
      <c r="Q209" s="162" t="s">
        <v>588</v>
      </c>
      <c r="R209" s="161" t="s">
        <v>587</v>
      </c>
      <c r="S209" s="161" t="s">
        <v>110</v>
      </c>
      <c r="T209" s="160"/>
      <c r="U209" s="159"/>
      <c r="V209" s="158">
        <f>IFERROR(IF(N209&lt;P209,"",(ROUNDDOWN(N209/P209*100,0))),"")</f>
        <v>110</v>
      </c>
    </row>
    <row r="210" spans="1:22" ht="45" customHeight="1">
      <c r="A210" s="174"/>
      <c r="B210" s="173"/>
      <c r="C210" s="172"/>
      <c r="D210" s="168" t="s">
        <v>627</v>
      </c>
      <c r="E210" s="161" t="s">
        <v>590</v>
      </c>
      <c r="F210" s="167">
        <v>2.9980000000000002</v>
      </c>
      <c r="G210" s="161">
        <v>430</v>
      </c>
      <c r="H210" s="161">
        <v>110</v>
      </c>
      <c r="I210" s="161" t="s">
        <v>71</v>
      </c>
      <c r="J210" s="166">
        <v>2652</v>
      </c>
      <c r="K210" s="166">
        <v>5812</v>
      </c>
      <c r="L210" s="161">
        <v>2995</v>
      </c>
      <c r="M210" s="165" t="s">
        <v>589</v>
      </c>
      <c r="N210" s="164">
        <v>10.6</v>
      </c>
      <c r="O210" s="23">
        <f>IF(N210&gt;0,1/N210*37.7*68.6,"")</f>
        <v>243.98301886792456</v>
      </c>
      <c r="P210" s="163">
        <v>9.51</v>
      </c>
      <c r="Q210" s="162" t="s">
        <v>588</v>
      </c>
      <c r="R210" s="161" t="s">
        <v>587</v>
      </c>
      <c r="S210" s="161" t="s">
        <v>110</v>
      </c>
      <c r="T210" s="160"/>
      <c r="U210" s="159"/>
      <c r="V210" s="158">
        <f>IFERROR(IF(N210&lt;P210,"",(ROUNDDOWN(N210/P210*100,0))),"")</f>
        <v>111</v>
      </c>
    </row>
    <row r="211" spans="1:22" ht="45" customHeight="1">
      <c r="A211" s="174"/>
      <c r="B211" s="173"/>
      <c r="C211" s="172"/>
      <c r="D211" s="168" t="s">
        <v>626</v>
      </c>
      <c r="E211" s="161" t="s">
        <v>590</v>
      </c>
      <c r="F211" s="167">
        <v>2.9980000000000002</v>
      </c>
      <c r="G211" s="161">
        <v>430</v>
      </c>
      <c r="H211" s="161">
        <v>81</v>
      </c>
      <c r="I211" s="161" t="s">
        <v>71</v>
      </c>
      <c r="J211" s="166">
        <v>1957</v>
      </c>
      <c r="K211" s="166">
        <v>3612</v>
      </c>
      <c r="L211" s="161">
        <v>1490</v>
      </c>
      <c r="M211" s="165" t="s">
        <v>589</v>
      </c>
      <c r="N211" s="164">
        <v>13.2</v>
      </c>
      <c r="O211" s="23">
        <f>IF(N211&gt;0,1/N211*37.7*68.6,"")</f>
        <v>195.92575757575759</v>
      </c>
      <c r="P211" s="163">
        <v>10.83</v>
      </c>
      <c r="Q211" s="162" t="s">
        <v>588</v>
      </c>
      <c r="R211" s="161" t="s">
        <v>587</v>
      </c>
      <c r="S211" s="161" t="s">
        <v>586</v>
      </c>
      <c r="T211" s="160"/>
      <c r="U211" s="159"/>
      <c r="V211" s="158">
        <f>IFERROR(IF(N211&lt;P211,"",(ROUNDDOWN(N211/P211*100,0))),"")</f>
        <v>121</v>
      </c>
    </row>
    <row r="212" spans="1:22" ht="45" customHeight="1">
      <c r="A212" s="174"/>
      <c r="B212" s="173"/>
      <c r="C212" s="172"/>
      <c r="D212" s="168" t="s">
        <v>626</v>
      </c>
      <c r="E212" s="161" t="s">
        <v>590</v>
      </c>
      <c r="F212" s="167">
        <v>2.9980000000000002</v>
      </c>
      <c r="G212" s="161">
        <v>430</v>
      </c>
      <c r="H212" s="161">
        <v>81</v>
      </c>
      <c r="I212" s="161" t="s">
        <v>71</v>
      </c>
      <c r="J212" s="166">
        <v>1957</v>
      </c>
      <c r="K212" s="166">
        <v>3612</v>
      </c>
      <c r="L212" s="161">
        <v>1490</v>
      </c>
      <c r="M212" s="165" t="s">
        <v>589</v>
      </c>
      <c r="N212" s="164">
        <v>12.6</v>
      </c>
      <c r="O212" s="23">
        <f>IF(N212&gt;0,1/N212*37.7*68.6,"")</f>
        <v>205.25555555555553</v>
      </c>
      <c r="P212" s="163">
        <v>10.83</v>
      </c>
      <c r="Q212" s="162" t="s">
        <v>593</v>
      </c>
      <c r="R212" s="161" t="s">
        <v>587</v>
      </c>
      <c r="S212" s="161" t="s">
        <v>586</v>
      </c>
      <c r="T212" s="160"/>
      <c r="U212" s="159"/>
      <c r="V212" s="158">
        <f>IFERROR(IF(N212&lt;P212,"",(ROUNDDOWN(N212/P212*100,0))),"")</f>
        <v>116</v>
      </c>
    </row>
    <row r="213" spans="1:22" ht="45" customHeight="1">
      <c r="A213" s="174"/>
      <c r="B213" s="173"/>
      <c r="C213" s="172"/>
      <c r="D213" s="168" t="s">
        <v>626</v>
      </c>
      <c r="E213" s="161" t="s">
        <v>590</v>
      </c>
      <c r="F213" s="167">
        <v>2.9980000000000002</v>
      </c>
      <c r="G213" s="161">
        <v>430</v>
      </c>
      <c r="H213" s="161">
        <v>81</v>
      </c>
      <c r="I213" s="161" t="s">
        <v>71</v>
      </c>
      <c r="J213" s="166">
        <v>1957</v>
      </c>
      <c r="K213" s="166">
        <v>3612</v>
      </c>
      <c r="L213" s="161">
        <v>1490</v>
      </c>
      <c r="M213" s="165" t="s">
        <v>589</v>
      </c>
      <c r="N213" s="164">
        <v>12.6</v>
      </c>
      <c r="O213" s="23">
        <f>IF(N213&gt;0,1/N213*37.7*68.6,"")</f>
        <v>205.25555555555553</v>
      </c>
      <c r="P213" s="163">
        <v>10.83</v>
      </c>
      <c r="Q213" s="162" t="s">
        <v>588</v>
      </c>
      <c r="R213" s="161" t="s">
        <v>587</v>
      </c>
      <c r="S213" s="161" t="s">
        <v>586</v>
      </c>
      <c r="T213" s="160"/>
      <c r="U213" s="159"/>
      <c r="V213" s="158">
        <f>IFERROR(IF(N213&lt;P213,"",(ROUNDDOWN(N213/P213*100,0))),"")</f>
        <v>116</v>
      </c>
    </row>
    <row r="214" spans="1:22" ht="45" customHeight="1">
      <c r="A214" s="174"/>
      <c r="B214" s="173"/>
      <c r="C214" s="172"/>
      <c r="D214" s="168" t="s">
        <v>626</v>
      </c>
      <c r="E214" s="161" t="s">
        <v>590</v>
      </c>
      <c r="F214" s="167">
        <v>2.9980000000000002</v>
      </c>
      <c r="G214" s="161">
        <v>430</v>
      </c>
      <c r="H214" s="161">
        <v>96</v>
      </c>
      <c r="I214" s="161" t="s">
        <v>70</v>
      </c>
      <c r="J214" s="166">
        <v>1957</v>
      </c>
      <c r="K214" s="166">
        <v>3612</v>
      </c>
      <c r="L214" s="161">
        <v>1490</v>
      </c>
      <c r="M214" s="165" t="s">
        <v>589</v>
      </c>
      <c r="N214" s="164">
        <v>12.6</v>
      </c>
      <c r="O214" s="23">
        <f>IF(N214&gt;0,1/N214*37.7*68.6,"")</f>
        <v>205.25555555555553</v>
      </c>
      <c r="P214" s="163">
        <v>10.83</v>
      </c>
      <c r="Q214" s="162" t="s">
        <v>588</v>
      </c>
      <c r="R214" s="161" t="s">
        <v>587</v>
      </c>
      <c r="S214" s="161" t="s">
        <v>586</v>
      </c>
      <c r="T214" s="160"/>
      <c r="U214" s="159"/>
      <c r="V214" s="158">
        <f>IFERROR(IF(N214&lt;P214,"",(ROUNDDOWN(N214/P214*100,0))),"")</f>
        <v>116</v>
      </c>
    </row>
    <row r="215" spans="1:22" ht="45" customHeight="1">
      <c r="A215" s="174"/>
      <c r="B215" s="173"/>
      <c r="C215" s="172"/>
      <c r="D215" s="168" t="s">
        <v>625</v>
      </c>
      <c r="E215" s="161" t="s">
        <v>590</v>
      </c>
      <c r="F215" s="167">
        <v>2.9980000000000002</v>
      </c>
      <c r="G215" s="161">
        <v>430</v>
      </c>
      <c r="H215" s="161">
        <v>81</v>
      </c>
      <c r="I215" s="161" t="s">
        <v>71</v>
      </c>
      <c r="J215" s="166">
        <v>1957</v>
      </c>
      <c r="K215" s="166">
        <v>3612</v>
      </c>
      <c r="L215" s="161">
        <v>1490</v>
      </c>
      <c r="M215" s="165" t="s">
        <v>589</v>
      </c>
      <c r="N215" s="164">
        <v>13.2</v>
      </c>
      <c r="O215" s="23">
        <f>IF(N215&gt;0,1/N215*37.7*68.6,"")</f>
        <v>195.92575757575759</v>
      </c>
      <c r="P215" s="163">
        <v>10.83</v>
      </c>
      <c r="Q215" s="162" t="s">
        <v>588</v>
      </c>
      <c r="R215" s="161" t="s">
        <v>587</v>
      </c>
      <c r="S215" s="161" t="s">
        <v>110</v>
      </c>
      <c r="T215" s="160"/>
      <c r="U215" s="159"/>
      <c r="V215" s="158">
        <f>IFERROR(IF(N215&lt;P215,"",(ROUNDDOWN(N215/P215*100,0))),"")</f>
        <v>121</v>
      </c>
    </row>
    <row r="216" spans="1:22" ht="45" customHeight="1">
      <c r="A216" s="174"/>
      <c r="B216" s="173"/>
      <c r="C216" s="172"/>
      <c r="D216" s="168" t="s">
        <v>625</v>
      </c>
      <c r="E216" s="161" t="s">
        <v>590</v>
      </c>
      <c r="F216" s="167">
        <v>2.9980000000000002</v>
      </c>
      <c r="G216" s="161">
        <v>430</v>
      </c>
      <c r="H216" s="161">
        <v>81</v>
      </c>
      <c r="I216" s="161" t="s">
        <v>71</v>
      </c>
      <c r="J216" s="166">
        <v>1957</v>
      </c>
      <c r="K216" s="166">
        <v>3612</v>
      </c>
      <c r="L216" s="161">
        <v>1490</v>
      </c>
      <c r="M216" s="165" t="s">
        <v>589</v>
      </c>
      <c r="N216" s="164">
        <v>12.6</v>
      </c>
      <c r="O216" s="23">
        <f>IF(N216&gt;0,1/N216*37.7*68.6,"")</f>
        <v>205.25555555555553</v>
      </c>
      <c r="P216" s="163">
        <v>10.83</v>
      </c>
      <c r="Q216" s="162" t="s">
        <v>593</v>
      </c>
      <c r="R216" s="161" t="s">
        <v>587</v>
      </c>
      <c r="S216" s="161" t="s">
        <v>110</v>
      </c>
      <c r="T216" s="160"/>
      <c r="U216" s="159"/>
      <c r="V216" s="158">
        <f>IFERROR(IF(N216&lt;P216,"",(ROUNDDOWN(N216/P216*100,0))),"")</f>
        <v>116</v>
      </c>
    </row>
    <row r="217" spans="1:22" ht="45" customHeight="1">
      <c r="A217" s="174"/>
      <c r="B217" s="173"/>
      <c r="C217" s="172"/>
      <c r="D217" s="168" t="s">
        <v>625</v>
      </c>
      <c r="E217" s="161" t="s">
        <v>590</v>
      </c>
      <c r="F217" s="167">
        <v>2.9980000000000002</v>
      </c>
      <c r="G217" s="161">
        <v>430</v>
      </c>
      <c r="H217" s="161">
        <v>81</v>
      </c>
      <c r="I217" s="161" t="s">
        <v>71</v>
      </c>
      <c r="J217" s="166">
        <v>1957</v>
      </c>
      <c r="K217" s="166">
        <v>3612</v>
      </c>
      <c r="L217" s="161">
        <v>1490</v>
      </c>
      <c r="M217" s="165" t="s">
        <v>589</v>
      </c>
      <c r="N217" s="164">
        <v>12.6</v>
      </c>
      <c r="O217" s="23">
        <f>IF(N217&gt;0,1/N217*37.7*68.6,"")</f>
        <v>205.25555555555553</v>
      </c>
      <c r="P217" s="163">
        <v>10.83</v>
      </c>
      <c r="Q217" s="162" t="s">
        <v>588</v>
      </c>
      <c r="R217" s="161" t="s">
        <v>587</v>
      </c>
      <c r="S217" s="161" t="s">
        <v>110</v>
      </c>
      <c r="T217" s="160"/>
      <c r="U217" s="159"/>
      <c r="V217" s="158">
        <f>IFERROR(IF(N217&lt;P217,"",(ROUNDDOWN(N217/P217*100,0))),"")</f>
        <v>116</v>
      </c>
    </row>
    <row r="218" spans="1:22" ht="45" customHeight="1">
      <c r="A218" s="174"/>
      <c r="B218" s="173"/>
      <c r="C218" s="172"/>
      <c r="D218" s="168" t="s">
        <v>624</v>
      </c>
      <c r="E218" s="161" t="s">
        <v>590</v>
      </c>
      <c r="F218" s="167">
        <v>2.9980000000000002</v>
      </c>
      <c r="G218" s="161">
        <v>430</v>
      </c>
      <c r="H218" s="161">
        <v>96</v>
      </c>
      <c r="I218" s="161" t="s">
        <v>598</v>
      </c>
      <c r="J218" s="166">
        <v>2356</v>
      </c>
      <c r="K218" s="166">
        <v>4521</v>
      </c>
      <c r="L218" s="161">
        <v>2000</v>
      </c>
      <c r="M218" s="165" t="s">
        <v>589</v>
      </c>
      <c r="N218" s="164">
        <v>11.4</v>
      </c>
      <c r="O218" s="23">
        <f>IF(N218&gt;0,1/N218*37.7*68.6,"")</f>
        <v>226.8614035087719</v>
      </c>
      <c r="P218" s="163">
        <v>10.35</v>
      </c>
      <c r="Q218" s="162" t="s">
        <v>593</v>
      </c>
      <c r="R218" s="161" t="s">
        <v>587</v>
      </c>
      <c r="S218" s="161" t="s">
        <v>586</v>
      </c>
      <c r="T218" s="160"/>
      <c r="U218" s="159"/>
      <c r="V218" s="158">
        <f>IFERROR(IF(N218&lt;P218,"",(ROUNDDOWN(N218/P218*100,0))),"")</f>
        <v>110</v>
      </c>
    </row>
    <row r="219" spans="1:22" ht="45" customHeight="1">
      <c r="A219" s="174"/>
      <c r="B219" s="173"/>
      <c r="C219" s="172"/>
      <c r="D219" s="168" t="s">
        <v>624</v>
      </c>
      <c r="E219" s="161" t="s">
        <v>590</v>
      </c>
      <c r="F219" s="167">
        <v>2.9980000000000002</v>
      </c>
      <c r="G219" s="161">
        <v>430</v>
      </c>
      <c r="H219" s="161">
        <v>96</v>
      </c>
      <c r="I219" s="161" t="s">
        <v>598</v>
      </c>
      <c r="J219" s="166">
        <v>2356</v>
      </c>
      <c r="K219" s="166">
        <v>4521</v>
      </c>
      <c r="L219" s="161">
        <v>2000</v>
      </c>
      <c r="M219" s="165" t="s">
        <v>589</v>
      </c>
      <c r="N219" s="164">
        <v>11.4</v>
      </c>
      <c r="O219" s="23">
        <f>IF(N219&gt;0,1/N219*37.7*68.6,"")</f>
        <v>226.8614035087719</v>
      </c>
      <c r="P219" s="163">
        <v>10.35</v>
      </c>
      <c r="Q219" s="162" t="s">
        <v>588</v>
      </c>
      <c r="R219" s="161" t="s">
        <v>587</v>
      </c>
      <c r="S219" s="161" t="s">
        <v>586</v>
      </c>
      <c r="T219" s="160"/>
      <c r="U219" s="159"/>
      <c r="V219" s="158">
        <f>IFERROR(IF(N219&lt;P219,"",(ROUNDDOWN(N219/P219*100,0))),"")</f>
        <v>110</v>
      </c>
    </row>
    <row r="220" spans="1:22" ht="45" customHeight="1">
      <c r="A220" s="174"/>
      <c r="B220" s="173"/>
      <c r="C220" s="172"/>
      <c r="D220" s="168" t="s">
        <v>624</v>
      </c>
      <c r="E220" s="161" t="s">
        <v>590</v>
      </c>
      <c r="F220" s="167">
        <v>2.9980000000000002</v>
      </c>
      <c r="G220" s="161">
        <v>430</v>
      </c>
      <c r="H220" s="161">
        <v>96</v>
      </c>
      <c r="I220" s="161" t="s">
        <v>598</v>
      </c>
      <c r="J220" s="166">
        <v>2356</v>
      </c>
      <c r="K220" s="166">
        <v>4521</v>
      </c>
      <c r="L220" s="161">
        <v>2000</v>
      </c>
      <c r="M220" s="165" t="s">
        <v>589</v>
      </c>
      <c r="N220" s="164">
        <v>11.8</v>
      </c>
      <c r="O220" s="23">
        <f>IF(N220&gt;0,1/N220*37.7*68.6,"")</f>
        <v>219.17118644067796</v>
      </c>
      <c r="P220" s="163">
        <v>10.35</v>
      </c>
      <c r="Q220" s="162" t="s">
        <v>588</v>
      </c>
      <c r="R220" s="161" t="s">
        <v>587</v>
      </c>
      <c r="S220" s="161" t="s">
        <v>586</v>
      </c>
      <c r="T220" s="160"/>
      <c r="U220" s="159"/>
      <c r="V220" s="158">
        <f>IFERROR(IF(N220&lt;P220,"",(ROUNDDOWN(N220/P220*100,0))),"")</f>
        <v>114</v>
      </c>
    </row>
    <row r="221" spans="1:22" ht="45" customHeight="1">
      <c r="A221" s="174"/>
      <c r="B221" s="173"/>
      <c r="C221" s="172"/>
      <c r="D221" s="168" t="s">
        <v>623</v>
      </c>
      <c r="E221" s="161" t="s">
        <v>590</v>
      </c>
      <c r="F221" s="167">
        <v>2.9980000000000002</v>
      </c>
      <c r="G221" s="161">
        <v>430</v>
      </c>
      <c r="H221" s="161">
        <v>96</v>
      </c>
      <c r="I221" s="161" t="s">
        <v>71</v>
      </c>
      <c r="J221" s="166">
        <v>2356</v>
      </c>
      <c r="K221" s="166">
        <v>4521</v>
      </c>
      <c r="L221" s="161">
        <v>2000</v>
      </c>
      <c r="M221" s="165" t="s">
        <v>589</v>
      </c>
      <c r="N221" s="164">
        <v>11.4</v>
      </c>
      <c r="O221" s="23">
        <f>IF(N221&gt;0,1/N221*37.7*68.6,"")</f>
        <v>226.8614035087719</v>
      </c>
      <c r="P221" s="163">
        <v>10.35</v>
      </c>
      <c r="Q221" s="162" t="s">
        <v>593</v>
      </c>
      <c r="R221" s="161" t="s">
        <v>587</v>
      </c>
      <c r="S221" s="161" t="s">
        <v>110</v>
      </c>
      <c r="T221" s="160"/>
      <c r="U221" s="159"/>
      <c r="V221" s="158">
        <f>IFERROR(IF(N221&lt;P221,"",(ROUNDDOWN(N221/P221*100,0))),"")</f>
        <v>110</v>
      </c>
    </row>
    <row r="222" spans="1:22" ht="45" customHeight="1">
      <c r="A222" s="174"/>
      <c r="B222" s="173"/>
      <c r="C222" s="172"/>
      <c r="D222" s="168" t="s">
        <v>623</v>
      </c>
      <c r="E222" s="161" t="s">
        <v>590</v>
      </c>
      <c r="F222" s="167">
        <v>2.9980000000000002</v>
      </c>
      <c r="G222" s="161">
        <v>430</v>
      </c>
      <c r="H222" s="161">
        <v>96</v>
      </c>
      <c r="I222" s="161" t="s">
        <v>71</v>
      </c>
      <c r="J222" s="166">
        <v>2356</v>
      </c>
      <c r="K222" s="166">
        <v>4521</v>
      </c>
      <c r="L222" s="161">
        <v>2000</v>
      </c>
      <c r="M222" s="165" t="s">
        <v>589</v>
      </c>
      <c r="N222" s="164">
        <v>11.8</v>
      </c>
      <c r="O222" s="23">
        <f>IF(N222&gt;0,1/N222*37.7*68.6,"")</f>
        <v>219.17118644067796</v>
      </c>
      <c r="P222" s="163">
        <v>10.35</v>
      </c>
      <c r="Q222" s="162" t="s">
        <v>588</v>
      </c>
      <c r="R222" s="161" t="s">
        <v>587</v>
      </c>
      <c r="S222" s="161" t="s">
        <v>110</v>
      </c>
      <c r="T222" s="160"/>
      <c r="U222" s="159"/>
      <c r="V222" s="158">
        <f>IFERROR(IF(N222&lt;P222,"",(ROUNDDOWN(N222/P222*100,0))),"")</f>
        <v>114</v>
      </c>
    </row>
    <row r="223" spans="1:22" ht="45" customHeight="1">
      <c r="A223" s="174"/>
      <c r="B223" s="173"/>
      <c r="C223" s="172"/>
      <c r="D223" s="168" t="s">
        <v>623</v>
      </c>
      <c r="E223" s="161" t="s">
        <v>590</v>
      </c>
      <c r="F223" s="167">
        <v>2.9980000000000002</v>
      </c>
      <c r="G223" s="161">
        <v>430</v>
      </c>
      <c r="H223" s="161">
        <v>96</v>
      </c>
      <c r="I223" s="161" t="s">
        <v>71</v>
      </c>
      <c r="J223" s="166">
        <v>2356</v>
      </c>
      <c r="K223" s="166">
        <v>4521</v>
      </c>
      <c r="L223" s="161">
        <v>2000</v>
      </c>
      <c r="M223" s="165" t="s">
        <v>589</v>
      </c>
      <c r="N223" s="164">
        <v>11.4</v>
      </c>
      <c r="O223" s="23">
        <f>IF(N223&gt;0,1/N223*37.7*68.6,"")</f>
        <v>226.8614035087719</v>
      </c>
      <c r="P223" s="163">
        <v>10.35</v>
      </c>
      <c r="Q223" s="162" t="s">
        <v>588</v>
      </c>
      <c r="R223" s="161" t="s">
        <v>587</v>
      </c>
      <c r="S223" s="161" t="s">
        <v>110</v>
      </c>
      <c r="T223" s="160"/>
      <c r="U223" s="159"/>
      <c r="V223" s="158">
        <f>IFERROR(IF(N223&lt;P223,"",(ROUNDDOWN(N223/P223*100,0))),"")</f>
        <v>110</v>
      </c>
    </row>
    <row r="224" spans="1:22" ht="45" customHeight="1">
      <c r="A224" s="174"/>
      <c r="B224" s="173"/>
      <c r="C224" s="172"/>
      <c r="D224" s="168" t="s">
        <v>622</v>
      </c>
      <c r="E224" s="161" t="s">
        <v>590</v>
      </c>
      <c r="F224" s="167">
        <v>2.9980000000000002</v>
      </c>
      <c r="G224" s="161">
        <v>430</v>
      </c>
      <c r="H224" s="161">
        <v>96</v>
      </c>
      <c r="I224" s="161" t="s">
        <v>598</v>
      </c>
      <c r="J224" s="166">
        <v>2652</v>
      </c>
      <c r="K224" s="166">
        <v>5812</v>
      </c>
      <c r="L224" s="161">
        <v>2995</v>
      </c>
      <c r="M224" s="165" t="s">
        <v>589</v>
      </c>
      <c r="N224" s="164">
        <v>10.4</v>
      </c>
      <c r="O224" s="23">
        <f>IF(N224&gt;0,1/N224*37.7*68.6,"")</f>
        <v>248.67499999999998</v>
      </c>
      <c r="P224" s="163">
        <v>9.51</v>
      </c>
      <c r="Q224" s="162" t="s">
        <v>593</v>
      </c>
      <c r="R224" s="161" t="s">
        <v>587</v>
      </c>
      <c r="S224" s="161" t="s">
        <v>586</v>
      </c>
      <c r="T224" s="160"/>
      <c r="U224" s="159"/>
      <c r="V224" s="158">
        <f>IFERROR(IF(N224&lt;P224,"",(ROUNDDOWN(N224/P224*100,0))),"")</f>
        <v>109</v>
      </c>
    </row>
    <row r="225" spans="1:22" ht="45" customHeight="1">
      <c r="A225" s="174"/>
      <c r="B225" s="173"/>
      <c r="C225" s="172"/>
      <c r="D225" s="168" t="s">
        <v>622</v>
      </c>
      <c r="E225" s="161" t="s">
        <v>590</v>
      </c>
      <c r="F225" s="167">
        <v>2.9980000000000002</v>
      </c>
      <c r="G225" s="161">
        <v>430</v>
      </c>
      <c r="H225" s="161">
        <v>110</v>
      </c>
      <c r="I225" s="161" t="s">
        <v>598</v>
      </c>
      <c r="J225" s="166">
        <v>2356</v>
      </c>
      <c r="K225" s="166">
        <v>4521</v>
      </c>
      <c r="L225" s="161">
        <v>2000</v>
      </c>
      <c r="M225" s="165" t="s">
        <v>589</v>
      </c>
      <c r="N225" s="164">
        <v>11.2</v>
      </c>
      <c r="O225" s="23">
        <f>IF(N225&gt;0,1/N225*37.7*68.6,"")</f>
        <v>230.91249999999999</v>
      </c>
      <c r="P225" s="163">
        <v>10.35</v>
      </c>
      <c r="Q225" s="162" t="s">
        <v>593</v>
      </c>
      <c r="R225" s="161" t="s">
        <v>587</v>
      </c>
      <c r="S225" s="161" t="s">
        <v>586</v>
      </c>
      <c r="T225" s="160"/>
      <c r="U225" s="159"/>
      <c r="V225" s="158">
        <f>IFERROR(IF(N225&lt;P225,"",(ROUNDDOWN(N225/P225*100,0))),"")</f>
        <v>108</v>
      </c>
    </row>
    <row r="226" spans="1:22" ht="45" customHeight="1">
      <c r="A226" s="174"/>
      <c r="B226" s="173"/>
      <c r="C226" s="172"/>
      <c r="D226" s="168" t="s">
        <v>622</v>
      </c>
      <c r="E226" s="161" t="s">
        <v>590</v>
      </c>
      <c r="F226" s="167">
        <v>2.9980000000000002</v>
      </c>
      <c r="G226" s="161">
        <v>430</v>
      </c>
      <c r="H226" s="161">
        <v>110</v>
      </c>
      <c r="I226" s="161" t="s">
        <v>598</v>
      </c>
      <c r="J226" s="166">
        <v>2652</v>
      </c>
      <c r="K226" s="166">
        <v>5812</v>
      </c>
      <c r="L226" s="161">
        <v>2995</v>
      </c>
      <c r="M226" s="165" t="s">
        <v>589</v>
      </c>
      <c r="N226" s="164">
        <v>10.4</v>
      </c>
      <c r="O226" s="23">
        <f>IF(N226&gt;0,1/N226*37.7*68.6,"")</f>
        <v>248.67499999999998</v>
      </c>
      <c r="P226" s="163">
        <v>9.51</v>
      </c>
      <c r="Q226" s="162" t="s">
        <v>593</v>
      </c>
      <c r="R226" s="161" t="s">
        <v>587</v>
      </c>
      <c r="S226" s="161" t="s">
        <v>586</v>
      </c>
      <c r="T226" s="160"/>
      <c r="U226" s="159"/>
      <c r="V226" s="158">
        <f>IFERROR(IF(N226&lt;P226,"",(ROUNDDOWN(N226/P226*100,0))),"")</f>
        <v>109</v>
      </c>
    </row>
    <row r="227" spans="1:22" ht="45" customHeight="1">
      <c r="A227" s="174"/>
      <c r="B227" s="173"/>
      <c r="C227" s="172"/>
      <c r="D227" s="168" t="s">
        <v>621</v>
      </c>
      <c r="E227" s="161" t="s">
        <v>590</v>
      </c>
      <c r="F227" s="167">
        <v>2.9980000000000002</v>
      </c>
      <c r="G227" s="161">
        <v>430</v>
      </c>
      <c r="H227" s="161">
        <v>96</v>
      </c>
      <c r="I227" s="161" t="s">
        <v>71</v>
      </c>
      <c r="J227" s="166">
        <v>2356</v>
      </c>
      <c r="K227" s="166">
        <v>4521</v>
      </c>
      <c r="L227" s="161">
        <v>2000</v>
      </c>
      <c r="M227" s="165" t="s">
        <v>589</v>
      </c>
      <c r="N227" s="164">
        <v>11.8</v>
      </c>
      <c r="O227" s="23">
        <f>IF(N227&gt;0,1/N227*37.7*68.6,"")</f>
        <v>219.17118644067796</v>
      </c>
      <c r="P227" s="163">
        <v>10.35</v>
      </c>
      <c r="Q227" s="162" t="s">
        <v>593</v>
      </c>
      <c r="R227" s="161" t="s">
        <v>587</v>
      </c>
      <c r="S227" s="161" t="s">
        <v>586</v>
      </c>
      <c r="T227" s="160"/>
      <c r="U227" s="159"/>
      <c r="V227" s="158">
        <f>IFERROR(IF(N227&lt;P227,"",(ROUNDDOWN(N227/P227*100,0))),"")</f>
        <v>114</v>
      </c>
    </row>
    <row r="228" spans="1:22" ht="45" customHeight="1">
      <c r="A228" s="174"/>
      <c r="B228" s="173"/>
      <c r="C228" s="172"/>
      <c r="D228" s="168" t="s">
        <v>621</v>
      </c>
      <c r="E228" s="161" t="s">
        <v>590</v>
      </c>
      <c r="F228" s="167">
        <v>2.9980000000000002</v>
      </c>
      <c r="G228" s="161">
        <v>430</v>
      </c>
      <c r="H228" s="161">
        <v>96</v>
      </c>
      <c r="I228" s="161" t="s">
        <v>71</v>
      </c>
      <c r="J228" s="166">
        <v>2652</v>
      </c>
      <c r="K228" s="166">
        <v>5812</v>
      </c>
      <c r="L228" s="161">
        <v>2995</v>
      </c>
      <c r="M228" s="165" t="s">
        <v>589</v>
      </c>
      <c r="N228" s="164">
        <v>10.8</v>
      </c>
      <c r="O228" s="23">
        <f>IF(N228&gt;0,1/N228*37.7*68.6,"")</f>
        <v>239.46481481481482</v>
      </c>
      <c r="P228" s="163">
        <v>9.51</v>
      </c>
      <c r="Q228" s="162" t="s">
        <v>588</v>
      </c>
      <c r="R228" s="161" t="s">
        <v>587</v>
      </c>
      <c r="S228" s="161" t="s">
        <v>586</v>
      </c>
      <c r="T228" s="160"/>
      <c r="U228" s="159"/>
      <c r="V228" s="158">
        <f>IFERROR(IF(N228&lt;P228,"",(ROUNDDOWN(N228/P228*100,0))),"")</f>
        <v>113</v>
      </c>
    </row>
    <row r="229" spans="1:22" ht="45" customHeight="1">
      <c r="A229" s="174"/>
      <c r="B229" s="173"/>
      <c r="C229" s="172"/>
      <c r="D229" s="168" t="s">
        <v>621</v>
      </c>
      <c r="E229" s="161" t="s">
        <v>590</v>
      </c>
      <c r="F229" s="167">
        <v>2.9980000000000002</v>
      </c>
      <c r="G229" s="161">
        <v>430</v>
      </c>
      <c r="H229" s="161">
        <v>96</v>
      </c>
      <c r="I229" s="161" t="s">
        <v>70</v>
      </c>
      <c r="J229" s="166">
        <v>2652</v>
      </c>
      <c r="K229" s="166">
        <v>5812</v>
      </c>
      <c r="L229" s="161">
        <v>2995</v>
      </c>
      <c r="M229" s="165" t="s">
        <v>589</v>
      </c>
      <c r="N229" s="164">
        <v>10.6</v>
      </c>
      <c r="O229" s="23">
        <f>IF(N229&gt;0,1/N229*37.7*68.6,"")</f>
        <v>243.98301886792456</v>
      </c>
      <c r="P229" s="163">
        <v>9.51</v>
      </c>
      <c r="Q229" s="162" t="s">
        <v>588</v>
      </c>
      <c r="R229" s="161" t="s">
        <v>587</v>
      </c>
      <c r="S229" s="161" t="s">
        <v>586</v>
      </c>
      <c r="T229" s="160"/>
      <c r="U229" s="159"/>
      <c r="V229" s="158">
        <f>IFERROR(IF(N229&lt;P229,"",(ROUNDDOWN(N229/P229*100,0))),"")</f>
        <v>111</v>
      </c>
    </row>
    <row r="230" spans="1:22" ht="45" customHeight="1">
      <c r="A230" s="174"/>
      <c r="B230" s="173"/>
      <c r="C230" s="172"/>
      <c r="D230" s="168" t="s">
        <v>621</v>
      </c>
      <c r="E230" s="161" t="s">
        <v>590</v>
      </c>
      <c r="F230" s="167">
        <v>2.9980000000000002</v>
      </c>
      <c r="G230" s="161">
        <v>430</v>
      </c>
      <c r="H230" s="161">
        <v>110</v>
      </c>
      <c r="I230" s="161" t="s">
        <v>598</v>
      </c>
      <c r="J230" s="166">
        <v>2356</v>
      </c>
      <c r="K230" s="166">
        <v>4521</v>
      </c>
      <c r="L230" s="161">
        <v>2000</v>
      </c>
      <c r="M230" s="165" t="s">
        <v>589</v>
      </c>
      <c r="N230" s="164">
        <v>11.6</v>
      </c>
      <c r="O230" s="23">
        <f>IF(N230&gt;0,1/N230*37.7*68.6,"")</f>
        <v>222.95000000000002</v>
      </c>
      <c r="P230" s="163">
        <v>10.35</v>
      </c>
      <c r="Q230" s="162" t="s">
        <v>588</v>
      </c>
      <c r="R230" s="161" t="s">
        <v>587</v>
      </c>
      <c r="S230" s="161" t="s">
        <v>586</v>
      </c>
      <c r="T230" s="160"/>
      <c r="U230" s="159"/>
      <c r="V230" s="158">
        <f>IFERROR(IF(N230&lt;P230,"",(ROUNDDOWN(N230/P230*100,0))),"")</f>
        <v>112</v>
      </c>
    </row>
    <row r="231" spans="1:22" ht="45" customHeight="1">
      <c r="A231" s="174"/>
      <c r="B231" s="173"/>
      <c r="C231" s="172"/>
      <c r="D231" s="168" t="s">
        <v>621</v>
      </c>
      <c r="E231" s="161" t="s">
        <v>590</v>
      </c>
      <c r="F231" s="167">
        <v>2.9980000000000002</v>
      </c>
      <c r="G231" s="161">
        <v>430</v>
      </c>
      <c r="H231" s="161">
        <v>110</v>
      </c>
      <c r="I231" s="161" t="s">
        <v>71</v>
      </c>
      <c r="J231" s="166">
        <v>2652</v>
      </c>
      <c r="K231" s="166">
        <v>5812</v>
      </c>
      <c r="L231" s="161">
        <v>2995</v>
      </c>
      <c r="M231" s="165" t="s">
        <v>589</v>
      </c>
      <c r="N231" s="164">
        <v>10.8</v>
      </c>
      <c r="O231" s="23">
        <f>IF(N231&gt;0,1/N231*37.7*68.6,"")</f>
        <v>239.46481481481482</v>
      </c>
      <c r="P231" s="163">
        <v>9.51</v>
      </c>
      <c r="Q231" s="162" t="s">
        <v>588</v>
      </c>
      <c r="R231" s="161" t="s">
        <v>587</v>
      </c>
      <c r="S231" s="161" t="s">
        <v>586</v>
      </c>
      <c r="T231" s="160"/>
      <c r="U231" s="159"/>
      <c r="V231" s="158">
        <f>IFERROR(IF(N231&lt;P231,"",(ROUNDDOWN(N231/P231*100,0))),"")</f>
        <v>113</v>
      </c>
    </row>
    <row r="232" spans="1:22" ht="45" customHeight="1">
      <c r="A232" s="174"/>
      <c r="B232" s="173"/>
      <c r="C232" s="172"/>
      <c r="D232" s="168" t="s">
        <v>621</v>
      </c>
      <c r="E232" s="161" t="s">
        <v>590</v>
      </c>
      <c r="F232" s="167">
        <v>2.9980000000000002</v>
      </c>
      <c r="G232" s="161">
        <v>430</v>
      </c>
      <c r="H232" s="161">
        <v>110</v>
      </c>
      <c r="I232" s="161" t="s">
        <v>70</v>
      </c>
      <c r="J232" s="166">
        <v>2652</v>
      </c>
      <c r="K232" s="166">
        <v>5812</v>
      </c>
      <c r="L232" s="161">
        <v>2995</v>
      </c>
      <c r="M232" s="165" t="s">
        <v>589</v>
      </c>
      <c r="N232" s="164">
        <v>10.6</v>
      </c>
      <c r="O232" s="23">
        <f>IF(N232&gt;0,1/N232*37.7*68.6,"")</f>
        <v>243.98301886792456</v>
      </c>
      <c r="P232" s="163">
        <v>9.51</v>
      </c>
      <c r="Q232" s="162" t="s">
        <v>588</v>
      </c>
      <c r="R232" s="161" t="s">
        <v>587</v>
      </c>
      <c r="S232" s="161" t="s">
        <v>586</v>
      </c>
      <c r="T232" s="160"/>
      <c r="U232" s="159"/>
      <c r="V232" s="158">
        <f>IFERROR(IF(N232&lt;P232,"",(ROUNDDOWN(N232/P232*100,0))),"")</f>
        <v>111</v>
      </c>
    </row>
    <row r="233" spans="1:22" ht="45" customHeight="1">
      <c r="A233" s="174"/>
      <c r="B233" s="173"/>
      <c r="C233" s="172"/>
      <c r="D233" s="168" t="s">
        <v>621</v>
      </c>
      <c r="E233" s="161" t="s">
        <v>590</v>
      </c>
      <c r="F233" s="167">
        <v>2.9980000000000002</v>
      </c>
      <c r="G233" s="161">
        <v>430</v>
      </c>
      <c r="H233" s="161">
        <v>110</v>
      </c>
      <c r="I233" s="161" t="s">
        <v>598</v>
      </c>
      <c r="J233" s="166">
        <v>2356</v>
      </c>
      <c r="K233" s="166">
        <v>4521</v>
      </c>
      <c r="L233" s="161">
        <v>2000</v>
      </c>
      <c r="M233" s="165" t="s">
        <v>589</v>
      </c>
      <c r="N233" s="164">
        <v>11.4</v>
      </c>
      <c r="O233" s="23">
        <f>IF(N233&gt;0,1/N233*37.7*68.6,"")</f>
        <v>226.8614035087719</v>
      </c>
      <c r="P233" s="163">
        <v>10.35</v>
      </c>
      <c r="Q233" s="162" t="s">
        <v>588</v>
      </c>
      <c r="R233" s="161" t="s">
        <v>587</v>
      </c>
      <c r="S233" s="161" t="s">
        <v>586</v>
      </c>
      <c r="T233" s="160"/>
      <c r="U233" s="159"/>
      <c r="V233" s="158">
        <f>IFERROR(IF(N233&lt;P233,"",(ROUNDDOWN(N233/P233*100,0))),"")</f>
        <v>110</v>
      </c>
    </row>
    <row r="234" spans="1:22" ht="45" customHeight="1">
      <c r="A234" s="174"/>
      <c r="B234" s="173"/>
      <c r="C234" s="172"/>
      <c r="D234" s="168" t="s">
        <v>621</v>
      </c>
      <c r="E234" s="161" t="s">
        <v>590</v>
      </c>
      <c r="F234" s="167">
        <v>2.9980000000000002</v>
      </c>
      <c r="G234" s="161">
        <v>430</v>
      </c>
      <c r="H234" s="161">
        <v>110</v>
      </c>
      <c r="I234" s="161" t="s">
        <v>71</v>
      </c>
      <c r="J234" s="166">
        <v>2652</v>
      </c>
      <c r="K234" s="166">
        <v>5812</v>
      </c>
      <c r="L234" s="161">
        <v>2995</v>
      </c>
      <c r="M234" s="165" t="s">
        <v>589</v>
      </c>
      <c r="N234" s="164">
        <v>10.6</v>
      </c>
      <c r="O234" s="23">
        <f>IF(N234&gt;0,1/N234*37.7*68.6,"")</f>
        <v>243.98301886792456</v>
      </c>
      <c r="P234" s="163">
        <v>9.51</v>
      </c>
      <c r="Q234" s="162" t="s">
        <v>588</v>
      </c>
      <c r="R234" s="161" t="s">
        <v>587</v>
      </c>
      <c r="S234" s="161" t="s">
        <v>586</v>
      </c>
      <c r="T234" s="160"/>
      <c r="U234" s="159"/>
      <c r="V234" s="158">
        <f>IFERROR(IF(N234&lt;P234,"",(ROUNDDOWN(N234/P234*100,0))),"")</f>
        <v>111</v>
      </c>
    </row>
    <row r="235" spans="1:22" ht="45" customHeight="1">
      <c r="A235" s="174"/>
      <c r="B235" s="173"/>
      <c r="C235" s="172"/>
      <c r="D235" s="168" t="s">
        <v>620</v>
      </c>
      <c r="E235" s="161" t="s">
        <v>590</v>
      </c>
      <c r="F235" s="167">
        <v>2.9980000000000002</v>
      </c>
      <c r="G235" s="161">
        <v>430</v>
      </c>
      <c r="H235" s="161">
        <v>96</v>
      </c>
      <c r="I235" s="161" t="s">
        <v>598</v>
      </c>
      <c r="J235" s="166">
        <v>2652</v>
      </c>
      <c r="K235" s="166">
        <v>5812</v>
      </c>
      <c r="L235" s="161">
        <v>2995</v>
      </c>
      <c r="M235" s="165" t="s">
        <v>589</v>
      </c>
      <c r="N235" s="164">
        <v>10.4</v>
      </c>
      <c r="O235" s="23">
        <f>IF(N235&gt;0,1/N235*37.7*68.6,"")</f>
        <v>248.67499999999998</v>
      </c>
      <c r="P235" s="163">
        <v>9.51</v>
      </c>
      <c r="Q235" s="162" t="s">
        <v>593</v>
      </c>
      <c r="R235" s="161" t="s">
        <v>587</v>
      </c>
      <c r="S235" s="161" t="s">
        <v>586</v>
      </c>
      <c r="T235" s="160"/>
      <c r="U235" s="159"/>
      <c r="V235" s="158">
        <f>IFERROR(IF(N235&lt;P235,"",(ROUNDDOWN(N235/P235*100,0))),"")</f>
        <v>109</v>
      </c>
    </row>
    <row r="236" spans="1:22" ht="45" customHeight="1">
      <c r="A236" s="174"/>
      <c r="B236" s="173"/>
      <c r="C236" s="172"/>
      <c r="D236" s="168" t="s">
        <v>620</v>
      </c>
      <c r="E236" s="161" t="s">
        <v>590</v>
      </c>
      <c r="F236" s="167">
        <v>2.9980000000000002</v>
      </c>
      <c r="G236" s="161">
        <v>430</v>
      </c>
      <c r="H236" s="161">
        <v>110</v>
      </c>
      <c r="I236" s="161" t="s">
        <v>598</v>
      </c>
      <c r="J236" s="166">
        <v>2356</v>
      </c>
      <c r="K236" s="166">
        <v>4521</v>
      </c>
      <c r="L236" s="161">
        <v>2000</v>
      </c>
      <c r="M236" s="165" t="s">
        <v>589</v>
      </c>
      <c r="N236" s="164">
        <v>11.2</v>
      </c>
      <c r="O236" s="23">
        <f>IF(N236&gt;0,1/N236*37.7*68.6,"")</f>
        <v>230.91249999999999</v>
      </c>
      <c r="P236" s="163">
        <v>10.35</v>
      </c>
      <c r="Q236" s="162" t="s">
        <v>593</v>
      </c>
      <c r="R236" s="161" t="s">
        <v>587</v>
      </c>
      <c r="S236" s="161" t="s">
        <v>586</v>
      </c>
      <c r="T236" s="160"/>
      <c r="U236" s="159"/>
      <c r="V236" s="158">
        <f>IFERROR(IF(N236&lt;P236,"",(ROUNDDOWN(N236/P236*100,0))),"")</f>
        <v>108</v>
      </c>
    </row>
    <row r="237" spans="1:22" ht="45" customHeight="1">
      <c r="A237" s="174"/>
      <c r="B237" s="173"/>
      <c r="C237" s="172"/>
      <c r="D237" s="168" t="s">
        <v>620</v>
      </c>
      <c r="E237" s="161" t="s">
        <v>590</v>
      </c>
      <c r="F237" s="167">
        <v>2.9980000000000002</v>
      </c>
      <c r="G237" s="161">
        <v>430</v>
      </c>
      <c r="H237" s="161">
        <v>110</v>
      </c>
      <c r="I237" s="161" t="s">
        <v>598</v>
      </c>
      <c r="J237" s="166">
        <v>2652</v>
      </c>
      <c r="K237" s="166">
        <v>5812</v>
      </c>
      <c r="L237" s="161">
        <v>2995</v>
      </c>
      <c r="M237" s="165" t="s">
        <v>589</v>
      </c>
      <c r="N237" s="164">
        <v>10.4</v>
      </c>
      <c r="O237" s="23">
        <f>IF(N237&gt;0,1/N237*37.7*68.6,"")</f>
        <v>248.67499999999998</v>
      </c>
      <c r="P237" s="163">
        <v>9.51</v>
      </c>
      <c r="Q237" s="162" t="s">
        <v>593</v>
      </c>
      <c r="R237" s="161" t="s">
        <v>587</v>
      </c>
      <c r="S237" s="161" t="s">
        <v>586</v>
      </c>
      <c r="T237" s="160"/>
      <c r="U237" s="159"/>
      <c r="V237" s="158">
        <f>IFERROR(IF(N237&lt;P237,"",(ROUNDDOWN(N237/P237*100,0))),"")</f>
        <v>109</v>
      </c>
    </row>
    <row r="238" spans="1:22" ht="45" customHeight="1">
      <c r="A238" s="174"/>
      <c r="B238" s="173"/>
      <c r="C238" s="172"/>
      <c r="D238" s="168" t="s">
        <v>619</v>
      </c>
      <c r="E238" s="161" t="s">
        <v>590</v>
      </c>
      <c r="F238" s="167">
        <v>2.9980000000000002</v>
      </c>
      <c r="G238" s="161">
        <v>430</v>
      </c>
      <c r="H238" s="161">
        <v>96</v>
      </c>
      <c r="I238" s="161" t="s">
        <v>71</v>
      </c>
      <c r="J238" s="166">
        <v>2356</v>
      </c>
      <c r="K238" s="166">
        <v>4521</v>
      </c>
      <c r="L238" s="161">
        <v>2000</v>
      </c>
      <c r="M238" s="165" t="s">
        <v>589</v>
      </c>
      <c r="N238" s="164">
        <v>11.4</v>
      </c>
      <c r="O238" s="23">
        <f>IF(N238&gt;0,1/N238*37.7*68.6,"")</f>
        <v>226.8614035087719</v>
      </c>
      <c r="P238" s="163">
        <v>10.35</v>
      </c>
      <c r="Q238" s="162" t="s">
        <v>593</v>
      </c>
      <c r="R238" s="161" t="s">
        <v>587</v>
      </c>
      <c r="S238" s="161" t="s">
        <v>586</v>
      </c>
      <c r="T238" s="160"/>
      <c r="U238" s="159"/>
      <c r="V238" s="158">
        <f>IFERROR(IF(N238&lt;P238,"",(ROUNDDOWN(N238/P238*100,0))),"")</f>
        <v>110</v>
      </c>
    </row>
    <row r="239" spans="1:22" ht="45" customHeight="1">
      <c r="A239" s="174"/>
      <c r="B239" s="173"/>
      <c r="C239" s="172"/>
      <c r="D239" s="168" t="s">
        <v>619</v>
      </c>
      <c r="E239" s="161" t="s">
        <v>590</v>
      </c>
      <c r="F239" s="167">
        <v>2.9980000000000002</v>
      </c>
      <c r="G239" s="161">
        <v>430</v>
      </c>
      <c r="H239" s="161">
        <v>96</v>
      </c>
      <c r="I239" s="161" t="s">
        <v>71</v>
      </c>
      <c r="J239" s="166">
        <v>2356</v>
      </c>
      <c r="K239" s="166">
        <v>4521</v>
      </c>
      <c r="L239" s="161">
        <v>2000</v>
      </c>
      <c r="M239" s="165" t="s">
        <v>589</v>
      </c>
      <c r="N239" s="164">
        <v>11.8</v>
      </c>
      <c r="O239" s="23">
        <f>IF(N239&gt;0,1/N239*37.7*68.6,"")</f>
        <v>219.17118644067796</v>
      </c>
      <c r="P239" s="163">
        <v>10.35</v>
      </c>
      <c r="Q239" s="162" t="s">
        <v>588</v>
      </c>
      <c r="R239" s="161" t="s">
        <v>587</v>
      </c>
      <c r="S239" s="161" t="s">
        <v>586</v>
      </c>
      <c r="T239" s="160"/>
      <c r="U239" s="159"/>
      <c r="V239" s="158">
        <f>IFERROR(IF(N239&lt;P239,"",(ROUNDDOWN(N239/P239*100,0))),"")</f>
        <v>114</v>
      </c>
    </row>
    <row r="240" spans="1:22" ht="45" customHeight="1">
      <c r="A240" s="174"/>
      <c r="B240" s="173"/>
      <c r="C240" s="172"/>
      <c r="D240" s="168" t="s">
        <v>619</v>
      </c>
      <c r="E240" s="161" t="s">
        <v>590</v>
      </c>
      <c r="F240" s="167">
        <v>2.9980000000000002</v>
      </c>
      <c r="G240" s="161">
        <v>430</v>
      </c>
      <c r="H240" s="161">
        <v>96</v>
      </c>
      <c r="I240" s="161" t="s">
        <v>71</v>
      </c>
      <c r="J240" s="166">
        <v>2652</v>
      </c>
      <c r="K240" s="166">
        <v>5812</v>
      </c>
      <c r="L240" s="161">
        <v>2995</v>
      </c>
      <c r="M240" s="165" t="s">
        <v>589</v>
      </c>
      <c r="N240" s="164">
        <v>10.8</v>
      </c>
      <c r="O240" s="23">
        <f>IF(N240&gt;0,1/N240*37.7*68.6,"")</f>
        <v>239.46481481481482</v>
      </c>
      <c r="P240" s="163">
        <v>9.51</v>
      </c>
      <c r="Q240" s="162" t="s">
        <v>588</v>
      </c>
      <c r="R240" s="161" t="s">
        <v>587</v>
      </c>
      <c r="S240" s="161" t="s">
        <v>586</v>
      </c>
      <c r="T240" s="160"/>
      <c r="U240" s="159"/>
      <c r="V240" s="158">
        <f>IFERROR(IF(N240&lt;P240,"",(ROUNDDOWN(N240/P240*100,0))),"")</f>
        <v>113</v>
      </c>
    </row>
    <row r="241" spans="1:22" ht="45" customHeight="1">
      <c r="A241" s="174"/>
      <c r="B241" s="173"/>
      <c r="C241" s="172"/>
      <c r="D241" s="168" t="s">
        <v>619</v>
      </c>
      <c r="E241" s="161" t="s">
        <v>590</v>
      </c>
      <c r="F241" s="167">
        <v>2.9980000000000002</v>
      </c>
      <c r="G241" s="161">
        <v>430</v>
      </c>
      <c r="H241" s="161">
        <v>96</v>
      </c>
      <c r="I241" s="161" t="s">
        <v>70</v>
      </c>
      <c r="J241" s="166">
        <v>2652</v>
      </c>
      <c r="K241" s="166">
        <v>5812</v>
      </c>
      <c r="L241" s="161">
        <v>2995</v>
      </c>
      <c r="M241" s="165" t="s">
        <v>589</v>
      </c>
      <c r="N241" s="164">
        <v>10.6</v>
      </c>
      <c r="O241" s="23">
        <f>IF(N241&gt;0,1/N241*37.7*68.6,"")</f>
        <v>243.98301886792456</v>
      </c>
      <c r="P241" s="163">
        <v>9.51</v>
      </c>
      <c r="Q241" s="162" t="s">
        <v>588</v>
      </c>
      <c r="R241" s="161" t="s">
        <v>587</v>
      </c>
      <c r="S241" s="161" t="s">
        <v>586</v>
      </c>
      <c r="T241" s="160"/>
      <c r="U241" s="159"/>
      <c r="V241" s="158">
        <f>IFERROR(IF(N241&lt;P241,"",(ROUNDDOWN(N241/P241*100,0))),"")</f>
        <v>111</v>
      </c>
    </row>
    <row r="242" spans="1:22" ht="45" customHeight="1">
      <c r="A242" s="174"/>
      <c r="B242" s="173"/>
      <c r="C242" s="172"/>
      <c r="D242" s="168" t="s">
        <v>619</v>
      </c>
      <c r="E242" s="161" t="s">
        <v>590</v>
      </c>
      <c r="F242" s="167">
        <v>2.9980000000000002</v>
      </c>
      <c r="G242" s="161">
        <v>430</v>
      </c>
      <c r="H242" s="161">
        <v>110</v>
      </c>
      <c r="I242" s="161" t="s">
        <v>598</v>
      </c>
      <c r="J242" s="166">
        <v>2356</v>
      </c>
      <c r="K242" s="166">
        <v>4521</v>
      </c>
      <c r="L242" s="161">
        <v>2000</v>
      </c>
      <c r="M242" s="165" t="s">
        <v>589</v>
      </c>
      <c r="N242" s="164">
        <v>11.6</v>
      </c>
      <c r="O242" s="23">
        <f>IF(N242&gt;0,1/N242*37.7*68.6,"")</f>
        <v>222.95000000000002</v>
      </c>
      <c r="P242" s="163">
        <v>10.35</v>
      </c>
      <c r="Q242" s="162" t="s">
        <v>588</v>
      </c>
      <c r="R242" s="161" t="s">
        <v>587</v>
      </c>
      <c r="S242" s="161" t="s">
        <v>586</v>
      </c>
      <c r="T242" s="160"/>
      <c r="U242" s="159"/>
      <c r="V242" s="158">
        <f>IFERROR(IF(N242&lt;P242,"",(ROUNDDOWN(N242/P242*100,0))),"")</f>
        <v>112</v>
      </c>
    </row>
    <row r="243" spans="1:22" ht="45" customHeight="1">
      <c r="A243" s="174"/>
      <c r="B243" s="173"/>
      <c r="C243" s="172"/>
      <c r="D243" s="168" t="s">
        <v>619</v>
      </c>
      <c r="E243" s="161" t="s">
        <v>590</v>
      </c>
      <c r="F243" s="167">
        <v>2.9980000000000002</v>
      </c>
      <c r="G243" s="161">
        <v>430</v>
      </c>
      <c r="H243" s="161">
        <v>110</v>
      </c>
      <c r="I243" s="161" t="s">
        <v>71</v>
      </c>
      <c r="J243" s="166">
        <v>2652</v>
      </c>
      <c r="K243" s="166">
        <v>5812</v>
      </c>
      <c r="L243" s="161">
        <v>2995</v>
      </c>
      <c r="M243" s="165" t="s">
        <v>589</v>
      </c>
      <c r="N243" s="164">
        <v>10.8</v>
      </c>
      <c r="O243" s="23">
        <f>IF(N243&gt;0,1/N243*37.7*68.6,"")</f>
        <v>239.46481481481482</v>
      </c>
      <c r="P243" s="163">
        <v>9.51</v>
      </c>
      <c r="Q243" s="162" t="s">
        <v>588</v>
      </c>
      <c r="R243" s="161" t="s">
        <v>587</v>
      </c>
      <c r="S243" s="161" t="s">
        <v>586</v>
      </c>
      <c r="T243" s="160"/>
      <c r="U243" s="159"/>
      <c r="V243" s="158">
        <f>IFERROR(IF(N243&lt;P243,"",(ROUNDDOWN(N243/P243*100,0))),"")</f>
        <v>113</v>
      </c>
    </row>
    <row r="244" spans="1:22" ht="45" customHeight="1">
      <c r="A244" s="174"/>
      <c r="B244" s="173"/>
      <c r="C244" s="172"/>
      <c r="D244" s="168" t="s">
        <v>619</v>
      </c>
      <c r="E244" s="161" t="s">
        <v>590</v>
      </c>
      <c r="F244" s="167">
        <v>2.9980000000000002</v>
      </c>
      <c r="G244" s="161">
        <v>430</v>
      </c>
      <c r="H244" s="161">
        <v>110</v>
      </c>
      <c r="I244" s="161" t="s">
        <v>70</v>
      </c>
      <c r="J244" s="166">
        <v>2652</v>
      </c>
      <c r="K244" s="166">
        <v>5812</v>
      </c>
      <c r="L244" s="161">
        <v>2995</v>
      </c>
      <c r="M244" s="165" t="s">
        <v>589</v>
      </c>
      <c r="N244" s="164">
        <v>10.6</v>
      </c>
      <c r="O244" s="23">
        <f>IF(N244&gt;0,1/N244*37.7*68.6,"")</f>
        <v>243.98301886792456</v>
      </c>
      <c r="P244" s="163">
        <v>9.51</v>
      </c>
      <c r="Q244" s="162" t="s">
        <v>588</v>
      </c>
      <c r="R244" s="161" t="s">
        <v>587</v>
      </c>
      <c r="S244" s="161" t="s">
        <v>586</v>
      </c>
      <c r="T244" s="160"/>
      <c r="U244" s="159"/>
      <c r="V244" s="158">
        <f>IFERROR(IF(N244&lt;P244,"",(ROUNDDOWN(N244/P244*100,0))),"")</f>
        <v>111</v>
      </c>
    </row>
    <row r="245" spans="1:22" ht="45" customHeight="1">
      <c r="A245" s="174"/>
      <c r="B245" s="173"/>
      <c r="C245" s="172"/>
      <c r="D245" s="168" t="s">
        <v>618</v>
      </c>
      <c r="E245" s="161" t="s">
        <v>590</v>
      </c>
      <c r="F245" s="167">
        <v>2.9980000000000002</v>
      </c>
      <c r="G245" s="161">
        <v>430</v>
      </c>
      <c r="H245" s="161">
        <v>110</v>
      </c>
      <c r="I245" s="161" t="s">
        <v>71</v>
      </c>
      <c r="J245" s="166">
        <v>2356</v>
      </c>
      <c r="K245" s="166">
        <v>4521</v>
      </c>
      <c r="L245" s="161">
        <v>2000</v>
      </c>
      <c r="M245" s="165" t="s">
        <v>589</v>
      </c>
      <c r="N245" s="164">
        <v>11.2</v>
      </c>
      <c r="O245" s="23">
        <f>IF(N245&gt;0,1/N245*37.7*68.6,"")</f>
        <v>230.91249999999999</v>
      </c>
      <c r="P245" s="163">
        <v>10.35</v>
      </c>
      <c r="Q245" s="162" t="s">
        <v>593</v>
      </c>
      <c r="R245" s="161" t="s">
        <v>587</v>
      </c>
      <c r="S245" s="161" t="s">
        <v>110</v>
      </c>
      <c r="T245" s="160"/>
      <c r="U245" s="159"/>
      <c r="V245" s="158">
        <f>IFERROR(IF(N245&lt;P245,"",(ROUNDDOWN(N245/P245*100,0))),"")</f>
        <v>108</v>
      </c>
    </row>
    <row r="246" spans="1:22" ht="45" customHeight="1">
      <c r="A246" s="174"/>
      <c r="B246" s="173"/>
      <c r="C246" s="172"/>
      <c r="D246" s="168" t="s">
        <v>618</v>
      </c>
      <c r="E246" s="161" t="s">
        <v>590</v>
      </c>
      <c r="F246" s="167">
        <v>2.9980000000000002</v>
      </c>
      <c r="G246" s="161">
        <v>430</v>
      </c>
      <c r="H246" s="161">
        <v>110</v>
      </c>
      <c r="I246" s="161" t="s">
        <v>71</v>
      </c>
      <c r="J246" s="166">
        <v>2652</v>
      </c>
      <c r="K246" s="166">
        <v>5812</v>
      </c>
      <c r="L246" s="161">
        <v>2995</v>
      </c>
      <c r="M246" s="165" t="s">
        <v>589</v>
      </c>
      <c r="N246" s="164">
        <v>10.4</v>
      </c>
      <c r="O246" s="23">
        <f>IF(N246&gt;0,1/N246*37.7*68.6,"")</f>
        <v>248.67499999999998</v>
      </c>
      <c r="P246" s="163">
        <v>9.51</v>
      </c>
      <c r="Q246" s="162" t="s">
        <v>593</v>
      </c>
      <c r="R246" s="161" t="s">
        <v>587</v>
      </c>
      <c r="S246" s="161" t="s">
        <v>110</v>
      </c>
      <c r="T246" s="160"/>
      <c r="U246" s="159"/>
      <c r="V246" s="158">
        <f>IFERROR(IF(N246&lt;P246,"",(ROUNDDOWN(N246/P246*100,0))),"")</f>
        <v>109</v>
      </c>
    </row>
    <row r="247" spans="1:22" ht="45" customHeight="1">
      <c r="A247" s="174"/>
      <c r="B247" s="173"/>
      <c r="C247" s="172"/>
      <c r="D247" s="168" t="s">
        <v>617</v>
      </c>
      <c r="E247" s="161" t="s">
        <v>590</v>
      </c>
      <c r="F247" s="167">
        <v>2.9980000000000002</v>
      </c>
      <c r="G247" s="161">
        <v>430</v>
      </c>
      <c r="H247" s="161">
        <v>110</v>
      </c>
      <c r="I247" s="161" t="s">
        <v>71</v>
      </c>
      <c r="J247" s="166">
        <v>2356</v>
      </c>
      <c r="K247" s="166">
        <v>4521</v>
      </c>
      <c r="L247" s="161">
        <v>2000</v>
      </c>
      <c r="M247" s="165" t="s">
        <v>589</v>
      </c>
      <c r="N247" s="164">
        <v>11.6</v>
      </c>
      <c r="O247" s="23">
        <f>IF(N247&gt;0,1/N247*37.7*68.6,"")</f>
        <v>222.95000000000002</v>
      </c>
      <c r="P247" s="163">
        <v>10.35</v>
      </c>
      <c r="Q247" s="162" t="s">
        <v>588</v>
      </c>
      <c r="R247" s="161" t="s">
        <v>587</v>
      </c>
      <c r="S247" s="161" t="s">
        <v>110</v>
      </c>
      <c r="T247" s="160"/>
      <c r="U247" s="159"/>
      <c r="V247" s="158">
        <f>IFERROR(IF(N247&lt;P247,"",(ROUNDDOWN(N247/P247*100,0))),"")</f>
        <v>112</v>
      </c>
    </row>
    <row r="248" spans="1:22" ht="45" customHeight="1">
      <c r="A248" s="174"/>
      <c r="B248" s="173"/>
      <c r="C248" s="172"/>
      <c r="D248" s="168" t="s">
        <v>617</v>
      </c>
      <c r="E248" s="161" t="s">
        <v>590</v>
      </c>
      <c r="F248" s="167">
        <v>2.9980000000000002</v>
      </c>
      <c r="G248" s="161">
        <v>430</v>
      </c>
      <c r="H248" s="161">
        <v>110</v>
      </c>
      <c r="I248" s="161" t="s">
        <v>71</v>
      </c>
      <c r="J248" s="166">
        <v>2652</v>
      </c>
      <c r="K248" s="166">
        <v>5812</v>
      </c>
      <c r="L248" s="161">
        <v>2995</v>
      </c>
      <c r="M248" s="165" t="s">
        <v>589</v>
      </c>
      <c r="N248" s="164">
        <v>10.8</v>
      </c>
      <c r="O248" s="23">
        <f>IF(N248&gt;0,1/N248*37.7*68.6,"")</f>
        <v>239.46481481481482</v>
      </c>
      <c r="P248" s="163">
        <v>9.51</v>
      </c>
      <c r="Q248" s="162" t="s">
        <v>588</v>
      </c>
      <c r="R248" s="161" t="s">
        <v>587</v>
      </c>
      <c r="S248" s="161" t="s">
        <v>110</v>
      </c>
      <c r="T248" s="160"/>
      <c r="U248" s="159"/>
      <c r="V248" s="158">
        <f>IFERROR(IF(N248&lt;P248,"",(ROUNDDOWN(N248/P248*100,0))),"")</f>
        <v>113</v>
      </c>
    </row>
    <row r="249" spans="1:22" ht="45" customHeight="1">
      <c r="A249" s="174"/>
      <c r="B249" s="173"/>
      <c r="C249" s="172"/>
      <c r="D249" s="168" t="s">
        <v>617</v>
      </c>
      <c r="E249" s="161" t="s">
        <v>590</v>
      </c>
      <c r="F249" s="167">
        <v>2.9980000000000002</v>
      </c>
      <c r="G249" s="161">
        <v>430</v>
      </c>
      <c r="H249" s="161">
        <v>110</v>
      </c>
      <c r="I249" s="161" t="s">
        <v>71</v>
      </c>
      <c r="J249" s="166">
        <v>2356</v>
      </c>
      <c r="K249" s="166">
        <v>4521</v>
      </c>
      <c r="L249" s="161">
        <v>2000</v>
      </c>
      <c r="M249" s="165" t="s">
        <v>589</v>
      </c>
      <c r="N249" s="164">
        <v>11.4</v>
      </c>
      <c r="O249" s="23">
        <f>IF(N249&gt;0,1/N249*37.7*68.6,"")</f>
        <v>226.8614035087719</v>
      </c>
      <c r="P249" s="163">
        <v>10.35</v>
      </c>
      <c r="Q249" s="162" t="s">
        <v>588</v>
      </c>
      <c r="R249" s="161" t="s">
        <v>587</v>
      </c>
      <c r="S249" s="161" t="s">
        <v>110</v>
      </c>
      <c r="T249" s="160"/>
      <c r="U249" s="159"/>
      <c r="V249" s="158">
        <f>IFERROR(IF(N249&lt;P249,"",(ROUNDDOWN(N249/P249*100,0))),"")</f>
        <v>110</v>
      </c>
    </row>
    <row r="250" spans="1:22" ht="45" customHeight="1">
      <c r="A250" s="174"/>
      <c r="B250" s="173"/>
      <c r="C250" s="172"/>
      <c r="D250" s="168" t="s">
        <v>617</v>
      </c>
      <c r="E250" s="161" t="s">
        <v>590</v>
      </c>
      <c r="F250" s="167">
        <v>2.9980000000000002</v>
      </c>
      <c r="G250" s="161">
        <v>430</v>
      </c>
      <c r="H250" s="161">
        <v>110</v>
      </c>
      <c r="I250" s="161" t="s">
        <v>71</v>
      </c>
      <c r="J250" s="166">
        <v>2652</v>
      </c>
      <c r="K250" s="166">
        <v>5812</v>
      </c>
      <c r="L250" s="161">
        <v>2995</v>
      </c>
      <c r="M250" s="165" t="s">
        <v>589</v>
      </c>
      <c r="N250" s="164">
        <v>10.6</v>
      </c>
      <c r="O250" s="23">
        <f>IF(N250&gt;0,1/N250*37.7*68.6,"")</f>
        <v>243.98301886792456</v>
      </c>
      <c r="P250" s="163">
        <v>9.51</v>
      </c>
      <c r="Q250" s="162" t="s">
        <v>588</v>
      </c>
      <c r="R250" s="161" t="s">
        <v>587</v>
      </c>
      <c r="S250" s="161" t="s">
        <v>110</v>
      </c>
      <c r="T250" s="160"/>
      <c r="U250" s="159"/>
      <c r="V250" s="158">
        <f>IFERROR(IF(N250&lt;P250,"",(ROUNDDOWN(N250/P250*100,0))),"")</f>
        <v>111</v>
      </c>
    </row>
    <row r="251" spans="1:22" ht="45" customHeight="1">
      <c r="A251" s="174"/>
      <c r="B251" s="173"/>
      <c r="C251" s="172"/>
      <c r="D251" s="168" t="s">
        <v>616</v>
      </c>
      <c r="E251" s="161" t="s">
        <v>590</v>
      </c>
      <c r="F251" s="167">
        <v>2.9980000000000002</v>
      </c>
      <c r="G251" s="161">
        <v>430</v>
      </c>
      <c r="H251" s="161">
        <v>96</v>
      </c>
      <c r="I251" s="161" t="s">
        <v>598</v>
      </c>
      <c r="J251" s="166">
        <v>2356</v>
      </c>
      <c r="K251" s="166">
        <v>4521</v>
      </c>
      <c r="L251" s="161">
        <v>2000</v>
      </c>
      <c r="M251" s="165" t="s">
        <v>589</v>
      </c>
      <c r="N251" s="164">
        <v>11.8</v>
      </c>
      <c r="O251" s="23">
        <f>IF(N251&gt;0,1/N251*37.7*68.6,"")</f>
        <v>219.17118644067796</v>
      </c>
      <c r="P251" s="163">
        <v>10.35</v>
      </c>
      <c r="Q251" s="162" t="s">
        <v>588</v>
      </c>
      <c r="R251" s="161" t="s">
        <v>587</v>
      </c>
      <c r="S251" s="161" t="s">
        <v>586</v>
      </c>
      <c r="T251" s="160"/>
      <c r="U251" s="159"/>
      <c r="V251" s="158">
        <f>IFERROR(IF(N251&lt;P251,"",(ROUNDDOWN(N251/P251*100,0))),"")</f>
        <v>114</v>
      </c>
    </row>
    <row r="252" spans="1:22" ht="45" customHeight="1">
      <c r="A252" s="174"/>
      <c r="B252" s="173"/>
      <c r="C252" s="172"/>
      <c r="D252" s="168" t="s">
        <v>616</v>
      </c>
      <c r="E252" s="161" t="s">
        <v>590</v>
      </c>
      <c r="F252" s="167">
        <v>2.9980000000000002</v>
      </c>
      <c r="G252" s="161">
        <v>430</v>
      </c>
      <c r="H252" s="161">
        <v>96</v>
      </c>
      <c r="I252" s="161" t="s">
        <v>598</v>
      </c>
      <c r="J252" s="166">
        <v>2356</v>
      </c>
      <c r="K252" s="166">
        <v>4521</v>
      </c>
      <c r="L252" s="161">
        <v>2000</v>
      </c>
      <c r="M252" s="165" t="s">
        <v>589</v>
      </c>
      <c r="N252" s="164">
        <v>11.4</v>
      </c>
      <c r="O252" s="23">
        <f>IF(N252&gt;0,1/N252*37.7*68.6,"")</f>
        <v>226.8614035087719</v>
      </c>
      <c r="P252" s="163">
        <v>10.35</v>
      </c>
      <c r="Q252" s="162" t="s">
        <v>593</v>
      </c>
      <c r="R252" s="161" t="s">
        <v>587</v>
      </c>
      <c r="S252" s="161" t="s">
        <v>586</v>
      </c>
      <c r="T252" s="160"/>
      <c r="U252" s="159"/>
      <c r="V252" s="158">
        <f>IFERROR(IF(N252&lt;P252,"",(ROUNDDOWN(N252/P252*100,0))),"")</f>
        <v>110</v>
      </c>
    </row>
    <row r="253" spans="1:22" ht="45" customHeight="1">
      <c r="A253" s="174"/>
      <c r="B253" s="173"/>
      <c r="C253" s="172"/>
      <c r="D253" s="168" t="s">
        <v>616</v>
      </c>
      <c r="E253" s="161" t="s">
        <v>590</v>
      </c>
      <c r="F253" s="167">
        <v>2.9980000000000002</v>
      </c>
      <c r="G253" s="161">
        <v>430</v>
      </c>
      <c r="H253" s="161">
        <v>96</v>
      </c>
      <c r="I253" s="161" t="s">
        <v>598</v>
      </c>
      <c r="J253" s="166">
        <v>2356</v>
      </c>
      <c r="K253" s="166">
        <v>4521</v>
      </c>
      <c r="L253" s="161">
        <v>2000</v>
      </c>
      <c r="M253" s="165" t="s">
        <v>589</v>
      </c>
      <c r="N253" s="164">
        <v>11.4</v>
      </c>
      <c r="O253" s="23">
        <f>IF(N253&gt;0,1/N253*37.7*68.6,"")</f>
        <v>226.8614035087719</v>
      </c>
      <c r="P253" s="163">
        <v>10.35</v>
      </c>
      <c r="Q253" s="162" t="s">
        <v>588</v>
      </c>
      <c r="R253" s="161" t="s">
        <v>587</v>
      </c>
      <c r="S253" s="161" t="s">
        <v>586</v>
      </c>
      <c r="T253" s="160"/>
      <c r="U253" s="159"/>
      <c r="V253" s="158">
        <f>IFERROR(IF(N253&lt;P253,"",(ROUNDDOWN(N253/P253*100,0))),"")</f>
        <v>110</v>
      </c>
    </row>
    <row r="254" spans="1:22" ht="45" customHeight="1">
      <c r="A254" s="174"/>
      <c r="B254" s="173"/>
      <c r="C254" s="172"/>
      <c r="D254" s="168" t="s">
        <v>615</v>
      </c>
      <c r="E254" s="161" t="s">
        <v>590</v>
      </c>
      <c r="F254" s="167">
        <v>2.9980000000000002</v>
      </c>
      <c r="G254" s="161">
        <v>430</v>
      </c>
      <c r="H254" s="161">
        <v>96</v>
      </c>
      <c r="I254" s="161" t="s">
        <v>598</v>
      </c>
      <c r="J254" s="166">
        <v>2356</v>
      </c>
      <c r="K254" s="166">
        <v>4521</v>
      </c>
      <c r="L254" s="161">
        <v>2000</v>
      </c>
      <c r="M254" s="165" t="s">
        <v>589</v>
      </c>
      <c r="N254" s="164">
        <v>11.8</v>
      </c>
      <c r="O254" s="23">
        <f>IF(N254&gt;0,1/N254*37.7*68.6,"")</f>
        <v>219.17118644067796</v>
      </c>
      <c r="P254" s="163">
        <v>10.35</v>
      </c>
      <c r="Q254" s="162" t="s">
        <v>588</v>
      </c>
      <c r="R254" s="161" t="s">
        <v>587</v>
      </c>
      <c r="S254" s="161" t="s">
        <v>586</v>
      </c>
      <c r="T254" s="160"/>
      <c r="U254" s="159"/>
      <c r="V254" s="158">
        <f>IFERROR(IF(N254&lt;P254,"",(ROUNDDOWN(N254/P254*100,0))),"")</f>
        <v>114</v>
      </c>
    </row>
    <row r="255" spans="1:22" ht="45" customHeight="1">
      <c r="A255" s="174"/>
      <c r="B255" s="173"/>
      <c r="C255" s="172"/>
      <c r="D255" s="168" t="s">
        <v>615</v>
      </c>
      <c r="E255" s="161" t="s">
        <v>590</v>
      </c>
      <c r="F255" s="167">
        <v>2.9980000000000002</v>
      </c>
      <c r="G255" s="161">
        <v>430</v>
      </c>
      <c r="H255" s="161">
        <v>96</v>
      </c>
      <c r="I255" s="161" t="s">
        <v>598</v>
      </c>
      <c r="J255" s="166">
        <v>2356</v>
      </c>
      <c r="K255" s="166">
        <v>4521</v>
      </c>
      <c r="L255" s="161">
        <v>2000</v>
      </c>
      <c r="M255" s="165" t="s">
        <v>589</v>
      </c>
      <c r="N255" s="164">
        <v>11.4</v>
      </c>
      <c r="O255" s="23">
        <f>IF(N255&gt;0,1/N255*37.7*68.6,"")</f>
        <v>226.8614035087719</v>
      </c>
      <c r="P255" s="163">
        <v>10.35</v>
      </c>
      <c r="Q255" s="162" t="s">
        <v>593</v>
      </c>
      <c r="R255" s="161" t="s">
        <v>587</v>
      </c>
      <c r="S255" s="161" t="s">
        <v>586</v>
      </c>
      <c r="T255" s="160"/>
      <c r="U255" s="159"/>
      <c r="V255" s="158">
        <f>IFERROR(IF(N255&lt;P255,"",(ROUNDDOWN(N255/P255*100,0))),"")</f>
        <v>110</v>
      </c>
    </row>
    <row r="256" spans="1:22" ht="45" customHeight="1">
      <c r="A256" s="174"/>
      <c r="B256" s="173"/>
      <c r="C256" s="172"/>
      <c r="D256" s="168" t="s">
        <v>615</v>
      </c>
      <c r="E256" s="161" t="s">
        <v>590</v>
      </c>
      <c r="F256" s="167">
        <v>2.9980000000000002</v>
      </c>
      <c r="G256" s="161">
        <v>430</v>
      </c>
      <c r="H256" s="161">
        <v>96</v>
      </c>
      <c r="I256" s="161" t="s">
        <v>598</v>
      </c>
      <c r="J256" s="166">
        <v>2356</v>
      </c>
      <c r="K256" s="166">
        <v>4521</v>
      </c>
      <c r="L256" s="161">
        <v>2000</v>
      </c>
      <c r="M256" s="165" t="s">
        <v>589</v>
      </c>
      <c r="N256" s="164">
        <v>11.4</v>
      </c>
      <c r="O256" s="23">
        <f>IF(N256&gt;0,1/N256*37.7*68.6,"")</f>
        <v>226.8614035087719</v>
      </c>
      <c r="P256" s="163">
        <v>10.35</v>
      </c>
      <c r="Q256" s="162" t="s">
        <v>588</v>
      </c>
      <c r="R256" s="161" t="s">
        <v>587</v>
      </c>
      <c r="S256" s="161" t="s">
        <v>586</v>
      </c>
      <c r="T256" s="160"/>
      <c r="U256" s="159"/>
      <c r="V256" s="158">
        <f>IFERROR(IF(N256&lt;P256,"",(ROUNDDOWN(N256/P256*100,0))),"")</f>
        <v>110</v>
      </c>
    </row>
    <row r="257" spans="1:22" ht="45" customHeight="1">
      <c r="A257" s="174"/>
      <c r="B257" s="173"/>
      <c r="C257" s="172"/>
      <c r="D257" s="168" t="s">
        <v>614</v>
      </c>
      <c r="E257" s="161" t="s">
        <v>590</v>
      </c>
      <c r="F257" s="167">
        <v>2.9980000000000002</v>
      </c>
      <c r="G257" s="161">
        <v>430</v>
      </c>
      <c r="H257" s="161">
        <v>96</v>
      </c>
      <c r="I257" s="161" t="s">
        <v>598</v>
      </c>
      <c r="J257" s="166">
        <v>2356</v>
      </c>
      <c r="K257" s="166">
        <v>4521</v>
      </c>
      <c r="L257" s="161">
        <v>2000</v>
      </c>
      <c r="M257" s="165" t="s">
        <v>589</v>
      </c>
      <c r="N257" s="164">
        <v>11.4</v>
      </c>
      <c r="O257" s="23">
        <f>IF(N257&gt;0,1/N257*37.7*68.6,"")</f>
        <v>226.8614035087719</v>
      </c>
      <c r="P257" s="163">
        <v>10.35</v>
      </c>
      <c r="Q257" s="162" t="s">
        <v>593</v>
      </c>
      <c r="R257" s="161" t="s">
        <v>587</v>
      </c>
      <c r="S257" s="161" t="s">
        <v>586</v>
      </c>
      <c r="T257" s="160"/>
      <c r="U257" s="159"/>
      <c r="V257" s="158">
        <f>IFERROR(IF(N257&lt;P257,"",(ROUNDDOWN(N257/P257*100,0))),"")</f>
        <v>110</v>
      </c>
    </row>
    <row r="258" spans="1:22" ht="45" customHeight="1">
      <c r="A258" s="174"/>
      <c r="B258" s="173"/>
      <c r="C258" s="172"/>
      <c r="D258" s="168" t="s">
        <v>614</v>
      </c>
      <c r="E258" s="161" t="s">
        <v>590</v>
      </c>
      <c r="F258" s="167">
        <v>2.9980000000000002</v>
      </c>
      <c r="G258" s="161">
        <v>430</v>
      </c>
      <c r="H258" s="161">
        <v>96</v>
      </c>
      <c r="I258" s="161" t="s">
        <v>598</v>
      </c>
      <c r="J258" s="166">
        <v>2652</v>
      </c>
      <c r="K258" s="166">
        <v>5812</v>
      </c>
      <c r="L258" s="161">
        <v>2995</v>
      </c>
      <c r="M258" s="165" t="s">
        <v>589</v>
      </c>
      <c r="N258" s="164">
        <v>10.4</v>
      </c>
      <c r="O258" s="23">
        <f>IF(N258&gt;0,1/N258*37.7*68.6,"")</f>
        <v>248.67499999999998</v>
      </c>
      <c r="P258" s="163">
        <v>9.51</v>
      </c>
      <c r="Q258" s="162" t="s">
        <v>593</v>
      </c>
      <c r="R258" s="161" t="s">
        <v>587</v>
      </c>
      <c r="S258" s="161" t="s">
        <v>586</v>
      </c>
      <c r="T258" s="160"/>
      <c r="U258" s="159"/>
      <c r="V258" s="158">
        <f>IFERROR(IF(N258&lt;P258,"",(ROUNDDOWN(N258/P258*100,0))),"")</f>
        <v>109</v>
      </c>
    </row>
    <row r="259" spans="1:22" ht="45" customHeight="1">
      <c r="A259" s="174"/>
      <c r="B259" s="173"/>
      <c r="C259" s="172"/>
      <c r="D259" s="168" t="s">
        <v>614</v>
      </c>
      <c r="E259" s="161" t="s">
        <v>590</v>
      </c>
      <c r="F259" s="167">
        <v>2.9980000000000002</v>
      </c>
      <c r="G259" s="161">
        <v>430</v>
      </c>
      <c r="H259" s="161">
        <v>110</v>
      </c>
      <c r="I259" s="161" t="s">
        <v>598</v>
      </c>
      <c r="J259" s="166">
        <v>2356</v>
      </c>
      <c r="K259" s="166">
        <v>4521</v>
      </c>
      <c r="L259" s="161">
        <v>2000</v>
      </c>
      <c r="M259" s="165" t="s">
        <v>589</v>
      </c>
      <c r="N259" s="164">
        <v>11.2</v>
      </c>
      <c r="O259" s="23">
        <f>IF(N259&gt;0,1/N259*37.7*68.6,"")</f>
        <v>230.91249999999999</v>
      </c>
      <c r="P259" s="163">
        <v>10.35</v>
      </c>
      <c r="Q259" s="162" t="s">
        <v>593</v>
      </c>
      <c r="R259" s="161" t="s">
        <v>587</v>
      </c>
      <c r="S259" s="161" t="s">
        <v>586</v>
      </c>
      <c r="T259" s="160"/>
      <c r="U259" s="159"/>
      <c r="V259" s="158">
        <f>IFERROR(IF(N259&lt;P259,"",(ROUNDDOWN(N259/P259*100,0))),"")</f>
        <v>108</v>
      </c>
    </row>
    <row r="260" spans="1:22" ht="45" customHeight="1">
      <c r="A260" s="174"/>
      <c r="B260" s="173"/>
      <c r="C260" s="172"/>
      <c r="D260" s="168" t="s">
        <v>614</v>
      </c>
      <c r="E260" s="161" t="s">
        <v>590</v>
      </c>
      <c r="F260" s="167">
        <v>2.9980000000000002</v>
      </c>
      <c r="G260" s="161">
        <v>430</v>
      </c>
      <c r="H260" s="161">
        <v>110</v>
      </c>
      <c r="I260" s="161" t="s">
        <v>598</v>
      </c>
      <c r="J260" s="166">
        <v>2652</v>
      </c>
      <c r="K260" s="166">
        <v>5812</v>
      </c>
      <c r="L260" s="161">
        <v>2995</v>
      </c>
      <c r="M260" s="165" t="s">
        <v>589</v>
      </c>
      <c r="N260" s="164">
        <v>10.4</v>
      </c>
      <c r="O260" s="23">
        <f>IF(N260&gt;0,1/N260*37.7*68.6,"")</f>
        <v>248.67499999999998</v>
      </c>
      <c r="P260" s="163">
        <v>9.51</v>
      </c>
      <c r="Q260" s="162" t="s">
        <v>593</v>
      </c>
      <c r="R260" s="161" t="s">
        <v>587</v>
      </c>
      <c r="S260" s="161" t="s">
        <v>586</v>
      </c>
      <c r="T260" s="160"/>
      <c r="U260" s="159"/>
      <c r="V260" s="158">
        <f>IFERROR(IF(N260&lt;P260,"",(ROUNDDOWN(N260/P260*100,0))),"")</f>
        <v>109</v>
      </c>
    </row>
    <row r="261" spans="1:22" ht="45" customHeight="1">
      <c r="A261" s="174"/>
      <c r="B261" s="173"/>
      <c r="C261" s="172"/>
      <c r="D261" s="168" t="s">
        <v>613</v>
      </c>
      <c r="E261" s="161" t="s">
        <v>590</v>
      </c>
      <c r="F261" s="167">
        <v>2.9980000000000002</v>
      </c>
      <c r="G261" s="161">
        <v>430</v>
      </c>
      <c r="H261" s="161">
        <v>96</v>
      </c>
      <c r="I261" s="161" t="s">
        <v>598</v>
      </c>
      <c r="J261" s="166">
        <v>2356</v>
      </c>
      <c r="K261" s="166">
        <v>4521</v>
      </c>
      <c r="L261" s="161">
        <v>2000</v>
      </c>
      <c r="M261" s="165" t="s">
        <v>589</v>
      </c>
      <c r="N261" s="164">
        <v>11.8</v>
      </c>
      <c r="O261" s="23">
        <f>IF(N261&gt;0,1/N261*37.7*68.6,"")</f>
        <v>219.17118644067796</v>
      </c>
      <c r="P261" s="163">
        <v>10.35</v>
      </c>
      <c r="Q261" s="162" t="s">
        <v>593</v>
      </c>
      <c r="R261" s="161" t="s">
        <v>587</v>
      </c>
      <c r="S261" s="161" t="s">
        <v>586</v>
      </c>
      <c r="T261" s="160"/>
      <c r="U261" s="159"/>
      <c r="V261" s="158">
        <f>IFERROR(IF(N261&lt;P261,"",(ROUNDDOWN(N261/P261*100,0))),"")</f>
        <v>114</v>
      </c>
    </row>
    <row r="262" spans="1:22" ht="45" customHeight="1">
      <c r="A262" s="174"/>
      <c r="B262" s="173"/>
      <c r="C262" s="172"/>
      <c r="D262" s="168" t="s">
        <v>613</v>
      </c>
      <c r="E262" s="161" t="s">
        <v>590</v>
      </c>
      <c r="F262" s="167">
        <v>2.9980000000000002</v>
      </c>
      <c r="G262" s="161">
        <v>430</v>
      </c>
      <c r="H262" s="161">
        <v>96</v>
      </c>
      <c r="I262" s="161" t="s">
        <v>71</v>
      </c>
      <c r="J262" s="166">
        <v>2652</v>
      </c>
      <c r="K262" s="166">
        <v>5812</v>
      </c>
      <c r="L262" s="161">
        <v>2995</v>
      </c>
      <c r="M262" s="165" t="s">
        <v>589</v>
      </c>
      <c r="N262" s="164">
        <v>10.8</v>
      </c>
      <c r="O262" s="23">
        <f>IF(N262&gt;0,1/N262*37.7*68.6,"")</f>
        <v>239.46481481481482</v>
      </c>
      <c r="P262" s="163">
        <v>9.51</v>
      </c>
      <c r="Q262" s="162" t="s">
        <v>588</v>
      </c>
      <c r="R262" s="161" t="s">
        <v>587</v>
      </c>
      <c r="S262" s="161" t="s">
        <v>586</v>
      </c>
      <c r="T262" s="160"/>
      <c r="U262" s="159"/>
      <c r="V262" s="158">
        <f>IFERROR(IF(N262&lt;P262,"",(ROUNDDOWN(N262/P262*100,0))),"")</f>
        <v>113</v>
      </c>
    </row>
    <row r="263" spans="1:22" ht="45" customHeight="1">
      <c r="A263" s="174"/>
      <c r="B263" s="173"/>
      <c r="C263" s="172"/>
      <c r="D263" s="168" t="s">
        <v>613</v>
      </c>
      <c r="E263" s="161" t="s">
        <v>590</v>
      </c>
      <c r="F263" s="167">
        <v>2.9980000000000002</v>
      </c>
      <c r="G263" s="161">
        <v>430</v>
      </c>
      <c r="H263" s="161">
        <v>96</v>
      </c>
      <c r="I263" s="161" t="s">
        <v>70</v>
      </c>
      <c r="J263" s="166">
        <v>2652</v>
      </c>
      <c r="K263" s="166">
        <v>5812</v>
      </c>
      <c r="L263" s="161">
        <v>2995</v>
      </c>
      <c r="M263" s="165" t="s">
        <v>589</v>
      </c>
      <c r="N263" s="164">
        <v>10.6</v>
      </c>
      <c r="O263" s="23">
        <f>IF(N263&gt;0,1/N263*37.7*68.6,"")</f>
        <v>243.98301886792456</v>
      </c>
      <c r="P263" s="163">
        <v>9.51</v>
      </c>
      <c r="Q263" s="162" t="s">
        <v>588</v>
      </c>
      <c r="R263" s="161" t="s">
        <v>587</v>
      </c>
      <c r="S263" s="161" t="s">
        <v>586</v>
      </c>
      <c r="T263" s="160"/>
      <c r="U263" s="159"/>
      <c r="V263" s="158">
        <f>IFERROR(IF(N263&lt;P263,"",(ROUNDDOWN(N263/P263*100,0))),"")</f>
        <v>111</v>
      </c>
    </row>
    <row r="264" spans="1:22" ht="45" customHeight="1">
      <c r="A264" s="174"/>
      <c r="B264" s="173"/>
      <c r="C264" s="172"/>
      <c r="D264" s="168" t="s">
        <v>613</v>
      </c>
      <c r="E264" s="161" t="s">
        <v>590</v>
      </c>
      <c r="F264" s="167">
        <v>2.9980000000000002</v>
      </c>
      <c r="G264" s="161">
        <v>430</v>
      </c>
      <c r="H264" s="161">
        <v>110</v>
      </c>
      <c r="I264" s="161" t="s">
        <v>598</v>
      </c>
      <c r="J264" s="166">
        <v>2356</v>
      </c>
      <c r="K264" s="166">
        <v>4521</v>
      </c>
      <c r="L264" s="161">
        <v>2000</v>
      </c>
      <c r="M264" s="165" t="s">
        <v>589</v>
      </c>
      <c r="N264" s="164">
        <v>11.6</v>
      </c>
      <c r="O264" s="23">
        <f>IF(N264&gt;0,1/N264*37.7*68.6,"")</f>
        <v>222.95000000000002</v>
      </c>
      <c r="P264" s="163">
        <v>10.35</v>
      </c>
      <c r="Q264" s="162" t="s">
        <v>588</v>
      </c>
      <c r="R264" s="161" t="s">
        <v>587</v>
      </c>
      <c r="S264" s="161" t="s">
        <v>586</v>
      </c>
      <c r="T264" s="160"/>
      <c r="U264" s="159"/>
      <c r="V264" s="158">
        <f>IFERROR(IF(N264&lt;P264,"",(ROUNDDOWN(N264/P264*100,0))),"")</f>
        <v>112</v>
      </c>
    </row>
    <row r="265" spans="1:22" ht="45" customHeight="1">
      <c r="A265" s="174"/>
      <c r="B265" s="173"/>
      <c r="C265" s="172"/>
      <c r="D265" s="168" t="s">
        <v>613</v>
      </c>
      <c r="E265" s="161" t="s">
        <v>590</v>
      </c>
      <c r="F265" s="167">
        <v>2.9980000000000002</v>
      </c>
      <c r="G265" s="161">
        <v>430</v>
      </c>
      <c r="H265" s="161">
        <v>110</v>
      </c>
      <c r="I265" s="161" t="s">
        <v>71</v>
      </c>
      <c r="J265" s="166">
        <v>2652</v>
      </c>
      <c r="K265" s="166">
        <v>5812</v>
      </c>
      <c r="L265" s="161">
        <v>2995</v>
      </c>
      <c r="M265" s="165" t="s">
        <v>589</v>
      </c>
      <c r="N265" s="164">
        <v>10.8</v>
      </c>
      <c r="O265" s="23">
        <f>IF(N265&gt;0,1/N265*37.7*68.6,"")</f>
        <v>239.46481481481482</v>
      </c>
      <c r="P265" s="163">
        <v>9.51</v>
      </c>
      <c r="Q265" s="162" t="s">
        <v>588</v>
      </c>
      <c r="R265" s="161" t="s">
        <v>587</v>
      </c>
      <c r="S265" s="161" t="s">
        <v>586</v>
      </c>
      <c r="T265" s="160"/>
      <c r="U265" s="159"/>
      <c r="V265" s="158">
        <f>IFERROR(IF(N265&lt;P265,"",(ROUNDDOWN(N265/P265*100,0))),"")</f>
        <v>113</v>
      </c>
    </row>
    <row r="266" spans="1:22" ht="45" customHeight="1">
      <c r="A266" s="174"/>
      <c r="B266" s="173"/>
      <c r="C266" s="172"/>
      <c r="D266" s="168" t="s">
        <v>613</v>
      </c>
      <c r="E266" s="161" t="s">
        <v>590</v>
      </c>
      <c r="F266" s="167">
        <v>2.9980000000000002</v>
      </c>
      <c r="G266" s="161">
        <v>430</v>
      </c>
      <c r="H266" s="161">
        <v>110</v>
      </c>
      <c r="I266" s="161" t="s">
        <v>70</v>
      </c>
      <c r="J266" s="166">
        <v>2652</v>
      </c>
      <c r="K266" s="166">
        <v>5812</v>
      </c>
      <c r="L266" s="161">
        <v>2995</v>
      </c>
      <c r="M266" s="165" t="s">
        <v>589</v>
      </c>
      <c r="N266" s="164">
        <v>10.6</v>
      </c>
      <c r="O266" s="23">
        <f>IF(N266&gt;0,1/N266*37.7*68.6,"")</f>
        <v>243.98301886792456</v>
      </c>
      <c r="P266" s="163">
        <v>9.51</v>
      </c>
      <c r="Q266" s="162" t="s">
        <v>588</v>
      </c>
      <c r="R266" s="161" t="s">
        <v>587</v>
      </c>
      <c r="S266" s="161" t="s">
        <v>586</v>
      </c>
      <c r="T266" s="160"/>
      <c r="U266" s="159"/>
      <c r="V266" s="158">
        <f>IFERROR(IF(N266&lt;P266,"",(ROUNDDOWN(N266/P266*100,0))),"")</f>
        <v>111</v>
      </c>
    </row>
    <row r="267" spans="1:22" ht="45" customHeight="1">
      <c r="A267" s="174"/>
      <c r="B267" s="173"/>
      <c r="C267" s="172"/>
      <c r="D267" s="168" t="s">
        <v>613</v>
      </c>
      <c r="E267" s="161" t="s">
        <v>590</v>
      </c>
      <c r="F267" s="167">
        <v>2.9980000000000002</v>
      </c>
      <c r="G267" s="161">
        <v>430</v>
      </c>
      <c r="H267" s="161">
        <v>110</v>
      </c>
      <c r="I267" s="161" t="s">
        <v>598</v>
      </c>
      <c r="J267" s="166">
        <v>2356</v>
      </c>
      <c r="K267" s="166">
        <v>4521</v>
      </c>
      <c r="L267" s="161">
        <v>2000</v>
      </c>
      <c r="M267" s="165" t="s">
        <v>589</v>
      </c>
      <c r="N267" s="164">
        <v>11.4</v>
      </c>
      <c r="O267" s="23">
        <f>IF(N267&gt;0,1/N267*37.7*68.6,"")</f>
        <v>226.8614035087719</v>
      </c>
      <c r="P267" s="163">
        <v>10.35</v>
      </c>
      <c r="Q267" s="162" t="s">
        <v>588</v>
      </c>
      <c r="R267" s="161" t="s">
        <v>587</v>
      </c>
      <c r="S267" s="161" t="s">
        <v>586</v>
      </c>
      <c r="T267" s="160"/>
      <c r="U267" s="159"/>
      <c r="V267" s="158">
        <f>IFERROR(IF(N267&lt;P267,"",(ROUNDDOWN(N267/P267*100,0))),"")</f>
        <v>110</v>
      </c>
    </row>
    <row r="268" spans="1:22" ht="45" customHeight="1">
      <c r="A268" s="174"/>
      <c r="B268" s="173"/>
      <c r="C268" s="172"/>
      <c r="D268" s="168" t="s">
        <v>613</v>
      </c>
      <c r="E268" s="161" t="s">
        <v>590</v>
      </c>
      <c r="F268" s="167">
        <v>2.9980000000000002</v>
      </c>
      <c r="G268" s="161">
        <v>430</v>
      </c>
      <c r="H268" s="161">
        <v>110</v>
      </c>
      <c r="I268" s="161" t="s">
        <v>71</v>
      </c>
      <c r="J268" s="166">
        <v>2652</v>
      </c>
      <c r="K268" s="166">
        <v>5812</v>
      </c>
      <c r="L268" s="161">
        <v>2995</v>
      </c>
      <c r="M268" s="165" t="s">
        <v>589</v>
      </c>
      <c r="N268" s="164">
        <v>10.6</v>
      </c>
      <c r="O268" s="23">
        <f>IF(N268&gt;0,1/N268*37.7*68.6,"")</f>
        <v>243.98301886792456</v>
      </c>
      <c r="P268" s="163">
        <v>9.51</v>
      </c>
      <c r="Q268" s="162" t="s">
        <v>588</v>
      </c>
      <c r="R268" s="161" t="s">
        <v>587</v>
      </c>
      <c r="S268" s="161" t="s">
        <v>586</v>
      </c>
      <c r="T268" s="160"/>
      <c r="U268" s="159"/>
      <c r="V268" s="158">
        <f>IFERROR(IF(N268&lt;P268,"",(ROUNDDOWN(N268/P268*100,0))),"")</f>
        <v>111</v>
      </c>
    </row>
    <row r="269" spans="1:22" ht="45" customHeight="1">
      <c r="A269" s="174"/>
      <c r="B269" s="173"/>
      <c r="C269" s="172"/>
      <c r="D269" s="168" t="s">
        <v>612</v>
      </c>
      <c r="E269" s="161" t="s">
        <v>590</v>
      </c>
      <c r="F269" s="167">
        <v>2.9980000000000002</v>
      </c>
      <c r="G269" s="161">
        <v>430</v>
      </c>
      <c r="H269" s="161">
        <v>96</v>
      </c>
      <c r="I269" s="161" t="s">
        <v>598</v>
      </c>
      <c r="J269" s="166">
        <v>2356</v>
      </c>
      <c r="K269" s="166">
        <v>4521</v>
      </c>
      <c r="L269" s="161">
        <v>2000</v>
      </c>
      <c r="M269" s="165" t="s">
        <v>589</v>
      </c>
      <c r="N269" s="164">
        <v>11.4</v>
      </c>
      <c r="O269" s="23">
        <f>IF(N269&gt;0,1/N269*37.7*68.6,"")</f>
        <v>226.8614035087719</v>
      </c>
      <c r="P269" s="163">
        <v>10.35</v>
      </c>
      <c r="Q269" s="162" t="s">
        <v>593</v>
      </c>
      <c r="R269" s="161" t="s">
        <v>587</v>
      </c>
      <c r="S269" s="161" t="s">
        <v>586</v>
      </c>
      <c r="T269" s="160"/>
      <c r="U269" s="159"/>
      <c r="V269" s="158">
        <f>IFERROR(IF(N269&lt;P269,"",(ROUNDDOWN(N269/P269*100,0))),"")</f>
        <v>110</v>
      </c>
    </row>
    <row r="270" spans="1:22" ht="45" customHeight="1">
      <c r="A270" s="174"/>
      <c r="B270" s="173"/>
      <c r="C270" s="172"/>
      <c r="D270" s="168" t="s">
        <v>612</v>
      </c>
      <c r="E270" s="161" t="s">
        <v>590</v>
      </c>
      <c r="F270" s="167">
        <v>2.9980000000000002</v>
      </c>
      <c r="G270" s="161">
        <v>430</v>
      </c>
      <c r="H270" s="161">
        <v>96</v>
      </c>
      <c r="I270" s="161" t="s">
        <v>598</v>
      </c>
      <c r="J270" s="166">
        <v>2652</v>
      </c>
      <c r="K270" s="166">
        <v>5812</v>
      </c>
      <c r="L270" s="161">
        <v>2995</v>
      </c>
      <c r="M270" s="165" t="s">
        <v>589</v>
      </c>
      <c r="N270" s="164">
        <v>10.4</v>
      </c>
      <c r="O270" s="23">
        <f>IF(N270&gt;0,1/N270*37.7*68.6,"")</f>
        <v>248.67499999999998</v>
      </c>
      <c r="P270" s="163">
        <v>9.51</v>
      </c>
      <c r="Q270" s="162" t="s">
        <v>593</v>
      </c>
      <c r="R270" s="161" t="s">
        <v>587</v>
      </c>
      <c r="S270" s="161" t="s">
        <v>586</v>
      </c>
      <c r="T270" s="160"/>
      <c r="U270" s="159"/>
      <c r="V270" s="158">
        <f>IFERROR(IF(N270&lt;P270,"",(ROUNDDOWN(N270/P270*100,0))),"")</f>
        <v>109</v>
      </c>
    </row>
    <row r="271" spans="1:22" ht="45" customHeight="1">
      <c r="A271" s="174"/>
      <c r="B271" s="173"/>
      <c r="C271" s="172"/>
      <c r="D271" s="168" t="s">
        <v>612</v>
      </c>
      <c r="E271" s="161" t="s">
        <v>590</v>
      </c>
      <c r="F271" s="167">
        <v>2.9980000000000002</v>
      </c>
      <c r="G271" s="161">
        <v>430</v>
      </c>
      <c r="H271" s="161">
        <v>110</v>
      </c>
      <c r="I271" s="161" t="s">
        <v>598</v>
      </c>
      <c r="J271" s="166">
        <v>2356</v>
      </c>
      <c r="K271" s="166">
        <v>4521</v>
      </c>
      <c r="L271" s="161">
        <v>2000</v>
      </c>
      <c r="M271" s="165" t="s">
        <v>589</v>
      </c>
      <c r="N271" s="164">
        <v>11.2</v>
      </c>
      <c r="O271" s="23">
        <f>IF(N271&gt;0,1/N271*37.7*68.6,"")</f>
        <v>230.91249999999999</v>
      </c>
      <c r="P271" s="163">
        <v>10.35</v>
      </c>
      <c r="Q271" s="162" t="s">
        <v>593</v>
      </c>
      <c r="R271" s="161" t="s">
        <v>587</v>
      </c>
      <c r="S271" s="161" t="s">
        <v>586</v>
      </c>
      <c r="T271" s="160"/>
      <c r="U271" s="159"/>
      <c r="V271" s="158">
        <f>IFERROR(IF(N271&lt;P271,"",(ROUNDDOWN(N271/P271*100,0))),"")</f>
        <v>108</v>
      </c>
    </row>
    <row r="272" spans="1:22" ht="45" customHeight="1">
      <c r="A272" s="174"/>
      <c r="B272" s="173"/>
      <c r="C272" s="172"/>
      <c r="D272" s="168" t="s">
        <v>612</v>
      </c>
      <c r="E272" s="161" t="s">
        <v>590</v>
      </c>
      <c r="F272" s="167">
        <v>2.9980000000000002</v>
      </c>
      <c r="G272" s="161">
        <v>430</v>
      </c>
      <c r="H272" s="161">
        <v>110</v>
      </c>
      <c r="I272" s="161" t="s">
        <v>598</v>
      </c>
      <c r="J272" s="166">
        <v>2652</v>
      </c>
      <c r="K272" s="166">
        <v>5812</v>
      </c>
      <c r="L272" s="161">
        <v>2995</v>
      </c>
      <c r="M272" s="165" t="s">
        <v>589</v>
      </c>
      <c r="N272" s="164">
        <v>10.4</v>
      </c>
      <c r="O272" s="23">
        <f>IF(N272&gt;0,1/N272*37.7*68.6,"")</f>
        <v>248.67499999999998</v>
      </c>
      <c r="P272" s="163">
        <v>9.51</v>
      </c>
      <c r="Q272" s="162" t="s">
        <v>593</v>
      </c>
      <c r="R272" s="161" t="s">
        <v>587</v>
      </c>
      <c r="S272" s="161" t="s">
        <v>586</v>
      </c>
      <c r="T272" s="160"/>
      <c r="U272" s="159"/>
      <c r="V272" s="158">
        <f>IFERROR(IF(N272&lt;P272,"",(ROUNDDOWN(N272/P272*100,0))),"")</f>
        <v>109</v>
      </c>
    </row>
    <row r="273" spans="1:22" ht="45" customHeight="1">
      <c r="A273" s="174"/>
      <c r="B273" s="173"/>
      <c r="C273" s="172"/>
      <c r="D273" s="168" t="s">
        <v>611</v>
      </c>
      <c r="E273" s="161" t="s">
        <v>590</v>
      </c>
      <c r="F273" s="167">
        <v>2.9980000000000002</v>
      </c>
      <c r="G273" s="161">
        <v>430</v>
      </c>
      <c r="H273" s="161">
        <v>96</v>
      </c>
      <c r="I273" s="161" t="s">
        <v>598</v>
      </c>
      <c r="J273" s="166">
        <v>2356</v>
      </c>
      <c r="K273" s="166">
        <v>4521</v>
      </c>
      <c r="L273" s="161">
        <v>2000</v>
      </c>
      <c r="M273" s="165" t="s">
        <v>589</v>
      </c>
      <c r="N273" s="164">
        <v>11.8</v>
      </c>
      <c r="O273" s="23">
        <f>IF(N273&gt;0,1/N273*37.7*68.6,"")</f>
        <v>219.17118644067796</v>
      </c>
      <c r="P273" s="163">
        <v>10.35</v>
      </c>
      <c r="Q273" s="162" t="s">
        <v>593</v>
      </c>
      <c r="R273" s="161" t="s">
        <v>587</v>
      </c>
      <c r="S273" s="161" t="s">
        <v>586</v>
      </c>
      <c r="T273" s="160"/>
      <c r="U273" s="159"/>
      <c r="V273" s="158">
        <f>IFERROR(IF(N273&lt;P273,"",(ROUNDDOWN(N273/P273*100,0))),"")</f>
        <v>114</v>
      </c>
    </row>
    <row r="274" spans="1:22" ht="45" customHeight="1">
      <c r="A274" s="174"/>
      <c r="B274" s="173"/>
      <c r="C274" s="172"/>
      <c r="D274" s="168" t="s">
        <v>611</v>
      </c>
      <c r="E274" s="161" t="s">
        <v>590</v>
      </c>
      <c r="F274" s="167">
        <v>2.9980000000000002</v>
      </c>
      <c r="G274" s="161">
        <v>430</v>
      </c>
      <c r="H274" s="161">
        <v>96</v>
      </c>
      <c r="I274" s="161" t="s">
        <v>71</v>
      </c>
      <c r="J274" s="166">
        <v>2652</v>
      </c>
      <c r="K274" s="166">
        <v>5812</v>
      </c>
      <c r="L274" s="161">
        <v>2995</v>
      </c>
      <c r="M274" s="165" t="s">
        <v>589</v>
      </c>
      <c r="N274" s="164">
        <v>10.8</v>
      </c>
      <c r="O274" s="23">
        <f>IF(N274&gt;0,1/N274*37.7*68.6,"")</f>
        <v>239.46481481481482</v>
      </c>
      <c r="P274" s="163">
        <v>9.51</v>
      </c>
      <c r="Q274" s="162" t="s">
        <v>588</v>
      </c>
      <c r="R274" s="161" t="s">
        <v>587</v>
      </c>
      <c r="S274" s="161" t="s">
        <v>586</v>
      </c>
      <c r="T274" s="160"/>
      <c r="U274" s="159"/>
      <c r="V274" s="158">
        <f>IFERROR(IF(N274&lt;P274,"",(ROUNDDOWN(N274/P274*100,0))),"")</f>
        <v>113</v>
      </c>
    </row>
    <row r="275" spans="1:22" ht="45" customHeight="1">
      <c r="A275" s="174"/>
      <c r="B275" s="173"/>
      <c r="C275" s="172"/>
      <c r="D275" s="168" t="s">
        <v>611</v>
      </c>
      <c r="E275" s="161" t="s">
        <v>590</v>
      </c>
      <c r="F275" s="167">
        <v>2.9980000000000002</v>
      </c>
      <c r="G275" s="161">
        <v>430</v>
      </c>
      <c r="H275" s="161">
        <v>96</v>
      </c>
      <c r="I275" s="161" t="s">
        <v>70</v>
      </c>
      <c r="J275" s="166">
        <v>2652</v>
      </c>
      <c r="K275" s="166">
        <v>5812</v>
      </c>
      <c r="L275" s="161">
        <v>2995</v>
      </c>
      <c r="M275" s="165" t="s">
        <v>589</v>
      </c>
      <c r="N275" s="164">
        <v>10.6</v>
      </c>
      <c r="O275" s="23">
        <f>IF(N275&gt;0,1/N275*37.7*68.6,"")</f>
        <v>243.98301886792456</v>
      </c>
      <c r="P275" s="163">
        <v>9.51</v>
      </c>
      <c r="Q275" s="162" t="s">
        <v>588</v>
      </c>
      <c r="R275" s="161" t="s">
        <v>587</v>
      </c>
      <c r="S275" s="161" t="s">
        <v>586</v>
      </c>
      <c r="T275" s="160"/>
      <c r="U275" s="159"/>
      <c r="V275" s="158">
        <f>IFERROR(IF(N275&lt;P275,"",(ROUNDDOWN(N275/P275*100,0))),"")</f>
        <v>111</v>
      </c>
    </row>
    <row r="276" spans="1:22" ht="45" customHeight="1">
      <c r="A276" s="174"/>
      <c r="B276" s="173"/>
      <c r="C276" s="172"/>
      <c r="D276" s="168" t="s">
        <v>611</v>
      </c>
      <c r="E276" s="161" t="s">
        <v>590</v>
      </c>
      <c r="F276" s="167">
        <v>2.9980000000000002</v>
      </c>
      <c r="G276" s="161">
        <v>430</v>
      </c>
      <c r="H276" s="161">
        <v>110</v>
      </c>
      <c r="I276" s="161" t="s">
        <v>598</v>
      </c>
      <c r="J276" s="166">
        <v>2356</v>
      </c>
      <c r="K276" s="166">
        <v>4521</v>
      </c>
      <c r="L276" s="161">
        <v>2000</v>
      </c>
      <c r="M276" s="165" t="s">
        <v>589</v>
      </c>
      <c r="N276" s="164">
        <v>11.6</v>
      </c>
      <c r="O276" s="23">
        <f>IF(N276&gt;0,1/N276*37.7*68.6,"")</f>
        <v>222.95000000000002</v>
      </c>
      <c r="P276" s="163">
        <v>10.35</v>
      </c>
      <c r="Q276" s="162" t="s">
        <v>588</v>
      </c>
      <c r="R276" s="161" t="s">
        <v>587</v>
      </c>
      <c r="S276" s="161" t="s">
        <v>586</v>
      </c>
      <c r="T276" s="160"/>
      <c r="U276" s="159"/>
      <c r="V276" s="158">
        <f>IFERROR(IF(N276&lt;P276,"",(ROUNDDOWN(N276/P276*100,0))),"")</f>
        <v>112</v>
      </c>
    </row>
    <row r="277" spans="1:22" ht="45" customHeight="1">
      <c r="A277" s="174"/>
      <c r="B277" s="173"/>
      <c r="C277" s="172"/>
      <c r="D277" s="168" t="s">
        <v>611</v>
      </c>
      <c r="E277" s="161" t="s">
        <v>590</v>
      </c>
      <c r="F277" s="167">
        <v>2.9980000000000002</v>
      </c>
      <c r="G277" s="161">
        <v>430</v>
      </c>
      <c r="H277" s="161">
        <v>110</v>
      </c>
      <c r="I277" s="161" t="s">
        <v>71</v>
      </c>
      <c r="J277" s="166">
        <v>2652</v>
      </c>
      <c r="K277" s="166">
        <v>5812</v>
      </c>
      <c r="L277" s="161">
        <v>2995</v>
      </c>
      <c r="M277" s="165" t="s">
        <v>589</v>
      </c>
      <c r="N277" s="164">
        <v>10.8</v>
      </c>
      <c r="O277" s="23">
        <f>IF(N277&gt;0,1/N277*37.7*68.6,"")</f>
        <v>239.46481481481482</v>
      </c>
      <c r="P277" s="163">
        <v>9.51</v>
      </c>
      <c r="Q277" s="162" t="s">
        <v>588</v>
      </c>
      <c r="R277" s="161" t="s">
        <v>587</v>
      </c>
      <c r="S277" s="161" t="s">
        <v>586</v>
      </c>
      <c r="T277" s="160"/>
      <c r="U277" s="159"/>
      <c r="V277" s="158">
        <f>IFERROR(IF(N277&lt;P277,"",(ROUNDDOWN(N277/P277*100,0))),"")</f>
        <v>113</v>
      </c>
    </row>
    <row r="278" spans="1:22" ht="45" customHeight="1">
      <c r="A278" s="174"/>
      <c r="B278" s="173"/>
      <c r="C278" s="172"/>
      <c r="D278" s="168" t="s">
        <v>611</v>
      </c>
      <c r="E278" s="161" t="s">
        <v>590</v>
      </c>
      <c r="F278" s="167">
        <v>2.9980000000000002</v>
      </c>
      <c r="G278" s="161">
        <v>430</v>
      </c>
      <c r="H278" s="161">
        <v>110</v>
      </c>
      <c r="I278" s="161" t="s">
        <v>70</v>
      </c>
      <c r="J278" s="166">
        <v>2652</v>
      </c>
      <c r="K278" s="166">
        <v>5812</v>
      </c>
      <c r="L278" s="161">
        <v>2995</v>
      </c>
      <c r="M278" s="165" t="s">
        <v>589</v>
      </c>
      <c r="N278" s="164">
        <v>10.6</v>
      </c>
      <c r="O278" s="23">
        <f>IF(N278&gt;0,1/N278*37.7*68.6,"")</f>
        <v>243.98301886792456</v>
      </c>
      <c r="P278" s="163">
        <v>9.51</v>
      </c>
      <c r="Q278" s="162" t="s">
        <v>588</v>
      </c>
      <c r="R278" s="161" t="s">
        <v>587</v>
      </c>
      <c r="S278" s="161" t="s">
        <v>586</v>
      </c>
      <c r="T278" s="160"/>
      <c r="U278" s="159"/>
      <c r="V278" s="158">
        <f>IFERROR(IF(N278&lt;P278,"",(ROUNDDOWN(N278/P278*100,0))),"")</f>
        <v>111</v>
      </c>
    </row>
    <row r="279" spans="1:22" ht="45" customHeight="1">
      <c r="A279" s="174"/>
      <c r="B279" s="173"/>
      <c r="C279" s="172"/>
      <c r="D279" s="168" t="s">
        <v>610</v>
      </c>
      <c r="E279" s="161" t="s">
        <v>590</v>
      </c>
      <c r="F279" s="167">
        <v>2.9980000000000002</v>
      </c>
      <c r="G279" s="161">
        <v>430</v>
      </c>
      <c r="H279" s="161">
        <v>96</v>
      </c>
      <c r="I279" s="161" t="s">
        <v>598</v>
      </c>
      <c r="J279" s="166">
        <v>2356</v>
      </c>
      <c r="K279" s="166">
        <v>4521</v>
      </c>
      <c r="L279" s="161">
        <v>2000</v>
      </c>
      <c r="M279" s="165" t="s">
        <v>589</v>
      </c>
      <c r="N279" s="164">
        <v>11.4</v>
      </c>
      <c r="O279" s="23">
        <f>IF(N279&gt;0,1/N279*37.7*68.6,"")</f>
        <v>226.8614035087719</v>
      </c>
      <c r="P279" s="163">
        <v>10.35</v>
      </c>
      <c r="Q279" s="162" t="s">
        <v>593</v>
      </c>
      <c r="R279" s="161" t="s">
        <v>587</v>
      </c>
      <c r="S279" s="161" t="s">
        <v>586</v>
      </c>
      <c r="T279" s="160"/>
      <c r="U279" s="159"/>
      <c r="V279" s="158">
        <f>IFERROR(IF(N279&lt;P279,"",(ROUNDDOWN(N279/P279*100,0))),"")</f>
        <v>110</v>
      </c>
    </row>
    <row r="280" spans="1:22" ht="45" customHeight="1">
      <c r="A280" s="174"/>
      <c r="B280" s="173"/>
      <c r="C280" s="172"/>
      <c r="D280" s="168" t="s">
        <v>610</v>
      </c>
      <c r="E280" s="161" t="s">
        <v>590</v>
      </c>
      <c r="F280" s="167">
        <v>2.9980000000000002</v>
      </c>
      <c r="G280" s="161">
        <v>430</v>
      </c>
      <c r="H280" s="161">
        <v>96</v>
      </c>
      <c r="I280" s="161" t="s">
        <v>598</v>
      </c>
      <c r="J280" s="166">
        <v>2652</v>
      </c>
      <c r="K280" s="166">
        <v>5812</v>
      </c>
      <c r="L280" s="161">
        <v>2995</v>
      </c>
      <c r="M280" s="165" t="s">
        <v>589</v>
      </c>
      <c r="N280" s="164">
        <v>10.4</v>
      </c>
      <c r="O280" s="23">
        <f>IF(N280&gt;0,1/N280*37.7*68.6,"")</f>
        <v>248.67499999999998</v>
      </c>
      <c r="P280" s="163">
        <v>9.51</v>
      </c>
      <c r="Q280" s="162" t="s">
        <v>593</v>
      </c>
      <c r="R280" s="161" t="s">
        <v>587</v>
      </c>
      <c r="S280" s="161" t="s">
        <v>586</v>
      </c>
      <c r="T280" s="160"/>
      <c r="U280" s="159"/>
      <c r="V280" s="158">
        <f>IFERROR(IF(N280&lt;P280,"",(ROUNDDOWN(N280/P280*100,0))),"")</f>
        <v>109</v>
      </c>
    </row>
    <row r="281" spans="1:22" ht="45" customHeight="1">
      <c r="A281" s="174"/>
      <c r="B281" s="173"/>
      <c r="C281" s="172"/>
      <c r="D281" s="168" t="s">
        <v>610</v>
      </c>
      <c r="E281" s="161" t="s">
        <v>590</v>
      </c>
      <c r="F281" s="167">
        <v>2.9980000000000002</v>
      </c>
      <c r="G281" s="161">
        <v>430</v>
      </c>
      <c r="H281" s="161">
        <v>110</v>
      </c>
      <c r="I281" s="161" t="s">
        <v>598</v>
      </c>
      <c r="J281" s="166">
        <v>2356</v>
      </c>
      <c r="K281" s="166">
        <v>4521</v>
      </c>
      <c r="L281" s="161">
        <v>2000</v>
      </c>
      <c r="M281" s="165" t="s">
        <v>589</v>
      </c>
      <c r="N281" s="164">
        <v>11.2</v>
      </c>
      <c r="O281" s="23">
        <f>IF(N281&gt;0,1/N281*37.7*68.6,"")</f>
        <v>230.91249999999999</v>
      </c>
      <c r="P281" s="163">
        <v>10.35</v>
      </c>
      <c r="Q281" s="162" t="s">
        <v>593</v>
      </c>
      <c r="R281" s="161" t="s">
        <v>587</v>
      </c>
      <c r="S281" s="161" t="s">
        <v>586</v>
      </c>
      <c r="T281" s="160"/>
      <c r="U281" s="159"/>
      <c r="V281" s="158">
        <f>IFERROR(IF(N281&lt;P281,"",(ROUNDDOWN(N281/P281*100,0))),"")</f>
        <v>108</v>
      </c>
    </row>
    <row r="282" spans="1:22" ht="45" customHeight="1">
      <c r="A282" s="174"/>
      <c r="B282" s="173"/>
      <c r="C282" s="172"/>
      <c r="D282" s="168" t="s">
        <v>610</v>
      </c>
      <c r="E282" s="161" t="s">
        <v>590</v>
      </c>
      <c r="F282" s="167">
        <v>2.9980000000000002</v>
      </c>
      <c r="G282" s="161">
        <v>430</v>
      </c>
      <c r="H282" s="161">
        <v>110</v>
      </c>
      <c r="I282" s="161" t="s">
        <v>598</v>
      </c>
      <c r="J282" s="166">
        <v>2652</v>
      </c>
      <c r="K282" s="166">
        <v>5812</v>
      </c>
      <c r="L282" s="161">
        <v>2995</v>
      </c>
      <c r="M282" s="165" t="s">
        <v>589</v>
      </c>
      <c r="N282" s="164">
        <v>10.4</v>
      </c>
      <c r="O282" s="23">
        <f>IF(N282&gt;0,1/N282*37.7*68.6,"")</f>
        <v>248.67499999999998</v>
      </c>
      <c r="P282" s="163">
        <v>9.51</v>
      </c>
      <c r="Q282" s="162" t="s">
        <v>593</v>
      </c>
      <c r="R282" s="161" t="s">
        <v>587</v>
      </c>
      <c r="S282" s="161" t="s">
        <v>586</v>
      </c>
      <c r="T282" s="160"/>
      <c r="U282" s="159"/>
      <c r="V282" s="158">
        <f>IFERROR(IF(N282&lt;P282,"",(ROUNDDOWN(N282/P282*100,0))),"")</f>
        <v>109</v>
      </c>
    </row>
    <row r="283" spans="1:22" ht="45" customHeight="1">
      <c r="A283" s="174"/>
      <c r="B283" s="173"/>
      <c r="C283" s="172"/>
      <c r="D283" s="168" t="s">
        <v>609</v>
      </c>
      <c r="E283" s="161" t="s">
        <v>590</v>
      </c>
      <c r="F283" s="167">
        <v>2.9980000000000002</v>
      </c>
      <c r="G283" s="161">
        <v>430</v>
      </c>
      <c r="H283" s="161">
        <v>96</v>
      </c>
      <c r="I283" s="161" t="s">
        <v>598</v>
      </c>
      <c r="J283" s="166">
        <v>2356</v>
      </c>
      <c r="K283" s="166">
        <v>4521</v>
      </c>
      <c r="L283" s="161">
        <v>2000</v>
      </c>
      <c r="M283" s="165" t="s">
        <v>589</v>
      </c>
      <c r="N283" s="164">
        <v>11.8</v>
      </c>
      <c r="O283" s="23">
        <f>IF(N283&gt;0,1/N283*37.7*68.6,"")</f>
        <v>219.17118644067796</v>
      </c>
      <c r="P283" s="163">
        <v>10.35</v>
      </c>
      <c r="Q283" s="162" t="s">
        <v>593</v>
      </c>
      <c r="R283" s="161" t="s">
        <v>587</v>
      </c>
      <c r="S283" s="161" t="s">
        <v>586</v>
      </c>
      <c r="T283" s="160"/>
      <c r="U283" s="159"/>
      <c r="V283" s="158">
        <f>IFERROR(IF(N283&lt;P283,"",(ROUNDDOWN(N283/P283*100,0))),"")</f>
        <v>114</v>
      </c>
    </row>
    <row r="284" spans="1:22" ht="45" customHeight="1">
      <c r="A284" s="174"/>
      <c r="B284" s="173"/>
      <c r="C284" s="172"/>
      <c r="D284" s="168" t="s">
        <v>609</v>
      </c>
      <c r="E284" s="161" t="s">
        <v>590</v>
      </c>
      <c r="F284" s="167">
        <v>2.9980000000000002</v>
      </c>
      <c r="G284" s="161">
        <v>430</v>
      </c>
      <c r="H284" s="161">
        <v>96</v>
      </c>
      <c r="I284" s="161" t="s">
        <v>71</v>
      </c>
      <c r="J284" s="166">
        <v>2652</v>
      </c>
      <c r="K284" s="166">
        <v>5812</v>
      </c>
      <c r="L284" s="161">
        <v>2995</v>
      </c>
      <c r="M284" s="165" t="s">
        <v>589</v>
      </c>
      <c r="N284" s="164">
        <v>10.8</v>
      </c>
      <c r="O284" s="23">
        <f>IF(N284&gt;0,1/N284*37.7*68.6,"")</f>
        <v>239.46481481481482</v>
      </c>
      <c r="P284" s="163">
        <v>9.51</v>
      </c>
      <c r="Q284" s="162" t="s">
        <v>588</v>
      </c>
      <c r="R284" s="161" t="s">
        <v>587</v>
      </c>
      <c r="S284" s="161" t="s">
        <v>586</v>
      </c>
      <c r="T284" s="160"/>
      <c r="U284" s="159"/>
      <c r="V284" s="158">
        <f>IFERROR(IF(N284&lt;P284,"",(ROUNDDOWN(N284/P284*100,0))),"")</f>
        <v>113</v>
      </c>
    </row>
    <row r="285" spans="1:22" ht="45" customHeight="1">
      <c r="A285" s="174"/>
      <c r="B285" s="173"/>
      <c r="C285" s="172"/>
      <c r="D285" s="168" t="s">
        <v>609</v>
      </c>
      <c r="E285" s="161" t="s">
        <v>590</v>
      </c>
      <c r="F285" s="167">
        <v>2.9980000000000002</v>
      </c>
      <c r="G285" s="161">
        <v>430</v>
      </c>
      <c r="H285" s="161">
        <v>96</v>
      </c>
      <c r="I285" s="161" t="s">
        <v>70</v>
      </c>
      <c r="J285" s="166">
        <v>2652</v>
      </c>
      <c r="K285" s="166">
        <v>5812</v>
      </c>
      <c r="L285" s="161">
        <v>2995</v>
      </c>
      <c r="M285" s="165" t="s">
        <v>589</v>
      </c>
      <c r="N285" s="164">
        <v>10.6</v>
      </c>
      <c r="O285" s="23">
        <f>IF(N285&gt;0,1/N285*37.7*68.6,"")</f>
        <v>243.98301886792456</v>
      </c>
      <c r="P285" s="163">
        <v>9.51</v>
      </c>
      <c r="Q285" s="162" t="s">
        <v>588</v>
      </c>
      <c r="R285" s="161" t="s">
        <v>587</v>
      </c>
      <c r="S285" s="161" t="s">
        <v>586</v>
      </c>
      <c r="T285" s="160"/>
      <c r="U285" s="159"/>
      <c r="V285" s="158">
        <f>IFERROR(IF(N285&lt;P285,"",(ROUNDDOWN(N285/P285*100,0))),"")</f>
        <v>111</v>
      </c>
    </row>
    <row r="286" spans="1:22" ht="45" customHeight="1">
      <c r="A286" s="174"/>
      <c r="B286" s="173"/>
      <c r="C286" s="172"/>
      <c r="D286" s="168" t="s">
        <v>609</v>
      </c>
      <c r="E286" s="161" t="s">
        <v>590</v>
      </c>
      <c r="F286" s="167">
        <v>2.9980000000000002</v>
      </c>
      <c r="G286" s="161">
        <v>430</v>
      </c>
      <c r="H286" s="161">
        <v>110</v>
      </c>
      <c r="I286" s="161" t="s">
        <v>598</v>
      </c>
      <c r="J286" s="166">
        <v>2356</v>
      </c>
      <c r="K286" s="166">
        <v>4521</v>
      </c>
      <c r="L286" s="161">
        <v>2000</v>
      </c>
      <c r="M286" s="165" t="s">
        <v>589</v>
      </c>
      <c r="N286" s="164">
        <v>11.6</v>
      </c>
      <c r="O286" s="23">
        <f>IF(N286&gt;0,1/N286*37.7*68.6,"")</f>
        <v>222.95000000000002</v>
      </c>
      <c r="P286" s="163">
        <v>10.35</v>
      </c>
      <c r="Q286" s="162" t="s">
        <v>588</v>
      </c>
      <c r="R286" s="161" t="s">
        <v>587</v>
      </c>
      <c r="S286" s="161" t="s">
        <v>586</v>
      </c>
      <c r="T286" s="160"/>
      <c r="U286" s="159"/>
      <c r="V286" s="158">
        <f>IFERROR(IF(N286&lt;P286,"",(ROUNDDOWN(N286/P286*100,0))),"")</f>
        <v>112</v>
      </c>
    </row>
    <row r="287" spans="1:22" ht="45" customHeight="1">
      <c r="A287" s="174"/>
      <c r="B287" s="173"/>
      <c r="C287" s="172"/>
      <c r="D287" s="168" t="s">
        <v>609</v>
      </c>
      <c r="E287" s="161" t="s">
        <v>590</v>
      </c>
      <c r="F287" s="167">
        <v>2.9980000000000002</v>
      </c>
      <c r="G287" s="161">
        <v>430</v>
      </c>
      <c r="H287" s="161">
        <v>110</v>
      </c>
      <c r="I287" s="161" t="s">
        <v>71</v>
      </c>
      <c r="J287" s="166">
        <v>2652</v>
      </c>
      <c r="K287" s="166">
        <v>5812</v>
      </c>
      <c r="L287" s="161">
        <v>2995</v>
      </c>
      <c r="M287" s="165" t="s">
        <v>589</v>
      </c>
      <c r="N287" s="164">
        <v>10.8</v>
      </c>
      <c r="O287" s="23">
        <f>IF(N287&gt;0,1/N287*37.7*68.6,"")</f>
        <v>239.46481481481482</v>
      </c>
      <c r="P287" s="163">
        <v>9.51</v>
      </c>
      <c r="Q287" s="162" t="s">
        <v>588</v>
      </c>
      <c r="R287" s="161" t="s">
        <v>587</v>
      </c>
      <c r="S287" s="161" t="s">
        <v>586</v>
      </c>
      <c r="T287" s="160"/>
      <c r="U287" s="159"/>
      <c r="V287" s="158">
        <f>IFERROR(IF(N287&lt;P287,"",(ROUNDDOWN(N287/P287*100,0))),"")</f>
        <v>113</v>
      </c>
    </row>
    <row r="288" spans="1:22" ht="45" customHeight="1">
      <c r="A288" s="174"/>
      <c r="B288" s="173"/>
      <c r="C288" s="172"/>
      <c r="D288" s="168" t="s">
        <v>609</v>
      </c>
      <c r="E288" s="161" t="s">
        <v>590</v>
      </c>
      <c r="F288" s="167">
        <v>2.9980000000000002</v>
      </c>
      <c r="G288" s="161">
        <v>430</v>
      </c>
      <c r="H288" s="161">
        <v>110</v>
      </c>
      <c r="I288" s="161" t="s">
        <v>70</v>
      </c>
      <c r="J288" s="166">
        <v>2652</v>
      </c>
      <c r="K288" s="166">
        <v>5812</v>
      </c>
      <c r="L288" s="161">
        <v>2995</v>
      </c>
      <c r="M288" s="165" t="s">
        <v>589</v>
      </c>
      <c r="N288" s="164">
        <v>10.6</v>
      </c>
      <c r="O288" s="23">
        <f>IF(N288&gt;0,1/N288*37.7*68.6,"")</f>
        <v>243.98301886792456</v>
      </c>
      <c r="P288" s="163">
        <v>9.51</v>
      </c>
      <c r="Q288" s="162" t="s">
        <v>588</v>
      </c>
      <c r="R288" s="161" t="s">
        <v>587</v>
      </c>
      <c r="S288" s="161" t="s">
        <v>586</v>
      </c>
      <c r="T288" s="160"/>
      <c r="U288" s="159"/>
      <c r="V288" s="158">
        <f>IFERROR(IF(N288&lt;P288,"",(ROUNDDOWN(N288/P288*100,0))),"")</f>
        <v>111</v>
      </c>
    </row>
    <row r="289" spans="1:22" ht="45" customHeight="1">
      <c r="A289" s="174"/>
      <c r="B289" s="173"/>
      <c r="C289" s="172"/>
      <c r="D289" s="168" t="s">
        <v>609</v>
      </c>
      <c r="E289" s="161" t="s">
        <v>590</v>
      </c>
      <c r="F289" s="167">
        <v>2.9980000000000002</v>
      </c>
      <c r="G289" s="161">
        <v>430</v>
      </c>
      <c r="H289" s="161">
        <v>110</v>
      </c>
      <c r="I289" s="161" t="s">
        <v>598</v>
      </c>
      <c r="J289" s="166">
        <v>2356</v>
      </c>
      <c r="K289" s="166">
        <v>4521</v>
      </c>
      <c r="L289" s="161">
        <v>2000</v>
      </c>
      <c r="M289" s="165" t="s">
        <v>589</v>
      </c>
      <c r="N289" s="164">
        <v>11.4</v>
      </c>
      <c r="O289" s="23">
        <f>IF(N289&gt;0,1/N289*37.7*68.6,"")</f>
        <v>226.8614035087719</v>
      </c>
      <c r="P289" s="163">
        <v>10.35</v>
      </c>
      <c r="Q289" s="162" t="s">
        <v>588</v>
      </c>
      <c r="R289" s="161" t="s">
        <v>587</v>
      </c>
      <c r="S289" s="161" t="s">
        <v>586</v>
      </c>
      <c r="T289" s="160"/>
      <c r="U289" s="159"/>
      <c r="V289" s="158">
        <f>IFERROR(IF(N289&lt;P289,"",(ROUNDDOWN(N289/P289*100,0))),"")</f>
        <v>110</v>
      </c>
    </row>
    <row r="290" spans="1:22" ht="45" customHeight="1">
      <c r="A290" s="174"/>
      <c r="B290" s="173"/>
      <c r="C290" s="172"/>
      <c r="D290" s="168" t="s">
        <v>609</v>
      </c>
      <c r="E290" s="161" t="s">
        <v>590</v>
      </c>
      <c r="F290" s="167">
        <v>2.9980000000000002</v>
      </c>
      <c r="G290" s="161">
        <v>430</v>
      </c>
      <c r="H290" s="161">
        <v>110</v>
      </c>
      <c r="I290" s="161" t="s">
        <v>71</v>
      </c>
      <c r="J290" s="166">
        <v>2652</v>
      </c>
      <c r="K290" s="166">
        <v>5812</v>
      </c>
      <c r="L290" s="161">
        <v>2995</v>
      </c>
      <c r="M290" s="165" t="s">
        <v>589</v>
      </c>
      <c r="N290" s="164">
        <v>10.6</v>
      </c>
      <c r="O290" s="23">
        <f>IF(N290&gt;0,1/N290*37.7*68.6,"")</f>
        <v>243.98301886792456</v>
      </c>
      <c r="P290" s="163">
        <v>9.51</v>
      </c>
      <c r="Q290" s="162" t="s">
        <v>588</v>
      </c>
      <c r="R290" s="161" t="s">
        <v>587</v>
      </c>
      <c r="S290" s="161" t="s">
        <v>586</v>
      </c>
      <c r="T290" s="160"/>
      <c r="U290" s="159"/>
      <c r="V290" s="158">
        <f>IFERROR(IF(N290&lt;P290,"",(ROUNDDOWN(N290/P290*100,0))),"")</f>
        <v>111</v>
      </c>
    </row>
    <row r="291" spans="1:22" ht="45" customHeight="1">
      <c r="A291" s="174"/>
      <c r="B291" s="173"/>
      <c r="C291" s="172"/>
      <c r="D291" s="168" t="s">
        <v>608</v>
      </c>
      <c r="E291" s="161" t="s">
        <v>590</v>
      </c>
      <c r="F291" s="167">
        <v>2.9980000000000002</v>
      </c>
      <c r="G291" s="161">
        <v>430</v>
      </c>
      <c r="H291" s="161">
        <v>96</v>
      </c>
      <c r="I291" s="161" t="s">
        <v>71</v>
      </c>
      <c r="J291" s="166">
        <v>2356</v>
      </c>
      <c r="K291" s="166">
        <v>4521</v>
      </c>
      <c r="L291" s="161">
        <v>2000</v>
      </c>
      <c r="M291" s="165" t="s">
        <v>589</v>
      </c>
      <c r="N291" s="164">
        <v>11.4</v>
      </c>
      <c r="O291" s="23">
        <f>IF(N291&gt;0,1/N291*37.7*68.6,"")</f>
        <v>226.8614035087719</v>
      </c>
      <c r="P291" s="163">
        <v>10.35</v>
      </c>
      <c r="Q291" s="162" t="s">
        <v>593</v>
      </c>
      <c r="R291" s="161" t="s">
        <v>587</v>
      </c>
      <c r="S291" s="161" t="s">
        <v>110</v>
      </c>
      <c r="T291" s="160"/>
      <c r="U291" s="159"/>
      <c r="V291" s="158">
        <f>IFERROR(IF(N291&lt;P291,"",(ROUNDDOWN(N291/P291*100,0))),"")</f>
        <v>110</v>
      </c>
    </row>
    <row r="292" spans="1:22" ht="45" customHeight="1">
      <c r="A292" s="174"/>
      <c r="B292" s="173"/>
      <c r="C292" s="172"/>
      <c r="D292" s="168" t="s">
        <v>608</v>
      </c>
      <c r="E292" s="161" t="s">
        <v>590</v>
      </c>
      <c r="F292" s="167">
        <v>2.9980000000000002</v>
      </c>
      <c r="G292" s="161">
        <v>430</v>
      </c>
      <c r="H292" s="161">
        <v>96</v>
      </c>
      <c r="I292" s="161" t="s">
        <v>71</v>
      </c>
      <c r="J292" s="166">
        <v>2356</v>
      </c>
      <c r="K292" s="166">
        <v>4521</v>
      </c>
      <c r="L292" s="161">
        <v>2000</v>
      </c>
      <c r="M292" s="165" t="s">
        <v>589</v>
      </c>
      <c r="N292" s="164">
        <v>11.8</v>
      </c>
      <c r="O292" s="23">
        <f>IF(N292&gt;0,1/N292*37.7*68.6,"")</f>
        <v>219.17118644067796</v>
      </c>
      <c r="P292" s="163">
        <v>10.35</v>
      </c>
      <c r="Q292" s="162" t="s">
        <v>588</v>
      </c>
      <c r="R292" s="161" t="s">
        <v>587</v>
      </c>
      <c r="S292" s="161" t="s">
        <v>110</v>
      </c>
      <c r="T292" s="160"/>
      <c r="U292" s="159"/>
      <c r="V292" s="158">
        <f>IFERROR(IF(N292&lt;P292,"",(ROUNDDOWN(N292/P292*100,0))),"")</f>
        <v>114</v>
      </c>
    </row>
    <row r="293" spans="1:22" ht="45" customHeight="1">
      <c r="A293" s="174"/>
      <c r="B293" s="173"/>
      <c r="C293" s="172"/>
      <c r="D293" s="168" t="s">
        <v>608</v>
      </c>
      <c r="E293" s="161" t="s">
        <v>590</v>
      </c>
      <c r="F293" s="167">
        <v>2.9980000000000002</v>
      </c>
      <c r="G293" s="161">
        <v>430</v>
      </c>
      <c r="H293" s="161">
        <v>96</v>
      </c>
      <c r="I293" s="161" t="s">
        <v>71</v>
      </c>
      <c r="J293" s="166">
        <v>2356</v>
      </c>
      <c r="K293" s="166">
        <v>4521</v>
      </c>
      <c r="L293" s="161">
        <v>2000</v>
      </c>
      <c r="M293" s="165" t="s">
        <v>589</v>
      </c>
      <c r="N293" s="164">
        <v>11.4</v>
      </c>
      <c r="O293" s="23">
        <f>IF(N293&gt;0,1/N293*37.7*68.6,"")</f>
        <v>226.8614035087719</v>
      </c>
      <c r="P293" s="163">
        <v>10.35</v>
      </c>
      <c r="Q293" s="162" t="s">
        <v>588</v>
      </c>
      <c r="R293" s="161" t="s">
        <v>587</v>
      </c>
      <c r="S293" s="161" t="s">
        <v>110</v>
      </c>
      <c r="T293" s="160"/>
      <c r="U293" s="159"/>
      <c r="V293" s="158">
        <f>IFERROR(IF(N293&lt;P293,"",(ROUNDDOWN(N293/P293*100,0))),"")</f>
        <v>110</v>
      </c>
    </row>
    <row r="294" spans="1:22" ht="45" customHeight="1">
      <c r="A294" s="174"/>
      <c r="B294" s="173"/>
      <c r="C294" s="172"/>
      <c r="D294" s="168" t="s">
        <v>607</v>
      </c>
      <c r="E294" s="161" t="s">
        <v>590</v>
      </c>
      <c r="F294" s="167">
        <v>2.9980000000000002</v>
      </c>
      <c r="G294" s="161">
        <v>430</v>
      </c>
      <c r="H294" s="161">
        <v>110</v>
      </c>
      <c r="I294" s="161" t="s">
        <v>71</v>
      </c>
      <c r="J294" s="166">
        <v>2356</v>
      </c>
      <c r="K294" s="166">
        <v>4521</v>
      </c>
      <c r="L294" s="161">
        <v>2000</v>
      </c>
      <c r="M294" s="165" t="s">
        <v>589</v>
      </c>
      <c r="N294" s="164">
        <v>11.2</v>
      </c>
      <c r="O294" s="23">
        <f>IF(N294&gt;0,1/N294*37.7*68.6,"")</f>
        <v>230.91249999999999</v>
      </c>
      <c r="P294" s="163">
        <v>10.35</v>
      </c>
      <c r="Q294" s="162" t="s">
        <v>593</v>
      </c>
      <c r="R294" s="161" t="s">
        <v>587</v>
      </c>
      <c r="S294" s="161" t="s">
        <v>110</v>
      </c>
      <c r="T294" s="160"/>
      <c r="U294" s="159"/>
      <c r="V294" s="158">
        <f>IFERROR(IF(N294&lt;P294,"",(ROUNDDOWN(N294/P294*100,0))),"")</f>
        <v>108</v>
      </c>
    </row>
    <row r="295" spans="1:22" ht="45" customHeight="1">
      <c r="A295" s="174"/>
      <c r="B295" s="173"/>
      <c r="C295" s="172"/>
      <c r="D295" s="168" t="s">
        <v>607</v>
      </c>
      <c r="E295" s="161" t="s">
        <v>590</v>
      </c>
      <c r="F295" s="167">
        <v>2.9980000000000002</v>
      </c>
      <c r="G295" s="161">
        <v>430</v>
      </c>
      <c r="H295" s="161">
        <v>110</v>
      </c>
      <c r="I295" s="161" t="s">
        <v>71</v>
      </c>
      <c r="J295" s="166">
        <v>2652</v>
      </c>
      <c r="K295" s="166">
        <v>5812</v>
      </c>
      <c r="L295" s="161">
        <v>2995</v>
      </c>
      <c r="M295" s="165" t="s">
        <v>589</v>
      </c>
      <c r="N295" s="164">
        <v>10.4</v>
      </c>
      <c r="O295" s="23">
        <f>IF(N295&gt;0,1/N295*37.7*68.6,"")</f>
        <v>248.67499999999998</v>
      </c>
      <c r="P295" s="163">
        <v>9.51</v>
      </c>
      <c r="Q295" s="162" t="s">
        <v>593</v>
      </c>
      <c r="R295" s="161" t="s">
        <v>587</v>
      </c>
      <c r="S295" s="161" t="s">
        <v>110</v>
      </c>
      <c r="T295" s="160"/>
      <c r="U295" s="159"/>
      <c r="V295" s="158">
        <f>IFERROR(IF(N295&lt;P295,"",(ROUNDDOWN(N295/P295*100,0))),"")</f>
        <v>109</v>
      </c>
    </row>
    <row r="296" spans="1:22" ht="45" customHeight="1">
      <c r="A296" s="174"/>
      <c r="B296" s="173"/>
      <c r="C296" s="172"/>
      <c r="D296" s="168" t="s">
        <v>606</v>
      </c>
      <c r="E296" s="161" t="s">
        <v>590</v>
      </c>
      <c r="F296" s="167">
        <v>2.9980000000000002</v>
      </c>
      <c r="G296" s="161">
        <v>430</v>
      </c>
      <c r="H296" s="161">
        <v>110</v>
      </c>
      <c r="I296" s="161" t="s">
        <v>71</v>
      </c>
      <c r="J296" s="166">
        <v>2356</v>
      </c>
      <c r="K296" s="166">
        <v>4521</v>
      </c>
      <c r="L296" s="161">
        <v>2000</v>
      </c>
      <c r="M296" s="165" t="s">
        <v>589</v>
      </c>
      <c r="N296" s="164">
        <v>11.6</v>
      </c>
      <c r="O296" s="23">
        <f>IF(N296&gt;0,1/N296*37.7*68.6,"")</f>
        <v>222.95000000000002</v>
      </c>
      <c r="P296" s="163">
        <v>10.35</v>
      </c>
      <c r="Q296" s="162" t="s">
        <v>588</v>
      </c>
      <c r="R296" s="161" t="s">
        <v>587</v>
      </c>
      <c r="S296" s="161" t="s">
        <v>110</v>
      </c>
      <c r="T296" s="160"/>
      <c r="U296" s="159"/>
      <c r="V296" s="158">
        <f>IFERROR(IF(N296&lt;P296,"",(ROUNDDOWN(N296/P296*100,0))),"")</f>
        <v>112</v>
      </c>
    </row>
    <row r="297" spans="1:22" ht="45" customHeight="1">
      <c r="A297" s="174"/>
      <c r="B297" s="173"/>
      <c r="C297" s="172"/>
      <c r="D297" s="168" t="s">
        <v>606</v>
      </c>
      <c r="E297" s="161" t="s">
        <v>590</v>
      </c>
      <c r="F297" s="167">
        <v>2.9980000000000002</v>
      </c>
      <c r="G297" s="161">
        <v>430</v>
      </c>
      <c r="H297" s="161">
        <v>110</v>
      </c>
      <c r="I297" s="161" t="s">
        <v>71</v>
      </c>
      <c r="J297" s="166">
        <v>2652</v>
      </c>
      <c r="K297" s="166">
        <v>5812</v>
      </c>
      <c r="L297" s="161">
        <v>2995</v>
      </c>
      <c r="M297" s="165" t="s">
        <v>589</v>
      </c>
      <c r="N297" s="164">
        <v>10.8</v>
      </c>
      <c r="O297" s="23">
        <f>IF(N297&gt;0,1/N297*37.7*68.6,"")</f>
        <v>239.46481481481482</v>
      </c>
      <c r="P297" s="163">
        <v>9.51</v>
      </c>
      <c r="Q297" s="162" t="s">
        <v>588</v>
      </c>
      <c r="R297" s="161" t="s">
        <v>587</v>
      </c>
      <c r="S297" s="161" t="s">
        <v>110</v>
      </c>
      <c r="T297" s="160"/>
      <c r="U297" s="159"/>
      <c r="V297" s="158">
        <f>IFERROR(IF(N297&lt;P297,"",(ROUNDDOWN(N297/P297*100,0))),"")</f>
        <v>113</v>
      </c>
    </row>
    <row r="298" spans="1:22" ht="45" customHeight="1">
      <c r="A298" s="174"/>
      <c r="B298" s="173"/>
      <c r="C298" s="172"/>
      <c r="D298" s="168" t="s">
        <v>606</v>
      </c>
      <c r="E298" s="161" t="s">
        <v>590</v>
      </c>
      <c r="F298" s="167">
        <v>2.9980000000000002</v>
      </c>
      <c r="G298" s="161">
        <v>430</v>
      </c>
      <c r="H298" s="161">
        <v>110</v>
      </c>
      <c r="I298" s="161" t="s">
        <v>71</v>
      </c>
      <c r="J298" s="166">
        <v>2356</v>
      </c>
      <c r="K298" s="166">
        <v>4521</v>
      </c>
      <c r="L298" s="161">
        <v>2000</v>
      </c>
      <c r="M298" s="165" t="s">
        <v>589</v>
      </c>
      <c r="N298" s="164">
        <v>11.4</v>
      </c>
      <c r="O298" s="23">
        <f>IF(N298&gt;0,1/N298*37.7*68.6,"")</f>
        <v>226.8614035087719</v>
      </c>
      <c r="P298" s="163">
        <v>10.35</v>
      </c>
      <c r="Q298" s="162" t="s">
        <v>588</v>
      </c>
      <c r="R298" s="161" t="s">
        <v>587</v>
      </c>
      <c r="S298" s="161" t="s">
        <v>110</v>
      </c>
      <c r="T298" s="160"/>
      <c r="U298" s="159"/>
      <c r="V298" s="158">
        <f>IFERROR(IF(N298&lt;P298,"",(ROUNDDOWN(N298/P298*100,0))),"")</f>
        <v>110</v>
      </c>
    </row>
    <row r="299" spans="1:22" ht="45" customHeight="1">
      <c r="A299" s="174"/>
      <c r="B299" s="173"/>
      <c r="C299" s="172"/>
      <c r="D299" s="168" t="s">
        <v>606</v>
      </c>
      <c r="E299" s="161" t="s">
        <v>590</v>
      </c>
      <c r="F299" s="167">
        <v>2.9980000000000002</v>
      </c>
      <c r="G299" s="161">
        <v>430</v>
      </c>
      <c r="H299" s="161">
        <v>110</v>
      </c>
      <c r="I299" s="161" t="s">
        <v>71</v>
      </c>
      <c r="J299" s="166">
        <v>2652</v>
      </c>
      <c r="K299" s="166">
        <v>5812</v>
      </c>
      <c r="L299" s="161">
        <v>2995</v>
      </c>
      <c r="M299" s="165" t="s">
        <v>589</v>
      </c>
      <c r="N299" s="164">
        <v>10.6</v>
      </c>
      <c r="O299" s="23">
        <f>IF(N299&gt;0,1/N299*37.7*68.6,"")</f>
        <v>243.98301886792456</v>
      </c>
      <c r="P299" s="163">
        <v>9.51</v>
      </c>
      <c r="Q299" s="162" t="s">
        <v>588</v>
      </c>
      <c r="R299" s="161" t="s">
        <v>587</v>
      </c>
      <c r="S299" s="161" t="s">
        <v>110</v>
      </c>
      <c r="T299" s="160"/>
      <c r="U299" s="159"/>
      <c r="V299" s="158">
        <f>IFERROR(IF(N299&lt;P299,"",(ROUNDDOWN(N299/P299*100,0))),"")</f>
        <v>111</v>
      </c>
    </row>
    <row r="300" spans="1:22" ht="45" customHeight="1">
      <c r="A300" s="174"/>
      <c r="B300" s="173"/>
      <c r="C300" s="172"/>
      <c r="D300" s="168" t="s">
        <v>605</v>
      </c>
      <c r="E300" s="161" t="s">
        <v>590</v>
      </c>
      <c r="F300" s="167">
        <v>2.9980000000000002</v>
      </c>
      <c r="G300" s="161">
        <v>430</v>
      </c>
      <c r="H300" s="161">
        <v>110</v>
      </c>
      <c r="I300" s="161" t="s">
        <v>598</v>
      </c>
      <c r="J300" s="166">
        <v>2356</v>
      </c>
      <c r="K300" s="166">
        <v>4521</v>
      </c>
      <c r="L300" s="161">
        <v>2000</v>
      </c>
      <c r="M300" s="165" t="s">
        <v>589</v>
      </c>
      <c r="N300" s="164">
        <v>11</v>
      </c>
      <c r="O300" s="23">
        <f>IF(N300&gt;0,1/N300*37.7*68.6,"")</f>
        <v>235.1109090909091</v>
      </c>
      <c r="P300" s="163">
        <v>10.35</v>
      </c>
      <c r="Q300" s="162" t="s">
        <v>593</v>
      </c>
      <c r="R300" s="161" t="s">
        <v>587</v>
      </c>
      <c r="S300" s="161" t="s">
        <v>110</v>
      </c>
      <c r="T300" s="160"/>
      <c r="U300" s="159"/>
      <c r="V300" s="158">
        <f>IFERROR(IF(N300&lt;P300,"",(ROUNDDOWN(N300/P300*100,0))),"")</f>
        <v>106</v>
      </c>
    </row>
    <row r="301" spans="1:22" ht="45" customHeight="1">
      <c r="A301" s="174"/>
      <c r="B301" s="173"/>
      <c r="C301" s="172"/>
      <c r="D301" s="168" t="s">
        <v>605</v>
      </c>
      <c r="E301" s="161" t="s">
        <v>590</v>
      </c>
      <c r="F301" s="167">
        <v>2.9980000000000002</v>
      </c>
      <c r="G301" s="161">
        <v>430</v>
      </c>
      <c r="H301" s="161">
        <v>110</v>
      </c>
      <c r="I301" s="161" t="s">
        <v>598</v>
      </c>
      <c r="J301" s="166">
        <v>2652</v>
      </c>
      <c r="K301" s="166">
        <v>5812</v>
      </c>
      <c r="L301" s="161">
        <v>2995</v>
      </c>
      <c r="M301" s="165" t="s">
        <v>589</v>
      </c>
      <c r="N301" s="164">
        <v>10.199999999999999</v>
      </c>
      <c r="O301" s="23">
        <f>IF(N301&gt;0,1/N301*37.7*68.6,"")</f>
        <v>253.55098039215687</v>
      </c>
      <c r="P301" s="163">
        <v>9.51</v>
      </c>
      <c r="Q301" s="162" t="s">
        <v>593</v>
      </c>
      <c r="R301" s="161" t="s">
        <v>587</v>
      </c>
      <c r="S301" s="161" t="s">
        <v>110</v>
      </c>
      <c r="T301" s="160"/>
      <c r="U301" s="159"/>
      <c r="V301" s="158">
        <f>IFERROR(IF(N301&lt;P301,"",(ROUNDDOWN(N301/P301*100,0))),"")</f>
        <v>107</v>
      </c>
    </row>
    <row r="302" spans="1:22" ht="45" customHeight="1">
      <c r="A302" s="174"/>
      <c r="B302" s="173"/>
      <c r="C302" s="172"/>
      <c r="D302" s="168" t="s">
        <v>605</v>
      </c>
      <c r="E302" s="161" t="s">
        <v>590</v>
      </c>
      <c r="F302" s="167">
        <v>2.9980000000000002</v>
      </c>
      <c r="G302" s="161">
        <v>430</v>
      </c>
      <c r="H302" s="161">
        <v>110</v>
      </c>
      <c r="I302" s="161" t="s">
        <v>598</v>
      </c>
      <c r="J302" s="166">
        <v>2356</v>
      </c>
      <c r="K302" s="166">
        <v>4521</v>
      </c>
      <c r="L302" s="161">
        <v>2000</v>
      </c>
      <c r="M302" s="165" t="s">
        <v>589</v>
      </c>
      <c r="N302" s="164">
        <v>11</v>
      </c>
      <c r="O302" s="23">
        <f>IF(N302&gt;0,1/N302*37.7*68.6,"")</f>
        <v>235.1109090909091</v>
      </c>
      <c r="P302" s="163">
        <v>10.35</v>
      </c>
      <c r="Q302" s="162" t="s">
        <v>588</v>
      </c>
      <c r="R302" s="161" t="s">
        <v>587</v>
      </c>
      <c r="S302" s="161" t="s">
        <v>110</v>
      </c>
      <c r="T302" s="160"/>
      <c r="U302" s="159"/>
      <c r="V302" s="158">
        <f>IFERROR(IF(N302&lt;P302,"",(ROUNDDOWN(N302/P302*100,0))),"")</f>
        <v>106</v>
      </c>
    </row>
    <row r="303" spans="1:22" ht="45" customHeight="1">
      <c r="A303" s="174"/>
      <c r="B303" s="173"/>
      <c r="C303" s="172"/>
      <c r="D303" s="168" t="s">
        <v>605</v>
      </c>
      <c r="E303" s="161" t="s">
        <v>590</v>
      </c>
      <c r="F303" s="167">
        <v>2.9980000000000002</v>
      </c>
      <c r="G303" s="161">
        <v>430</v>
      </c>
      <c r="H303" s="161">
        <v>110</v>
      </c>
      <c r="I303" s="161" t="s">
        <v>598</v>
      </c>
      <c r="J303" s="166">
        <v>2652</v>
      </c>
      <c r="K303" s="166">
        <v>5812</v>
      </c>
      <c r="L303" s="161">
        <v>2995</v>
      </c>
      <c r="M303" s="165" t="s">
        <v>589</v>
      </c>
      <c r="N303" s="164">
        <v>10</v>
      </c>
      <c r="O303" s="23">
        <f>IF(N303&gt;0,1/N303*37.7*68.6,"")</f>
        <v>258.62200000000001</v>
      </c>
      <c r="P303" s="163">
        <v>9.51</v>
      </c>
      <c r="Q303" s="162" t="s">
        <v>588</v>
      </c>
      <c r="R303" s="161" t="s">
        <v>587</v>
      </c>
      <c r="S303" s="161" t="s">
        <v>110</v>
      </c>
      <c r="T303" s="160"/>
      <c r="U303" s="159"/>
      <c r="V303" s="158">
        <f>IFERROR(IF(N303&lt;P303,"",(ROUNDDOWN(N303/P303*100,0))),"")</f>
        <v>105</v>
      </c>
    </row>
    <row r="304" spans="1:22" ht="45" customHeight="1">
      <c r="A304" s="174"/>
      <c r="B304" s="173"/>
      <c r="C304" s="172"/>
      <c r="D304" s="168" t="s">
        <v>604</v>
      </c>
      <c r="E304" s="161" t="s">
        <v>590</v>
      </c>
      <c r="F304" s="167">
        <v>2.9980000000000002</v>
      </c>
      <c r="G304" s="161">
        <v>430</v>
      </c>
      <c r="H304" s="161">
        <v>110</v>
      </c>
      <c r="I304" s="161" t="s">
        <v>598</v>
      </c>
      <c r="J304" s="166">
        <v>2356</v>
      </c>
      <c r="K304" s="166">
        <v>4521</v>
      </c>
      <c r="L304" s="161">
        <v>2000</v>
      </c>
      <c r="M304" s="165" t="s">
        <v>589</v>
      </c>
      <c r="N304" s="164">
        <v>11.4</v>
      </c>
      <c r="O304" s="23">
        <f>IF(N304&gt;0,1/N304*37.7*68.6,"")</f>
        <v>226.8614035087719</v>
      </c>
      <c r="P304" s="163">
        <v>10.35</v>
      </c>
      <c r="Q304" s="162" t="s">
        <v>588</v>
      </c>
      <c r="R304" s="161" t="s">
        <v>587</v>
      </c>
      <c r="S304" s="161" t="s">
        <v>110</v>
      </c>
      <c r="T304" s="160"/>
      <c r="U304" s="159"/>
      <c r="V304" s="158">
        <f>IFERROR(IF(N304&lt;P304,"",(ROUNDDOWN(N304/P304*100,0))),"")</f>
        <v>110</v>
      </c>
    </row>
    <row r="305" spans="1:22" ht="45" customHeight="1">
      <c r="A305" s="174"/>
      <c r="B305" s="173"/>
      <c r="C305" s="172"/>
      <c r="D305" s="168" t="s">
        <v>604</v>
      </c>
      <c r="E305" s="161" t="s">
        <v>590</v>
      </c>
      <c r="F305" s="167">
        <v>2.9980000000000002</v>
      </c>
      <c r="G305" s="161">
        <v>430</v>
      </c>
      <c r="H305" s="161">
        <v>110</v>
      </c>
      <c r="I305" s="161" t="s">
        <v>598</v>
      </c>
      <c r="J305" s="166">
        <v>2652</v>
      </c>
      <c r="K305" s="166">
        <v>5812</v>
      </c>
      <c r="L305" s="161">
        <v>2995</v>
      </c>
      <c r="M305" s="165" t="s">
        <v>589</v>
      </c>
      <c r="N305" s="164">
        <v>10.6</v>
      </c>
      <c r="O305" s="23">
        <f>IF(N305&gt;0,1/N305*37.7*68.6,"")</f>
        <v>243.98301886792456</v>
      </c>
      <c r="P305" s="163">
        <v>9.51</v>
      </c>
      <c r="Q305" s="162" t="s">
        <v>588</v>
      </c>
      <c r="R305" s="161" t="s">
        <v>587</v>
      </c>
      <c r="S305" s="161" t="s">
        <v>110</v>
      </c>
      <c r="T305" s="160"/>
      <c r="U305" s="159"/>
      <c r="V305" s="158">
        <f>IFERROR(IF(N305&lt;P305,"",(ROUNDDOWN(N305/P305*100,0))),"")</f>
        <v>111</v>
      </c>
    </row>
    <row r="306" spans="1:22" ht="45" customHeight="1">
      <c r="A306" s="174"/>
      <c r="B306" s="173"/>
      <c r="C306" s="172"/>
      <c r="D306" s="168" t="s">
        <v>603</v>
      </c>
      <c r="E306" s="161" t="s">
        <v>590</v>
      </c>
      <c r="F306" s="167">
        <v>2.9980000000000002</v>
      </c>
      <c r="G306" s="161">
        <v>430</v>
      </c>
      <c r="H306" s="161">
        <v>110</v>
      </c>
      <c r="I306" s="161" t="s">
        <v>598</v>
      </c>
      <c r="J306" s="166">
        <v>2356</v>
      </c>
      <c r="K306" s="166">
        <v>4521</v>
      </c>
      <c r="L306" s="161">
        <v>2000</v>
      </c>
      <c r="M306" s="165" t="s">
        <v>589</v>
      </c>
      <c r="N306" s="164">
        <v>11.2</v>
      </c>
      <c r="O306" s="23">
        <f>IF(N306&gt;0,1/N306*37.7*68.6,"")</f>
        <v>230.91249999999999</v>
      </c>
      <c r="P306" s="163">
        <v>10.35</v>
      </c>
      <c r="Q306" s="162" t="s">
        <v>593</v>
      </c>
      <c r="R306" s="161" t="s">
        <v>587</v>
      </c>
      <c r="S306" s="161" t="s">
        <v>586</v>
      </c>
      <c r="T306" s="160"/>
      <c r="U306" s="159"/>
      <c r="V306" s="158">
        <f>IFERROR(IF(N306&lt;P306,"",(ROUNDDOWN(N306/P306*100,0))),"")</f>
        <v>108</v>
      </c>
    </row>
    <row r="307" spans="1:22" ht="45" customHeight="1">
      <c r="A307" s="174"/>
      <c r="B307" s="173"/>
      <c r="C307" s="172"/>
      <c r="D307" s="168" t="s">
        <v>603</v>
      </c>
      <c r="E307" s="161" t="s">
        <v>590</v>
      </c>
      <c r="F307" s="167">
        <v>2.9980000000000002</v>
      </c>
      <c r="G307" s="161">
        <v>430</v>
      </c>
      <c r="H307" s="161">
        <v>110</v>
      </c>
      <c r="I307" s="161" t="s">
        <v>598</v>
      </c>
      <c r="J307" s="166">
        <v>2652</v>
      </c>
      <c r="K307" s="166">
        <v>5812</v>
      </c>
      <c r="L307" s="161">
        <v>2995</v>
      </c>
      <c r="M307" s="165" t="s">
        <v>589</v>
      </c>
      <c r="N307" s="164">
        <v>10.4</v>
      </c>
      <c r="O307" s="23">
        <f>IF(N307&gt;0,1/N307*37.7*68.6,"")</f>
        <v>248.67499999999998</v>
      </c>
      <c r="P307" s="163">
        <v>9.51</v>
      </c>
      <c r="Q307" s="162" t="s">
        <v>593</v>
      </c>
      <c r="R307" s="161" t="s">
        <v>587</v>
      </c>
      <c r="S307" s="161" t="s">
        <v>586</v>
      </c>
      <c r="T307" s="160"/>
      <c r="U307" s="159"/>
      <c r="V307" s="158">
        <f>IFERROR(IF(N307&lt;P307,"",(ROUNDDOWN(N307/P307*100,0))),"")</f>
        <v>109</v>
      </c>
    </row>
    <row r="308" spans="1:22" ht="45" customHeight="1">
      <c r="A308" s="174"/>
      <c r="B308" s="173"/>
      <c r="C308" s="172"/>
      <c r="D308" s="168" t="s">
        <v>603</v>
      </c>
      <c r="E308" s="161" t="s">
        <v>590</v>
      </c>
      <c r="F308" s="167">
        <v>2.9980000000000002</v>
      </c>
      <c r="G308" s="161">
        <v>430</v>
      </c>
      <c r="H308" s="161">
        <v>110</v>
      </c>
      <c r="I308" s="161" t="s">
        <v>71</v>
      </c>
      <c r="J308" s="166">
        <v>2979</v>
      </c>
      <c r="K308" s="166">
        <v>6893</v>
      </c>
      <c r="L308" s="161">
        <v>3749</v>
      </c>
      <c r="M308" s="165" t="s">
        <v>589</v>
      </c>
      <c r="N308" s="164">
        <v>8.8000000000000007</v>
      </c>
      <c r="O308" s="23">
        <f>IF(N308&gt;0,1/N308*37.7*68.6,"")</f>
        <v>293.88863636363635</v>
      </c>
      <c r="P308" s="163">
        <v>8.1199999999999992</v>
      </c>
      <c r="Q308" s="162" t="s">
        <v>593</v>
      </c>
      <c r="R308" s="161" t="s">
        <v>587</v>
      </c>
      <c r="S308" s="161" t="s">
        <v>586</v>
      </c>
      <c r="T308" s="160"/>
      <c r="U308" s="159"/>
      <c r="V308" s="158">
        <f>IFERROR(IF(N308&lt;P308,"",(ROUNDDOWN(N308/P308*100,0))),"")</f>
        <v>108</v>
      </c>
    </row>
    <row r="309" spans="1:22" ht="45" customHeight="1">
      <c r="A309" s="174"/>
      <c r="B309" s="173"/>
      <c r="C309" s="172"/>
      <c r="D309" s="168" t="s">
        <v>603</v>
      </c>
      <c r="E309" s="161" t="s">
        <v>590</v>
      </c>
      <c r="F309" s="167">
        <v>2.9980000000000002</v>
      </c>
      <c r="G309" s="161">
        <v>430</v>
      </c>
      <c r="H309" s="161">
        <v>110</v>
      </c>
      <c r="I309" s="161" t="s">
        <v>70</v>
      </c>
      <c r="J309" s="166">
        <v>2979</v>
      </c>
      <c r="K309" s="166">
        <v>6893</v>
      </c>
      <c r="L309" s="161">
        <v>3749</v>
      </c>
      <c r="M309" s="165" t="s">
        <v>589</v>
      </c>
      <c r="N309" s="164">
        <v>8.6999999999999993</v>
      </c>
      <c r="O309" s="23">
        <f>IF(N309&gt;0,1/N309*37.7*68.6,"")</f>
        <v>297.26666666666671</v>
      </c>
      <c r="P309" s="163">
        <v>8.1199999999999992</v>
      </c>
      <c r="Q309" s="162" t="s">
        <v>593</v>
      </c>
      <c r="R309" s="161" t="s">
        <v>587</v>
      </c>
      <c r="S309" s="161" t="s">
        <v>586</v>
      </c>
      <c r="T309" s="160"/>
      <c r="U309" s="159"/>
      <c r="V309" s="158">
        <f>IFERROR(IF(N309&lt;P309,"",(ROUNDDOWN(N309/P309*100,0))),"")</f>
        <v>107</v>
      </c>
    </row>
    <row r="310" spans="1:22" ht="45" customHeight="1">
      <c r="A310" s="174"/>
      <c r="B310" s="173"/>
      <c r="C310" s="172"/>
      <c r="D310" s="168" t="s">
        <v>603</v>
      </c>
      <c r="E310" s="161" t="s">
        <v>590</v>
      </c>
      <c r="F310" s="167">
        <v>2.9980000000000002</v>
      </c>
      <c r="G310" s="161">
        <v>430</v>
      </c>
      <c r="H310" s="161">
        <v>110</v>
      </c>
      <c r="I310" s="161" t="s">
        <v>598</v>
      </c>
      <c r="J310" s="166">
        <v>2979</v>
      </c>
      <c r="K310" s="166">
        <v>6893</v>
      </c>
      <c r="L310" s="161">
        <v>3749</v>
      </c>
      <c r="M310" s="165" t="s">
        <v>589</v>
      </c>
      <c r="N310" s="164">
        <v>8.6</v>
      </c>
      <c r="O310" s="23">
        <f>IF(N310&gt;0,1/N310*37.7*68.6,"")</f>
        <v>300.72325581395353</v>
      </c>
      <c r="P310" s="163">
        <v>8.1199999999999992</v>
      </c>
      <c r="Q310" s="162" t="s">
        <v>588</v>
      </c>
      <c r="R310" s="161" t="s">
        <v>587</v>
      </c>
      <c r="S310" s="161" t="s">
        <v>586</v>
      </c>
      <c r="T310" s="160"/>
      <c r="U310" s="159"/>
      <c r="V310" s="158">
        <f>IFERROR(IF(N310&lt;P310,"",(ROUNDDOWN(N310/P310*100,0))),"")</f>
        <v>105</v>
      </c>
    </row>
    <row r="311" spans="1:22" ht="45" customHeight="1">
      <c r="A311" s="174"/>
      <c r="B311" s="173"/>
      <c r="C311" s="172"/>
      <c r="D311" s="168" t="s">
        <v>602</v>
      </c>
      <c r="E311" s="161" t="s">
        <v>590</v>
      </c>
      <c r="F311" s="167">
        <v>2.9980000000000002</v>
      </c>
      <c r="G311" s="161">
        <v>430</v>
      </c>
      <c r="H311" s="161">
        <v>110</v>
      </c>
      <c r="I311" s="161" t="s">
        <v>598</v>
      </c>
      <c r="J311" s="166">
        <v>2356</v>
      </c>
      <c r="K311" s="166">
        <v>4521</v>
      </c>
      <c r="L311" s="161">
        <v>2000</v>
      </c>
      <c r="M311" s="165" t="s">
        <v>589</v>
      </c>
      <c r="N311" s="164">
        <v>11.6</v>
      </c>
      <c r="O311" s="23">
        <f>IF(N311&gt;0,1/N311*37.7*68.6,"")</f>
        <v>222.95000000000002</v>
      </c>
      <c r="P311" s="163">
        <v>10.35</v>
      </c>
      <c r="Q311" s="162" t="s">
        <v>588</v>
      </c>
      <c r="R311" s="161" t="s">
        <v>587</v>
      </c>
      <c r="S311" s="161" t="s">
        <v>586</v>
      </c>
      <c r="T311" s="160"/>
      <c r="U311" s="159"/>
      <c r="V311" s="158">
        <f>IFERROR(IF(N311&lt;P311,"",(ROUNDDOWN(N311/P311*100,0))),"")</f>
        <v>112</v>
      </c>
    </row>
    <row r="312" spans="1:22" ht="45" customHeight="1">
      <c r="A312" s="174"/>
      <c r="B312" s="173"/>
      <c r="C312" s="172"/>
      <c r="D312" s="168" t="s">
        <v>602</v>
      </c>
      <c r="E312" s="161" t="s">
        <v>590</v>
      </c>
      <c r="F312" s="167">
        <v>2.9980000000000002</v>
      </c>
      <c r="G312" s="161">
        <v>430</v>
      </c>
      <c r="H312" s="161">
        <v>110</v>
      </c>
      <c r="I312" s="161" t="s">
        <v>71</v>
      </c>
      <c r="J312" s="166">
        <v>2652</v>
      </c>
      <c r="K312" s="166">
        <v>5812</v>
      </c>
      <c r="L312" s="161">
        <v>2995</v>
      </c>
      <c r="M312" s="165" t="s">
        <v>589</v>
      </c>
      <c r="N312" s="164">
        <v>10.8</v>
      </c>
      <c r="O312" s="23">
        <f>IF(N312&gt;0,1/N312*37.7*68.6,"")</f>
        <v>239.46481481481482</v>
      </c>
      <c r="P312" s="163">
        <v>9.51</v>
      </c>
      <c r="Q312" s="162" t="s">
        <v>588</v>
      </c>
      <c r="R312" s="161" t="s">
        <v>587</v>
      </c>
      <c r="S312" s="161" t="s">
        <v>586</v>
      </c>
      <c r="T312" s="160"/>
      <c r="U312" s="159"/>
      <c r="V312" s="158">
        <f>IFERROR(IF(N312&lt;P312,"",(ROUNDDOWN(N312/P312*100,0))),"")</f>
        <v>113</v>
      </c>
    </row>
    <row r="313" spans="1:22" ht="45" customHeight="1">
      <c r="A313" s="174"/>
      <c r="B313" s="173"/>
      <c r="C313" s="172"/>
      <c r="D313" s="168" t="s">
        <v>602</v>
      </c>
      <c r="E313" s="161" t="s">
        <v>590</v>
      </c>
      <c r="F313" s="167">
        <v>2.9980000000000002</v>
      </c>
      <c r="G313" s="161">
        <v>430</v>
      </c>
      <c r="H313" s="161">
        <v>110</v>
      </c>
      <c r="I313" s="161" t="s">
        <v>70</v>
      </c>
      <c r="J313" s="166">
        <v>2652</v>
      </c>
      <c r="K313" s="166">
        <v>5812</v>
      </c>
      <c r="L313" s="161">
        <v>2995</v>
      </c>
      <c r="M313" s="165" t="s">
        <v>589</v>
      </c>
      <c r="N313" s="164">
        <v>10.6</v>
      </c>
      <c r="O313" s="23">
        <f>IF(N313&gt;0,1/N313*37.7*68.6,"")</f>
        <v>243.98301886792456</v>
      </c>
      <c r="P313" s="163">
        <v>9.51</v>
      </c>
      <c r="Q313" s="162" t="s">
        <v>588</v>
      </c>
      <c r="R313" s="161" t="s">
        <v>587</v>
      </c>
      <c r="S313" s="161" t="s">
        <v>586</v>
      </c>
      <c r="T313" s="160"/>
      <c r="U313" s="159"/>
      <c r="V313" s="158">
        <f>IFERROR(IF(N313&lt;P313,"",(ROUNDDOWN(N313/P313*100,0))),"")</f>
        <v>111</v>
      </c>
    </row>
    <row r="314" spans="1:22" ht="45" customHeight="1">
      <c r="A314" s="174"/>
      <c r="B314" s="173"/>
      <c r="C314" s="172"/>
      <c r="D314" s="168" t="s">
        <v>602</v>
      </c>
      <c r="E314" s="161" t="s">
        <v>590</v>
      </c>
      <c r="F314" s="167">
        <v>2.9980000000000002</v>
      </c>
      <c r="G314" s="161">
        <v>430</v>
      </c>
      <c r="H314" s="161">
        <v>110</v>
      </c>
      <c r="I314" s="161" t="s">
        <v>598</v>
      </c>
      <c r="J314" s="166">
        <v>2979</v>
      </c>
      <c r="K314" s="166">
        <v>6893</v>
      </c>
      <c r="L314" s="161">
        <v>3749</v>
      </c>
      <c r="M314" s="165" t="s">
        <v>589</v>
      </c>
      <c r="N314" s="164">
        <v>9</v>
      </c>
      <c r="O314" s="23">
        <f>IF(N314&gt;0,1/N314*37.7*68.6,"")</f>
        <v>287.35777777777776</v>
      </c>
      <c r="P314" s="163">
        <v>8.1199999999999992</v>
      </c>
      <c r="Q314" s="162" t="s">
        <v>588</v>
      </c>
      <c r="R314" s="161" t="s">
        <v>587</v>
      </c>
      <c r="S314" s="161" t="s">
        <v>586</v>
      </c>
      <c r="T314" s="160"/>
      <c r="U314" s="159"/>
      <c r="V314" s="158">
        <f>IFERROR(IF(N314&lt;P314,"",(ROUNDDOWN(N314/P314*100,0))),"")</f>
        <v>110</v>
      </c>
    </row>
    <row r="315" spans="1:22" ht="45" customHeight="1">
      <c r="A315" s="174"/>
      <c r="B315" s="173"/>
      <c r="C315" s="172"/>
      <c r="D315" s="168" t="s">
        <v>602</v>
      </c>
      <c r="E315" s="161" t="s">
        <v>590</v>
      </c>
      <c r="F315" s="167">
        <v>2.9980000000000002</v>
      </c>
      <c r="G315" s="161">
        <v>430</v>
      </c>
      <c r="H315" s="161">
        <v>110</v>
      </c>
      <c r="I315" s="161" t="s">
        <v>598</v>
      </c>
      <c r="J315" s="166">
        <v>2356</v>
      </c>
      <c r="K315" s="166">
        <v>4521</v>
      </c>
      <c r="L315" s="161">
        <v>2000</v>
      </c>
      <c r="M315" s="165" t="s">
        <v>589</v>
      </c>
      <c r="N315" s="164">
        <v>11.4</v>
      </c>
      <c r="O315" s="23">
        <f>IF(N315&gt;0,1/N315*37.7*68.6,"")</f>
        <v>226.8614035087719</v>
      </c>
      <c r="P315" s="163">
        <v>10.35</v>
      </c>
      <c r="Q315" s="162" t="s">
        <v>588</v>
      </c>
      <c r="R315" s="161" t="s">
        <v>587</v>
      </c>
      <c r="S315" s="161" t="s">
        <v>586</v>
      </c>
      <c r="T315" s="160"/>
      <c r="U315" s="159"/>
      <c r="V315" s="158">
        <f>IFERROR(IF(N315&lt;P315,"",(ROUNDDOWN(N315/P315*100,0))),"")</f>
        <v>110</v>
      </c>
    </row>
    <row r="316" spans="1:22" ht="45" customHeight="1">
      <c r="A316" s="174"/>
      <c r="B316" s="173"/>
      <c r="C316" s="172"/>
      <c r="D316" s="168" t="s">
        <v>602</v>
      </c>
      <c r="E316" s="161" t="s">
        <v>590</v>
      </c>
      <c r="F316" s="167">
        <v>2.9980000000000002</v>
      </c>
      <c r="G316" s="161">
        <v>430</v>
      </c>
      <c r="H316" s="161">
        <v>110</v>
      </c>
      <c r="I316" s="161" t="s">
        <v>71</v>
      </c>
      <c r="J316" s="166">
        <v>2652</v>
      </c>
      <c r="K316" s="166">
        <v>5812</v>
      </c>
      <c r="L316" s="161">
        <v>2995</v>
      </c>
      <c r="M316" s="165" t="s">
        <v>589</v>
      </c>
      <c r="N316" s="164">
        <v>10.6</v>
      </c>
      <c r="O316" s="23">
        <f>IF(N316&gt;0,1/N316*37.7*68.6,"")</f>
        <v>243.98301886792456</v>
      </c>
      <c r="P316" s="163">
        <v>9.51</v>
      </c>
      <c r="Q316" s="162" t="s">
        <v>588</v>
      </c>
      <c r="R316" s="161" t="s">
        <v>587</v>
      </c>
      <c r="S316" s="161" t="s">
        <v>586</v>
      </c>
      <c r="T316" s="160"/>
      <c r="U316" s="159"/>
      <c r="V316" s="158">
        <f>IFERROR(IF(N316&lt;P316,"",(ROUNDDOWN(N316/P316*100,0))),"")</f>
        <v>111</v>
      </c>
    </row>
    <row r="317" spans="1:22" ht="45" customHeight="1">
      <c r="A317" s="174"/>
      <c r="B317" s="173"/>
      <c r="C317" s="172"/>
      <c r="D317" s="168" t="s">
        <v>601</v>
      </c>
      <c r="E317" s="161" t="s">
        <v>590</v>
      </c>
      <c r="F317" s="167">
        <v>2.9980000000000002</v>
      </c>
      <c r="G317" s="161">
        <v>430</v>
      </c>
      <c r="H317" s="161">
        <v>110</v>
      </c>
      <c r="I317" s="161" t="s">
        <v>598</v>
      </c>
      <c r="J317" s="166">
        <v>2356</v>
      </c>
      <c r="K317" s="166">
        <v>4521</v>
      </c>
      <c r="L317" s="161">
        <v>2000</v>
      </c>
      <c r="M317" s="165" t="s">
        <v>589</v>
      </c>
      <c r="N317" s="164">
        <v>11.2</v>
      </c>
      <c r="O317" s="23">
        <f>IF(N317&gt;0,1/N317*37.7*68.6,"")</f>
        <v>230.91249999999999</v>
      </c>
      <c r="P317" s="163">
        <v>10.35</v>
      </c>
      <c r="Q317" s="162" t="s">
        <v>593</v>
      </c>
      <c r="R317" s="161" t="s">
        <v>587</v>
      </c>
      <c r="S317" s="161" t="s">
        <v>586</v>
      </c>
      <c r="T317" s="160"/>
      <c r="U317" s="159"/>
      <c r="V317" s="158">
        <f>IFERROR(IF(N317&lt;P317,"",(ROUNDDOWN(N317/P317*100,0))),"")</f>
        <v>108</v>
      </c>
    </row>
    <row r="318" spans="1:22" ht="45" customHeight="1">
      <c r="A318" s="174"/>
      <c r="B318" s="173"/>
      <c r="C318" s="172"/>
      <c r="D318" s="168" t="s">
        <v>601</v>
      </c>
      <c r="E318" s="161" t="s">
        <v>590</v>
      </c>
      <c r="F318" s="167">
        <v>2.9980000000000002</v>
      </c>
      <c r="G318" s="161">
        <v>430</v>
      </c>
      <c r="H318" s="161">
        <v>110</v>
      </c>
      <c r="I318" s="161" t="s">
        <v>598</v>
      </c>
      <c r="J318" s="166">
        <v>2652</v>
      </c>
      <c r="K318" s="166">
        <v>5812</v>
      </c>
      <c r="L318" s="161">
        <v>2995</v>
      </c>
      <c r="M318" s="165" t="s">
        <v>589</v>
      </c>
      <c r="N318" s="164">
        <v>10.4</v>
      </c>
      <c r="O318" s="23">
        <f>IF(N318&gt;0,1/N318*37.7*68.6,"")</f>
        <v>248.67499999999998</v>
      </c>
      <c r="P318" s="163">
        <v>9.51</v>
      </c>
      <c r="Q318" s="162" t="s">
        <v>593</v>
      </c>
      <c r="R318" s="161" t="s">
        <v>587</v>
      </c>
      <c r="S318" s="161" t="s">
        <v>586</v>
      </c>
      <c r="T318" s="160"/>
      <c r="U318" s="159"/>
      <c r="V318" s="158">
        <f>IFERROR(IF(N318&lt;P318,"",(ROUNDDOWN(N318/P318*100,0))),"")</f>
        <v>109</v>
      </c>
    </row>
    <row r="319" spans="1:22" ht="45" customHeight="1">
      <c r="A319" s="174"/>
      <c r="B319" s="173"/>
      <c r="C319" s="172"/>
      <c r="D319" s="168" t="s">
        <v>601</v>
      </c>
      <c r="E319" s="161" t="s">
        <v>590</v>
      </c>
      <c r="F319" s="167">
        <v>2.9980000000000002</v>
      </c>
      <c r="G319" s="161">
        <v>430</v>
      </c>
      <c r="H319" s="161">
        <v>110</v>
      </c>
      <c r="I319" s="161" t="s">
        <v>71</v>
      </c>
      <c r="J319" s="166">
        <v>2979</v>
      </c>
      <c r="K319" s="166">
        <v>6893</v>
      </c>
      <c r="L319" s="161">
        <v>3749</v>
      </c>
      <c r="M319" s="165" t="s">
        <v>589</v>
      </c>
      <c r="N319" s="164">
        <v>8.8000000000000007</v>
      </c>
      <c r="O319" s="23">
        <f>IF(N319&gt;0,1/N319*37.7*68.6,"")</f>
        <v>293.88863636363635</v>
      </c>
      <c r="P319" s="163">
        <v>8.1199999999999992</v>
      </c>
      <c r="Q319" s="162" t="s">
        <v>593</v>
      </c>
      <c r="R319" s="161" t="s">
        <v>587</v>
      </c>
      <c r="S319" s="161" t="s">
        <v>586</v>
      </c>
      <c r="T319" s="160"/>
      <c r="U319" s="159"/>
      <c r="V319" s="158">
        <f>IFERROR(IF(N319&lt;P319,"",(ROUNDDOWN(N319/P319*100,0))),"")</f>
        <v>108</v>
      </c>
    </row>
    <row r="320" spans="1:22" ht="45" customHeight="1">
      <c r="A320" s="174"/>
      <c r="B320" s="173"/>
      <c r="C320" s="172"/>
      <c r="D320" s="168" t="s">
        <v>601</v>
      </c>
      <c r="E320" s="161" t="s">
        <v>590</v>
      </c>
      <c r="F320" s="167">
        <v>2.9980000000000002</v>
      </c>
      <c r="G320" s="161">
        <v>430</v>
      </c>
      <c r="H320" s="161">
        <v>110</v>
      </c>
      <c r="I320" s="161" t="s">
        <v>70</v>
      </c>
      <c r="J320" s="166">
        <v>2979</v>
      </c>
      <c r="K320" s="166">
        <v>6893</v>
      </c>
      <c r="L320" s="161">
        <v>3749</v>
      </c>
      <c r="M320" s="165" t="s">
        <v>589</v>
      </c>
      <c r="N320" s="164">
        <v>8.6999999999999993</v>
      </c>
      <c r="O320" s="23">
        <f>IF(N320&gt;0,1/N320*37.7*68.6,"")</f>
        <v>297.26666666666671</v>
      </c>
      <c r="P320" s="163">
        <v>8.1199999999999992</v>
      </c>
      <c r="Q320" s="162" t="s">
        <v>593</v>
      </c>
      <c r="R320" s="161" t="s">
        <v>587</v>
      </c>
      <c r="S320" s="161" t="s">
        <v>586</v>
      </c>
      <c r="T320" s="160"/>
      <c r="U320" s="159"/>
      <c r="V320" s="158">
        <f>IFERROR(IF(N320&lt;P320,"",(ROUNDDOWN(N320/P320*100,0))),"")</f>
        <v>107</v>
      </c>
    </row>
    <row r="321" spans="1:22" ht="45" customHeight="1">
      <c r="A321" s="174"/>
      <c r="B321" s="173"/>
      <c r="C321" s="172"/>
      <c r="D321" s="168" t="s">
        <v>601</v>
      </c>
      <c r="E321" s="161" t="s">
        <v>590</v>
      </c>
      <c r="F321" s="167">
        <v>2.9980000000000002</v>
      </c>
      <c r="G321" s="161">
        <v>430</v>
      </c>
      <c r="H321" s="161">
        <v>129</v>
      </c>
      <c r="I321" s="161" t="s">
        <v>598</v>
      </c>
      <c r="J321" s="166">
        <v>2356</v>
      </c>
      <c r="K321" s="166">
        <v>4521</v>
      </c>
      <c r="L321" s="161">
        <v>2000</v>
      </c>
      <c r="M321" s="165" t="s">
        <v>589</v>
      </c>
      <c r="N321" s="164">
        <v>11</v>
      </c>
      <c r="O321" s="23">
        <f>IF(N321&gt;0,1/N321*37.7*68.6,"")</f>
        <v>235.1109090909091</v>
      </c>
      <c r="P321" s="163">
        <v>10.35</v>
      </c>
      <c r="Q321" s="162" t="s">
        <v>593</v>
      </c>
      <c r="R321" s="161" t="s">
        <v>587</v>
      </c>
      <c r="S321" s="161" t="s">
        <v>586</v>
      </c>
      <c r="T321" s="160"/>
      <c r="U321" s="159"/>
      <c r="V321" s="158">
        <f>IFERROR(IF(N321&lt;P321,"",(ROUNDDOWN(N321/P321*100,0))),"")</f>
        <v>106</v>
      </c>
    </row>
    <row r="322" spans="1:22" ht="45" customHeight="1">
      <c r="A322" s="174"/>
      <c r="B322" s="173"/>
      <c r="C322" s="172"/>
      <c r="D322" s="168" t="s">
        <v>601</v>
      </c>
      <c r="E322" s="161" t="s">
        <v>590</v>
      </c>
      <c r="F322" s="167">
        <v>2.9980000000000002</v>
      </c>
      <c r="G322" s="161">
        <v>430</v>
      </c>
      <c r="H322" s="161">
        <v>129</v>
      </c>
      <c r="I322" s="161" t="s">
        <v>598</v>
      </c>
      <c r="J322" s="166">
        <v>2652</v>
      </c>
      <c r="K322" s="166">
        <v>5812</v>
      </c>
      <c r="L322" s="161">
        <v>2995</v>
      </c>
      <c r="M322" s="165" t="s">
        <v>589</v>
      </c>
      <c r="N322" s="164">
        <v>10.199999999999999</v>
      </c>
      <c r="O322" s="23">
        <f>IF(N322&gt;0,1/N322*37.7*68.6,"")</f>
        <v>253.55098039215687</v>
      </c>
      <c r="P322" s="163">
        <v>9.51</v>
      </c>
      <c r="Q322" s="162" t="s">
        <v>593</v>
      </c>
      <c r="R322" s="161" t="s">
        <v>587</v>
      </c>
      <c r="S322" s="161" t="s">
        <v>586</v>
      </c>
      <c r="T322" s="160"/>
      <c r="U322" s="159"/>
      <c r="V322" s="158">
        <f>IFERROR(IF(N322&lt;P322,"",(ROUNDDOWN(N322/P322*100,0))),"")</f>
        <v>107</v>
      </c>
    </row>
    <row r="323" spans="1:22" ht="45" customHeight="1">
      <c r="A323" s="174"/>
      <c r="B323" s="173"/>
      <c r="C323" s="172"/>
      <c r="D323" s="168" t="s">
        <v>601</v>
      </c>
      <c r="E323" s="161" t="s">
        <v>590</v>
      </c>
      <c r="F323" s="167">
        <v>2.9980000000000002</v>
      </c>
      <c r="G323" s="161">
        <v>430</v>
      </c>
      <c r="H323" s="161">
        <v>129</v>
      </c>
      <c r="I323" s="161" t="s">
        <v>71</v>
      </c>
      <c r="J323" s="166">
        <v>2979</v>
      </c>
      <c r="K323" s="166">
        <v>6893</v>
      </c>
      <c r="L323" s="161">
        <v>3749</v>
      </c>
      <c r="M323" s="165" t="s">
        <v>589</v>
      </c>
      <c r="N323" s="164">
        <v>8.6999999999999993</v>
      </c>
      <c r="O323" s="23">
        <f>IF(N323&gt;0,1/N323*37.7*68.6,"")</f>
        <v>297.26666666666671</v>
      </c>
      <c r="P323" s="163">
        <v>8.1199999999999992</v>
      </c>
      <c r="Q323" s="162" t="s">
        <v>593</v>
      </c>
      <c r="R323" s="161" t="s">
        <v>587</v>
      </c>
      <c r="S323" s="161" t="s">
        <v>586</v>
      </c>
      <c r="T323" s="160"/>
      <c r="U323" s="159"/>
      <c r="V323" s="158">
        <f>IFERROR(IF(N323&lt;P323,"",(ROUNDDOWN(N323/P323*100,0))),"")</f>
        <v>107</v>
      </c>
    </row>
    <row r="324" spans="1:22" ht="45" customHeight="1">
      <c r="A324" s="174"/>
      <c r="B324" s="173"/>
      <c r="C324" s="172"/>
      <c r="D324" s="168" t="s">
        <v>601</v>
      </c>
      <c r="E324" s="161" t="s">
        <v>590</v>
      </c>
      <c r="F324" s="167">
        <v>2.9980000000000002</v>
      </c>
      <c r="G324" s="161">
        <v>430</v>
      </c>
      <c r="H324" s="161">
        <v>129</v>
      </c>
      <c r="I324" s="161" t="s">
        <v>70</v>
      </c>
      <c r="J324" s="166">
        <v>2979</v>
      </c>
      <c r="K324" s="166">
        <v>6893</v>
      </c>
      <c r="L324" s="161">
        <v>3749</v>
      </c>
      <c r="M324" s="165" t="s">
        <v>589</v>
      </c>
      <c r="N324" s="164">
        <v>8.6</v>
      </c>
      <c r="O324" s="23">
        <f>IF(N324&gt;0,1/N324*37.7*68.6,"")</f>
        <v>300.72325581395353</v>
      </c>
      <c r="P324" s="163">
        <v>8.1199999999999992</v>
      </c>
      <c r="Q324" s="162" t="s">
        <v>593</v>
      </c>
      <c r="R324" s="161" t="s">
        <v>587</v>
      </c>
      <c r="S324" s="161" t="s">
        <v>586</v>
      </c>
      <c r="T324" s="160"/>
      <c r="U324" s="159"/>
      <c r="V324" s="158">
        <f>IFERROR(IF(N324&lt;P324,"",(ROUNDDOWN(N324/P324*100,0))),"")</f>
        <v>105</v>
      </c>
    </row>
    <row r="325" spans="1:22" ht="45" customHeight="1">
      <c r="A325" s="174"/>
      <c r="B325" s="173"/>
      <c r="C325" s="172"/>
      <c r="D325" s="168" t="s">
        <v>601</v>
      </c>
      <c r="E325" s="161" t="s">
        <v>590</v>
      </c>
      <c r="F325" s="167">
        <v>2.9980000000000002</v>
      </c>
      <c r="G325" s="161">
        <v>430</v>
      </c>
      <c r="H325" s="161">
        <v>129</v>
      </c>
      <c r="I325" s="161" t="s">
        <v>70</v>
      </c>
      <c r="J325" s="166">
        <v>2979</v>
      </c>
      <c r="K325" s="166">
        <v>6893</v>
      </c>
      <c r="L325" s="161">
        <v>3749</v>
      </c>
      <c r="M325" s="165" t="s">
        <v>589</v>
      </c>
      <c r="N325" s="164">
        <v>8.8000000000000007</v>
      </c>
      <c r="O325" s="23">
        <f>IF(N325&gt;0,1/N325*37.7*68.6,"")</f>
        <v>293.88863636363635</v>
      </c>
      <c r="P325" s="163">
        <v>8.1199999999999992</v>
      </c>
      <c r="Q325" s="162" t="s">
        <v>588</v>
      </c>
      <c r="R325" s="161" t="s">
        <v>587</v>
      </c>
      <c r="S325" s="161" t="s">
        <v>586</v>
      </c>
      <c r="T325" s="160"/>
      <c r="U325" s="159"/>
      <c r="V325" s="158">
        <f>IFERROR(IF(N325&lt;P325,"",(ROUNDDOWN(N325/P325*100,0))),"")</f>
        <v>108</v>
      </c>
    </row>
    <row r="326" spans="1:22" ht="45" customHeight="1">
      <c r="A326" s="174"/>
      <c r="B326" s="173"/>
      <c r="C326" s="172"/>
      <c r="D326" s="168" t="s">
        <v>601</v>
      </c>
      <c r="E326" s="161" t="s">
        <v>590</v>
      </c>
      <c r="F326" s="167">
        <v>2.9980000000000002</v>
      </c>
      <c r="G326" s="161">
        <v>430</v>
      </c>
      <c r="H326" s="161">
        <v>110</v>
      </c>
      <c r="I326" s="161" t="s">
        <v>598</v>
      </c>
      <c r="J326" s="166">
        <v>2979</v>
      </c>
      <c r="K326" s="166">
        <v>6893</v>
      </c>
      <c r="L326" s="161">
        <v>3749</v>
      </c>
      <c r="M326" s="165" t="s">
        <v>589</v>
      </c>
      <c r="N326" s="164">
        <v>8.6</v>
      </c>
      <c r="O326" s="23">
        <f>IF(N326&gt;0,1/N326*37.7*68.6,"")</f>
        <v>300.72325581395353</v>
      </c>
      <c r="P326" s="163">
        <v>8.1199999999999992</v>
      </c>
      <c r="Q326" s="162" t="s">
        <v>588</v>
      </c>
      <c r="R326" s="161" t="s">
        <v>587</v>
      </c>
      <c r="S326" s="161" t="s">
        <v>586</v>
      </c>
      <c r="T326" s="160"/>
      <c r="U326" s="159"/>
      <c r="V326" s="158">
        <f>IFERROR(IF(N326&lt;P326,"",(ROUNDDOWN(N326/P326*100,0))),"")</f>
        <v>105</v>
      </c>
    </row>
    <row r="327" spans="1:22" ht="45" customHeight="1">
      <c r="A327" s="174"/>
      <c r="B327" s="173"/>
      <c r="C327" s="172"/>
      <c r="D327" s="168" t="s">
        <v>601</v>
      </c>
      <c r="E327" s="161" t="s">
        <v>590</v>
      </c>
      <c r="F327" s="167">
        <v>2.9980000000000002</v>
      </c>
      <c r="G327" s="161">
        <v>430</v>
      </c>
      <c r="H327" s="161">
        <v>129</v>
      </c>
      <c r="I327" s="161" t="s">
        <v>598</v>
      </c>
      <c r="J327" s="166">
        <v>2652</v>
      </c>
      <c r="K327" s="166">
        <v>5812</v>
      </c>
      <c r="L327" s="161">
        <v>2995</v>
      </c>
      <c r="M327" s="165" t="s">
        <v>589</v>
      </c>
      <c r="N327" s="164">
        <v>10</v>
      </c>
      <c r="O327" s="23">
        <f>IF(N327&gt;0,1/N327*37.7*68.6,"")</f>
        <v>258.62200000000001</v>
      </c>
      <c r="P327" s="163">
        <v>9.51</v>
      </c>
      <c r="Q327" s="162" t="s">
        <v>588</v>
      </c>
      <c r="R327" s="161" t="s">
        <v>587</v>
      </c>
      <c r="S327" s="161" t="s">
        <v>586</v>
      </c>
      <c r="T327" s="160"/>
      <c r="U327" s="159"/>
      <c r="V327" s="158">
        <f>IFERROR(IF(N327&lt;P327,"",(ROUNDDOWN(N327/P327*100,0))),"")</f>
        <v>105</v>
      </c>
    </row>
    <row r="328" spans="1:22" ht="45" customHeight="1">
      <c r="A328" s="174"/>
      <c r="B328" s="173"/>
      <c r="C328" s="172"/>
      <c r="D328" s="168" t="s">
        <v>601</v>
      </c>
      <c r="E328" s="161" t="s">
        <v>590</v>
      </c>
      <c r="F328" s="167">
        <v>2.9980000000000002</v>
      </c>
      <c r="G328" s="161">
        <v>430</v>
      </c>
      <c r="H328" s="161">
        <v>129</v>
      </c>
      <c r="I328" s="161" t="s">
        <v>71</v>
      </c>
      <c r="J328" s="166">
        <v>2979</v>
      </c>
      <c r="K328" s="166">
        <v>6893</v>
      </c>
      <c r="L328" s="161">
        <v>3749</v>
      </c>
      <c r="M328" s="165" t="s">
        <v>589</v>
      </c>
      <c r="N328" s="164">
        <v>8.6</v>
      </c>
      <c r="O328" s="23">
        <f>IF(N328&gt;0,1/N328*37.7*68.6,"")</f>
        <v>300.72325581395353</v>
      </c>
      <c r="P328" s="163">
        <v>8.1199999999999992</v>
      </c>
      <c r="Q328" s="162" t="s">
        <v>588</v>
      </c>
      <c r="R328" s="161" t="s">
        <v>587</v>
      </c>
      <c r="S328" s="161" t="s">
        <v>586</v>
      </c>
      <c r="T328" s="160"/>
      <c r="U328" s="159"/>
      <c r="V328" s="158">
        <f>IFERROR(IF(N328&lt;P328,"",(ROUNDDOWN(N328/P328*100,0))),"")</f>
        <v>105</v>
      </c>
    </row>
    <row r="329" spans="1:22" ht="45" customHeight="1">
      <c r="A329" s="174"/>
      <c r="B329" s="173"/>
      <c r="C329" s="172"/>
      <c r="D329" s="168" t="s">
        <v>601</v>
      </c>
      <c r="E329" s="161" t="s">
        <v>590</v>
      </c>
      <c r="F329" s="167">
        <v>2.9980000000000002</v>
      </c>
      <c r="G329" s="161">
        <v>430</v>
      </c>
      <c r="H329" s="161">
        <v>129</v>
      </c>
      <c r="I329" s="161" t="s">
        <v>70</v>
      </c>
      <c r="J329" s="166">
        <v>2979</v>
      </c>
      <c r="K329" s="166">
        <v>6893</v>
      </c>
      <c r="L329" s="161">
        <v>3749</v>
      </c>
      <c r="M329" s="165" t="s">
        <v>589</v>
      </c>
      <c r="N329" s="164">
        <v>8.6</v>
      </c>
      <c r="O329" s="23">
        <f>IF(N329&gt;0,1/N329*37.7*68.6,"")</f>
        <v>300.72325581395353</v>
      </c>
      <c r="P329" s="163">
        <v>8.1199999999999992</v>
      </c>
      <c r="Q329" s="162" t="s">
        <v>588</v>
      </c>
      <c r="R329" s="161" t="s">
        <v>587</v>
      </c>
      <c r="S329" s="161" t="s">
        <v>586</v>
      </c>
      <c r="T329" s="160"/>
      <c r="U329" s="159"/>
      <c r="V329" s="158">
        <f>IFERROR(IF(N329&lt;P329,"",(ROUNDDOWN(N329/P329*100,0))),"")</f>
        <v>105</v>
      </c>
    </row>
    <row r="330" spans="1:22" ht="45" customHeight="1">
      <c r="A330" s="174"/>
      <c r="B330" s="173"/>
      <c r="C330" s="172"/>
      <c r="D330" s="168" t="s">
        <v>600</v>
      </c>
      <c r="E330" s="161" t="s">
        <v>590</v>
      </c>
      <c r="F330" s="167">
        <v>2.9980000000000002</v>
      </c>
      <c r="G330" s="161">
        <v>430</v>
      </c>
      <c r="H330" s="161">
        <v>110</v>
      </c>
      <c r="I330" s="161" t="s">
        <v>598</v>
      </c>
      <c r="J330" s="166">
        <v>2356</v>
      </c>
      <c r="K330" s="166">
        <v>4521</v>
      </c>
      <c r="L330" s="161">
        <v>2000</v>
      </c>
      <c r="M330" s="165" t="s">
        <v>589</v>
      </c>
      <c r="N330" s="164">
        <v>11.6</v>
      </c>
      <c r="O330" s="23">
        <f>IF(N330&gt;0,1/N330*37.7*68.6,"")</f>
        <v>222.95000000000002</v>
      </c>
      <c r="P330" s="163">
        <v>10.35</v>
      </c>
      <c r="Q330" s="162" t="s">
        <v>588</v>
      </c>
      <c r="R330" s="161" t="s">
        <v>587</v>
      </c>
      <c r="S330" s="161" t="s">
        <v>586</v>
      </c>
      <c r="T330" s="160"/>
      <c r="U330" s="159"/>
      <c r="V330" s="158">
        <f>IFERROR(IF(N330&lt;P330,"",(ROUNDDOWN(N330/P330*100,0))),"")</f>
        <v>112</v>
      </c>
    </row>
    <row r="331" spans="1:22" ht="45" customHeight="1">
      <c r="A331" s="174"/>
      <c r="B331" s="173"/>
      <c r="C331" s="172"/>
      <c r="D331" s="168" t="s">
        <v>600</v>
      </c>
      <c r="E331" s="161" t="s">
        <v>590</v>
      </c>
      <c r="F331" s="167">
        <v>2.9980000000000002</v>
      </c>
      <c r="G331" s="161">
        <v>430</v>
      </c>
      <c r="H331" s="161">
        <v>110</v>
      </c>
      <c r="I331" s="161" t="s">
        <v>71</v>
      </c>
      <c r="J331" s="166">
        <v>2652</v>
      </c>
      <c r="K331" s="166">
        <v>5812</v>
      </c>
      <c r="L331" s="161">
        <v>2995</v>
      </c>
      <c r="M331" s="165" t="s">
        <v>589</v>
      </c>
      <c r="N331" s="164">
        <v>10.8</v>
      </c>
      <c r="O331" s="23">
        <f>IF(N331&gt;0,1/N331*37.7*68.6,"")</f>
        <v>239.46481481481482</v>
      </c>
      <c r="P331" s="163">
        <v>9.51</v>
      </c>
      <c r="Q331" s="162" t="s">
        <v>588</v>
      </c>
      <c r="R331" s="161" t="s">
        <v>587</v>
      </c>
      <c r="S331" s="161" t="s">
        <v>586</v>
      </c>
      <c r="T331" s="160"/>
      <c r="U331" s="159"/>
      <c r="V331" s="158">
        <f>IFERROR(IF(N331&lt;P331,"",(ROUNDDOWN(N331/P331*100,0))),"")</f>
        <v>113</v>
      </c>
    </row>
    <row r="332" spans="1:22" ht="45" customHeight="1">
      <c r="A332" s="174"/>
      <c r="B332" s="173"/>
      <c r="C332" s="172"/>
      <c r="D332" s="168" t="s">
        <v>600</v>
      </c>
      <c r="E332" s="161" t="s">
        <v>590</v>
      </c>
      <c r="F332" s="167">
        <v>2.9980000000000002</v>
      </c>
      <c r="G332" s="161">
        <v>430</v>
      </c>
      <c r="H332" s="161">
        <v>110</v>
      </c>
      <c r="I332" s="161" t="s">
        <v>70</v>
      </c>
      <c r="J332" s="166">
        <v>2652</v>
      </c>
      <c r="K332" s="166">
        <v>5812</v>
      </c>
      <c r="L332" s="161">
        <v>2995</v>
      </c>
      <c r="M332" s="165" t="s">
        <v>589</v>
      </c>
      <c r="N332" s="164">
        <v>10.6</v>
      </c>
      <c r="O332" s="23">
        <f>IF(N332&gt;0,1/N332*37.7*68.6,"")</f>
        <v>243.98301886792456</v>
      </c>
      <c r="P332" s="163">
        <v>9.51</v>
      </c>
      <c r="Q332" s="162" t="s">
        <v>588</v>
      </c>
      <c r="R332" s="161" t="s">
        <v>587</v>
      </c>
      <c r="S332" s="161" t="s">
        <v>586</v>
      </c>
      <c r="T332" s="160"/>
      <c r="U332" s="159"/>
      <c r="V332" s="158">
        <f>IFERROR(IF(N332&lt;P332,"",(ROUNDDOWN(N332/P332*100,0))),"")</f>
        <v>111</v>
      </c>
    </row>
    <row r="333" spans="1:22" ht="45" customHeight="1">
      <c r="A333" s="174"/>
      <c r="B333" s="173"/>
      <c r="C333" s="172"/>
      <c r="D333" s="168" t="s">
        <v>600</v>
      </c>
      <c r="E333" s="161" t="s">
        <v>590</v>
      </c>
      <c r="F333" s="167">
        <v>2.9980000000000002</v>
      </c>
      <c r="G333" s="161">
        <v>430</v>
      </c>
      <c r="H333" s="161">
        <v>110</v>
      </c>
      <c r="I333" s="161" t="s">
        <v>598</v>
      </c>
      <c r="J333" s="166">
        <v>2979</v>
      </c>
      <c r="K333" s="166">
        <v>6893</v>
      </c>
      <c r="L333" s="161">
        <v>3749</v>
      </c>
      <c r="M333" s="165" t="s">
        <v>589</v>
      </c>
      <c r="N333" s="164">
        <v>9</v>
      </c>
      <c r="O333" s="23">
        <f>IF(N333&gt;0,1/N333*37.7*68.6,"")</f>
        <v>287.35777777777776</v>
      </c>
      <c r="P333" s="163">
        <v>8.1199999999999992</v>
      </c>
      <c r="Q333" s="162" t="s">
        <v>588</v>
      </c>
      <c r="R333" s="161" t="s">
        <v>587</v>
      </c>
      <c r="S333" s="161" t="s">
        <v>586</v>
      </c>
      <c r="T333" s="160"/>
      <c r="U333" s="159"/>
      <c r="V333" s="158">
        <f>IFERROR(IF(N333&lt;P333,"",(ROUNDDOWN(N333/P333*100,0))),"")</f>
        <v>110</v>
      </c>
    </row>
    <row r="334" spans="1:22" ht="45" customHeight="1">
      <c r="A334" s="174"/>
      <c r="B334" s="173"/>
      <c r="C334" s="172"/>
      <c r="D334" s="168" t="s">
        <v>600</v>
      </c>
      <c r="E334" s="161" t="s">
        <v>590</v>
      </c>
      <c r="F334" s="167">
        <v>2.9980000000000002</v>
      </c>
      <c r="G334" s="161">
        <v>430</v>
      </c>
      <c r="H334" s="161">
        <v>129</v>
      </c>
      <c r="I334" s="161" t="s">
        <v>598</v>
      </c>
      <c r="J334" s="166">
        <v>2356</v>
      </c>
      <c r="K334" s="166">
        <v>4521</v>
      </c>
      <c r="L334" s="161">
        <v>2000</v>
      </c>
      <c r="M334" s="165" t="s">
        <v>589</v>
      </c>
      <c r="N334" s="164">
        <v>11.4</v>
      </c>
      <c r="O334" s="23">
        <f>IF(N334&gt;0,1/N334*37.7*68.6,"")</f>
        <v>226.8614035087719</v>
      </c>
      <c r="P334" s="163">
        <v>10.35</v>
      </c>
      <c r="Q334" s="162" t="s">
        <v>588</v>
      </c>
      <c r="R334" s="161" t="s">
        <v>587</v>
      </c>
      <c r="S334" s="161" t="s">
        <v>586</v>
      </c>
      <c r="T334" s="160"/>
      <c r="U334" s="159"/>
      <c r="V334" s="158">
        <f>IFERROR(IF(N334&lt;P334,"",(ROUNDDOWN(N334/P334*100,0))),"")</f>
        <v>110</v>
      </c>
    </row>
    <row r="335" spans="1:22" ht="45" customHeight="1">
      <c r="A335" s="174"/>
      <c r="B335" s="173"/>
      <c r="C335" s="172"/>
      <c r="D335" s="168" t="s">
        <v>600</v>
      </c>
      <c r="E335" s="161" t="s">
        <v>590</v>
      </c>
      <c r="F335" s="167">
        <v>2.9980000000000002</v>
      </c>
      <c r="G335" s="161">
        <v>430</v>
      </c>
      <c r="H335" s="161">
        <v>129</v>
      </c>
      <c r="I335" s="161" t="s">
        <v>598</v>
      </c>
      <c r="J335" s="166">
        <v>2652</v>
      </c>
      <c r="K335" s="166">
        <v>5812</v>
      </c>
      <c r="L335" s="161">
        <v>2995</v>
      </c>
      <c r="M335" s="165" t="s">
        <v>589</v>
      </c>
      <c r="N335" s="164">
        <v>10.6</v>
      </c>
      <c r="O335" s="23">
        <f>IF(N335&gt;0,1/N335*37.7*68.6,"")</f>
        <v>243.98301886792456</v>
      </c>
      <c r="P335" s="163">
        <v>9.51</v>
      </c>
      <c r="Q335" s="162" t="s">
        <v>588</v>
      </c>
      <c r="R335" s="161" t="s">
        <v>587</v>
      </c>
      <c r="S335" s="161" t="s">
        <v>586</v>
      </c>
      <c r="T335" s="160"/>
      <c r="U335" s="159"/>
      <c r="V335" s="158">
        <f>IFERROR(IF(N335&lt;P335,"",(ROUNDDOWN(N335/P335*100,0))),"")</f>
        <v>111</v>
      </c>
    </row>
    <row r="336" spans="1:22" ht="45" customHeight="1">
      <c r="A336" s="174"/>
      <c r="B336" s="173"/>
      <c r="C336" s="172"/>
      <c r="D336" s="168" t="s">
        <v>600</v>
      </c>
      <c r="E336" s="161" t="s">
        <v>590</v>
      </c>
      <c r="F336" s="167">
        <v>2.9980000000000002</v>
      </c>
      <c r="G336" s="161">
        <v>430</v>
      </c>
      <c r="H336" s="161">
        <v>129</v>
      </c>
      <c r="I336" s="161" t="s">
        <v>71</v>
      </c>
      <c r="J336" s="166">
        <v>2979</v>
      </c>
      <c r="K336" s="166">
        <v>6893</v>
      </c>
      <c r="L336" s="161">
        <v>3749</v>
      </c>
      <c r="M336" s="165" t="s">
        <v>589</v>
      </c>
      <c r="N336" s="164">
        <v>9</v>
      </c>
      <c r="O336" s="23">
        <f>IF(N336&gt;0,1/N336*37.7*68.6,"")</f>
        <v>287.35777777777776</v>
      </c>
      <c r="P336" s="163">
        <v>8.1199999999999992</v>
      </c>
      <c r="Q336" s="162" t="s">
        <v>588</v>
      </c>
      <c r="R336" s="161" t="s">
        <v>587</v>
      </c>
      <c r="S336" s="161" t="s">
        <v>586</v>
      </c>
      <c r="T336" s="160"/>
      <c r="U336" s="159"/>
      <c r="V336" s="158">
        <f>IFERROR(IF(N336&lt;P336,"",(ROUNDDOWN(N336/P336*100,0))),"")</f>
        <v>110</v>
      </c>
    </row>
    <row r="337" spans="1:22" ht="45" customHeight="1">
      <c r="A337" s="174"/>
      <c r="B337" s="173"/>
      <c r="C337" s="172"/>
      <c r="D337" s="168" t="s">
        <v>600</v>
      </c>
      <c r="E337" s="161" t="s">
        <v>590</v>
      </c>
      <c r="F337" s="167">
        <v>2.9980000000000002</v>
      </c>
      <c r="G337" s="161">
        <v>430</v>
      </c>
      <c r="H337" s="161">
        <v>110</v>
      </c>
      <c r="I337" s="161" t="s">
        <v>598</v>
      </c>
      <c r="J337" s="166">
        <v>2356</v>
      </c>
      <c r="K337" s="166">
        <v>4521</v>
      </c>
      <c r="L337" s="161">
        <v>2000</v>
      </c>
      <c r="M337" s="165" t="s">
        <v>589</v>
      </c>
      <c r="N337" s="164">
        <v>11.4</v>
      </c>
      <c r="O337" s="23">
        <f>IF(N337&gt;0,1/N337*37.7*68.6,"")</f>
        <v>226.8614035087719</v>
      </c>
      <c r="P337" s="163">
        <v>10.35</v>
      </c>
      <c r="Q337" s="162" t="s">
        <v>588</v>
      </c>
      <c r="R337" s="161" t="s">
        <v>587</v>
      </c>
      <c r="S337" s="161" t="s">
        <v>586</v>
      </c>
      <c r="T337" s="160"/>
      <c r="U337" s="159"/>
      <c r="V337" s="158">
        <f>IFERROR(IF(N337&lt;P337,"",(ROUNDDOWN(N337/P337*100,0))),"")</f>
        <v>110</v>
      </c>
    </row>
    <row r="338" spans="1:22" ht="45" customHeight="1">
      <c r="A338" s="174"/>
      <c r="B338" s="173"/>
      <c r="C338" s="172"/>
      <c r="D338" s="168" t="s">
        <v>600</v>
      </c>
      <c r="E338" s="161" t="s">
        <v>590</v>
      </c>
      <c r="F338" s="167">
        <v>2.9980000000000002</v>
      </c>
      <c r="G338" s="161">
        <v>430</v>
      </c>
      <c r="H338" s="161">
        <v>110</v>
      </c>
      <c r="I338" s="161" t="s">
        <v>71</v>
      </c>
      <c r="J338" s="166">
        <v>2652</v>
      </c>
      <c r="K338" s="166">
        <v>5812</v>
      </c>
      <c r="L338" s="161">
        <v>2995</v>
      </c>
      <c r="M338" s="165" t="s">
        <v>589</v>
      </c>
      <c r="N338" s="164">
        <v>10.6</v>
      </c>
      <c r="O338" s="23">
        <f>IF(N338&gt;0,1/N338*37.7*68.6,"")</f>
        <v>243.98301886792456</v>
      </c>
      <c r="P338" s="163">
        <v>9.51</v>
      </c>
      <c r="Q338" s="162" t="s">
        <v>588</v>
      </c>
      <c r="R338" s="161" t="s">
        <v>587</v>
      </c>
      <c r="S338" s="161" t="s">
        <v>586</v>
      </c>
      <c r="T338" s="160"/>
      <c r="U338" s="159"/>
      <c r="V338" s="158">
        <f>IFERROR(IF(N338&lt;P338,"",(ROUNDDOWN(N338/P338*100,0))),"")</f>
        <v>111</v>
      </c>
    </row>
    <row r="339" spans="1:22" ht="45" customHeight="1">
      <c r="A339" s="174"/>
      <c r="B339" s="173"/>
      <c r="C339" s="172"/>
      <c r="D339" s="168" t="s">
        <v>599</v>
      </c>
      <c r="E339" s="161" t="s">
        <v>590</v>
      </c>
      <c r="F339" s="167">
        <v>2.9980000000000002</v>
      </c>
      <c r="G339" s="161">
        <v>430</v>
      </c>
      <c r="H339" s="161">
        <v>110</v>
      </c>
      <c r="I339" s="161" t="s">
        <v>71</v>
      </c>
      <c r="J339" s="166">
        <v>2979</v>
      </c>
      <c r="K339" s="166">
        <v>6893</v>
      </c>
      <c r="L339" s="161">
        <v>3749</v>
      </c>
      <c r="M339" s="165" t="s">
        <v>589</v>
      </c>
      <c r="N339" s="164">
        <v>8.8000000000000007</v>
      </c>
      <c r="O339" s="23">
        <f>IF(N339&gt;0,1/N339*37.7*68.6,"")</f>
        <v>293.88863636363635</v>
      </c>
      <c r="P339" s="163">
        <v>8.1199999999999992</v>
      </c>
      <c r="Q339" s="162" t="s">
        <v>593</v>
      </c>
      <c r="R339" s="161" t="s">
        <v>587</v>
      </c>
      <c r="S339" s="161" t="s">
        <v>586</v>
      </c>
      <c r="T339" s="160"/>
      <c r="U339" s="159"/>
      <c r="V339" s="158">
        <f>IFERROR(IF(N339&lt;P339,"",(ROUNDDOWN(N339/P339*100,0))),"")</f>
        <v>108</v>
      </c>
    </row>
    <row r="340" spans="1:22" ht="45" customHeight="1">
      <c r="A340" s="174"/>
      <c r="B340" s="173"/>
      <c r="C340" s="172"/>
      <c r="D340" s="168" t="s">
        <v>599</v>
      </c>
      <c r="E340" s="161" t="s">
        <v>590</v>
      </c>
      <c r="F340" s="167">
        <v>2.9980000000000002</v>
      </c>
      <c r="G340" s="161">
        <v>430</v>
      </c>
      <c r="H340" s="161">
        <v>110</v>
      </c>
      <c r="I340" s="161" t="s">
        <v>70</v>
      </c>
      <c r="J340" s="166">
        <v>2979</v>
      </c>
      <c r="K340" s="166">
        <v>6893</v>
      </c>
      <c r="L340" s="161">
        <v>3749</v>
      </c>
      <c r="M340" s="165" t="s">
        <v>589</v>
      </c>
      <c r="N340" s="164">
        <v>8.6999999999999993</v>
      </c>
      <c r="O340" s="23">
        <f>IF(N340&gt;0,1/N340*37.7*68.6,"")</f>
        <v>297.26666666666671</v>
      </c>
      <c r="P340" s="163">
        <v>8.1199999999999992</v>
      </c>
      <c r="Q340" s="162" t="s">
        <v>593</v>
      </c>
      <c r="R340" s="161" t="s">
        <v>587</v>
      </c>
      <c r="S340" s="161" t="s">
        <v>586</v>
      </c>
      <c r="T340" s="160"/>
      <c r="U340" s="159"/>
      <c r="V340" s="158">
        <f>IFERROR(IF(N340&lt;P340,"",(ROUNDDOWN(N340/P340*100,0))),"")</f>
        <v>107</v>
      </c>
    </row>
    <row r="341" spans="1:22" ht="45" customHeight="1">
      <c r="A341" s="174"/>
      <c r="B341" s="173"/>
      <c r="C341" s="172"/>
      <c r="D341" s="168" t="s">
        <v>599</v>
      </c>
      <c r="E341" s="161" t="s">
        <v>590</v>
      </c>
      <c r="F341" s="167">
        <v>2.9980000000000002</v>
      </c>
      <c r="G341" s="161">
        <v>430</v>
      </c>
      <c r="H341" s="161">
        <v>129</v>
      </c>
      <c r="I341" s="161" t="s">
        <v>71</v>
      </c>
      <c r="J341" s="166">
        <v>2979</v>
      </c>
      <c r="K341" s="166">
        <v>6893</v>
      </c>
      <c r="L341" s="161">
        <v>3749</v>
      </c>
      <c r="M341" s="165" t="s">
        <v>589</v>
      </c>
      <c r="N341" s="164">
        <v>8.6999999999999993</v>
      </c>
      <c r="O341" s="23">
        <f>IF(N341&gt;0,1/N341*37.7*68.6,"")</f>
        <v>297.26666666666671</v>
      </c>
      <c r="P341" s="163">
        <v>8.1199999999999992</v>
      </c>
      <c r="Q341" s="162" t="s">
        <v>593</v>
      </c>
      <c r="R341" s="161" t="s">
        <v>587</v>
      </c>
      <c r="S341" s="161" t="s">
        <v>586</v>
      </c>
      <c r="T341" s="160"/>
      <c r="U341" s="159"/>
      <c r="V341" s="158">
        <f>IFERROR(IF(N341&lt;P341,"",(ROUNDDOWN(N341/P341*100,0))),"")</f>
        <v>107</v>
      </c>
    </row>
    <row r="342" spans="1:22" ht="45" customHeight="1">
      <c r="A342" s="174"/>
      <c r="B342" s="173"/>
      <c r="C342" s="172"/>
      <c r="D342" s="168" t="s">
        <v>599</v>
      </c>
      <c r="E342" s="161" t="s">
        <v>590</v>
      </c>
      <c r="F342" s="167">
        <v>2.9980000000000002</v>
      </c>
      <c r="G342" s="161">
        <v>430</v>
      </c>
      <c r="H342" s="161">
        <v>129</v>
      </c>
      <c r="I342" s="161" t="s">
        <v>70</v>
      </c>
      <c r="J342" s="166">
        <v>2979</v>
      </c>
      <c r="K342" s="166">
        <v>6893</v>
      </c>
      <c r="L342" s="161">
        <v>3749</v>
      </c>
      <c r="M342" s="165" t="s">
        <v>589</v>
      </c>
      <c r="N342" s="164">
        <v>8.6</v>
      </c>
      <c r="O342" s="23">
        <f>IF(N342&gt;0,1/N342*37.7*68.6,"")</f>
        <v>300.72325581395353</v>
      </c>
      <c r="P342" s="163">
        <v>8.1199999999999992</v>
      </c>
      <c r="Q342" s="162" t="s">
        <v>593</v>
      </c>
      <c r="R342" s="161" t="s">
        <v>587</v>
      </c>
      <c r="S342" s="161" t="s">
        <v>586</v>
      </c>
      <c r="T342" s="160"/>
      <c r="U342" s="159"/>
      <c r="V342" s="158">
        <f>IFERROR(IF(N342&lt;P342,"",(ROUNDDOWN(N342/P342*100,0))),"")</f>
        <v>105</v>
      </c>
    </row>
    <row r="343" spans="1:22" ht="45" customHeight="1">
      <c r="A343" s="174"/>
      <c r="B343" s="173"/>
      <c r="C343" s="172"/>
      <c r="D343" s="168" t="s">
        <v>599</v>
      </c>
      <c r="E343" s="161" t="s">
        <v>590</v>
      </c>
      <c r="F343" s="167">
        <v>2.9980000000000002</v>
      </c>
      <c r="G343" s="161">
        <v>430</v>
      </c>
      <c r="H343" s="161">
        <v>110</v>
      </c>
      <c r="I343" s="161" t="s">
        <v>598</v>
      </c>
      <c r="J343" s="166">
        <v>2979</v>
      </c>
      <c r="K343" s="166">
        <v>6893</v>
      </c>
      <c r="L343" s="161">
        <v>3749</v>
      </c>
      <c r="M343" s="165" t="s">
        <v>589</v>
      </c>
      <c r="N343" s="164">
        <v>8.6</v>
      </c>
      <c r="O343" s="23">
        <f>IF(N343&gt;0,1/N343*37.7*68.6,"")</f>
        <v>300.72325581395353</v>
      </c>
      <c r="P343" s="163">
        <v>8.1199999999999992</v>
      </c>
      <c r="Q343" s="162" t="s">
        <v>588</v>
      </c>
      <c r="R343" s="161" t="s">
        <v>587</v>
      </c>
      <c r="S343" s="161" t="s">
        <v>586</v>
      </c>
      <c r="T343" s="160"/>
      <c r="U343" s="159"/>
      <c r="V343" s="158">
        <f>IFERROR(IF(N343&lt;P343,"",(ROUNDDOWN(N343/P343*100,0))),"")</f>
        <v>105</v>
      </c>
    </row>
    <row r="344" spans="1:22" ht="45" customHeight="1">
      <c r="A344" s="174"/>
      <c r="B344" s="173"/>
      <c r="C344" s="172"/>
      <c r="D344" s="168" t="s">
        <v>599</v>
      </c>
      <c r="E344" s="161" t="s">
        <v>590</v>
      </c>
      <c r="F344" s="167">
        <v>2.9980000000000002</v>
      </c>
      <c r="G344" s="161">
        <v>430</v>
      </c>
      <c r="H344" s="161">
        <v>129</v>
      </c>
      <c r="I344" s="161" t="s">
        <v>71</v>
      </c>
      <c r="J344" s="166">
        <v>2979</v>
      </c>
      <c r="K344" s="166">
        <v>6893</v>
      </c>
      <c r="L344" s="161">
        <v>3749</v>
      </c>
      <c r="M344" s="165" t="s">
        <v>589</v>
      </c>
      <c r="N344" s="164">
        <v>8.6</v>
      </c>
      <c r="O344" s="23">
        <f>IF(N344&gt;0,1/N344*37.7*68.6,"")</f>
        <v>300.72325581395353</v>
      </c>
      <c r="P344" s="163">
        <v>8.1199999999999992</v>
      </c>
      <c r="Q344" s="162" t="s">
        <v>588</v>
      </c>
      <c r="R344" s="161" t="s">
        <v>587</v>
      </c>
      <c r="S344" s="161" t="s">
        <v>586</v>
      </c>
      <c r="T344" s="160"/>
      <c r="U344" s="159"/>
      <c r="V344" s="158">
        <f>IFERROR(IF(N344&lt;P344,"",(ROUNDDOWN(N344/P344*100,0))),"")</f>
        <v>105</v>
      </c>
    </row>
    <row r="345" spans="1:22" ht="45" customHeight="1">
      <c r="A345" s="174"/>
      <c r="B345" s="173"/>
      <c r="C345" s="172"/>
      <c r="D345" s="168" t="s">
        <v>597</v>
      </c>
      <c r="E345" s="161" t="s">
        <v>590</v>
      </c>
      <c r="F345" s="167">
        <v>2.9980000000000002</v>
      </c>
      <c r="G345" s="161">
        <v>430</v>
      </c>
      <c r="H345" s="161">
        <v>110</v>
      </c>
      <c r="I345" s="161" t="s">
        <v>598</v>
      </c>
      <c r="J345" s="166">
        <v>2979</v>
      </c>
      <c r="K345" s="166">
        <v>6893</v>
      </c>
      <c r="L345" s="161">
        <v>3749</v>
      </c>
      <c r="M345" s="165" t="s">
        <v>589</v>
      </c>
      <c r="N345" s="164">
        <v>9</v>
      </c>
      <c r="O345" s="23">
        <f>IF(N345&gt;0,1/N345*37.7*68.6,"")</f>
        <v>287.35777777777776</v>
      </c>
      <c r="P345" s="163">
        <v>8.1199999999999992</v>
      </c>
      <c r="Q345" s="162" t="s">
        <v>588</v>
      </c>
      <c r="R345" s="161" t="s">
        <v>587</v>
      </c>
      <c r="S345" s="161" t="s">
        <v>586</v>
      </c>
      <c r="T345" s="160"/>
      <c r="U345" s="159"/>
      <c r="V345" s="158">
        <f>IFERROR(IF(N345&lt;P345,"",(ROUNDDOWN(N345/P345*100,0))),"")</f>
        <v>110</v>
      </c>
    </row>
    <row r="346" spans="1:22" ht="45" customHeight="1">
      <c r="A346" s="174"/>
      <c r="B346" s="173"/>
      <c r="C346" s="172"/>
      <c r="D346" s="168" t="s">
        <v>597</v>
      </c>
      <c r="E346" s="161" t="s">
        <v>590</v>
      </c>
      <c r="F346" s="167">
        <v>2.9980000000000002</v>
      </c>
      <c r="G346" s="161">
        <v>430</v>
      </c>
      <c r="H346" s="161">
        <v>129</v>
      </c>
      <c r="I346" s="161" t="s">
        <v>71</v>
      </c>
      <c r="J346" s="166">
        <v>2979</v>
      </c>
      <c r="K346" s="166">
        <v>6893</v>
      </c>
      <c r="L346" s="161">
        <v>3749</v>
      </c>
      <c r="M346" s="165" t="s">
        <v>589</v>
      </c>
      <c r="N346" s="164">
        <v>9</v>
      </c>
      <c r="O346" s="23">
        <f>IF(N346&gt;0,1/N346*37.7*68.6,"")</f>
        <v>287.35777777777776</v>
      </c>
      <c r="P346" s="163">
        <v>8.1199999999999992</v>
      </c>
      <c r="Q346" s="162" t="s">
        <v>588</v>
      </c>
      <c r="R346" s="161" t="s">
        <v>587</v>
      </c>
      <c r="S346" s="161" t="s">
        <v>586</v>
      </c>
      <c r="T346" s="160"/>
      <c r="U346" s="159"/>
      <c r="V346" s="158">
        <f>IFERROR(IF(N346&lt;P346,"",(ROUNDDOWN(N346/P346*100,0))),"")</f>
        <v>110</v>
      </c>
    </row>
    <row r="347" spans="1:22" ht="45" customHeight="1">
      <c r="A347" s="174"/>
      <c r="B347" s="173"/>
      <c r="C347" s="172"/>
      <c r="D347" s="168" t="s">
        <v>596</v>
      </c>
      <c r="E347" s="161" t="s">
        <v>590</v>
      </c>
      <c r="F347" s="167">
        <v>2.9980000000000002</v>
      </c>
      <c r="G347" s="161">
        <v>430</v>
      </c>
      <c r="H347" s="161">
        <v>129</v>
      </c>
      <c r="I347" s="161" t="s">
        <v>71</v>
      </c>
      <c r="J347" s="166">
        <v>2979</v>
      </c>
      <c r="K347" s="166">
        <v>6893</v>
      </c>
      <c r="L347" s="161">
        <v>3749</v>
      </c>
      <c r="M347" s="165" t="s">
        <v>589</v>
      </c>
      <c r="N347" s="164">
        <v>8.6999999999999993</v>
      </c>
      <c r="O347" s="23">
        <f>IF(N347&gt;0,1/N347*37.7*68.6,"")</f>
        <v>297.26666666666671</v>
      </c>
      <c r="P347" s="163">
        <v>8.1199999999999992</v>
      </c>
      <c r="Q347" s="162" t="s">
        <v>593</v>
      </c>
      <c r="R347" s="161" t="s">
        <v>587</v>
      </c>
      <c r="S347" s="161" t="s">
        <v>586</v>
      </c>
      <c r="T347" s="160"/>
      <c r="U347" s="159"/>
      <c r="V347" s="158">
        <f>IFERROR(IF(N347&lt;P347,"",(ROUNDDOWN(N347/P347*100,0))),"")</f>
        <v>107</v>
      </c>
    </row>
    <row r="348" spans="1:22" ht="45" customHeight="1">
      <c r="A348" s="174"/>
      <c r="B348" s="173"/>
      <c r="C348" s="172"/>
      <c r="D348" s="168" t="s">
        <v>596</v>
      </c>
      <c r="E348" s="161" t="s">
        <v>590</v>
      </c>
      <c r="F348" s="167">
        <v>2.9980000000000002</v>
      </c>
      <c r="G348" s="161">
        <v>430</v>
      </c>
      <c r="H348" s="161">
        <v>129</v>
      </c>
      <c r="I348" s="161" t="s">
        <v>70</v>
      </c>
      <c r="J348" s="166">
        <v>2979</v>
      </c>
      <c r="K348" s="166">
        <v>6893</v>
      </c>
      <c r="L348" s="161">
        <v>3749</v>
      </c>
      <c r="M348" s="165" t="s">
        <v>589</v>
      </c>
      <c r="N348" s="164">
        <v>8.6</v>
      </c>
      <c r="O348" s="23">
        <f>IF(N348&gt;0,1/N348*37.7*68.6,"")</f>
        <v>300.72325581395353</v>
      </c>
      <c r="P348" s="163">
        <v>8.1199999999999992</v>
      </c>
      <c r="Q348" s="162" t="s">
        <v>593</v>
      </c>
      <c r="R348" s="161" t="s">
        <v>587</v>
      </c>
      <c r="S348" s="161" t="s">
        <v>586</v>
      </c>
      <c r="T348" s="160"/>
      <c r="U348" s="159"/>
      <c r="V348" s="158">
        <f>IFERROR(IF(N348&lt;P348,"",(ROUNDDOWN(N348/P348*100,0))),"")</f>
        <v>105</v>
      </c>
    </row>
    <row r="349" spans="1:22" ht="45" customHeight="1">
      <c r="A349" s="174"/>
      <c r="B349" s="173"/>
      <c r="C349" s="172"/>
      <c r="D349" s="168" t="s">
        <v>596</v>
      </c>
      <c r="E349" s="161" t="s">
        <v>590</v>
      </c>
      <c r="F349" s="167">
        <v>2.9980000000000002</v>
      </c>
      <c r="G349" s="161">
        <v>430</v>
      </c>
      <c r="H349" s="161">
        <v>129</v>
      </c>
      <c r="I349" s="161" t="s">
        <v>71</v>
      </c>
      <c r="J349" s="166">
        <v>2979</v>
      </c>
      <c r="K349" s="166">
        <v>6893</v>
      </c>
      <c r="L349" s="161">
        <v>3749</v>
      </c>
      <c r="M349" s="165" t="s">
        <v>589</v>
      </c>
      <c r="N349" s="164">
        <v>8.6</v>
      </c>
      <c r="O349" s="23">
        <f>IF(N349&gt;0,1/N349*37.7*68.6,"")</f>
        <v>300.72325581395353</v>
      </c>
      <c r="P349" s="163">
        <v>8.1199999999999992</v>
      </c>
      <c r="Q349" s="162" t="s">
        <v>588</v>
      </c>
      <c r="R349" s="161" t="s">
        <v>587</v>
      </c>
      <c r="S349" s="161" t="s">
        <v>586</v>
      </c>
      <c r="T349" s="160"/>
      <c r="U349" s="159"/>
      <c r="V349" s="158">
        <f>IFERROR(IF(N349&lt;P349,"",(ROUNDDOWN(N349/P349*100,0))),"")</f>
        <v>105</v>
      </c>
    </row>
    <row r="350" spans="1:22" ht="45" customHeight="1">
      <c r="A350" s="174"/>
      <c r="B350" s="173"/>
      <c r="C350" s="172"/>
      <c r="D350" s="168" t="s">
        <v>596</v>
      </c>
      <c r="E350" s="161" t="s">
        <v>590</v>
      </c>
      <c r="F350" s="167">
        <v>2.9980000000000002</v>
      </c>
      <c r="G350" s="161">
        <v>430</v>
      </c>
      <c r="H350" s="161">
        <v>129</v>
      </c>
      <c r="I350" s="161" t="s">
        <v>70</v>
      </c>
      <c r="J350" s="166">
        <v>2979</v>
      </c>
      <c r="K350" s="166">
        <v>6893</v>
      </c>
      <c r="L350" s="161">
        <v>3749</v>
      </c>
      <c r="M350" s="165" t="s">
        <v>589</v>
      </c>
      <c r="N350" s="164">
        <v>8.6</v>
      </c>
      <c r="O350" s="23">
        <f>IF(N350&gt;0,1/N350*37.7*68.6,"")</f>
        <v>300.72325581395353</v>
      </c>
      <c r="P350" s="163">
        <v>8.1199999999999992</v>
      </c>
      <c r="Q350" s="162" t="s">
        <v>588</v>
      </c>
      <c r="R350" s="161" t="s">
        <v>587</v>
      </c>
      <c r="S350" s="161" t="s">
        <v>586</v>
      </c>
      <c r="T350" s="160"/>
      <c r="U350" s="159"/>
      <c r="V350" s="158">
        <f>IFERROR(IF(N350&lt;P350,"",(ROUNDDOWN(N350/P350*100,0))),"")</f>
        <v>105</v>
      </c>
    </row>
    <row r="351" spans="1:22" ht="45" customHeight="1">
      <c r="A351" s="174"/>
      <c r="B351" s="173"/>
      <c r="C351" s="172"/>
      <c r="D351" s="168" t="s">
        <v>595</v>
      </c>
      <c r="E351" s="161" t="s">
        <v>590</v>
      </c>
      <c r="F351" s="167">
        <v>2.9980000000000002</v>
      </c>
      <c r="G351" s="161">
        <v>430</v>
      </c>
      <c r="H351" s="161">
        <v>129</v>
      </c>
      <c r="I351" s="161" t="s">
        <v>71</v>
      </c>
      <c r="J351" s="166">
        <v>2979</v>
      </c>
      <c r="K351" s="166">
        <v>6893</v>
      </c>
      <c r="L351" s="161">
        <v>3749</v>
      </c>
      <c r="M351" s="165" t="s">
        <v>589</v>
      </c>
      <c r="N351" s="164">
        <v>9</v>
      </c>
      <c r="O351" s="23">
        <f>IF(N351&gt;0,1/N351*37.7*68.6,"")</f>
        <v>287.35777777777776</v>
      </c>
      <c r="P351" s="163">
        <v>8.1199999999999992</v>
      </c>
      <c r="Q351" s="162" t="s">
        <v>588</v>
      </c>
      <c r="R351" s="161" t="s">
        <v>587</v>
      </c>
      <c r="S351" s="161" t="s">
        <v>586</v>
      </c>
      <c r="T351" s="160"/>
      <c r="U351" s="159"/>
      <c r="V351" s="158">
        <f>IFERROR(IF(N351&lt;P351,"",(ROUNDDOWN(N351/P351*100,0))),"")</f>
        <v>110</v>
      </c>
    </row>
    <row r="352" spans="1:22" ht="45" customHeight="1">
      <c r="A352" s="174"/>
      <c r="B352" s="173"/>
      <c r="C352" s="172"/>
      <c r="D352" s="168" t="s">
        <v>594</v>
      </c>
      <c r="E352" s="161" t="s">
        <v>590</v>
      </c>
      <c r="F352" s="167">
        <v>2.9980000000000002</v>
      </c>
      <c r="G352" s="161">
        <v>430</v>
      </c>
      <c r="H352" s="161">
        <v>129</v>
      </c>
      <c r="I352" s="161" t="s">
        <v>71</v>
      </c>
      <c r="J352" s="166">
        <v>2979</v>
      </c>
      <c r="K352" s="166">
        <v>6893</v>
      </c>
      <c r="L352" s="161">
        <v>3749</v>
      </c>
      <c r="M352" s="165" t="s">
        <v>589</v>
      </c>
      <c r="N352" s="164">
        <v>8.6999999999999993</v>
      </c>
      <c r="O352" s="23">
        <f>IF(N352&gt;0,1/N352*37.7*68.6,"")</f>
        <v>297.26666666666671</v>
      </c>
      <c r="P352" s="163">
        <v>8.1199999999999992</v>
      </c>
      <c r="Q352" s="162" t="s">
        <v>593</v>
      </c>
      <c r="R352" s="161" t="s">
        <v>587</v>
      </c>
      <c r="S352" s="161" t="s">
        <v>586</v>
      </c>
      <c r="T352" s="160"/>
      <c r="U352" s="159"/>
      <c r="V352" s="158">
        <f>IFERROR(IF(N352&lt;P352,"",(ROUNDDOWN(N352/P352*100,0))),"")</f>
        <v>107</v>
      </c>
    </row>
    <row r="353" spans="1:22" ht="45" customHeight="1">
      <c r="A353" s="174"/>
      <c r="B353" s="173"/>
      <c r="C353" s="172"/>
      <c r="D353" s="168" t="s">
        <v>594</v>
      </c>
      <c r="E353" s="161" t="s">
        <v>590</v>
      </c>
      <c r="F353" s="167">
        <v>2.9980000000000002</v>
      </c>
      <c r="G353" s="161">
        <v>430</v>
      </c>
      <c r="H353" s="161">
        <v>129</v>
      </c>
      <c r="I353" s="161" t="s">
        <v>70</v>
      </c>
      <c r="J353" s="166">
        <v>2979</v>
      </c>
      <c r="K353" s="166">
        <v>6893</v>
      </c>
      <c r="L353" s="161">
        <v>3749</v>
      </c>
      <c r="M353" s="165" t="s">
        <v>589</v>
      </c>
      <c r="N353" s="164">
        <v>8.6</v>
      </c>
      <c r="O353" s="23">
        <f>IF(N353&gt;0,1/N353*37.7*68.6,"")</f>
        <v>300.72325581395353</v>
      </c>
      <c r="P353" s="163">
        <v>8.1199999999999992</v>
      </c>
      <c r="Q353" s="162" t="s">
        <v>593</v>
      </c>
      <c r="R353" s="161" t="s">
        <v>587</v>
      </c>
      <c r="S353" s="161" t="s">
        <v>586</v>
      </c>
      <c r="T353" s="160"/>
      <c r="U353" s="159"/>
      <c r="V353" s="158">
        <f>IFERROR(IF(N353&lt;P353,"",(ROUNDDOWN(N353/P353*100,0))),"")</f>
        <v>105</v>
      </c>
    </row>
    <row r="354" spans="1:22" ht="45" customHeight="1">
      <c r="A354" s="174"/>
      <c r="B354" s="173"/>
      <c r="C354" s="172"/>
      <c r="D354" s="168" t="s">
        <v>594</v>
      </c>
      <c r="E354" s="161" t="s">
        <v>590</v>
      </c>
      <c r="F354" s="167">
        <v>2.9980000000000002</v>
      </c>
      <c r="G354" s="161">
        <v>430</v>
      </c>
      <c r="H354" s="161">
        <v>129</v>
      </c>
      <c r="I354" s="161" t="s">
        <v>71</v>
      </c>
      <c r="J354" s="166">
        <v>2979</v>
      </c>
      <c r="K354" s="166">
        <v>6893</v>
      </c>
      <c r="L354" s="161">
        <v>3749</v>
      </c>
      <c r="M354" s="165" t="s">
        <v>589</v>
      </c>
      <c r="N354" s="164">
        <v>8.6</v>
      </c>
      <c r="O354" s="23">
        <f>IF(N354&gt;0,1/N354*37.7*68.6,"")</f>
        <v>300.72325581395353</v>
      </c>
      <c r="P354" s="163">
        <v>8.1199999999999992</v>
      </c>
      <c r="Q354" s="162" t="s">
        <v>593</v>
      </c>
      <c r="R354" s="161" t="s">
        <v>587</v>
      </c>
      <c r="S354" s="161" t="s">
        <v>586</v>
      </c>
      <c r="T354" s="160"/>
      <c r="U354" s="159"/>
      <c r="V354" s="158">
        <f>IFERROR(IF(N354&lt;P354,"",(ROUNDDOWN(N354/P354*100,0))),"")</f>
        <v>105</v>
      </c>
    </row>
    <row r="355" spans="1:22" ht="45" customHeight="1">
      <c r="A355" s="174"/>
      <c r="B355" s="173"/>
      <c r="C355" s="172"/>
      <c r="D355" s="168" t="s">
        <v>592</v>
      </c>
      <c r="E355" s="161" t="s">
        <v>590</v>
      </c>
      <c r="F355" s="167">
        <v>2.9980000000000002</v>
      </c>
      <c r="G355" s="161">
        <v>430</v>
      </c>
      <c r="H355" s="161">
        <v>129</v>
      </c>
      <c r="I355" s="161" t="s">
        <v>71</v>
      </c>
      <c r="J355" s="166">
        <v>2979</v>
      </c>
      <c r="K355" s="166">
        <v>6893</v>
      </c>
      <c r="L355" s="161">
        <v>3749</v>
      </c>
      <c r="M355" s="165" t="s">
        <v>589</v>
      </c>
      <c r="N355" s="164">
        <v>8.6999999999999993</v>
      </c>
      <c r="O355" s="23">
        <f>IF(N355&gt;0,1/N355*37.7*68.6,"")</f>
        <v>297.26666666666671</v>
      </c>
      <c r="P355" s="163">
        <v>8.1199999999999992</v>
      </c>
      <c r="Q355" s="162" t="s">
        <v>593</v>
      </c>
      <c r="R355" s="161" t="s">
        <v>587</v>
      </c>
      <c r="S355" s="161" t="s">
        <v>586</v>
      </c>
      <c r="T355" s="160"/>
      <c r="U355" s="159"/>
      <c r="V355" s="158">
        <f>IFERROR(IF(N355&lt;P355,"",(ROUNDDOWN(N355/P355*100,0))),"")</f>
        <v>107</v>
      </c>
    </row>
    <row r="356" spans="1:22" ht="45" customHeight="1">
      <c r="A356" s="174"/>
      <c r="B356" s="173"/>
      <c r="C356" s="172"/>
      <c r="D356" s="168" t="s">
        <v>592</v>
      </c>
      <c r="E356" s="161" t="s">
        <v>590</v>
      </c>
      <c r="F356" s="167">
        <v>2.9980000000000002</v>
      </c>
      <c r="G356" s="161">
        <v>430</v>
      </c>
      <c r="H356" s="161">
        <v>129</v>
      </c>
      <c r="I356" s="161" t="s">
        <v>70</v>
      </c>
      <c r="J356" s="166">
        <v>2979</v>
      </c>
      <c r="K356" s="166">
        <v>6893</v>
      </c>
      <c r="L356" s="161">
        <v>3749</v>
      </c>
      <c r="M356" s="165" t="s">
        <v>589</v>
      </c>
      <c r="N356" s="164">
        <v>8.6</v>
      </c>
      <c r="O356" s="23">
        <f>IF(N356&gt;0,1/N356*37.7*68.6,"")</f>
        <v>300.72325581395353</v>
      </c>
      <c r="P356" s="163">
        <v>8.1199999999999992</v>
      </c>
      <c r="Q356" s="162" t="s">
        <v>593</v>
      </c>
      <c r="R356" s="161" t="s">
        <v>587</v>
      </c>
      <c r="S356" s="161" t="s">
        <v>586</v>
      </c>
      <c r="T356" s="160"/>
      <c r="U356" s="159"/>
      <c r="V356" s="158">
        <f>IFERROR(IF(N356&lt;P356,"",(ROUNDDOWN(N356/P356*100,0))),"")</f>
        <v>105</v>
      </c>
    </row>
    <row r="357" spans="1:22" ht="45" customHeight="1">
      <c r="A357" s="174"/>
      <c r="B357" s="173"/>
      <c r="C357" s="172"/>
      <c r="D357" s="168" t="s">
        <v>592</v>
      </c>
      <c r="E357" s="161" t="s">
        <v>590</v>
      </c>
      <c r="F357" s="167">
        <v>2.9980000000000002</v>
      </c>
      <c r="G357" s="161">
        <v>430</v>
      </c>
      <c r="H357" s="161">
        <v>129</v>
      </c>
      <c r="I357" s="161" t="s">
        <v>71</v>
      </c>
      <c r="J357" s="166">
        <v>2979</v>
      </c>
      <c r="K357" s="166">
        <v>6893</v>
      </c>
      <c r="L357" s="161">
        <v>3749</v>
      </c>
      <c r="M357" s="165" t="s">
        <v>589</v>
      </c>
      <c r="N357" s="164">
        <v>8.6</v>
      </c>
      <c r="O357" s="23">
        <f>IF(N357&gt;0,1/N357*37.7*68.6,"")</f>
        <v>300.72325581395353</v>
      </c>
      <c r="P357" s="163">
        <v>8.1199999999999992</v>
      </c>
      <c r="Q357" s="162" t="s">
        <v>588</v>
      </c>
      <c r="R357" s="161" t="s">
        <v>587</v>
      </c>
      <c r="S357" s="161" t="s">
        <v>586</v>
      </c>
      <c r="T357" s="160"/>
      <c r="U357" s="159"/>
      <c r="V357" s="158">
        <f>IFERROR(IF(N357&lt;P357,"",(ROUNDDOWN(N357/P357*100,0))),"")</f>
        <v>105</v>
      </c>
    </row>
    <row r="358" spans="1:22" ht="45" customHeight="1">
      <c r="A358" s="174"/>
      <c r="B358" s="173"/>
      <c r="C358" s="172"/>
      <c r="D358" s="168" t="s">
        <v>592</v>
      </c>
      <c r="E358" s="161" t="s">
        <v>590</v>
      </c>
      <c r="F358" s="167">
        <v>2.9980000000000002</v>
      </c>
      <c r="G358" s="161">
        <v>430</v>
      </c>
      <c r="H358" s="161">
        <v>129</v>
      </c>
      <c r="I358" s="161" t="s">
        <v>70</v>
      </c>
      <c r="J358" s="166">
        <v>2979</v>
      </c>
      <c r="K358" s="166">
        <v>6893</v>
      </c>
      <c r="L358" s="161">
        <v>3749</v>
      </c>
      <c r="M358" s="165" t="s">
        <v>589</v>
      </c>
      <c r="N358" s="164">
        <v>8.6</v>
      </c>
      <c r="O358" s="23">
        <f>IF(N358&gt;0,1/N358*37.7*68.6,"")</f>
        <v>300.72325581395353</v>
      </c>
      <c r="P358" s="163">
        <v>8.1199999999999992</v>
      </c>
      <c r="Q358" s="162" t="s">
        <v>588</v>
      </c>
      <c r="R358" s="161" t="s">
        <v>587</v>
      </c>
      <c r="S358" s="161" t="s">
        <v>586</v>
      </c>
      <c r="T358" s="160"/>
      <c r="U358" s="159"/>
      <c r="V358" s="158">
        <f>IFERROR(IF(N358&lt;P358,"",(ROUNDDOWN(N358/P358*100,0))),"")</f>
        <v>105</v>
      </c>
    </row>
    <row r="359" spans="1:22" ht="45" customHeight="1">
      <c r="A359" s="174"/>
      <c r="B359" s="173"/>
      <c r="C359" s="172"/>
      <c r="D359" s="168" t="s">
        <v>591</v>
      </c>
      <c r="E359" s="161" t="s">
        <v>590</v>
      </c>
      <c r="F359" s="167">
        <v>2.9980000000000002</v>
      </c>
      <c r="G359" s="161">
        <v>430</v>
      </c>
      <c r="H359" s="161">
        <v>129</v>
      </c>
      <c r="I359" s="161" t="s">
        <v>71</v>
      </c>
      <c r="J359" s="166">
        <v>2979</v>
      </c>
      <c r="K359" s="166">
        <v>6893</v>
      </c>
      <c r="L359" s="161">
        <v>3749</v>
      </c>
      <c r="M359" s="165" t="s">
        <v>589</v>
      </c>
      <c r="N359" s="164">
        <v>9</v>
      </c>
      <c r="O359" s="23">
        <f>IF(N359&gt;0,1/N359*37.7*68.6,"")</f>
        <v>287.35777777777776</v>
      </c>
      <c r="P359" s="163">
        <v>8.1199999999999992</v>
      </c>
      <c r="Q359" s="162" t="s">
        <v>588</v>
      </c>
      <c r="R359" s="161" t="s">
        <v>587</v>
      </c>
      <c r="S359" s="161" t="s">
        <v>586</v>
      </c>
      <c r="T359" s="160"/>
      <c r="U359" s="159"/>
      <c r="V359" s="158">
        <f>IFERROR(IF(N359&lt;P359,"",(ROUNDDOWN(N359/P359*100,0))),"")</f>
        <v>110</v>
      </c>
    </row>
    <row r="360" spans="1:22" ht="24" customHeight="1">
      <c r="A360" s="171"/>
      <c r="B360" s="170"/>
      <c r="C360" s="169"/>
      <c r="D360" s="168"/>
      <c r="E360" s="161"/>
      <c r="F360" s="167"/>
      <c r="G360" s="161"/>
      <c r="H360" s="161"/>
      <c r="I360" s="161"/>
      <c r="J360" s="166"/>
      <c r="K360" s="166"/>
      <c r="L360" s="161"/>
      <c r="M360" s="165"/>
      <c r="N360" s="164"/>
      <c r="O360" s="23" t="str">
        <f>IF(N360&gt;0,1/N360*37.7*68.6,"")</f>
        <v/>
      </c>
      <c r="P360" s="163"/>
      <c r="Q360" s="162"/>
      <c r="R360" s="161"/>
      <c r="S360" s="161"/>
      <c r="T360" s="160"/>
      <c r="U360" s="159"/>
      <c r="V360" s="158" t="str">
        <f>IFERROR(IF(N360&lt;P360,"",(ROUNDDOWN(N360/P360*100,0))),"")</f>
        <v/>
      </c>
    </row>
    <row r="362" spans="1:22" ht="12">
      <c r="B362" s="78" t="s">
        <v>585</v>
      </c>
    </row>
    <row r="363" spans="1:22">
      <c r="B363" s="3" t="s">
        <v>584</v>
      </c>
    </row>
    <row r="364" spans="1:22">
      <c r="B364" s="3" t="s">
        <v>583</v>
      </c>
    </row>
    <row r="365" spans="1:22">
      <c r="B365" s="3" t="s">
        <v>582</v>
      </c>
    </row>
    <row r="366" spans="1:22">
      <c r="B366" s="3" t="s">
        <v>581</v>
      </c>
    </row>
    <row r="367" spans="1:22">
      <c r="B367" s="3" t="s">
        <v>580</v>
      </c>
    </row>
    <row r="368" spans="1:22">
      <c r="B368" s="3" t="s">
        <v>579</v>
      </c>
    </row>
    <row r="369" spans="2:3">
      <c r="B369" s="3" t="s">
        <v>578</v>
      </c>
    </row>
    <row r="370" spans="2:3">
      <c r="B370" s="3" t="s">
        <v>577</v>
      </c>
    </row>
    <row r="371" spans="2:3">
      <c r="C371" s="3" t="s">
        <v>459</v>
      </c>
    </row>
    <row r="372" spans="2:3">
      <c r="C372" s="3" t="s">
        <v>460</v>
      </c>
    </row>
  </sheetData>
  <sheetProtection selectLockedCells="1"/>
  <mergeCells count="24">
    <mergeCell ref="G6:G8"/>
    <mergeCell ref="H6:H8"/>
    <mergeCell ref="R6:R8"/>
    <mergeCell ref="S6:S8"/>
    <mergeCell ref="J4:J8"/>
    <mergeCell ref="K4:K8"/>
    <mergeCell ref="L4:L8"/>
    <mergeCell ref="M4:M8"/>
    <mergeCell ref="S2:V2"/>
    <mergeCell ref="T6:T8"/>
    <mergeCell ref="N4:P4"/>
    <mergeCell ref="Q4:Q8"/>
    <mergeCell ref="R4:T5"/>
    <mergeCell ref="U4:U8"/>
    <mergeCell ref="A4:A8"/>
    <mergeCell ref="B4:C8"/>
    <mergeCell ref="D4:D8"/>
    <mergeCell ref="E4:H5"/>
    <mergeCell ref="I4:I8"/>
    <mergeCell ref="V4:V8"/>
    <mergeCell ref="N5:N8"/>
    <mergeCell ref="O5:O8"/>
    <mergeCell ref="P5:P8"/>
    <mergeCell ref="F6:F8"/>
  </mergeCells>
  <phoneticPr fontId="8"/>
  <printOptions horizontalCentered="1"/>
  <pageMargins left="0.39370078740157483" right="0.39370078740157483" top="0.39370078740157483" bottom="0.39370078740157483" header="0.19685039370078741" footer="0.39370078740157483"/>
  <pageSetup paperSize="9" scale="57" fitToHeight="0" orientation="landscape" horizontalDpi="400" verticalDpi="400" r:id="rId1"/>
  <headerFooter alignWithMargins="0">
    <oddHeader>&amp;R様式3-4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BD8C-3D39-40FB-9A76-3728D548EE1E}">
  <sheetPr>
    <tabColor theme="6"/>
    <pageSetUpPr fitToPage="1"/>
  </sheetPr>
  <dimension ref="A1:Y689"/>
  <sheetViews>
    <sheetView showGridLines="0" view="pageBreakPreview" topLeftCell="A656" zoomScale="70" zoomScaleNormal="100" zoomScaleSheetLayoutView="70" workbookViewId="0">
      <selection activeCell="O681" sqref="O681"/>
    </sheetView>
  </sheetViews>
  <sheetFormatPr defaultColWidth="8.25" defaultRowHeight="11.25"/>
  <cols>
    <col min="1" max="1" width="14.875" style="181" customWidth="1"/>
    <col min="2" max="2" width="4.25" style="181" bestFit="1" customWidth="1"/>
    <col min="3" max="3" width="24.625" style="181" customWidth="1"/>
    <col min="4" max="4" width="11.625" style="181" bestFit="1" customWidth="1"/>
    <col min="5" max="5" width="7.875" style="181" bestFit="1" customWidth="1"/>
    <col min="6" max="6" width="7.75" style="181" bestFit="1" customWidth="1"/>
    <col min="7" max="7" width="9.75" style="181" bestFit="1" customWidth="1"/>
    <col min="8" max="8" width="9.125" style="181" bestFit="1" customWidth="1"/>
    <col min="9" max="9" width="11.375" style="181" bestFit="1" customWidth="1"/>
    <col min="10" max="10" width="6.5" style="181" customWidth="1"/>
    <col min="11" max="11" width="9.125" style="181" customWidth="1"/>
    <col min="12" max="12" width="9.875" style="181" customWidth="1"/>
    <col min="13" max="13" width="8.875" style="181" bestFit="1" customWidth="1"/>
    <col min="14" max="14" width="5.625" style="181" customWidth="1"/>
    <col min="15" max="15" width="8.625" style="181" bestFit="1" customWidth="1"/>
    <col min="16" max="16" width="7.125" style="181" customWidth="1"/>
    <col min="17" max="17" width="15.625" style="181" bestFit="1" customWidth="1"/>
    <col min="18" max="18" width="14.875" style="181" bestFit="1" customWidth="1"/>
    <col min="19" max="19" width="10.375" style="181" bestFit="1" customWidth="1"/>
    <col min="20" max="20" width="8.875" style="181" customWidth="1"/>
    <col min="21" max="21" width="12.125" style="181" bestFit="1" customWidth="1"/>
    <col min="22" max="22" width="8.875" style="182" customWidth="1"/>
    <col min="23" max="16384" width="8.25" style="181"/>
  </cols>
  <sheetData>
    <row r="1" spans="1:22" ht="21" customHeight="1">
      <c r="A1" s="304"/>
      <c r="V1" s="181"/>
    </row>
    <row r="2" spans="1:22" ht="15.75">
      <c r="C2" s="300"/>
      <c r="F2" s="303"/>
      <c r="G2" s="303"/>
      <c r="H2" s="303"/>
      <c r="L2" s="277" t="s">
        <v>1089</v>
      </c>
      <c r="M2" s="277"/>
      <c r="N2" s="277"/>
      <c r="O2" s="277"/>
      <c r="P2" s="277"/>
      <c r="Q2" s="277"/>
      <c r="R2" s="277"/>
      <c r="S2" s="302" t="s">
        <v>1088</v>
      </c>
      <c r="T2" s="301"/>
      <c r="U2" s="301"/>
      <c r="V2" s="301"/>
    </row>
    <row r="3" spans="1:22" ht="19.5" customHeight="1">
      <c r="A3" s="300" t="s">
        <v>1087</v>
      </c>
      <c r="V3" s="299" t="s">
        <v>2</v>
      </c>
    </row>
    <row r="4" spans="1:22" ht="12" thickBot="1">
      <c r="A4" s="276" t="s">
        <v>3</v>
      </c>
      <c r="B4" s="276" t="s">
        <v>4</v>
      </c>
      <c r="C4" s="278"/>
      <c r="D4" s="276" t="s">
        <v>5</v>
      </c>
      <c r="E4" s="276" t="s">
        <v>6</v>
      </c>
      <c r="F4" s="276"/>
      <c r="G4" s="276"/>
      <c r="H4" s="276"/>
      <c r="I4" s="270" t="s">
        <v>1086</v>
      </c>
      <c r="J4" s="270" t="s">
        <v>1085</v>
      </c>
      <c r="K4" s="275" t="s">
        <v>1084</v>
      </c>
      <c r="L4" s="275" t="s">
        <v>1083</v>
      </c>
      <c r="M4" s="298" t="s">
        <v>1082</v>
      </c>
      <c r="N4" s="297" t="s">
        <v>1081</v>
      </c>
      <c r="O4" s="296"/>
      <c r="P4" s="295"/>
      <c r="Q4" s="270" t="s">
        <v>1080</v>
      </c>
      <c r="R4" s="289" t="s">
        <v>14</v>
      </c>
      <c r="S4" s="289"/>
      <c r="T4" s="289"/>
      <c r="U4" s="294" t="s">
        <v>1079</v>
      </c>
      <c r="V4" s="293" t="s">
        <v>1078</v>
      </c>
    </row>
    <row r="5" spans="1:22" ht="11.25" customHeight="1">
      <c r="A5" s="276"/>
      <c r="B5" s="276"/>
      <c r="C5" s="278"/>
      <c r="D5" s="276"/>
      <c r="E5" s="276"/>
      <c r="F5" s="276"/>
      <c r="G5" s="276"/>
      <c r="H5" s="276"/>
      <c r="I5" s="270"/>
      <c r="J5" s="270"/>
      <c r="K5" s="275"/>
      <c r="L5" s="275"/>
      <c r="M5" s="286"/>
      <c r="N5" s="292" t="s">
        <v>1077</v>
      </c>
      <c r="O5" s="291" t="s">
        <v>18</v>
      </c>
      <c r="P5" s="290" t="s">
        <v>1076</v>
      </c>
      <c r="Q5" s="270"/>
      <c r="R5" s="289"/>
      <c r="S5" s="289"/>
      <c r="T5" s="289"/>
      <c r="U5" s="280"/>
      <c r="V5" s="279"/>
    </row>
    <row r="6" spans="1:22">
      <c r="A6" s="276"/>
      <c r="B6" s="276"/>
      <c r="C6" s="278"/>
      <c r="D6" s="276"/>
      <c r="E6" s="182"/>
      <c r="F6" s="270" t="s">
        <v>20</v>
      </c>
      <c r="G6" s="270" t="s">
        <v>21</v>
      </c>
      <c r="H6" s="270" t="s">
        <v>22</v>
      </c>
      <c r="I6" s="270"/>
      <c r="J6" s="270"/>
      <c r="K6" s="275"/>
      <c r="L6" s="275"/>
      <c r="M6" s="286"/>
      <c r="N6" s="285"/>
      <c r="O6" s="284"/>
      <c r="P6" s="283"/>
      <c r="Q6" s="270"/>
      <c r="R6" s="288" t="s">
        <v>1075</v>
      </c>
      <c r="S6" s="287" t="s">
        <v>1074</v>
      </c>
      <c r="T6" s="287" t="s">
        <v>25</v>
      </c>
      <c r="U6" s="280"/>
      <c r="V6" s="279"/>
    </row>
    <row r="7" spans="1:22">
      <c r="A7" s="276"/>
      <c r="B7" s="276"/>
      <c r="C7" s="278"/>
      <c r="D7" s="276"/>
      <c r="E7" s="182" t="s">
        <v>5</v>
      </c>
      <c r="F7" s="276"/>
      <c r="G7" s="276"/>
      <c r="H7" s="276"/>
      <c r="I7" s="270"/>
      <c r="J7" s="270"/>
      <c r="K7" s="275"/>
      <c r="L7" s="275"/>
      <c r="M7" s="286"/>
      <c r="N7" s="285"/>
      <c r="O7" s="284"/>
      <c r="P7" s="283"/>
      <c r="Q7" s="270"/>
      <c r="R7" s="282"/>
      <c r="S7" s="281"/>
      <c r="T7" s="281"/>
      <c r="U7" s="280"/>
      <c r="V7" s="279"/>
    </row>
    <row r="8" spans="1:22">
      <c r="A8" s="276"/>
      <c r="B8" s="276"/>
      <c r="C8" s="278"/>
      <c r="D8" s="276"/>
      <c r="E8" s="277"/>
      <c r="F8" s="276"/>
      <c r="G8" s="276"/>
      <c r="H8" s="276"/>
      <c r="I8" s="270"/>
      <c r="J8" s="270"/>
      <c r="K8" s="275"/>
      <c r="L8" s="275"/>
      <c r="M8" s="274"/>
      <c r="N8" s="273"/>
      <c r="O8" s="272"/>
      <c r="P8" s="271"/>
      <c r="Q8" s="270"/>
      <c r="R8" s="269"/>
      <c r="S8" s="268"/>
      <c r="T8" s="268"/>
      <c r="U8" s="267"/>
      <c r="V8" s="266"/>
    </row>
    <row r="9" spans="1:22" ht="24" customHeight="1">
      <c r="A9" s="219" t="s">
        <v>1073</v>
      </c>
      <c r="B9" s="265" t="s">
        <v>1072</v>
      </c>
      <c r="C9" s="264" t="s">
        <v>1071</v>
      </c>
      <c r="D9" s="261" t="s">
        <v>1070</v>
      </c>
      <c r="E9" s="259" t="s">
        <v>906</v>
      </c>
      <c r="F9" s="260">
        <v>2.754</v>
      </c>
      <c r="G9" s="259">
        <v>420</v>
      </c>
      <c r="H9" s="259">
        <v>110</v>
      </c>
      <c r="I9" s="259" t="s">
        <v>1068</v>
      </c>
      <c r="J9" s="258">
        <v>1957</v>
      </c>
      <c r="K9" s="258">
        <v>3612</v>
      </c>
      <c r="L9" s="257">
        <v>1490</v>
      </c>
      <c r="M9" s="256" t="s">
        <v>1067</v>
      </c>
      <c r="N9" s="255">
        <v>11.3</v>
      </c>
      <c r="O9" s="215">
        <f>IF(N9&gt;0,1/N9*37.7*68.6,"")</f>
        <v>228.86902654867257</v>
      </c>
      <c r="P9" s="203">
        <v>10.83</v>
      </c>
      <c r="Q9" s="202" t="s">
        <v>1066</v>
      </c>
      <c r="R9" s="201" t="s">
        <v>1065</v>
      </c>
      <c r="S9" s="201" t="s">
        <v>34</v>
      </c>
      <c r="T9" s="200"/>
      <c r="U9" s="199"/>
      <c r="V9" s="198">
        <f>IFERROR(IF(N9&lt;P9,"",(ROUNDDOWN(N9/P9*100,0))),"")</f>
        <v>104</v>
      </c>
    </row>
    <row r="10" spans="1:22" ht="24" customHeight="1">
      <c r="A10" s="219"/>
      <c r="B10" s="263"/>
      <c r="C10" s="262"/>
      <c r="D10" s="261" t="s">
        <v>1069</v>
      </c>
      <c r="E10" s="259" t="s">
        <v>906</v>
      </c>
      <c r="F10" s="260">
        <v>2.754</v>
      </c>
      <c r="G10" s="259">
        <v>420</v>
      </c>
      <c r="H10" s="259">
        <v>110</v>
      </c>
      <c r="I10" s="259" t="s">
        <v>1068</v>
      </c>
      <c r="J10" s="258">
        <v>1957</v>
      </c>
      <c r="K10" s="258">
        <v>3612</v>
      </c>
      <c r="L10" s="257">
        <v>1490</v>
      </c>
      <c r="M10" s="256" t="s">
        <v>1067</v>
      </c>
      <c r="N10" s="255">
        <v>11.3</v>
      </c>
      <c r="O10" s="215">
        <f>IF(N10&gt;0,1/N10*37.7*68.6,"")</f>
        <v>228.86902654867257</v>
      </c>
      <c r="P10" s="203">
        <v>10.83</v>
      </c>
      <c r="Q10" s="202" t="s">
        <v>1066</v>
      </c>
      <c r="R10" s="201" t="s">
        <v>1065</v>
      </c>
      <c r="S10" s="201" t="s">
        <v>34</v>
      </c>
      <c r="T10" s="200"/>
      <c r="U10" s="199"/>
      <c r="V10" s="198">
        <f>IFERROR(IF(N10&lt;P10,"",(ROUNDDOWN(N10/P10*100,0))),"")</f>
        <v>104</v>
      </c>
    </row>
    <row r="11" spans="1:22" ht="24" customHeight="1">
      <c r="A11" s="219"/>
      <c r="B11" s="223"/>
      <c r="C11" s="217" t="s">
        <v>1064</v>
      </c>
      <c r="D11" s="211" t="s">
        <v>992</v>
      </c>
      <c r="E11" s="209" t="s">
        <v>979</v>
      </c>
      <c r="F11" s="209">
        <v>4.0090000000000003</v>
      </c>
      <c r="G11" s="209">
        <v>470</v>
      </c>
      <c r="H11" s="209">
        <v>110</v>
      </c>
      <c r="I11" s="209" t="s">
        <v>839</v>
      </c>
      <c r="J11" s="208">
        <v>2356</v>
      </c>
      <c r="K11" s="208">
        <v>4521</v>
      </c>
      <c r="L11" s="207">
        <v>2000</v>
      </c>
      <c r="M11" s="206" t="s">
        <v>775</v>
      </c>
      <c r="N11" s="216">
        <v>13.6</v>
      </c>
      <c r="O11" s="215">
        <f>IF(N11&gt;0,1/N11*37.7*68.6,"")</f>
        <v>190.16323529411767</v>
      </c>
      <c r="P11" s="203">
        <v>10.35</v>
      </c>
      <c r="Q11" s="202" t="s">
        <v>1063</v>
      </c>
      <c r="R11" s="201" t="s">
        <v>1062</v>
      </c>
      <c r="S11" s="201" t="s">
        <v>34</v>
      </c>
      <c r="T11" s="200"/>
      <c r="U11" s="199"/>
      <c r="V11" s="198">
        <f>IFERROR(IF(N11&lt;P11,"",(ROUNDDOWN(N11/P11*100,0))),"")</f>
        <v>131</v>
      </c>
    </row>
    <row r="12" spans="1:22" ht="24" customHeight="1">
      <c r="A12" s="219"/>
      <c r="B12" s="223"/>
      <c r="C12" s="228"/>
      <c r="D12" s="211" t="s">
        <v>991</v>
      </c>
      <c r="E12" s="209" t="s">
        <v>979</v>
      </c>
      <c r="F12" s="209">
        <v>4.0090000000000003</v>
      </c>
      <c r="G12" s="209">
        <v>470</v>
      </c>
      <c r="H12" s="209">
        <v>110</v>
      </c>
      <c r="I12" s="209" t="s">
        <v>839</v>
      </c>
      <c r="J12" s="208">
        <v>2356</v>
      </c>
      <c r="K12" s="208">
        <v>4521</v>
      </c>
      <c r="L12" s="207">
        <v>2000</v>
      </c>
      <c r="M12" s="206" t="s">
        <v>775</v>
      </c>
      <c r="N12" s="216">
        <v>13.6</v>
      </c>
      <c r="O12" s="215">
        <f>IF(N12&gt;0,1/N12*37.7*68.6,"")</f>
        <v>190.16323529411767</v>
      </c>
      <c r="P12" s="203">
        <v>10.35</v>
      </c>
      <c r="Q12" s="202" t="s">
        <v>752</v>
      </c>
      <c r="R12" s="201" t="s">
        <v>993</v>
      </c>
      <c r="S12" s="201" t="s">
        <v>34</v>
      </c>
      <c r="T12" s="200"/>
      <c r="U12" s="199"/>
      <c r="V12" s="198">
        <f>IFERROR(IF(N12&lt;P12,"",(ROUNDDOWN(N12/P12*100,0))),"")</f>
        <v>131</v>
      </c>
    </row>
    <row r="13" spans="1:22" ht="24" customHeight="1">
      <c r="A13" s="219"/>
      <c r="B13" s="223"/>
      <c r="C13" s="228"/>
      <c r="D13" s="211" t="s">
        <v>991</v>
      </c>
      <c r="E13" s="209" t="s">
        <v>979</v>
      </c>
      <c r="F13" s="209">
        <v>4.0090000000000003</v>
      </c>
      <c r="G13" s="209">
        <v>470</v>
      </c>
      <c r="H13" s="209">
        <v>110</v>
      </c>
      <c r="I13" s="209" t="s">
        <v>839</v>
      </c>
      <c r="J13" s="208">
        <v>2652</v>
      </c>
      <c r="K13" s="208">
        <v>5812</v>
      </c>
      <c r="L13" s="207">
        <v>2995</v>
      </c>
      <c r="M13" s="206" t="s">
        <v>775</v>
      </c>
      <c r="N13" s="216">
        <v>12.8</v>
      </c>
      <c r="O13" s="215">
        <f>IF(N13&gt;0,1/N13*37.7*68.6,"")</f>
        <v>202.04843749999998</v>
      </c>
      <c r="P13" s="203">
        <v>9.51</v>
      </c>
      <c r="Q13" s="202" t="s">
        <v>752</v>
      </c>
      <c r="R13" s="201" t="s">
        <v>993</v>
      </c>
      <c r="S13" s="201" t="s">
        <v>34</v>
      </c>
      <c r="T13" s="200"/>
      <c r="U13" s="199"/>
      <c r="V13" s="198">
        <f>IFERROR(IF(N13&lt;P13,"",(ROUNDDOWN(N13/P13*100,0))),"")</f>
        <v>134</v>
      </c>
    </row>
    <row r="14" spans="1:22" ht="24" customHeight="1">
      <c r="A14" s="219"/>
      <c r="B14" s="223"/>
      <c r="C14" s="228"/>
      <c r="D14" s="211" t="s">
        <v>990</v>
      </c>
      <c r="E14" s="209" t="s">
        <v>979</v>
      </c>
      <c r="F14" s="209">
        <v>4.0090000000000003</v>
      </c>
      <c r="G14" s="209">
        <v>470</v>
      </c>
      <c r="H14" s="209">
        <v>110</v>
      </c>
      <c r="I14" s="209" t="s">
        <v>839</v>
      </c>
      <c r="J14" s="208">
        <v>2356</v>
      </c>
      <c r="K14" s="208">
        <v>4521</v>
      </c>
      <c r="L14" s="207">
        <v>2000</v>
      </c>
      <c r="M14" s="206" t="s">
        <v>775</v>
      </c>
      <c r="N14" s="216">
        <v>13.6</v>
      </c>
      <c r="O14" s="215">
        <f>IF(N14&gt;0,1/N14*37.7*68.6,"")</f>
        <v>190.16323529411767</v>
      </c>
      <c r="P14" s="203">
        <v>10.35</v>
      </c>
      <c r="Q14" s="202" t="s">
        <v>752</v>
      </c>
      <c r="R14" s="201" t="s">
        <v>993</v>
      </c>
      <c r="S14" s="201" t="s">
        <v>34</v>
      </c>
      <c r="T14" s="200"/>
      <c r="U14" s="199"/>
      <c r="V14" s="198">
        <f>IFERROR(IF(N14&lt;P14,"",(ROUNDDOWN(N14/P14*100,0))),"")</f>
        <v>131</v>
      </c>
    </row>
    <row r="15" spans="1:22" ht="24" customHeight="1">
      <c r="A15" s="219"/>
      <c r="B15" s="223"/>
      <c r="C15" s="228"/>
      <c r="D15" s="211" t="s">
        <v>989</v>
      </c>
      <c r="E15" s="209" t="s">
        <v>979</v>
      </c>
      <c r="F15" s="209">
        <v>4.0090000000000003</v>
      </c>
      <c r="G15" s="209">
        <v>470</v>
      </c>
      <c r="H15" s="209">
        <v>110</v>
      </c>
      <c r="I15" s="209" t="s">
        <v>839</v>
      </c>
      <c r="J15" s="208">
        <v>2356</v>
      </c>
      <c r="K15" s="208">
        <v>4521</v>
      </c>
      <c r="L15" s="207">
        <v>2000</v>
      </c>
      <c r="M15" s="206" t="s">
        <v>775</v>
      </c>
      <c r="N15" s="216">
        <v>13.6</v>
      </c>
      <c r="O15" s="215">
        <f>IF(N15&gt;0,1/N15*37.7*68.6,"")</f>
        <v>190.16323529411767</v>
      </c>
      <c r="P15" s="203">
        <v>10.35</v>
      </c>
      <c r="Q15" s="202" t="s">
        <v>752</v>
      </c>
      <c r="R15" s="201" t="s">
        <v>993</v>
      </c>
      <c r="S15" s="201" t="s">
        <v>34</v>
      </c>
      <c r="T15" s="200"/>
      <c r="U15" s="199"/>
      <c r="V15" s="198">
        <f>IFERROR(IF(N15&lt;P15,"",(ROUNDDOWN(N15/P15*100,0))),"")</f>
        <v>131</v>
      </c>
    </row>
    <row r="16" spans="1:22" ht="24" customHeight="1">
      <c r="A16" s="219"/>
      <c r="B16" s="223"/>
      <c r="C16" s="228"/>
      <c r="D16" s="211" t="s">
        <v>989</v>
      </c>
      <c r="E16" s="209" t="s">
        <v>979</v>
      </c>
      <c r="F16" s="209">
        <v>4.0090000000000003</v>
      </c>
      <c r="G16" s="209">
        <v>470</v>
      </c>
      <c r="H16" s="209">
        <v>110</v>
      </c>
      <c r="I16" s="209" t="s">
        <v>839</v>
      </c>
      <c r="J16" s="208">
        <v>2652</v>
      </c>
      <c r="K16" s="208">
        <v>5812</v>
      </c>
      <c r="L16" s="207">
        <v>2995</v>
      </c>
      <c r="M16" s="206" t="s">
        <v>775</v>
      </c>
      <c r="N16" s="216">
        <v>12.8</v>
      </c>
      <c r="O16" s="215">
        <f>IF(N16&gt;0,1/N16*37.7*68.6,"")</f>
        <v>202.04843749999998</v>
      </c>
      <c r="P16" s="203">
        <v>9.51</v>
      </c>
      <c r="Q16" s="202" t="s">
        <v>752</v>
      </c>
      <c r="R16" s="201" t="s">
        <v>993</v>
      </c>
      <c r="S16" s="201" t="s">
        <v>34</v>
      </c>
      <c r="T16" s="200"/>
      <c r="U16" s="199"/>
      <c r="V16" s="198">
        <f>IFERROR(IF(N16&lt;P16,"",(ROUNDDOWN(N16/P16*100,0))),"")</f>
        <v>134</v>
      </c>
    </row>
    <row r="17" spans="1:22" ht="24" customHeight="1">
      <c r="A17" s="219"/>
      <c r="B17" s="223"/>
      <c r="C17" s="228"/>
      <c r="D17" s="211" t="s">
        <v>986</v>
      </c>
      <c r="E17" s="209" t="s">
        <v>979</v>
      </c>
      <c r="F17" s="209">
        <v>4.0090000000000003</v>
      </c>
      <c r="G17" s="209">
        <v>470</v>
      </c>
      <c r="H17" s="209">
        <v>110</v>
      </c>
      <c r="I17" s="209" t="s">
        <v>839</v>
      </c>
      <c r="J17" s="208">
        <v>2652</v>
      </c>
      <c r="K17" s="208">
        <v>5812</v>
      </c>
      <c r="L17" s="207">
        <v>2995</v>
      </c>
      <c r="M17" s="206" t="s">
        <v>775</v>
      </c>
      <c r="N17" s="216">
        <v>12.8</v>
      </c>
      <c r="O17" s="215">
        <f>IF(N17&gt;0,1/N17*37.7*68.6,"")</f>
        <v>202.04843749999998</v>
      </c>
      <c r="P17" s="203">
        <v>9.51</v>
      </c>
      <c r="Q17" s="202" t="s">
        <v>752</v>
      </c>
      <c r="R17" s="201" t="s">
        <v>993</v>
      </c>
      <c r="S17" s="201" t="s">
        <v>34</v>
      </c>
      <c r="T17" s="200"/>
      <c r="U17" s="199"/>
      <c r="V17" s="198">
        <f>IFERROR(IF(N17&lt;P17,"",(ROUNDDOWN(N17/P17*100,0))),"")</f>
        <v>134</v>
      </c>
    </row>
    <row r="18" spans="1:22" ht="24" customHeight="1">
      <c r="A18" s="219"/>
      <c r="B18" s="223"/>
      <c r="C18" s="228"/>
      <c r="D18" s="211" t="s">
        <v>988</v>
      </c>
      <c r="E18" s="209" t="s">
        <v>979</v>
      </c>
      <c r="F18" s="209">
        <v>4.0090000000000003</v>
      </c>
      <c r="G18" s="209">
        <v>470</v>
      </c>
      <c r="H18" s="209">
        <v>110</v>
      </c>
      <c r="I18" s="209" t="s">
        <v>839</v>
      </c>
      <c r="J18" s="208">
        <v>2356</v>
      </c>
      <c r="K18" s="208">
        <v>4521</v>
      </c>
      <c r="L18" s="207">
        <v>2000</v>
      </c>
      <c r="M18" s="206" t="s">
        <v>775</v>
      </c>
      <c r="N18" s="216">
        <v>13.6</v>
      </c>
      <c r="O18" s="215">
        <f>IF(N18&gt;0,1/N18*37.7*68.6,"")</f>
        <v>190.16323529411767</v>
      </c>
      <c r="P18" s="203">
        <v>10.35</v>
      </c>
      <c r="Q18" s="202" t="s">
        <v>752</v>
      </c>
      <c r="R18" s="201" t="s">
        <v>993</v>
      </c>
      <c r="S18" s="201" t="s">
        <v>34</v>
      </c>
      <c r="T18" s="200"/>
      <c r="U18" s="199"/>
      <c r="V18" s="198">
        <f>IFERROR(IF(N18&lt;P18,"",(ROUNDDOWN(N18/P18*100,0))),"")</f>
        <v>131</v>
      </c>
    </row>
    <row r="19" spans="1:22" ht="24" customHeight="1">
      <c r="A19" s="219"/>
      <c r="B19" s="223"/>
      <c r="C19" s="228"/>
      <c r="D19" s="211" t="s">
        <v>987</v>
      </c>
      <c r="E19" s="209" t="s">
        <v>979</v>
      </c>
      <c r="F19" s="209">
        <v>4.0090000000000003</v>
      </c>
      <c r="G19" s="209">
        <v>470</v>
      </c>
      <c r="H19" s="209">
        <v>110</v>
      </c>
      <c r="I19" s="209" t="s">
        <v>839</v>
      </c>
      <c r="J19" s="208">
        <v>2356</v>
      </c>
      <c r="K19" s="208">
        <v>4521</v>
      </c>
      <c r="L19" s="207">
        <v>2000</v>
      </c>
      <c r="M19" s="206" t="s">
        <v>775</v>
      </c>
      <c r="N19" s="216">
        <v>13.6</v>
      </c>
      <c r="O19" s="215">
        <f>IF(N19&gt;0,1/N19*37.7*68.6,"")</f>
        <v>190.16323529411767</v>
      </c>
      <c r="P19" s="203">
        <v>10.35</v>
      </c>
      <c r="Q19" s="202" t="s">
        <v>752</v>
      </c>
      <c r="R19" s="201" t="s">
        <v>993</v>
      </c>
      <c r="S19" s="201" t="s">
        <v>34</v>
      </c>
      <c r="T19" s="200"/>
      <c r="U19" s="199"/>
      <c r="V19" s="198">
        <f>IFERROR(IF(N19&lt;P19,"",(ROUNDDOWN(N19/P19*100,0))),"")</f>
        <v>131</v>
      </c>
    </row>
    <row r="20" spans="1:22" ht="24" customHeight="1">
      <c r="A20" s="219"/>
      <c r="B20" s="223"/>
      <c r="C20" s="228"/>
      <c r="D20" s="211" t="s">
        <v>985</v>
      </c>
      <c r="E20" s="209" t="s">
        <v>979</v>
      </c>
      <c r="F20" s="209">
        <v>4.0090000000000003</v>
      </c>
      <c r="G20" s="209">
        <v>470</v>
      </c>
      <c r="H20" s="209">
        <v>110</v>
      </c>
      <c r="I20" s="209" t="s">
        <v>839</v>
      </c>
      <c r="J20" s="208">
        <v>2652</v>
      </c>
      <c r="K20" s="208">
        <v>5812</v>
      </c>
      <c r="L20" s="207">
        <v>2995</v>
      </c>
      <c r="M20" s="206" t="s">
        <v>775</v>
      </c>
      <c r="N20" s="216">
        <v>12.8</v>
      </c>
      <c r="O20" s="215">
        <f>IF(N20&gt;0,1/N20*37.7*68.6,"")</f>
        <v>202.04843749999998</v>
      </c>
      <c r="P20" s="203">
        <v>9.51</v>
      </c>
      <c r="Q20" s="202" t="s">
        <v>752</v>
      </c>
      <c r="R20" s="201" t="s">
        <v>993</v>
      </c>
      <c r="S20" s="201" t="s">
        <v>34</v>
      </c>
      <c r="T20" s="200"/>
      <c r="U20" s="199"/>
      <c r="V20" s="198">
        <f>IFERROR(IF(N20&lt;P20,"",(ROUNDDOWN(N20/P20*100,0))),"")</f>
        <v>134</v>
      </c>
    </row>
    <row r="21" spans="1:22" ht="24" customHeight="1">
      <c r="A21" s="219"/>
      <c r="B21" s="223"/>
      <c r="C21" s="228"/>
      <c r="D21" s="211" t="s">
        <v>985</v>
      </c>
      <c r="E21" s="209" t="s">
        <v>979</v>
      </c>
      <c r="F21" s="209">
        <v>4.0090000000000003</v>
      </c>
      <c r="G21" s="209">
        <v>470</v>
      </c>
      <c r="H21" s="209">
        <v>110</v>
      </c>
      <c r="I21" s="209" t="s">
        <v>839</v>
      </c>
      <c r="J21" s="208">
        <v>2979</v>
      </c>
      <c r="K21" s="208">
        <v>6893</v>
      </c>
      <c r="L21" s="207">
        <v>3749</v>
      </c>
      <c r="M21" s="206" t="s">
        <v>775</v>
      </c>
      <c r="N21" s="216">
        <v>10.6</v>
      </c>
      <c r="O21" s="215">
        <f>IF(N21&gt;0,1/N21*37.7*68.6,"")</f>
        <v>243.98301886792456</v>
      </c>
      <c r="P21" s="203">
        <v>8.1199999999999992</v>
      </c>
      <c r="Q21" s="202" t="s">
        <v>752</v>
      </c>
      <c r="R21" s="201" t="s">
        <v>993</v>
      </c>
      <c r="S21" s="201" t="s">
        <v>34</v>
      </c>
      <c r="T21" s="200"/>
      <c r="U21" s="199"/>
      <c r="V21" s="198">
        <f>IFERROR(IF(N21&lt;P21,"",(ROUNDDOWN(N21/P21*100,0))),"")</f>
        <v>130</v>
      </c>
    </row>
    <row r="22" spans="1:22" ht="24" customHeight="1">
      <c r="A22" s="219"/>
      <c r="B22" s="223"/>
      <c r="C22" s="228"/>
      <c r="D22" s="211" t="s">
        <v>984</v>
      </c>
      <c r="E22" s="209" t="s">
        <v>979</v>
      </c>
      <c r="F22" s="209">
        <v>4.0090000000000003</v>
      </c>
      <c r="G22" s="209">
        <v>470</v>
      </c>
      <c r="H22" s="209">
        <v>110</v>
      </c>
      <c r="I22" s="209" t="s">
        <v>839</v>
      </c>
      <c r="J22" s="208">
        <v>2652</v>
      </c>
      <c r="K22" s="208">
        <v>5812</v>
      </c>
      <c r="L22" s="207">
        <v>2995</v>
      </c>
      <c r="M22" s="206" t="s">
        <v>775</v>
      </c>
      <c r="N22" s="216">
        <v>12.8</v>
      </c>
      <c r="O22" s="215">
        <f>IF(N22&gt;0,1/N22*37.7*68.6,"")</f>
        <v>202.04843749999998</v>
      </c>
      <c r="P22" s="203">
        <v>9.51</v>
      </c>
      <c r="Q22" s="202" t="s">
        <v>752</v>
      </c>
      <c r="R22" s="201" t="s">
        <v>993</v>
      </c>
      <c r="S22" s="201" t="s">
        <v>34</v>
      </c>
      <c r="T22" s="200"/>
      <c r="U22" s="199"/>
      <c r="V22" s="198">
        <f>IFERROR(IF(N22&lt;P22,"",(ROUNDDOWN(N22/P22*100,0))),"")</f>
        <v>134</v>
      </c>
    </row>
    <row r="23" spans="1:22" ht="24" customHeight="1">
      <c r="A23" s="219"/>
      <c r="B23" s="223"/>
      <c r="C23" s="228"/>
      <c r="D23" s="211" t="s">
        <v>984</v>
      </c>
      <c r="E23" s="209" t="s">
        <v>979</v>
      </c>
      <c r="F23" s="209">
        <v>4.0090000000000003</v>
      </c>
      <c r="G23" s="209">
        <v>470</v>
      </c>
      <c r="H23" s="209">
        <v>110</v>
      </c>
      <c r="I23" s="209" t="s">
        <v>839</v>
      </c>
      <c r="J23" s="208">
        <v>2979</v>
      </c>
      <c r="K23" s="208">
        <v>6893</v>
      </c>
      <c r="L23" s="207">
        <v>3749</v>
      </c>
      <c r="M23" s="206" t="s">
        <v>775</v>
      </c>
      <c r="N23" s="216">
        <v>10.6</v>
      </c>
      <c r="O23" s="215">
        <f>IF(N23&gt;0,1/N23*37.7*68.6,"")</f>
        <v>243.98301886792456</v>
      </c>
      <c r="P23" s="203">
        <v>8.1199999999999992</v>
      </c>
      <c r="Q23" s="202" t="s">
        <v>752</v>
      </c>
      <c r="R23" s="201" t="s">
        <v>993</v>
      </c>
      <c r="S23" s="201" t="s">
        <v>34</v>
      </c>
      <c r="T23" s="200"/>
      <c r="U23" s="199"/>
      <c r="V23" s="198">
        <f>IFERROR(IF(N23&lt;P23,"",(ROUNDDOWN(N23/P23*100,0))),"")</f>
        <v>130</v>
      </c>
    </row>
    <row r="24" spans="1:22" ht="24" customHeight="1">
      <c r="A24" s="219"/>
      <c r="B24" s="223"/>
      <c r="C24" s="228"/>
      <c r="D24" s="211" t="s">
        <v>983</v>
      </c>
      <c r="E24" s="209" t="s">
        <v>979</v>
      </c>
      <c r="F24" s="209">
        <v>4.0090000000000003</v>
      </c>
      <c r="G24" s="209">
        <v>470</v>
      </c>
      <c r="H24" s="209">
        <v>110</v>
      </c>
      <c r="I24" s="209" t="s">
        <v>839</v>
      </c>
      <c r="J24" s="208">
        <v>2652</v>
      </c>
      <c r="K24" s="208">
        <v>5812</v>
      </c>
      <c r="L24" s="207">
        <v>2995</v>
      </c>
      <c r="M24" s="206" t="s">
        <v>775</v>
      </c>
      <c r="N24" s="216">
        <v>12.8</v>
      </c>
      <c r="O24" s="215">
        <f>IF(N24&gt;0,1/N24*37.7*68.6,"")</f>
        <v>202.04843749999998</v>
      </c>
      <c r="P24" s="203">
        <v>9.51</v>
      </c>
      <c r="Q24" s="202" t="s">
        <v>752</v>
      </c>
      <c r="R24" s="201" t="s">
        <v>993</v>
      </c>
      <c r="S24" s="201" t="s">
        <v>34</v>
      </c>
      <c r="T24" s="200"/>
      <c r="U24" s="199"/>
      <c r="V24" s="198">
        <f>IFERROR(IF(N24&lt;P24,"",(ROUNDDOWN(N24/P24*100,0))),"")</f>
        <v>134</v>
      </c>
    </row>
    <row r="25" spans="1:22" ht="24" customHeight="1">
      <c r="A25" s="219"/>
      <c r="B25" s="223"/>
      <c r="C25" s="228"/>
      <c r="D25" s="211" t="s">
        <v>983</v>
      </c>
      <c r="E25" s="209" t="s">
        <v>979</v>
      </c>
      <c r="F25" s="209">
        <v>4.0090000000000003</v>
      </c>
      <c r="G25" s="209">
        <v>470</v>
      </c>
      <c r="H25" s="209">
        <v>110</v>
      </c>
      <c r="I25" s="209" t="s">
        <v>839</v>
      </c>
      <c r="J25" s="208">
        <v>2979</v>
      </c>
      <c r="K25" s="208">
        <v>6893</v>
      </c>
      <c r="L25" s="207">
        <v>3749</v>
      </c>
      <c r="M25" s="206" t="s">
        <v>775</v>
      </c>
      <c r="N25" s="216">
        <v>10.6</v>
      </c>
      <c r="O25" s="215">
        <f>IF(N25&gt;0,1/N25*37.7*68.6,"")</f>
        <v>243.98301886792456</v>
      </c>
      <c r="P25" s="203">
        <v>8.1199999999999992</v>
      </c>
      <c r="Q25" s="202" t="s">
        <v>752</v>
      </c>
      <c r="R25" s="201" t="s">
        <v>993</v>
      </c>
      <c r="S25" s="201" t="s">
        <v>34</v>
      </c>
      <c r="T25" s="200"/>
      <c r="U25" s="199"/>
      <c r="V25" s="198">
        <f>IFERROR(IF(N25&lt;P25,"",(ROUNDDOWN(N25/P25*100,0))),"")</f>
        <v>130</v>
      </c>
    </row>
    <row r="26" spans="1:22" ht="24" customHeight="1">
      <c r="A26" s="219"/>
      <c r="B26" s="223"/>
      <c r="C26" s="228"/>
      <c r="D26" s="211" t="s">
        <v>1061</v>
      </c>
      <c r="E26" s="209" t="s">
        <v>912</v>
      </c>
      <c r="F26" s="209">
        <v>4.0090000000000003</v>
      </c>
      <c r="G26" s="209">
        <v>440</v>
      </c>
      <c r="H26" s="209">
        <v>110</v>
      </c>
      <c r="I26" s="209" t="s">
        <v>71</v>
      </c>
      <c r="J26" s="208">
        <v>2356</v>
      </c>
      <c r="K26" s="208">
        <v>4521</v>
      </c>
      <c r="L26" s="207">
        <v>2000</v>
      </c>
      <c r="M26" s="206" t="s">
        <v>775</v>
      </c>
      <c r="N26" s="216">
        <v>11.4</v>
      </c>
      <c r="O26" s="215">
        <f>IF(N26&gt;0,1/N26*37.7*68.6,"")</f>
        <v>226.8614035087719</v>
      </c>
      <c r="P26" s="203">
        <v>10.35</v>
      </c>
      <c r="Q26" s="202" t="s">
        <v>834</v>
      </c>
      <c r="R26" s="201" t="s">
        <v>993</v>
      </c>
      <c r="S26" s="201" t="s">
        <v>34</v>
      </c>
      <c r="T26" s="200"/>
      <c r="U26" s="199"/>
      <c r="V26" s="198">
        <f>IFERROR(IF(N26&lt;P26,"",(ROUNDDOWN(N26/P26*100,0))),"")</f>
        <v>110</v>
      </c>
    </row>
    <row r="27" spans="1:22" ht="24" customHeight="1">
      <c r="A27" s="219"/>
      <c r="B27" s="223"/>
      <c r="C27" s="228"/>
      <c r="D27" s="211" t="s">
        <v>1061</v>
      </c>
      <c r="E27" s="209" t="s">
        <v>912</v>
      </c>
      <c r="F27" s="209">
        <v>4.0090000000000003</v>
      </c>
      <c r="G27" s="209">
        <v>440</v>
      </c>
      <c r="H27" s="209">
        <v>110</v>
      </c>
      <c r="I27" s="209" t="s">
        <v>790</v>
      </c>
      <c r="J27" s="208">
        <v>2356</v>
      </c>
      <c r="K27" s="208">
        <v>4521</v>
      </c>
      <c r="L27" s="207">
        <v>2000</v>
      </c>
      <c r="M27" s="206" t="s">
        <v>775</v>
      </c>
      <c r="N27" s="216">
        <v>11.4</v>
      </c>
      <c r="O27" s="215">
        <f>IF(N27&gt;0,1/N27*37.7*68.6,"")</f>
        <v>226.8614035087719</v>
      </c>
      <c r="P27" s="203">
        <v>10.35</v>
      </c>
      <c r="Q27" s="202" t="s">
        <v>834</v>
      </c>
      <c r="R27" s="201" t="s">
        <v>993</v>
      </c>
      <c r="S27" s="201" t="s">
        <v>34</v>
      </c>
      <c r="T27" s="200"/>
      <c r="U27" s="199"/>
      <c r="V27" s="198">
        <f>IFERROR(IF(N27&lt;P27,"",(ROUNDDOWN(N27/P27*100,0))),"")</f>
        <v>110</v>
      </c>
    </row>
    <row r="28" spans="1:22" ht="24" customHeight="1">
      <c r="A28" s="219"/>
      <c r="B28" s="223"/>
      <c r="C28" s="228"/>
      <c r="D28" s="211" t="s">
        <v>1060</v>
      </c>
      <c r="E28" s="209" t="s">
        <v>912</v>
      </c>
      <c r="F28" s="209">
        <v>4.0090000000000003</v>
      </c>
      <c r="G28" s="209">
        <v>440</v>
      </c>
      <c r="H28" s="209">
        <v>110</v>
      </c>
      <c r="I28" s="209" t="s">
        <v>71</v>
      </c>
      <c r="J28" s="208">
        <v>2356</v>
      </c>
      <c r="K28" s="208">
        <v>4521</v>
      </c>
      <c r="L28" s="207">
        <v>2000</v>
      </c>
      <c r="M28" s="206" t="s">
        <v>775</v>
      </c>
      <c r="N28" s="216">
        <v>11.4</v>
      </c>
      <c r="O28" s="215">
        <f>IF(N28&gt;0,1/N28*37.7*68.6,"")</f>
        <v>226.8614035087719</v>
      </c>
      <c r="P28" s="203">
        <v>10.35</v>
      </c>
      <c r="Q28" s="202" t="s">
        <v>834</v>
      </c>
      <c r="R28" s="201" t="s">
        <v>993</v>
      </c>
      <c r="S28" s="201" t="s">
        <v>34</v>
      </c>
      <c r="T28" s="200"/>
      <c r="U28" s="199"/>
      <c r="V28" s="198">
        <f>IFERROR(IF(N28&lt;P28,"",(ROUNDDOWN(N28/P28*100,0))),"")</f>
        <v>110</v>
      </c>
    </row>
    <row r="29" spans="1:22" ht="24" customHeight="1">
      <c r="A29" s="219"/>
      <c r="B29" s="223"/>
      <c r="C29" s="228"/>
      <c r="D29" s="211" t="s">
        <v>1060</v>
      </c>
      <c r="E29" s="209" t="s">
        <v>912</v>
      </c>
      <c r="F29" s="209">
        <v>4.0090000000000003</v>
      </c>
      <c r="G29" s="209">
        <v>440</v>
      </c>
      <c r="H29" s="209">
        <v>110</v>
      </c>
      <c r="I29" s="209" t="s">
        <v>790</v>
      </c>
      <c r="J29" s="208">
        <v>2356</v>
      </c>
      <c r="K29" s="208">
        <v>4521</v>
      </c>
      <c r="L29" s="207">
        <v>2000</v>
      </c>
      <c r="M29" s="206" t="s">
        <v>775</v>
      </c>
      <c r="N29" s="216">
        <v>11.4</v>
      </c>
      <c r="O29" s="215">
        <f>IF(N29&gt;0,1/N29*37.7*68.6,"")</f>
        <v>226.8614035087719</v>
      </c>
      <c r="P29" s="203">
        <v>10.35</v>
      </c>
      <c r="Q29" s="202" t="s">
        <v>834</v>
      </c>
      <c r="R29" s="201" t="s">
        <v>993</v>
      </c>
      <c r="S29" s="201" t="s">
        <v>34</v>
      </c>
      <c r="T29" s="200"/>
      <c r="U29" s="199"/>
      <c r="V29" s="198">
        <f>IFERROR(IF(N29&lt;P29,"",(ROUNDDOWN(N29/P29*100,0))),"")</f>
        <v>110</v>
      </c>
    </row>
    <row r="30" spans="1:22" ht="24" customHeight="1">
      <c r="A30" s="219"/>
      <c r="B30" s="223"/>
      <c r="C30" s="228"/>
      <c r="D30" s="211" t="s">
        <v>1059</v>
      </c>
      <c r="E30" s="209" t="s">
        <v>912</v>
      </c>
      <c r="F30" s="209">
        <v>4.0090000000000003</v>
      </c>
      <c r="G30" s="209">
        <v>440</v>
      </c>
      <c r="H30" s="209">
        <v>110</v>
      </c>
      <c r="I30" s="209" t="s">
        <v>71</v>
      </c>
      <c r="J30" s="208">
        <v>2356</v>
      </c>
      <c r="K30" s="208">
        <v>4521</v>
      </c>
      <c r="L30" s="207">
        <v>2000</v>
      </c>
      <c r="M30" s="206" t="s">
        <v>775</v>
      </c>
      <c r="N30" s="216">
        <v>11.4</v>
      </c>
      <c r="O30" s="215">
        <f>IF(N30&gt;0,1/N30*37.7*68.6,"")</f>
        <v>226.8614035087719</v>
      </c>
      <c r="P30" s="203">
        <v>10.35</v>
      </c>
      <c r="Q30" s="202" t="s">
        <v>834</v>
      </c>
      <c r="R30" s="201" t="s">
        <v>993</v>
      </c>
      <c r="S30" s="201" t="s">
        <v>34</v>
      </c>
      <c r="T30" s="200"/>
      <c r="U30" s="199"/>
      <c r="V30" s="198">
        <f>IFERROR(IF(N30&lt;P30,"",(ROUNDDOWN(N30/P30*100,0))),"")</f>
        <v>110</v>
      </c>
    </row>
    <row r="31" spans="1:22" ht="24" customHeight="1">
      <c r="A31" s="219"/>
      <c r="B31" s="223"/>
      <c r="C31" s="228"/>
      <c r="D31" s="211" t="s">
        <v>1058</v>
      </c>
      <c r="E31" s="209" t="s">
        <v>912</v>
      </c>
      <c r="F31" s="209">
        <v>4.0090000000000003</v>
      </c>
      <c r="G31" s="209">
        <v>440</v>
      </c>
      <c r="H31" s="209">
        <v>110</v>
      </c>
      <c r="I31" s="209" t="s">
        <v>71</v>
      </c>
      <c r="J31" s="208">
        <v>2356</v>
      </c>
      <c r="K31" s="208">
        <v>4521</v>
      </c>
      <c r="L31" s="207">
        <v>2000</v>
      </c>
      <c r="M31" s="206" t="s">
        <v>775</v>
      </c>
      <c r="N31" s="216">
        <v>11.4</v>
      </c>
      <c r="O31" s="215">
        <f>IF(N31&gt;0,1/N31*37.7*68.6,"")</f>
        <v>226.8614035087719</v>
      </c>
      <c r="P31" s="203">
        <v>10.35</v>
      </c>
      <c r="Q31" s="202" t="s">
        <v>834</v>
      </c>
      <c r="R31" s="201" t="s">
        <v>993</v>
      </c>
      <c r="S31" s="201" t="s">
        <v>34</v>
      </c>
      <c r="T31" s="200"/>
      <c r="U31" s="199"/>
      <c r="V31" s="198">
        <f>IFERROR(IF(N31&lt;P31,"",(ROUNDDOWN(N31/P31*100,0))),"")</f>
        <v>110</v>
      </c>
    </row>
    <row r="32" spans="1:22" ht="24" customHeight="1">
      <c r="A32" s="219"/>
      <c r="B32" s="223"/>
      <c r="C32" s="228"/>
      <c r="D32" s="211" t="s">
        <v>1058</v>
      </c>
      <c r="E32" s="209" t="s">
        <v>912</v>
      </c>
      <c r="F32" s="209">
        <v>4.0090000000000003</v>
      </c>
      <c r="G32" s="209">
        <v>440</v>
      </c>
      <c r="H32" s="209">
        <v>110</v>
      </c>
      <c r="I32" s="209" t="s">
        <v>790</v>
      </c>
      <c r="J32" s="208">
        <v>2356</v>
      </c>
      <c r="K32" s="208">
        <v>4521</v>
      </c>
      <c r="L32" s="207">
        <v>2000</v>
      </c>
      <c r="M32" s="206" t="s">
        <v>775</v>
      </c>
      <c r="N32" s="216">
        <v>11.4</v>
      </c>
      <c r="O32" s="215">
        <f>IF(N32&gt;0,1/N32*37.7*68.6,"")</f>
        <v>226.8614035087719</v>
      </c>
      <c r="P32" s="203">
        <v>10.35</v>
      </c>
      <c r="Q32" s="202" t="s">
        <v>834</v>
      </c>
      <c r="R32" s="201" t="s">
        <v>993</v>
      </c>
      <c r="S32" s="201" t="s">
        <v>34</v>
      </c>
      <c r="T32" s="200"/>
      <c r="U32" s="199"/>
      <c r="V32" s="198">
        <f>IFERROR(IF(N32&lt;P32,"",(ROUNDDOWN(N32/P32*100,0))),"")</f>
        <v>110</v>
      </c>
    </row>
    <row r="33" spans="1:22" ht="24" customHeight="1">
      <c r="A33" s="219"/>
      <c r="B33" s="223"/>
      <c r="C33" s="228"/>
      <c r="D33" s="211" t="s">
        <v>1057</v>
      </c>
      <c r="E33" s="209" t="s">
        <v>912</v>
      </c>
      <c r="F33" s="209">
        <v>4.0090000000000003</v>
      </c>
      <c r="G33" s="209">
        <v>440</v>
      </c>
      <c r="H33" s="209">
        <v>110</v>
      </c>
      <c r="I33" s="209" t="s">
        <v>71</v>
      </c>
      <c r="J33" s="208">
        <v>2356</v>
      </c>
      <c r="K33" s="208">
        <v>4521</v>
      </c>
      <c r="L33" s="207">
        <v>2000</v>
      </c>
      <c r="M33" s="206" t="s">
        <v>775</v>
      </c>
      <c r="N33" s="216">
        <v>11.4</v>
      </c>
      <c r="O33" s="215">
        <f>IF(N33&gt;0,1/N33*37.7*68.6,"")</f>
        <v>226.8614035087719</v>
      </c>
      <c r="P33" s="203">
        <v>10.35</v>
      </c>
      <c r="Q33" s="202" t="s">
        <v>834</v>
      </c>
      <c r="R33" s="201" t="s">
        <v>993</v>
      </c>
      <c r="S33" s="201" t="s">
        <v>34</v>
      </c>
      <c r="T33" s="200"/>
      <c r="U33" s="199"/>
      <c r="V33" s="198">
        <f>IFERROR(IF(N33&lt;P33,"",(ROUNDDOWN(N33/P33*100,0))),"")</f>
        <v>110</v>
      </c>
    </row>
    <row r="34" spans="1:22" ht="24" customHeight="1">
      <c r="A34" s="219"/>
      <c r="B34" s="223"/>
      <c r="C34" s="228"/>
      <c r="D34" s="211" t="s">
        <v>1057</v>
      </c>
      <c r="E34" s="209" t="s">
        <v>912</v>
      </c>
      <c r="F34" s="209">
        <v>4.0090000000000003</v>
      </c>
      <c r="G34" s="209">
        <v>440</v>
      </c>
      <c r="H34" s="209">
        <v>110</v>
      </c>
      <c r="I34" s="209" t="s">
        <v>790</v>
      </c>
      <c r="J34" s="208">
        <v>2356</v>
      </c>
      <c r="K34" s="208">
        <v>4521</v>
      </c>
      <c r="L34" s="207">
        <v>2000</v>
      </c>
      <c r="M34" s="206" t="s">
        <v>775</v>
      </c>
      <c r="N34" s="216">
        <v>11.4</v>
      </c>
      <c r="O34" s="215">
        <f>IF(N34&gt;0,1/N34*37.7*68.6,"")</f>
        <v>226.8614035087719</v>
      </c>
      <c r="P34" s="203">
        <v>10.35</v>
      </c>
      <c r="Q34" s="202" t="s">
        <v>834</v>
      </c>
      <c r="R34" s="201" t="s">
        <v>993</v>
      </c>
      <c r="S34" s="201" t="s">
        <v>34</v>
      </c>
      <c r="T34" s="200"/>
      <c r="U34" s="199"/>
      <c r="V34" s="198">
        <f>IFERROR(IF(N34&lt;P34,"",(ROUNDDOWN(N34/P34*100,0))),"")</f>
        <v>110</v>
      </c>
    </row>
    <row r="35" spans="1:22" ht="24" customHeight="1">
      <c r="A35" s="219"/>
      <c r="B35" s="223"/>
      <c r="C35" s="228"/>
      <c r="D35" s="211" t="s">
        <v>1056</v>
      </c>
      <c r="E35" s="209" t="s">
        <v>912</v>
      </c>
      <c r="F35" s="209">
        <v>4.0090000000000003</v>
      </c>
      <c r="G35" s="209">
        <v>440</v>
      </c>
      <c r="H35" s="209">
        <v>110</v>
      </c>
      <c r="I35" s="209" t="s">
        <v>71</v>
      </c>
      <c r="J35" s="208">
        <v>2356</v>
      </c>
      <c r="K35" s="208">
        <v>4521</v>
      </c>
      <c r="L35" s="207">
        <v>2000</v>
      </c>
      <c r="M35" s="206" t="s">
        <v>775</v>
      </c>
      <c r="N35" s="216">
        <v>11.4</v>
      </c>
      <c r="O35" s="215">
        <f>IF(N35&gt;0,1/N35*37.7*68.6,"")</f>
        <v>226.8614035087719</v>
      </c>
      <c r="P35" s="203">
        <v>10.35</v>
      </c>
      <c r="Q35" s="202" t="s">
        <v>834</v>
      </c>
      <c r="R35" s="201" t="s">
        <v>993</v>
      </c>
      <c r="S35" s="201" t="s">
        <v>34</v>
      </c>
      <c r="T35" s="200"/>
      <c r="U35" s="199"/>
      <c r="V35" s="198">
        <f>IFERROR(IF(N35&lt;P35,"",(ROUNDDOWN(N35/P35*100,0))),"")</f>
        <v>110</v>
      </c>
    </row>
    <row r="36" spans="1:22" ht="24" customHeight="1">
      <c r="A36" s="219"/>
      <c r="B36" s="223"/>
      <c r="C36" s="228"/>
      <c r="D36" s="211" t="s">
        <v>1056</v>
      </c>
      <c r="E36" s="209" t="s">
        <v>912</v>
      </c>
      <c r="F36" s="209">
        <v>4.0090000000000003</v>
      </c>
      <c r="G36" s="209">
        <v>440</v>
      </c>
      <c r="H36" s="209">
        <v>110</v>
      </c>
      <c r="I36" s="209" t="s">
        <v>790</v>
      </c>
      <c r="J36" s="208">
        <v>2356</v>
      </c>
      <c r="K36" s="208">
        <v>4521</v>
      </c>
      <c r="L36" s="207">
        <v>2000</v>
      </c>
      <c r="M36" s="206" t="s">
        <v>775</v>
      </c>
      <c r="N36" s="216">
        <v>11.4</v>
      </c>
      <c r="O36" s="215">
        <f>IF(N36&gt;0,1/N36*37.7*68.6,"")</f>
        <v>226.8614035087719</v>
      </c>
      <c r="P36" s="203">
        <v>10.35</v>
      </c>
      <c r="Q36" s="202" t="s">
        <v>834</v>
      </c>
      <c r="R36" s="201" t="s">
        <v>993</v>
      </c>
      <c r="S36" s="201" t="s">
        <v>34</v>
      </c>
      <c r="T36" s="200"/>
      <c r="U36" s="199"/>
      <c r="V36" s="198">
        <f>IFERROR(IF(N36&lt;P36,"",(ROUNDDOWN(N36/P36*100,0))),"")</f>
        <v>110</v>
      </c>
    </row>
    <row r="37" spans="1:22" ht="24" customHeight="1">
      <c r="A37" s="219"/>
      <c r="B37" s="223"/>
      <c r="C37" s="228"/>
      <c r="D37" s="211" t="s">
        <v>1055</v>
      </c>
      <c r="E37" s="209" t="s">
        <v>912</v>
      </c>
      <c r="F37" s="209">
        <v>4.0090000000000003</v>
      </c>
      <c r="G37" s="209">
        <v>440</v>
      </c>
      <c r="H37" s="209">
        <v>110</v>
      </c>
      <c r="I37" s="209" t="s">
        <v>71</v>
      </c>
      <c r="J37" s="208">
        <v>2356</v>
      </c>
      <c r="K37" s="208">
        <v>4521</v>
      </c>
      <c r="L37" s="207">
        <v>2000</v>
      </c>
      <c r="M37" s="206" t="s">
        <v>775</v>
      </c>
      <c r="N37" s="216">
        <v>11.4</v>
      </c>
      <c r="O37" s="215">
        <f>IF(N37&gt;0,1/N37*37.7*68.6,"")</f>
        <v>226.8614035087719</v>
      </c>
      <c r="P37" s="203">
        <v>10.35</v>
      </c>
      <c r="Q37" s="202" t="s">
        <v>834</v>
      </c>
      <c r="R37" s="201" t="s">
        <v>993</v>
      </c>
      <c r="S37" s="201" t="s">
        <v>34</v>
      </c>
      <c r="T37" s="200"/>
      <c r="U37" s="199"/>
      <c r="V37" s="198">
        <f>IFERROR(IF(N37&lt;P37,"",(ROUNDDOWN(N37/P37*100,0))),"")</f>
        <v>110</v>
      </c>
    </row>
    <row r="38" spans="1:22" ht="24" customHeight="1">
      <c r="A38" s="219"/>
      <c r="B38" s="223"/>
      <c r="C38" s="228"/>
      <c r="D38" s="211" t="s">
        <v>1055</v>
      </c>
      <c r="E38" s="209" t="s">
        <v>912</v>
      </c>
      <c r="F38" s="209">
        <v>4.0090000000000003</v>
      </c>
      <c r="G38" s="209">
        <v>440</v>
      </c>
      <c r="H38" s="209">
        <v>110</v>
      </c>
      <c r="I38" s="209" t="s">
        <v>790</v>
      </c>
      <c r="J38" s="208">
        <v>2356</v>
      </c>
      <c r="K38" s="208">
        <v>4521</v>
      </c>
      <c r="L38" s="207">
        <v>2000</v>
      </c>
      <c r="M38" s="206" t="s">
        <v>775</v>
      </c>
      <c r="N38" s="216">
        <v>11.4</v>
      </c>
      <c r="O38" s="215">
        <f>IF(N38&gt;0,1/N38*37.7*68.6,"")</f>
        <v>226.8614035087719</v>
      </c>
      <c r="P38" s="203">
        <v>10.35</v>
      </c>
      <c r="Q38" s="202" t="s">
        <v>834</v>
      </c>
      <c r="R38" s="201" t="s">
        <v>993</v>
      </c>
      <c r="S38" s="201" t="s">
        <v>34</v>
      </c>
      <c r="T38" s="200"/>
      <c r="U38" s="199"/>
      <c r="V38" s="198">
        <f>IFERROR(IF(N38&lt;P38,"",(ROUNDDOWN(N38/P38*100,0))),"")</f>
        <v>110</v>
      </c>
    </row>
    <row r="39" spans="1:22" ht="24" customHeight="1">
      <c r="A39" s="219"/>
      <c r="B39" s="223"/>
      <c r="C39" s="228"/>
      <c r="D39" s="211" t="s">
        <v>1054</v>
      </c>
      <c r="E39" s="209" t="s">
        <v>912</v>
      </c>
      <c r="F39" s="209">
        <v>4.0090000000000003</v>
      </c>
      <c r="G39" s="209">
        <v>440</v>
      </c>
      <c r="H39" s="209">
        <v>110</v>
      </c>
      <c r="I39" s="209" t="s">
        <v>71</v>
      </c>
      <c r="J39" s="208">
        <v>2356</v>
      </c>
      <c r="K39" s="208">
        <v>4521</v>
      </c>
      <c r="L39" s="207">
        <v>2000</v>
      </c>
      <c r="M39" s="206" t="s">
        <v>775</v>
      </c>
      <c r="N39" s="216">
        <v>11.4</v>
      </c>
      <c r="O39" s="215">
        <f>IF(N39&gt;0,1/N39*37.7*68.6,"")</f>
        <v>226.8614035087719</v>
      </c>
      <c r="P39" s="203">
        <v>10.35</v>
      </c>
      <c r="Q39" s="202" t="s">
        <v>834</v>
      </c>
      <c r="R39" s="201" t="s">
        <v>993</v>
      </c>
      <c r="S39" s="201" t="s">
        <v>34</v>
      </c>
      <c r="T39" s="200"/>
      <c r="U39" s="199"/>
      <c r="V39" s="198">
        <f>IFERROR(IF(N39&lt;P39,"",(ROUNDDOWN(N39/P39*100,0))),"")</f>
        <v>110</v>
      </c>
    </row>
    <row r="40" spans="1:22" ht="24" customHeight="1">
      <c r="A40" s="219"/>
      <c r="B40" s="223"/>
      <c r="C40" s="228"/>
      <c r="D40" s="211" t="s">
        <v>1054</v>
      </c>
      <c r="E40" s="209" t="s">
        <v>912</v>
      </c>
      <c r="F40" s="209">
        <v>4.0090000000000003</v>
      </c>
      <c r="G40" s="209">
        <v>440</v>
      </c>
      <c r="H40" s="209">
        <v>110</v>
      </c>
      <c r="I40" s="209" t="s">
        <v>790</v>
      </c>
      <c r="J40" s="208">
        <v>2356</v>
      </c>
      <c r="K40" s="208">
        <v>4521</v>
      </c>
      <c r="L40" s="207">
        <v>2000</v>
      </c>
      <c r="M40" s="206" t="s">
        <v>775</v>
      </c>
      <c r="N40" s="216">
        <v>11.4</v>
      </c>
      <c r="O40" s="215">
        <f>IF(N40&gt;0,1/N40*37.7*68.6,"")</f>
        <v>226.8614035087719</v>
      </c>
      <c r="P40" s="203">
        <v>10.35</v>
      </c>
      <c r="Q40" s="202" t="s">
        <v>834</v>
      </c>
      <c r="R40" s="201" t="s">
        <v>993</v>
      </c>
      <c r="S40" s="201" t="s">
        <v>34</v>
      </c>
      <c r="T40" s="200"/>
      <c r="U40" s="199"/>
      <c r="V40" s="198">
        <f>IFERROR(IF(N40&lt;P40,"",(ROUNDDOWN(N40/P40*100,0))),"")</f>
        <v>110</v>
      </c>
    </row>
    <row r="41" spans="1:22" ht="24" customHeight="1">
      <c r="A41" s="219"/>
      <c r="B41" s="223"/>
      <c r="C41" s="228"/>
      <c r="D41" s="211" t="s">
        <v>1054</v>
      </c>
      <c r="E41" s="209" t="s">
        <v>912</v>
      </c>
      <c r="F41" s="209">
        <v>4.0090000000000003</v>
      </c>
      <c r="G41" s="209">
        <v>440</v>
      </c>
      <c r="H41" s="209">
        <v>110</v>
      </c>
      <c r="I41" s="209" t="s">
        <v>71</v>
      </c>
      <c r="J41" s="208">
        <v>2652</v>
      </c>
      <c r="K41" s="208">
        <v>5812</v>
      </c>
      <c r="L41" s="207">
        <v>2995</v>
      </c>
      <c r="M41" s="206" t="s">
        <v>775</v>
      </c>
      <c r="N41" s="216">
        <v>10.6</v>
      </c>
      <c r="O41" s="215">
        <f>IF(N41&gt;0,1/N41*37.7*68.6,"")</f>
        <v>243.98301886792456</v>
      </c>
      <c r="P41" s="203">
        <v>9.51</v>
      </c>
      <c r="Q41" s="202" t="s">
        <v>834</v>
      </c>
      <c r="R41" s="201" t="s">
        <v>993</v>
      </c>
      <c r="S41" s="201" t="s">
        <v>34</v>
      </c>
      <c r="T41" s="200"/>
      <c r="U41" s="199"/>
      <c r="V41" s="198">
        <f>IFERROR(IF(N41&lt;P41,"",(ROUNDDOWN(N41/P41*100,0))),"")</f>
        <v>111</v>
      </c>
    </row>
    <row r="42" spans="1:22" ht="24" customHeight="1">
      <c r="A42" s="219"/>
      <c r="B42" s="223"/>
      <c r="C42" s="228"/>
      <c r="D42" s="211" t="s">
        <v>1054</v>
      </c>
      <c r="E42" s="209" t="s">
        <v>912</v>
      </c>
      <c r="F42" s="209">
        <v>4.0090000000000003</v>
      </c>
      <c r="G42" s="209">
        <v>440</v>
      </c>
      <c r="H42" s="209">
        <v>110</v>
      </c>
      <c r="I42" s="209" t="s">
        <v>790</v>
      </c>
      <c r="J42" s="208">
        <v>2652</v>
      </c>
      <c r="K42" s="208">
        <v>5812</v>
      </c>
      <c r="L42" s="207">
        <v>2995</v>
      </c>
      <c r="M42" s="206" t="s">
        <v>775</v>
      </c>
      <c r="N42" s="216">
        <v>10.6</v>
      </c>
      <c r="O42" s="215">
        <f>IF(N42&gt;0,1/N42*37.7*68.6,"")</f>
        <v>243.98301886792456</v>
      </c>
      <c r="P42" s="203">
        <v>9.51</v>
      </c>
      <c r="Q42" s="202" t="s">
        <v>834</v>
      </c>
      <c r="R42" s="201" t="s">
        <v>993</v>
      </c>
      <c r="S42" s="201" t="s">
        <v>34</v>
      </c>
      <c r="T42" s="200"/>
      <c r="U42" s="199"/>
      <c r="V42" s="198">
        <f>IFERROR(IF(N42&lt;P42,"",(ROUNDDOWN(N42/P42*100,0))),"")</f>
        <v>111</v>
      </c>
    </row>
    <row r="43" spans="1:22" ht="24" customHeight="1">
      <c r="A43" s="219"/>
      <c r="B43" s="223"/>
      <c r="C43" s="228"/>
      <c r="D43" s="211" t="s">
        <v>1053</v>
      </c>
      <c r="E43" s="209" t="s">
        <v>912</v>
      </c>
      <c r="F43" s="209">
        <v>4.0090000000000003</v>
      </c>
      <c r="G43" s="209">
        <v>440</v>
      </c>
      <c r="H43" s="209">
        <v>110</v>
      </c>
      <c r="I43" s="209" t="s">
        <v>71</v>
      </c>
      <c r="J43" s="208">
        <v>2652</v>
      </c>
      <c r="K43" s="208">
        <v>5812</v>
      </c>
      <c r="L43" s="207">
        <v>2995</v>
      </c>
      <c r="M43" s="206" t="s">
        <v>775</v>
      </c>
      <c r="N43" s="216">
        <v>10.6</v>
      </c>
      <c r="O43" s="215">
        <f>IF(N43&gt;0,1/N43*37.7*68.6,"")</f>
        <v>243.98301886792456</v>
      </c>
      <c r="P43" s="203">
        <v>9.51</v>
      </c>
      <c r="Q43" s="202" t="s">
        <v>834</v>
      </c>
      <c r="R43" s="201" t="s">
        <v>993</v>
      </c>
      <c r="S43" s="201" t="s">
        <v>34</v>
      </c>
      <c r="T43" s="200"/>
      <c r="U43" s="199"/>
      <c r="V43" s="198">
        <f>IFERROR(IF(N43&lt;P43,"",(ROUNDDOWN(N43/P43*100,0))),"")</f>
        <v>111</v>
      </c>
    </row>
    <row r="44" spans="1:22" ht="24" customHeight="1">
      <c r="A44" s="219"/>
      <c r="B44" s="223"/>
      <c r="C44" s="228"/>
      <c r="D44" s="211" t="s">
        <v>1053</v>
      </c>
      <c r="E44" s="209" t="s">
        <v>912</v>
      </c>
      <c r="F44" s="209">
        <v>4.0090000000000003</v>
      </c>
      <c r="G44" s="209">
        <v>440</v>
      </c>
      <c r="H44" s="209">
        <v>110</v>
      </c>
      <c r="I44" s="209" t="s">
        <v>790</v>
      </c>
      <c r="J44" s="208">
        <v>2652</v>
      </c>
      <c r="K44" s="208">
        <v>5812</v>
      </c>
      <c r="L44" s="207">
        <v>2995</v>
      </c>
      <c r="M44" s="206" t="s">
        <v>775</v>
      </c>
      <c r="N44" s="216">
        <v>10.6</v>
      </c>
      <c r="O44" s="215">
        <f>IF(N44&gt;0,1/N44*37.7*68.6,"")</f>
        <v>243.98301886792456</v>
      </c>
      <c r="P44" s="203">
        <v>9.51</v>
      </c>
      <c r="Q44" s="202" t="s">
        <v>834</v>
      </c>
      <c r="R44" s="201" t="s">
        <v>993</v>
      </c>
      <c r="S44" s="201" t="s">
        <v>34</v>
      </c>
      <c r="T44" s="200"/>
      <c r="U44" s="199"/>
      <c r="V44" s="198">
        <f>IFERROR(IF(N44&lt;P44,"",(ROUNDDOWN(N44/P44*100,0))),"")</f>
        <v>111</v>
      </c>
    </row>
    <row r="45" spans="1:22" ht="24" customHeight="1">
      <c r="A45" s="219"/>
      <c r="B45" s="223"/>
      <c r="C45" s="228"/>
      <c r="D45" s="211" t="s">
        <v>1052</v>
      </c>
      <c r="E45" s="209" t="s">
        <v>912</v>
      </c>
      <c r="F45" s="209">
        <v>4.0090000000000003</v>
      </c>
      <c r="G45" s="209">
        <v>440</v>
      </c>
      <c r="H45" s="209">
        <v>110</v>
      </c>
      <c r="I45" s="209" t="s">
        <v>71</v>
      </c>
      <c r="J45" s="208">
        <v>2356</v>
      </c>
      <c r="K45" s="208">
        <v>4521</v>
      </c>
      <c r="L45" s="207">
        <v>2000</v>
      </c>
      <c r="M45" s="206" t="s">
        <v>775</v>
      </c>
      <c r="N45" s="216">
        <v>11.4</v>
      </c>
      <c r="O45" s="215">
        <f>IF(N45&gt;0,1/N45*37.7*68.6,"")</f>
        <v>226.8614035087719</v>
      </c>
      <c r="P45" s="203">
        <v>10.35</v>
      </c>
      <c r="Q45" s="202" t="s">
        <v>834</v>
      </c>
      <c r="R45" s="201" t="s">
        <v>993</v>
      </c>
      <c r="S45" s="201" t="s">
        <v>34</v>
      </c>
      <c r="T45" s="200"/>
      <c r="U45" s="199"/>
      <c r="V45" s="198">
        <f>IFERROR(IF(N45&lt;P45,"",(ROUNDDOWN(N45/P45*100,0))),"")</f>
        <v>110</v>
      </c>
    </row>
    <row r="46" spans="1:22" ht="24" customHeight="1">
      <c r="A46" s="219"/>
      <c r="B46" s="223"/>
      <c r="C46" s="228"/>
      <c r="D46" s="211" t="s">
        <v>1052</v>
      </c>
      <c r="E46" s="209" t="s">
        <v>912</v>
      </c>
      <c r="F46" s="209">
        <v>4.0090000000000003</v>
      </c>
      <c r="G46" s="209">
        <v>440</v>
      </c>
      <c r="H46" s="209">
        <v>110</v>
      </c>
      <c r="I46" s="209" t="s">
        <v>790</v>
      </c>
      <c r="J46" s="208">
        <v>2356</v>
      </c>
      <c r="K46" s="208">
        <v>4521</v>
      </c>
      <c r="L46" s="207">
        <v>2000</v>
      </c>
      <c r="M46" s="206" t="s">
        <v>775</v>
      </c>
      <c r="N46" s="216">
        <v>11.4</v>
      </c>
      <c r="O46" s="215">
        <f>IF(N46&gt;0,1/N46*37.7*68.6,"")</f>
        <v>226.8614035087719</v>
      </c>
      <c r="P46" s="203">
        <v>10.35</v>
      </c>
      <c r="Q46" s="202" t="s">
        <v>834</v>
      </c>
      <c r="R46" s="201" t="s">
        <v>993</v>
      </c>
      <c r="S46" s="201" t="s">
        <v>34</v>
      </c>
      <c r="T46" s="200"/>
      <c r="U46" s="199"/>
      <c r="V46" s="198">
        <f>IFERROR(IF(N46&lt;P46,"",(ROUNDDOWN(N46/P46*100,0))),"")</f>
        <v>110</v>
      </c>
    </row>
    <row r="47" spans="1:22" ht="24" customHeight="1">
      <c r="A47" s="219"/>
      <c r="B47" s="223"/>
      <c r="C47" s="228"/>
      <c r="D47" s="211" t="s">
        <v>1052</v>
      </c>
      <c r="E47" s="209" t="s">
        <v>912</v>
      </c>
      <c r="F47" s="209">
        <v>4.0090000000000003</v>
      </c>
      <c r="G47" s="209">
        <v>440</v>
      </c>
      <c r="H47" s="209">
        <v>110</v>
      </c>
      <c r="I47" s="209" t="s">
        <v>71</v>
      </c>
      <c r="J47" s="208">
        <v>2652</v>
      </c>
      <c r="K47" s="208">
        <v>5812</v>
      </c>
      <c r="L47" s="207">
        <v>2995</v>
      </c>
      <c r="M47" s="206" t="s">
        <v>775</v>
      </c>
      <c r="N47" s="216">
        <v>10.6</v>
      </c>
      <c r="O47" s="215">
        <f>IF(N47&gt;0,1/N47*37.7*68.6,"")</f>
        <v>243.98301886792456</v>
      </c>
      <c r="P47" s="203">
        <v>9.51</v>
      </c>
      <c r="Q47" s="202" t="s">
        <v>834</v>
      </c>
      <c r="R47" s="201" t="s">
        <v>993</v>
      </c>
      <c r="S47" s="201" t="s">
        <v>34</v>
      </c>
      <c r="T47" s="200"/>
      <c r="U47" s="199"/>
      <c r="V47" s="198">
        <f>IFERROR(IF(N47&lt;P47,"",(ROUNDDOWN(N47/P47*100,0))),"")</f>
        <v>111</v>
      </c>
    </row>
    <row r="48" spans="1:22" ht="24" customHeight="1">
      <c r="A48" s="219"/>
      <c r="B48" s="223"/>
      <c r="C48" s="228"/>
      <c r="D48" s="211" t="s">
        <v>1052</v>
      </c>
      <c r="E48" s="209" t="s">
        <v>912</v>
      </c>
      <c r="F48" s="209">
        <v>4.0090000000000003</v>
      </c>
      <c r="G48" s="209">
        <v>440</v>
      </c>
      <c r="H48" s="209">
        <v>110</v>
      </c>
      <c r="I48" s="209" t="s">
        <v>790</v>
      </c>
      <c r="J48" s="208">
        <v>2652</v>
      </c>
      <c r="K48" s="208">
        <v>5812</v>
      </c>
      <c r="L48" s="207">
        <v>2995</v>
      </c>
      <c r="M48" s="206" t="s">
        <v>775</v>
      </c>
      <c r="N48" s="216">
        <v>10.6</v>
      </c>
      <c r="O48" s="215">
        <f>IF(N48&gt;0,1/N48*37.7*68.6,"")</f>
        <v>243.98301886792456</v>
      </c>
      <c r="P48" s="203">
        <v>9.51</v>
      </c>
      <c r="Q48" s="202" t="s">
        <v>834</v>
      </c>
      <c r="R48" s="201" t="s">
        <v>993</v>
      </c>
      <c r="S48" s="201" t="s">
        <v>34</v>
      </c>
      <c r="T48" s="200"/>
      <c r="U48" s="199"/>
      <c r="V48" s="198">
        <f>IFERROR(IF(N48&lt;P48,"",(ROUNDDOWN(N48/P48*100,0))),"")</f>
        <v>111</v>
      </c>
    </row>
    <row r="49" spans="1:22" ht="24" customHeight="1">
      <c r="A49" s="219"/>
      <c r="B49" s="223"/>
      <c r="C49" s="228"/>
      <c r="D49" s="211" t="s">
        <v>1051</v>
      </c>
      <c r="E49" s="209" t="s">
        <v>912</v>
      </c>
      <c r="F49" s="209">
        <v>4.0090000000000003</v>
      </c>
      <c r="G49" s="209">
        <v>440</v>
      </c>
      <c r="H49" s="209">
        <v>110</v>
      </c>
      <c r="I49" s="209" t="s">
        <v>71</v>
      </c>
      <c r="J49" s="208">
        <v>2356</v>
      </c>
      <c r="K49" s="208">
        <v>4521</v>
      </c>
      <c r="L49" s="207">
        <v>2000</v>
      </c>
      <c r="M49" s="206" t="s">
        <v>775</v>
      </c>
      <c r="N49" s="216">
        <v>11.4</v>
      </c>
      <c r="O49" s="215">
        <f>IF(N49&gt;0,1/N49*37.7*68.6,"")</f>
        <v>226.8614035087719</v>
      </c>
      <c r="P49" s="203">
        <v>10.35</v>
      </c>
      <c r="Q49" s="202" t="s">
        <v>834</v>
      </c>
      <c r="R49" s="201" t="s">
        <v>993</v>
      </c>
      <c r="S49" s="201" t="s">
        <v>34</v>
      </c>
      <c r="T49" s="200"/>
      <c r="U49" s="199"/>
      <c r="V49" s="198">
        <f>IFERROR(IF(N49&lt;P49,"",(ROUNDDOWN(N49/P49*100,0))),"")</f>
        <v>110</v>
      </c>
    </row>
    <row r="50" spans="1:22" ht="24" customHeight="1">
      <c r="A50" s="219"/>
      <c r="B50" s="223"/>
      <c r="C50" s="228"/>
      <c r="D50" s="211" t="s">
        <v>1051</v>
      </c>
      <c r="E50" s="209" t="s">
        <v>912</v>
      </c>
      <c r="F50" s="209">
        <v>4.0090000000000003</v>
      </c>
      <c r="G50" s="209">
        <v>440</v>
      </c>
      <c r="H50" s="209">
        <v>110</v>
      </c>
      <c r="I50" s="209" t="s">
        <v>790</v>
      </c>
      <c r="J50" s="208">
        <v>2356</v>
      </c>
      <c r="K50" s="208">
        <v>4521</v>
      </c>
      <c r="L50" s="207">
        <v>2000</v>
      </c>
      <c r="M50" s="206" t="s">
        <v>775</v>
      </c>
      <c r="N50" s="216">
        <v>11.4</v>
      </c>
      <c r="O50" s="215">
        <f>IF(N50&gt;0,1/N50*37.7*68.6,"")</f>
        <v>226.8614035087719</v>
      </c>
      <c r="P50" s="203">
        <v>10.35</v>
      </c>
      <c r="Q50" s="202" t="s">
        <v>834</v>
      </c>
      <c r="R50" s="201" t="s">
        <v>993</v>
      </c>
      <c r="S50" s="201" t="s">
        <v>34</v>
      </c>
      <c r="T50" s="200"/>
      <c r="U50" s="199"/>
      <c r="V50" s="198">
        <f>IFERROR(IF(N50&lt;P50,"",(ROUNDDOWN(N50/P50*100,0))),"")</f>
        <v>110</v>
      </c>
    </row>
    <row r="51" spans="1:22" ht="24" customHeight="1">
      <c r="A51" s="219"/>
      <c r="B51" s="223"/>
      <c r="C51" s="228"/>
      <c r="D51" s="211" t="s">
        <v>1051</v>
      </c>
      <c r="E51" s="209" t="s">
        <v>912</v>
      </c>
      <c r="F51" s="209">
        <v>4.0090000000000003</v>
      </c>
      <c r="G51" s="209">
        <v>440</v>
      </c>
      <c r="H51" s="209">
        <v>110</v>
      </c>
      <c r="I51" s="209" t="s">
        <v>71</v>
      </c>
      <c r="J51" s="208">
        <v>2652</v>
      </c>
      <c r="K51" s="208">
        <v>5812</v>
      </c>
      <c r="L51" s="207">
        <v>2995</v>
      </c>
      <c r="M51" s="206" t="s">
        <v>775</v>
      </c>
      <c r="N51" s="216">
        <v>10.6</v>
      </c>
      <c r="O51" s="215">
        <f>IF(N51&gt;0,1/N51*37.7*68.6,"")</f>
        <v>243.98301886792456</v>
      </c>
      <c r="P51" s="203">
        <v>9.51</v>
      </c>
      <c r="Q51" s="202" t="s">
        <v>834</v>
      </c>
      <c r="R51" s="201" t="s">
        <v>993</v>
      </c>
      <c r="S51" s="201" t="s">
        <v>34</v>
      </c>
      <c r="T51" s="200"/>
      <c r="U51" s="199"/>
      <c r="V51" s="198">
        <f>IFERROR(IF(N51&lt;P51,"",(ROUNDDOWN(N51/P51*100,0))),"")</f>
        <v>111</v>
      </c>
    </row>
    <row r="52" spans="1:22" ht="24" customHeight="1">
      <c r="A52" s="219"/>
      <c r="B52" s="223"/>
      <c r="C52" s="228"/>
      <c r="D52" s="211" t="s">
        <v>1051</v>
      </c>
      <c r="E52" s="209" t="s">
        <v>912</v>
      </c>
      <c r="F52" s="209">
        <v>4.0090000000000003</v>
      </c>
      <c r="G52" s="209">
        <v>440</v>
      </c>
      <c r="H52" s="209">
        <v>110</v>
      </c>
      <c r="I52" s="209" t="s">
        <v>790</v>
      </c>
      <c r="J52" s="208">
        <v>2652</v>
      </c>
      <c r="K52" s="208">
        <v>5812</v>
      </c>
      <c r="L52" s="207">
        <v>2995</v>
      </c>
      <c r="M52" s="206" t="s">
        <v>775</v>
      </c>
      <c r="N52" s="216">
        <v>10.6</v>
      </c>
      <c r="O52" s="215">
        <f>IF(N52&gt;0,1/N52*37.7*68.6,"")</f>
        <v>243.98301886792456</v>
      </c>
      <c r="P52" s="203">
        <v>9.51</v>
      </c>
      <c r="Q52" s="202" t="s">
        <v>834</v>
      </c>
      <c r="R52" s="201" t="s">
        <v>993</v>
      </c>
      <c r="S52" s="201" t="s">
        <v>34</v>
      </c>
      <c r="T52" s="200"/>
      <c r="U52" s="199"/>
      <c r="V52" s="198">
        <f>IFERROR(IF(N52&lt;P52,"",(ROUNDDOWN(N52/P52*100,0))),"")</f>
        <v>111</v>
      </c>
    </row>
    <row r="53" spans="1:22" ht="24" customHeight="1">
      <c r="A53" s="219"/>
      <c r="B53" s="223"/>
      <c r="C53" s="228"/>
      <c r="D53" s="211" t="s">
        <v>1050</v>
      </c>
      <c r="E53" s="209" t="s">
        <v>912</v>
      </c>
      <c r="F53" s="209">
        <v>4.0090000000000003</v>
      </c>
      <c r="G53" s="209">
        <v>440</v>
      </c>
      <c r="H53" s="209">
        <v>110</v>
      </c>
      <c r="I53" s="209" t="s">
        <v>71</v>
      </c>
      <c r="J53" s="208">
        <v>2356</v>
      </c>
      <c r="K53" s="208">
        <v>4521</v>
      </c>
      <c r="L53" s="207">
        <v>2000</v>
      </c>
      <c r="M53" s="206" t="s">
        <v>775</v>
      </c>
      <c r="N53" s="216">
        <v>11.4</v>
      </c>
      <c r="O53" s="215">
        <f>IF(N53&gt;0,1/N53*37.7*68.6,"")</f>
        <v>226.8614035087719</v>
      </c>
      <c r="P53" s="203">
        <v>10.35</v>
      </c>
      <c r="Q53" s="202" t="s">
        <v>834</v>
      </c>
      <c r="R53" s="201" t="s">
        <v>993</v>
      </c>
      <c r="S53" s="201" t="s">
        <v>34</v>
      </c>
      <c r="T53" s="200"/>
      <c r="U53" s="199"/>
      <c r="V53" s="198">
        <f>IFERROR(IF(N53&lt;P53,"",(ROUNDDOWN(N53/P53*100,0))),"")</f>
        <v>110</v>
      </c>
    </row>
    <row r="54" spans="1:22" ht="24" customHeight="1">
      <c r="A54" s="219"/>
      <c r="B54" s="223"/>
      <c r="C54" s="228"/>
      <c r="D54" s="211" t="s">
        <v>1050</v>
      </c>
      <c r="E54" s="209" t="s">
        <v>912</v>
      </c>
      <c r="F54" s="209">
        <v>4.0090000000000003</v>
      </c>
      <c r="G54" s="209">
        <v>440</v>
      </c>
      <c r="H54" s="209">
        <v>110</v>
      </c>
      <c r="I54" s="209" t="s">
        <v>71</v>
      </c>
      <c r="J54" s="208">
        <v>2652</v>
      </c>
      <c r="K54" s="208">
        <v>5812</v>
      </c>
      <c r="L54" s="207">
        <v>2995</v>
      </c>
      <c r="M54" s="206" t="s">
        <v>775</v>
      </c>
      <c r="N54" s="216">
        <v>10.6</v>
      </c>
      <c r="O54" s="215">
        <f>IF(N54&gt;0,1/N54*37.7*68.6,"")</f>
        <v>243.98301886792456</v>
      </c>
      <c r="P54" s="203">
        <v>9.51</v>
      </c>
      <c r="Q54" s="202" t="s">
        <v>834</v>
      </c>
      <c r="R54" s="201" t="s">
        <v>993</v>
      </c>
      <c r="S54" s="201" t="s">
        <v>34</v>
      </c>
      <c r="T54" s="200"/>
      <c r="U54" s="199"/>
      <c r="V54" s="198">
        <f>IFERROR(IF(N54&lt;P54,"",(ROUNDDOWN(N54/P54*100,0))),"")</f>
        <v>111</v>
      </c>
    </row>
    <row r="55" spans="1:22" ht="24" customHeight="1">
      <c r="A55" s="219"/>
      <c r="B55" s="223"/>
      <c r="C55" s="228"/>
      <c r="D55" s="211" t="s">
        <v>1049</v>
      </c>
      <c r="E55" s="209" t="s">
        <v>912</v>
      </c>
      <c r="F55" s="209">
        <v>4.0090000000000003</v>
      </c>
      <c r="G55" s="209">
        <v>440</v>
      </c>
      <c r="H55" s="209">
        <v>110</v>
      </c>
      <c r="I55" s="209" t="s">
        <v>71</v>
      </c>
      <c r="J55" s="208">
        <v>2652</v>
      </c>
      <c r="K55" s="208">
        <v>5812</v>
      </c>
      <c r="L55" s="207">
        <v>2995</v>
      </c>
      <c r="M55" s="206" t="s">
        <v>775</v>
      </c>
      <c r="N55" s="216">
        <v>10.6</v>
      </c>
      <c r="O55" s="215">
        <f>IF(N55&gt;0,1/N55*37.7*68.6,"")</f>
        <v>243.98301886792456</v>
      </c>
      <c r="P55" s="203">
        <v>9.51</v>
      </c>
      <c r="Q55" s="202" t="s">
        <v>834</v>
      </c>
      <c r="R55" s="201" t="s">
        <v>993</v>
      </c>
      <c r="S55" s="201" t="s">
        <v>34</v>
      </c>
      <c r="T55" s="200"/>
      <c r="U55" s="199"/>
      <c r="V55" s="198">
        <f>IFERROR(IF(N55&lt;P55,"",(ROUNDDOWN(N55/P55*100,0))),"")</f>
        <v>111</v>
      </c>
    </row>
    <row r="56" spans="1:22" ht="24" customHeight="1">
      <c r="A56" s="219"/>
      <c r="B56" s="223"/>
      <c r="C56" s="228"/>
      <c r="D56" s="211" t="s">
        <v>1049</v>
      </c>
      <c r="E56" s="209" t="s">
        <v>912</v>
      </c>
      <c r="F56" s="209">
        <v>4.0090000000000003</v>
      </c>
      <c r="G56" s="209">
        <v>440</v>
      </c>
      <c r="H56" s="209">
        <v>110</v>
      </c>
      <c r="I56" s="209" t="s">
        <v>790</v>
      </c>
      <c r="J56" s="208">
        <v>2652</v>
      </c>
      <c r="K56" s="208">
        <v>5812</v>
      </c>
      <c r="L56" s="207">
        <v>2995</v>
      </c>
      <c r="M56" s="206" t="s">
        <v>775</v>
      </c>
      <c r="N56" s="216">
        <v>10.6</v>
      </c>
      <c r="O56" s="215">
        <f>IF(N56&gt;0,1/N56*37.7*68.6,"")</f>
        <v>243.98301886792456</v>
      </c>
      <c r="P56" s="203">
        <v>9.51</v>
      </c>
      <c r="Q56" s="202" t="s">
        <v>834</v>
      </c>
      <c r="R56" s="201" t="s">
        <v>993</v>
      </c>
      <c r="S56" s="201" t="s">
        <v>34</v>
      </c>
      <c r="T56" s="200"/>
      <c r="U56" s="199"/>
      <c r="V56" s="198">
        <f>IFERROR(IF(N56&lt;P56,"",(ROUNDDOWN(N56/P56*100,0))),"")</f>
        <v>111</v>
      </c>
    </row>
    <row r="57" spans="1:22" ht="24" customHeight="1">
      <c r="A57" s="219"/>
      <c r="B57" s="223"/>
      <c r="C57" s="228"/>
      <c r="D57" s="211" t="s">
        <v>1048</v>
      </c>
      <c r="E57" s="209" t="s">
        <v>912</v>
      </c>
      <c r="F57" s="209">
        <v>4.0090000000000003</v>
      </c>
      <c r="G57" s="209">
        <v>440</v>
      </c>
      <c r="H57" s="209">
        <v>110</v>
      </c>
      <c r="I57" s="209" t="s">
        <v>71</v>
      </c>
      <c r="J57" s="208">
        <v>2356</v>
      </c>
      <c r="K57" s="208">
        <v>4521</v>
      </c>
      <c r="L57" s="207">
        <v>2000</v>
      </c>
      <c r="M57" s="206" t="s">
        <v>775</v>
      </c>
      <c r="N57" s="216">
        <v>11.4</v>
      </c>
      <c r="O57" s="215">
        <f>IF(N57&gt;0,1/N57*37.7*68.6,"")</f>
        <v>226.8614035087719</v>
      </c>
      <c r="P57" s="203">
        <v>10.35</v>
      </c>
      <c r="Q57" s="202" t="s">
        <v>834</v>
      </c>
      <c r="R57" s="201" t="s">
        <v>993</v>
      </c>
      <c r="S57" s="201" t="s">
        <v>34</v>
      </c>
      <c r="T57" s="200"/>
      <c r="U57" s="199"/>
      <c r="V57" s="198">
        <f>IFERROR(IF(N57&lt;P57,"",(ROUNDDOWN(N57/P57*100,0))),"")</f>
        <v>110</v>
      </c>
    </row>
    <row r="58" spans="1:22" ht="24" customHeight="1">
      <c r="A58" s="219"/>
      <c r="B58" s="223"/>
      <c r="C58" s="228"/>
      <c r="D58" s="211" t="s">
        <v>1048</v>
      </c>
      <c r="E58" s="209" t="s">
        <v>912</v>
      </c>
      <c r="F58" s="209">
        <v>4.0090000000000003</v>
      </c>
      <c r="G58" s="209">
        <v>440</v>
      </c>
      <c r="H58" s="209">
        <v>110</v>
      </c>
      <c r="I58" s="209" t="s">
        <v>790</v>
      </c>
      <c r="J58" s="208">
        <v>2356</v>
      </c>
      <c r="K58" s="208">
        <v>4521</v>
      </c>
      <c r="L58" s="207">
        <v>2000</v>
      </c>
      <c r="M58" s="206" t="s">
        <v>775</v>
      </c>
      <c r="N58" s="216">
        <v>11.4</v>
      </c>
      <c r="O58" s="215">
        <f>IF(N58&gt;0,1/N58*37.7*68.6,"")</f>
        <v>226.8614035087719</v>
      </c>
      <c r="P58" s="203">
        <v>10.35</v>
      </c>
      <c r="Q58" s="202" t="s">
        <v>834</v>
      </c>
      <c r="R58" s="201" t="s">
        <v>993</v>
      </c>
      <c r="S58" s="201" t="s">
        <v>34</v>
      </c>
      <c r="T58" s="200"/>
      <c r="U58" s="199"/>
      <c r="V58" s="198">
        <f>IFERROR(IF(N58&lt;P58,"",(ROUNDDOWN(N58/P58*100,0))),"")</f>
        <v>110</v>
      </c>
    </row>
    <row r="59" spans="1:22" ht="24" customHeight="1">
      <c r="A59" s="219"/>
      <c r="B59" s="223"/>
      <c r="C59" s="228"/>
      <c r="D59" s="211" t="s">
        <v>1048</v>
      </c>
      <c r="E59" s="209" t="s">
        <v>912</v>
      </c>
      <c r="F59" s="209">
        <v>4.0090000000000003</v>
      </c>
      <c r="G59" s="209">
        <v>440</v>
      </c>
      <c r="H59" s="209">
        <v>110</v>
      </c>
      <c r="I59" s="209" t="s">
        <v>71</v>
      </c>
      <c r="J59" s="208">
        <v>2652</v>
      </c>
      <c r="K59" s="208">
        <v>5812</v>
      </c>
      <c r="L59" s="207">
        <v>2995</v>
      </c>
      <c r="M59" s="206" t="s">
        <v>775</v>
      </c>
      <c r="N59" s="216">
        <v>10.6</v>
      </c>
      <c r="O59" s="215">
        <f>IF(N59&gt;0,1/N59*37.7*68.6,"")</f>
        <v>243.98301886792456</v>
      </c>
      <c r="P59" s="203">
        <v>9.51</v>
      </c>
      <c r="Q59" s="202" t="s">
        <v>834</v>
      </c>
      <c r="R59" s="201" t="s">
        <v>993</v>
      </c>
      <c r="S59" s="201" t="s">
        <v>34</v>
      </c>
      <c r="T59" s="200"/>
      <c r="U59" s="199"/>
      <c r="V59" s="198">
        <f>IFERROR(IF(N59&lt;P59,"",(ROUNDDOWN(N59/P59*100,0))),"")</f>
        <v>111</v>
      </c>
    </row>
    <row r="60" spans="1:22" ht="24" customHeight="1">
      <c r="A60" s="219"/>
      <c r="B60" s="223"/>
      <c r="C60" s="228"/>
      <c r="D60" s="211" t="s">
        <v>1048</v>
      </c>
      <c r="E60" s="209" t="s">
        <v>912</v>
      </c>
      <c r="F60" s="209">
        <v>4.0090000000000003</v>
      </c>
      <c r="G60" s="209">
        <v>440</v>
      </c>
      <c r="H60" s="209">
        <v>110</v>
      </c>
      <c r="I60" s="209" t="s">
        <v>790</v>
      </c>
      <c r="J60" s="208">
        <v>2652</v>
      </c>
      <c r="K60" s="208">
        <v>5812</v>
      </c>
      <c r="L60" s="207">
        <v>2995</v>
      </c>
      <c r="M60" s="206" t="s">
        <v>775</v>
      </c>
      <c r="N60" s="216">
        <v>10.6</v>
      </c>
      <c r="O60" s="215">
        <f>IF(N60&gt;0,1/N60*37.7*68.6,"")</f>
        <v>243.98301886792456</v>
      </c>
      <c r="P60" s="203">
        <v>9.51</v>
      </c>
      <c r="Q60" s="202" t="s">
        <v>834</v>
      </c>
      <c r="R60" s="201" t="s">
        <v>993</v>
      </c>
      <c r="S60" s="201" t="s">
        <v>34</v>
      </c>
      <c r="T60" s="200"/>
      <c r="U60" s="199"/>
      <c r="V60" s="198">
        <f>IFERROR(IF(N60&lt;P60,"",(ROUNDDOWN(N60/P60*100,0))),"")</f>
        <v>111</v>
      </c>
    </row>
    <row r="61" spans="1:22" ht="24" customHeight="1">
      <c r="A61" s="219"/>
      <c r="B61" s="223"/>
      <c r="C61" s="228"/>
      <c r="D61" s="211" t="s">
        <v>1047</v>
      </c>
      <c r="E61" s="209" t="s">
        <v>912</v>
      </c>
      <c r="F61" s="209">
        <v>4.0090000000000003</v>
      </c>
      <c r="G61" s="209">
        <v>440</v>
      </c>
      <c r="H61" s="209">
        <v>110</v>
      </c>
      <c r="I61" s="209" t="s">
        <v>71</v>
      </c>
      <c r="J61" s="208">
        <v>2356</v>
      </c>
      <c r="K61" s="208">
        <v>4521</v>
      </c>
      <c r="L61" s="207">
        <v>2000</v>
      </c>
      <c r="M61" s="206" t="s">
        <v>775</v>
      </c>
      <c r="N61" s="216">
        <v>11.4</v>
      </c>
      <c r="O61" s="215">
        <f>IF(N61&gt;0,1/N61*37.7*68.6,"")</f>
        <v>226.8614035087719</v>
      </c>
      <c r="P61" s="203">
        <v>10.35</v>
      </c>
      <c r="Q61" s="202" t="s">
        <v>834</v>
      </c>
      <c r="R61" s="201" t="s">
        <v>993</v>
      </c>
      <c r="S61" s="201" t="s">
        <v>34</v>
      </c>
      <c r="T61" s="200"/>
      <c r="U61" s="199"/>
      <c r="V61" s="198">
        <f>IFERROR(IF(N61&lt;P61,"",(ROUNDDOWN(N61/P61*100,0))),"")</f>
        <v>110</v>
      </c>
    </row>
    <row r="62" spans="1:22" ht="24" customHeight="1">
      <c r="A62" s="219"/>
      <c r="B62" s="223"/>
      <c r="C62" s="228"/>
      <c r="D62" s="211" t="s">
        <v>1047</v>
      </c>
      <c r="E62" s="209" t="s">
        <v>912</v>
      </c>
      <c r="F62" s="209">
        <v>4.0090000000000003</v>
      </c>
      <c r="G62" s="209">
        <v>440</v>
      </c>
      <c r="H62" s="209">
        <v>110</v>
      </c>
      <c r="I62" s="209" t="s">
        <v>790</v>
      </c>
      <c r="J62" s="208">
        <v>2356</v>
      </c>
      <c r="K62" s="208">
        <v>4521</v>
      </c>
      <c r="L62" s="207">
        <v>2000</v>
      </c>
      <c r="M62" s="206" t="s">
        <v>775</v>
      </c>
      <c r="N62" s="216">
        <v>11.4</v>
      </c>
      <c r="O62" s="215">
        <f>IF(N62&gt;0,1/N62*37.7*68.6,"")</f>
        <v>226.8614035087719</v>
      </c>
      <c r="P62" s="203">
        <v>10.35</v>
      </c>
      <c r="Q62" s="202" t="s">
        <v>834</v>
      </c>
      <c r="R62" s="201" t="s">
        <v>993</v>
      </c>
      <c r="S62" s="201" t="s">
        <v>34</v>
      </c>
      <c r="T62" s="200"/>
      <c r="U62" s="199"/>
      <c r="V62" s="198">
        <f>IFERROR(IF(N62&lt;P62,"",(ROUNDDOWN(N62/P62*100,0))),"")</f>
        <v>110</v>
      </c>
    </row>
    <row r="63" spans="1:22" ht="24" customHeight="1">
      <c r="A63" s="219"/>
      <c r="B63" s="223"/>
      <c r="C63" s="228"/>
      <c r="D63" s="211" t="s">
        <v>1047</v>
      </c>
      <c r="E63" s="209" t="s">
        <v>912</v>
      </c>
      <c r="F63" s="209">
        <v>4.0090000000000003</v>
      </c>
      <c r="G63" s="209">
        <v>440</v>
      </c>
      <c r="H63" s="209">
        <v>110</v>
      </c>
      <c r="I63" s="209" t="s">
        <v>71</v>
      </c>
      <c r="J63" s="208">
        <v>2652</v>
      </c>
      <c r="K63" s="208">
        <v>5812</v>
      </c>
      <c r="L63" s="207">
        <v>2995</v>
      </c>
      <c r="M63" s="206" t="s">
        <v>775</v>
      </c>
      <c r="N63" s="216">
        <v>10.6</v>
      </c>
      <c r="O63" s="215">
        <f>IF(N63&gt;0,1/N63*37.7*68.6,"")</f>
        <v>243.98301886792456</v>
      </c>
      <c r="P63" s="203">
        <v>9.51</v>
      </c>
      <c r="Q63" s="202" t="s">
        <v>834</v>
      </c>
      <c r="R63" s="201" t="s">
        <v>993</v>
      </c>
      <c r="S63" s="201" t="s">
        <v>34</v>
      </c>
      <c r="T63" s="200"/>
      <c r="U63" s="199"/>
      <c r="V63" s="198">
        <f>IFERROR(IF(N63&lt;P63,"",(ROUNDDOWN(N63/P63*100,0))),"")</f>
        <v>111</v>
      </c>
    </row>
    <row r="64" spans="1:22" ht="24" customHeight="1">
      <c r="A64" s="219"/>
      <c r="B64" s="223"/>
      <c r="C64" s="228"/>
      <c r="D64" s="211" t="s">
        <v>1047</v>
      </c>
      <c r="E64" s="209" t="s">
        <v>912</v>
      </c>
      <c r="F64" s="209">
        <v>4.0090000000000003</v>
      </c>
      <c r="G64" s="209">
        <v>440</v>
      </c>
      <c r="H64" s="209">
        <v>110</v>
      </c>
      <c r="I64" s="209" t="s">
        <v>790</v>
      </c>
      <c r="J64" s="208">
        <v>2652</v>
      </c>
      <c r="K64" s="208">
        <v>5812</v>
      </c>
      <c r="L64" s="207">
        <v>2995</v>
      </c>
      <c r="M64" s="206" t="s">
        <v>775</v>
      </c>
      <c r="N64" s="216">
        <v>10.6</v>
      </c>
      <c r="O64" s="215">
        <f>IF(N64&gt;0,1/N64*37.7*68.6,"")</f>
        <v>243.98301886792456</v>
      </c>
      <c r="P64" s="203">
        <v>9.51</v>
      </c>
      <c r="Q64" s="202" t="s">
        <v>834</v>
      </c>
      <c r="R64" s="201" t="s">
        <v>993</v>
      </c>
      <c r="S64" s="201" t="s">
        <v>34</v>
      </c>
      <c r="T64" s="200"/>
      <c r="U64" s="199"/>
      <c r="V64" s="198">
        <f>IFERROR(IF(N64&lt;P64,"",(ROUNDDOWN(N64/P64*100,0))),"")</f>
        <v>111</v>
      </c>
    </row>
    <row r="65" spans="1:22" ht="24" customHeight="1">
      <c r="A65" s="219"/>
      <c r="B65" s="223"/>
      <c r="C65" s="228"/>
      <c r="D65" s="211" t="s">
        <v>1046</v>
      </c>
      <c r="E65" s="209" t="s">
        <v>912</v>
      </c>
      <c r="F65" s="209">
        <v>4.0090000000000003</v>
      </c>
      <c r="G65" s="209">
        <v>440</v>
      </c>
      <c r="H65" s="209">
        <v>110</v>
      </c>
      <c r="I65" s="209" t="s">
        <v>71</v>
      </c>
      <c r="J65" s="208">
        <v>2356</v>
      </c>
      <c r="K65" s="208">
        <v>4521</v>
      </c>
      <c r="L65" s="207">
        <v>2000</v>
      </c>
      <c r="M65" s="206" t="s">
        <v>775</v>
      </c>
      <c r="N65" s="216">
        <v>11.4</v>
      </c>
      <c r="O65" s="215">
        <f>IF(N65&gt;0,1/N65*37.7*68.6,"")</f>
        <v>226.8614035087719</v>
      </c>
      <c r="P65" s="203">
        <v>10.35</v>
      </c>
      <c r="Q65" s="202" t="s">
        <v>834</v>
      </c>
      <c r="R65" s="201" t="s">
        <v>993</v>
      </c>
      <c r="S65" s="201" t="s">
        <v>34</v>
      </c>
      <c r="T65" s="200"/>
      <c r="U65" s="199"/>
      <c r="V65" s="198">
        <f>IFERROR(IF(N65&lt;P65,"",(ROUNDDOWN(N65/P65*100,0))),"")</f>
        <v>110</v>
      </c>
    </row>
    <row r="66" spans="1:22" ht="24" customHeight="1">
      <c r="A66" s="219"/>
      <c r="B66" s="223"/>
      <c r="C66" s="228"/>
      <c r="D66" s="211" t="s">
        <v>1046</v>
      </c>
      <c r="E66" s="209" t="s">
        <v>912</v>
      </c>
      <c r="F66" s="209">
        <v>4.0090000000000003</v>
      </c>
      <c r="G66" s="209">
        <v>440</v>
      </c>
      <c r="H66" s="209">
        <v>110</v>
      </c>
      <c r="I66" s="209" t="s">
        <v>790</v>
      </c>
      <c r="J66" s="208">
        <v>2356</v>
      </c>
      <c r="K66" s="208">
        <v>4521</v>
      </c>
      <c r="L66" s="207">
        <v>2000</v>
      </c>
      <c r="M66" s="206" t="s">
        <v>775</v>
      </c>
      <c r="N66" s="216">
        <v>11.4</v>
      </c>
      <c r="O66" s="215">
        <f>IF(N66&gt;0,1/N66*37.7*68.6,"")</f>
        <v>226.8614035087719</v>
      </c>
      <c r="P66" s="203">
        <v>10.35</v>
      </c>
      <c r="Q66" s="202" t="s">
        <v>834</v>
      </c>
      <c r="R66" s="201" t="s">
        <v>993</v>
      </c>
      <c r="S66" s="201" t="s">
        <v>34</v>
      </c>
      <c r="T66" s="200"/>
      <c r="U66" s="199"/>
      <c r="V66" s="198">
        <f>IFERROR(IF(N66&lt;P66,"",(ROUNDDOWN(N66/P66*100,0))),"")</f>
        <v>110</v>
      </c>
    </row>
    <row r="67" spans="1:22" ht="24" customHeight="1">
      <c r="A67" s="219"/>
      <c r="B67" s="223"/>
      <c r="C67" s="228"/>
      <c r="D67" s="211" t="s">
        <v>1046</v>
      </c>
      <c r="E67" s="209" t="s">
        <v>912</v>
      </c>
      <c r="F67" s="209">
        <v>4.0090000000000003</v>
      </c>
      <c r="G67" s="209">
        <v>440</v>
      </c>
      <c r="H67" s="209">
        <v>110</v>
      </c>
      <c r="I67" s="209" t="s">
        <v>71</v>
      </c>
      <c r="J67" s="208">
        <v>2652</v>
      </c>
      <c r="K67" s="208">
        <v>5812</v>
      </c>
      <c r="L67" s="207">
        <v>2995</v>
      </c>
      <c r="M67" s="206" t="s">
        <v>775</v>
      </c>
      <c r="N67" s="216">
        <v>10.6</v>
      </c>
      <c r="O67" s="215">
        <f>IF(N67&gt;0,1/N67*37.7*68.6,"")</f>
        <v>243.98301886792456</v>
      </c>
      <c r="P67" s="203">
        <v>9.51</v>
      </c>
      <c r="Q67" s="202" t="s">
        <v>834</v>
      </c>
      <c r="R67" s="201" t="s">
        <v>993</v>
      </c>
      <c r="S67" s="201" t="s">
        <v>34</v>
      </c>
      <c r="T67" s="200"/>
      <c r="U67" s="199"/>
      <c r="V67" s="198">
        <f>IFERROR(IF(N67&lt;P67,"",(ROUNDDOWN(N67/P67*100,0))),"")</f>
        <v>111</v>
      </c>
    </row>
    <row r="68" spans="1:22" ht="24" customHeight="1">
      <c r="A68" s="219"/>
      <c r="B68" s="223"/>
      <c r="C68" s="228"/>
      <c r="D68" s="211" t="s">
        <v>1046</v>
      </c>
      <c r="E68" s="209" t="s">
        <v>912</v>
      </c>
      <c r="F68" s="209">
        <v>4.0090000000000003</v>
      </c>
      <c r="G68" s="209">
        <v>440</v>
      </c>
      <c r="H68" s="209">
        <v>110</v>
      </c>
      <c r="I68" s="209" t="s">
        <v>790</v>
      </c>
      <c r="J68" s="208">
        <v>2652</v>
      </c>
      <c r="K68" s="208">
        <v>5812</v>
      </c>
      <c r="L68" s="207">
        <v>2995</v>
      </c>
      <c r="M68" s="206" t="s">
        <v>775</v>
      </c>
      <c r="N68" s="216">
        <v>10.6</v>
      </c>
      <c r="O68" s="215">
        <f>IF(N68&gt;0,1/N68*37.7*68.6,"")</f>
        <v>243.98301886792456</v>
      </c>
      <c r="P68" s="203">
        <v>9.51</v>
      </c>
      <c r="Q68" s="202" t="s">
        <v>834</v>
      </c>
      <c r="R68" s="201" t="s">
        <v>993</v>
      </c>
      <c r="S68" s="201" t="s">
        <v>34</v>
      </c>
      <c r="T68" s="200"/>
      <c r="U68" s="199"/>
      <c r="V68" s="198">
        <f>IFERROR(IF(N68&lt;P68,"",(ROUNDDOWN(N68/P68*100,0))),"")</f>
        <v>111</v>
      </c>
    </row>
    <row r="69" spans="1:22" ht="24" customHeight="1">
      <c r="A69" s="219"/>
      <c r="B69" s="223"/>
      <c r="C69" s="228"/>
      <c r="D69" s="211" t="s">
        <v>1045</v>
      </c>
      <c r="E69" s="209" t="s">
        <v>912</v>
      </c>
      <c r="F69" s="209">
        <v>4.0090000000000003</v>
      </c>
      <c r="G69" s="209">
        <v>440</v>
      </c>
      <c r="H69" s="209">
        <v>110</v>
      </c>
      <c r="I69" s="209" t="s">
        <v>71</v>
      </c>
      <c r="J69" s="208">
        <v>2356</v>
      </c>
      <c r="K69" s="208">
        <v>4521</v>
      </c>
      <c r="L69" s="207">
        <v>2000</v>
      </c>
      <c r="M69" s="206" t="s">
        <v>775</v>
      </c>
      <c r="N69" s="216">
        <v>11.4</v>
      </c>
      <c r="O69" s="215">
        <f>IF(N69&gt;0,1/N69*37.7*68.6,"")</f>
        <v>226.8614035087719</v>
      </c>
      <c r="P69" s="203">
        <v>10.35</v>
      </c>
      <c r="Q69" s="202" t="s">
        <v>834</v>
      </c>
      <c r="R69" s="201" t="s">
        <v>993</v>
      </c>
      <c r="S69" s="201" t="s">
        <v>34</v>
      </c>
      <c r="T69" s="200"/>
      <c r="U69" s="199"/>
      <c r="V69" s="198">
        <f>IFERROR(IF(N69&lt;P69,"",(ROUNDDOWN(N69/P69*100,0))),"")</f>
        <v>110</v>
      </c>
    </row>
    <row r="70" spans="1:22" ht="24" customHeight="1">
      <c r="A70" s="219"/>
      <c r="B70" s="223"/>
      <c r="C70" s="228"/>
      <c r="D70" s="211" t="s">
        <v>1045</v>
      </c>
      <c r="E70" s="209" t="s">
        <v>912</v>
      </c>
      <c r="F70" s="209">
        <v>4.0090000000000003</v>
      </c>
      <c r="G70" s="209">
        <v>440</v>
      </c>
      <c r="H70" s="209">
        <v>110</v>
      </c>
      <c r="I70" s="209" t="s">
        <v>790</v>
      </c>
      <c r="J70" s="208">
        <v>2356</v>
      </c>
      <c r="K70" s="208">
        <v>4521</v>
      </c>
      <c r="L70" s="207">
        <v>2000</v>
      </c>
      <c r="M70" s="206" t="s">
        <v>775</v>
      </c>
      <c r="N70" s="216">
        <v>11.4</v>
      </c>
      <c r="O70" s="215">
        <f>IF(N70&gt;0,1/N70*37.7*68.6,"")</f>
        <v>226.8614035087719</v>
      </c>
      <c r="P70" s="203">
        <v>10.35</v>
      </c>
      <c r="Q70" s="202" t="s">
        <v>834</v>
      </c>
      <c r="R70" s="201" t="s">
        <v>993</v>
      </c>
      <c r="S70" s="201" t="s">
        <v>34</v>
      </c>
      <c r="T70" s="200"/>
      <c r="U70" s="199"/>
      <c r="V70" s="198">
        <f>IFERROR(IF(N70&lt;P70,"",(ROUNDDOWN(N70/P70*100,0))),"")</f>
        <v>110</v>
      </c>
    </row>
    <row r="71" spans="1:22" ht="24" customHeight="1">
      <c r="A71" s="219"/>
      <c r="B71" s="223"/>
      <c r="C71" s="228"/>
      <c r="D71" s="211" t="s">
        <v>1044</v>
      </c>
      <c r="E71" s="209" t="s">
        <v>912</v>
      </c>
      <c r="F71" s="209">
        <v>4.0090000000000003</v>
      </c>
      <c r="G71" s="209">
        <v>440</v>
      </c>
      <c r="H71" s="209">
        <v>110</v>
      </c>
      <c r="I71" s="209" t="s">
        <v>71</v>
      </c>
      <c r="J71" s="208">
        <v>2652</v>
      </c>
      <c r="K71" s="208">
        <v>5812</v>
      </c>
      <c r="L71" s="207">
        <v>2995</v>
      </c>
      <c r="M71" s="206" t="s">
        <v>775</v>
      </c>
      <c r="N71" s="216">
        <v>10.6</v>
      </c>
      <c r="O71" s="215">
        <f>IF(N71&gt;0,1/N71*37.7*68.6,"")</f>
        <v>243.98301886792456</v>
      </c>
      <c r="P71" s="203">
        <v>9.51</v>
      </c>
      <c r="Q71" s="202" t="s">
        <v>834</v>
      </c>
      <c r="R71" s="201" t="s">
        <v>993</v>
      </c>
      <c r="S71" s="201" t="s">
        <v>34</v>
      </c>
      <c r="T71" s="200"/>
      <c r="U71" s="199"/>
      <c r="V71" s="198">
        <f>IFERROR(IF(N71&lt;P71,"",(ROUNDDOWN(N71/P71*100,0))),"")</f>
        <v>111</v>
      </c>
    </row>
    <row r="72" spans="1:22" ht="24" customHeight="1">
      <c r="A72" s="219"/>
      <c r="B72" s="223"/>
      <c r="C72" s="228"/>
      <c r="D72" s="211" t="s">
        <v>1044</v>
      </c>
      <c r="E72" s="209" t="s">
        <v>912</v>
      </c>
      <c r="F72" s="209">
        <v>4.0090000000000003</v>
      </c>
      <c r="G72" s="209">
        <v>440</v>
      </c>
      <c r="H72" s="209">
        <v>110</v>
      </c>
      <c r="I72" s="209" t="s">
        <v>790</v>
      </c>
      <c r="J72" s="208">
        <v>2652</v>
      </c>
      <c r="K72" s="208">
        <v>5812</v>
      </c>
      <c r="L72" s="207">
        <v>2995</v>
      </c>
      <c r="M72" s="206" t="s">
        <v>775</v>
      </c>
      <c r="N72" s="216">
        <v>10.6</v>
      </c>
      <c r="O72" s="215">
        <f>IF(N72&gt;0,1/N72*37.7*68.6,"")</f>
        <v>243.98301886792456</v>
      </c>
      <c r="P72" s="203">
        <v>9.51</v>
      </c>
      <c r="Q72" s="202" t="s">
        <v>834</v>
      </c>
      <c r="R72" s="201" t="s">
        <v>993</v>
      </c>
      <c r="S72" s="201" t="s">
        <v>34</v>
      </c>
      <c r="T72" s="200"/>
      <c r="U72" s="199"/>
      <c r="V72" s="198">
        <f>IFERROR(IF(N72&lt;P72,"",(ROUNDDOWN(N72/P72*100,0))),"")</f>
        <v>111</v>
      </c>
    </row>
    <row r="73" spans="1:22" ht="24" customHeight="1">
      <c r="A73" s="219"/>
      <c r="B73" s="223"/>
      <c r="C73" s="228"/>
      <c r="D73" s="211" t="s">
        <v>1043</v>
      </c>
      <c r="E73" s="209" t="s">
        <v>912</v>
      </c>
      <c r="F73" s="209">
        <v>4.0090000000000003</v>
      </c>
      <c r="G73" s="209">
        <v>440</v>
      </c>
      <c r="H73" s="209">
        <v>110</v>
      </c>
      <c r="I73" s="209" t="s">
        <v>71</v>
      </c>
      <c r="J73" s="208">
        <v>2356</v>
      </c>
      <c r="K73" s="208">
        <v>4521</v>
      </c>
      <c r="L73" s="207">
        <v>2000</v>
      </c>
      <c r="M73" s="206" t="s">
        <v>775</v>
      </c>
      <c r="N73" s="216">
        <v>11.4</v>
      </c>
      <c r="O73" s="215">
        <f>IF(N73&gt;0,1/N73*37.7*68.6,"")</f>
        <v>226.8614035087719</v>
      </c>
      <c r="P73" s="203">
        <v>10.35</v>
      </c>
      <c r="Q73" s="202" t="s">
        <v>834</v>
      </c>
      <c r="R73" s="201" t="s">
        <v>993</v>
      </c>
      <c r="S73" s="201" t="s">
        <v>34</v>
      </c>
      <c r="T73" s="200"/>
      <c r="U73" s="199"/>
      <c r="V73" s="198">
        <f>IFERROR(IF(N73&lt;P73,"",(ROUNDDOWN(N73/P73*100,0))),"")</f>
        <v>110</v>
      </c>
    </row>
    <row r="74" spans="1:22" ht="24" customHeight="1">
      <c r="A74" s="219"/>
      <c r="B74" s="223"/>
      <c r="C74" s="228"/>
      <c r="D74" s="211" t="s">
        <v>1043</v>
      </c>
      <c r="E74" s="209" t="s">
        <v>912</v>
      </c>
      <c r="F74" s="209">
        <v>4.0090000000000003</v>
      </c>
      <c r="G74" s="209">
        <v>440</v>
      </c>
      <c r="H74" s="209">
        <v>110</v>
      </c>
      <c r="I74" s="209" t="s">
        <v>790</v>
      </c>
      <c r="J74" s="208">
        <v>2356</v>
      </c>
      <c r="K74" s="208">
        <v>4521</v>
      </c>
      <c r="L74" s="207">
        <v>2000</v>
      </c>
      <c r="M74" s="206" t="s">
        <v>775</v>
      </c>
      <c r="N74" s="216">
        <v>11.4</v>
      </c>
      <c r="O74" s="215">
        <f>IF(N74&gt;0,1/N74*37.7*68.6,"")</f>
        <v>226.8614035087719</v>
      </c>
      <c r="P74" s="203">
        <v>10.35</v>
      </c>
      <c r="Q74" s="202" t="s">
        <v>834</v>
      </c>
      <c r="R74" s="201" t="s">
        <v>993</v>
      </c>
      <c r="S74" s="201" t="s">
        <v>34</v>
      </c>
      <c r="T74" s="200"/>
      <c r="U74" s="199"/>
      <c r="V74" s="198">
        <f>IFERROR(IF(N74&lt;P74,"",(ROUNDDOWN(N74/P74*100,0))),"")</f>
        <v>110</v>
      </c>
    </row>
    <row r="75" spans="1:22" ht="24" customHeight="1">
      <c r="A75" s="219"/>
      <c r="B75" s="223"/>
      <c r="C75" s="228"/>
      <c r="D75" s="211" t="s">
        <v>1042</v>
      </c>
      <c r="E75" s="209" t="s">
        <v>912</v>
      </c>
      <c r="F75" s="209">
        <v>4.0090000000000003</v>
      </c>
      <c r="G75" s="209">
        <v>440</v>
      </c>
      <c r="H75" s="209">
        <v>110</v>
      </c>
      <c r="I75" s="209" t="s">
        <v>71</v>
      </c>
      <c r="J75" s="208">
        <v>2652</v>
      </c>
      <c r="K75" s="208">
        <v>5812</v>
      </c>
      <c r="L75" s="207">
        <v>2995</v>
      </c>
      <c r="M75" s="206" t="s">
        <v>775</v>
      </c>
      <c r="N75" s="216">
        <v>10.6</v>
      </c>
      <c r="O75" s="215">
        <f>IF(N75&gt;0,1/N75*37.7*68.6,"")</f>
        <v>243.98301886792456</v>
      </c>
      <c r="P75" s="203">
        <v>9.51</v>
      </c>
      <c r="Q75" s="202" t="s">
        <v>834</v>
      </c>
      <c r="R75" s="201" t="s">
        <v>993</v>
      </c>
      <c r="S75" s="201" t="s">
        <v>34</v>
      </c>
      <c r="T75" s="200"/>
      <c r="U75" s="199"/>
      <c r="V75" s="198">
        <f>IFERROR(IF(N75&lt;P75,"",(ROUNDDOWN(N75/P75*100,0))),"")</f>
        <v>111</v>
      </c>
    </row>
    <row r="76" spans="1:22" ht="24" customHeight="1">
      <c r="A76" s="219"/>
      <c r="B76" s="223"/>
      <c r="C76" s="228"/>
      <c r="D76" s="211" t="s">
        <v>1042</v>
      </c>
      <c r="E76" s="209" t="s">
        <v>912</v>
      </c>
      <c r="F76" s="209">
        <v>4.0090000000000003</v>
      </c>
      <c r="G76" s="209">
        <v>440</v>
      </c>
      <c r="H76" s="209">
        <v>110</v>
      </c>
      <c r="I76" s="209" t="s">
        <v>790</v>
      </c>
      <c r="J76" s="208">
        <v>2652</v>
      </c>
      <c r="K76" s="208">
        <v>5812</v>
      </c>
      <c r="L76" s="207">
        <v>2995</v>
      </c>
      <c r="M76" s="206" t="s">
        <v>775</v>
      </c>
      <c r="N76" s="216">
        <v>10.6</v>
      </c>
      <c r="O76" s="215">
        <f>IF(N76&gt;0,1/N76*37.7*68.6,"")</f>
        <v>243.98301886792456</v>
      </c>
      <c r="P76" s="203">
        <v>9.51</v>
      </c>
      <c r="Q76" s="202" t="s">
        <v>834</v>
      </c>
      <c r="R76" s="201" t="s">
        <v>993</v>
      </c>
      <c r="S76" s="201" t="s">
        <v>34</v>
      </c>
      <c r="T76" s="200"/>
      <c r="U76" s="199"/>
      <c r="V76" s="198">
        <f>IFERROR(IF(N76&lt;P76,"",(ROUNDDOWN(N76/P76*100,0))),"")</f>
        <v>111</v>
      </c>
    </row>
    <row r="77" spans="1:22" ht="24" customHeight="1">
      <c r="A77" s="219"/>
      <c r="B77" s="223"/>
      <c r="C77" s="228"/>
      <c r="D77" s="211" t="s">
        <v>1041</v>
      </c>
      <c r="E77" s="209" t="s">
        <v>912</v>
      </c>
      <c r="F77" s="209">
        <v>4.0090000000000003</v>
      </c>
      <c r="G77" s="209">
        <v>440</v>
      </c>
      <c r="H77" s="209">
        <v>110</v>
      </c>
      <c r="I77" s="209" t="s">
        <v>71</v>
      </c>
      <c r="J77" s="208">
        <v>2356</v>
      </c>
      <c r="K77" s="208">
        <v>4521</v>
      </c>
      <c r="L77" s="207">
        <v>2000</v>
      </c>
      <c r="M77" s="206" t="s">
        <v>775</v>
      </c>
      <c r="N77" s="216">
        <v>11.4</v>
      </c>
      <c r="O77" s="215">
        <f>IF(N77&gt;0,1/N77*37.7*68.6,"")</f>
        <v>226.8614035087719</v>
      </c>
      <c r="P77" s="203">
        <v>10.35</v>
      </c>
      <c r="Q77" s="202" t="s">
        <v>834</v>
      </c>
      <c r="R77" s="201" t="s">
        <v>993</v>
      </c>
      <c r="S77" s="201" t="s">
        <v>34</v>
      </c>
      <c r="T77" s="200"/>
      <c r="U77" s="199"/>
      <c r="V77" s="198">
        <f>IFERROR(IF(N77&lt;P77,"",(ROUNDDOWN(N77/P77*100,0))),"")</f>
        <v>110</v>
      </c>
    </row>
    <row r="78" spans="1:22" ht="24" customHeight="1">
      <c r="A78" s="219"/>
      <c r="B78" s="223"/>
      <c r="C78" s="228"/>
      <c r="D78" s="211" t="s">
        <v>1041</v>
      </c>
      <c r="E78" s="209" t="s">
        <v>912</v>
      </c>
      <c r="F78" s="209">
        <v>4.0090000000000003</v>
      </c>
      <c r="G78" s="209">
        <v>440</v>
      </c>
      <c r="H78" s="209">
        <v>110</v>
      </c>
      <c r="I78" s="209" t="s">
        <v>790</v>
      </c>
      <c r="J78" s="208">
        <v>2356</v>
      </c>
      <c r="K78" s="208">
        <v>4521</v>
      </c>
      <c r="L78" s="207">
        <v>2000</v>
      </c>
      <c r="M78" s="206" t="s">
        <v>775</v>
      </c>
      <c r="N78" s="216">
        <v>11.4</v>
      </c>
      <c r="O78" s="215">
        <f>IF(N78&gt;0,1/N78*37.7*68.6,"")</f>
        <v>226.8614035087719</v>
      </c>
      <c r="P78" s="203">
        <v>10.35</v>
      </c>
      <c r="Q78" s="202" t="s">
        <v>834</v>
      </c>
      <c r="R78" s="201" t="s">
        <v>993</v>
      </c>
      <c r="S78" s="201" t="s">
        <v>34</v>
      </c>
      <c r="T78" s="200"/>
      <c r="U78" s="199"/>
      <c r="V78" s="198">
        <f>IFERROR(IF(N78&lt;P78,"",(ROUNDDOWN(N78/P78*100,0))),"")</f>
        <v>110</v>
      </c>
    </row>
    <row r="79" spans="1:22" ht="24" customHeight="1">
      <c r="A79" s="219"/>
      <c r="B79" s="223"/>
      <c r="C79" s="228"/>
      <c r="D79" s="211" t="s">
        <v>1040</v>
      </c>
      <c r="E79" s="209" t="s">
        <v>912</v>
      </c>
      <c r="F79" s="209">
        <v>4.0090000000000003</v>
      </c>
      <c r="G79" s="209">
        <v>440</v>
      </c>
      <c r="H79" s="209">
        <v>110</v>
      </c>
      <c r="I79" s="209" t="s">
        <v>71</v>
      </c>
      <c r="J79" s="208">
        <v>2652</v>
      </c>
      <c r="K79" s="208">
        <v>5812</v>
      </c>
      <c r="L79" s="207">
        <v>2995</v>
      </c>
      <c r="M79" s="206" t="s">
        <v>775</v>
      </c>
      <c r="N79" s="216">
        <v>10.6</v>
      </c>
      <c r="O79" s="215">
        <f>IF(N79&gt;0,1/N79*37.7*68.6,"")</f>
        <v>243.98301886792456</v>
      </c>
      <c r="P79" s="203">
        <v>9.51</v>
      </c>
      <c r="Q79" s="202" t="s">
        <v>834</v>
      </c>
      <c r="R79" s="201" t="s">
        <v>993</v>
      </c>
      <c r="S79" s="201" t="s">
        <v>34</v>
      </c>
      <c r="T79" s="200"/>
      <c r="U79" s="199"/>
      <c r="V79" s="198">
        <f>IFERROR(IF(N79&lt;P79,"",(ROUNDDOWN(N79/P79*100,0))),"")</f>
        <v>111</v>
      </c>
    </row>
    <row r="80" spans="1:22" ht="24" customHeight="1">
      <c r="A80" s="219"/>
      <c r="B80" s="223"/>
      <c r="C80" s="228"/>
      <c r="D80" s="211" t="s">
        <v>1040</v>
      </c>
      <c r="E80" s="209" t="s">
        <v>912</v>
      </c>
      <c r="F80" s="209">
        <v>4.0090000000000003</v>
      </c>
      <c r="G80" s="209">
        <v>440</v>
      </c>
      <c r="H80" s="209">
        <v>110</v>
      </c>
      <c r="I80" s="209" t="s">
        <v>790</v>
      </c>
      <c r="J80" s="208">
        <v>2652</v>
      </c>
      <c r="K80" s="208">
        <v>5812</v>
      </c>
      <c r="L80" s="207">
        <v>2995</v>
      </c>
      <c r="M80" s="206" t="s">
        <v>775</v>
      </c>
      <c r="N80" s="216">
        <v>10.6</v>
      </c>
      <c r="O80" s="215">
        <f>IF(N80&gt;0,1/N80*37.7*68.6,"")</f>
        <v>243.98301886792456</v>
      </c>
      <c r="P80" s="203">
        <v>9.51</v>
      </c>
      <c r="Q80" s="202" t="s">
        <v>834</v>
      </c>
      <c r="R80" s="201" t="s">
        <v>993</v>
      </c>
      <c r="S80" s="201" t="s">
        <v>34</v>
      </c>
      <c r="T80" s="200"/>
      <c r="U80" s="199"/>
      <c r="V80" s="198">
        <f>IFERROR(IF(N80&lt;P80,"",(ROUNDDOWN(N80/P80*100,0))),"")</f>
        <v>111</v>
      </c>
    </row>
    <row r="81" spans="1:22" ht="24" customHeight="1">
      <c r="A81" s="219"/>
      <c r="B81" s="223"/>
      <c r="C81" s="228"/>
      <c r="D81" s="211" t="s">
        <v>1039</v>
      </c>
      <c r="E81" s="209" t="s">
        <v>912</v>
      </c>
      <c r="F81" s="209">
        <v>4.0090000000000003</v>
      </c>
      <c r="G81" s="209">
        <v>440</v>
      </c>
      <c r="H81" s="209">
        <v>110</v>
      </c>
      <c r="I81" s="209" t="s">
        <v>71</v>
      </c>
      <c r="J81" s="208">
        <v>2356</v>
      </c>
      <c r="K81" s="208">
        <v>4521</v>
      </c>
      <c r="L81" s="207">
        <v>2000</v>
      </c>
      <c r="M81" s="206" t="s">
        <v>775</v>
      </c>
      <c r="N81" s="216">
        <v>11</v>
      </c>
      <c r="O81" s="215">
        <f>IF(N81&gt;0,1/N81*37.7*68.6,"")</f>
        <v>235.1109090909091</v>
      </c>
      <c r="P81" s="203">
        <v>10.35</v>
      </c>
      <c r="Q81" s="202" t="s">
        <v>831</v>
      </c>
      <c r="R81" s="201" t="s">
        <v>993</v>
      </c>
      <c r="S81" s="201" t="s">
        <v>34</v>
      </c>
      <c r="T81" s="200"/>
      <c r="U81" s="199"/>
      <c r="V81" s="198">
        <f>IFERROR(IF(N81&lt;P81,"",(ROUNDDOWN(N81/P81*100,0))),"")</f>
        <v>106</v>
      </c>
    </row>
    <row r="82" spans="1:22" ht="24" customHeight="1">
      <c r="A82" s="219"/>
      <c r="B82" s="223"/>
      <c r="C82" s="228"/>
      <c r="D82" s="211" t="s">
        <v>1038</v>
      </c>
      <c r="E82" s="209" t="s">
        <v>912</v>
      </c>
      <c r="F82" s="209">
        <v>4.0090000000000003</v>
      </c>
      <c r="G82" s="209">
        <v>440</v>
      </c>
      <c r="H82" s="209">
        <v>110</v>
      </c>
      <c r="I82" s="209" t="s">
        <v>71</v>
      </c>
      <c r="J82" s="208">
        <v>2356</v>
      </c>
      <c r="K82" s="208">
        <v>4521</v>
      </c>
      <c r="L82" s="207">
        <v>2000</v>
      </c>
      <c r="M82" s="206" t="s">
        <v>775</v>
      </c>
      <c r="N82" s="216">
        <v>11</v>
      </c>
      <c r="O82" s="215">
        <f>IF(N82&gt;0,1/N82*37.7*68.6,"")</f>
        <v>235.1109090909091</v>
      </c>
      <c r="P82" s="203">
        <v>10.35</v>
      </c>
      <c r="Q82" s="202" t="s">
        <v>831</v>
      </c>
      <c r="R82" s="201" t="s">
        <v>993</v>
      </c>
      <c r="S82" s="201" t="s">
        <v>34</v>
      </c>
      <c r="T82" s="200"/>
      <c r="U82" s="199"/>
      <c r="V82" s="198">
        <f>IFERROR(IF(N82&lt;P82,"",(ROUNDDOWN(N82/P82*100,0))),"")</f>
        <v>106</v>
      </c>
    </row>
    <row r="83" spans="1:22" ht="24" customHeight="1">
      <c r="A83" s="219"/>
      <c r="B83" s="223"/>
      <c r="C83" s="228"/>
      <c r="D83" s="211" t="s">
        <v>1037</v>
      </c>
      <c r="E83" s="209" t="s">
        <v>912</v>
      </c>
      <c r="F83" s="209">
        <v>4.0090000000000003</v>
      </c>
      <c r="G83" s="209">
        <v>440</v>
      </c>
      <c r="H83" s="209">
        <v>110</v>
      </c>
      <c r="I83" s="209" t="s">
        <v>71</v>
      </c>
      <c r="J83" s="208">
        <v>2356</v>
      </c>
      <c r="K83" s="208">
        <v>4521</v>
      </c>
      <c r="L83" s="207">
        <v>2000</v>
      </c>
      <c r="M83" s="206" t="s">
        <v>775</v>
      </c>
      <c r="N83" s="216">
        <v>11</v>
      </c>
      <c r="O83" s="215">
        <f>IF(N83&gt;0,1/N83*37.7*68.6,"")</f>
        <v>235.1109090909091</v>
      </c>
      <c r="P83" s="203">
        <v>10.35</v>
      </c>
      <c r="Q83" s="202" t="s">
        <v>831</v>
      </c>
      <c r="R83" s="201" t="s">
        <v>993</v>
      </c>
      <c r="S83" s="201" t="s">
        <v>34</v>
      </c>
      <c r="T83" s="200"/>
      <c r="U83" s="199"/>
      <c r="V83" s="198">
        <f>IFERROR(IF(N83&lt;P83,"",(ROUNDDOWN(N83/P83*100,0))),"")</f>
        <v>106</v>
      </c>
    </row>
    <row r="84" spans="1:22" ht="24" customHeight="1">
      <c r="A84" s="219"/>
      <c r="B84" s="223"/>
      <c r="C84" s="228"/>
      <c r="D84" s="211" t="s">
        <v>1036</v>
      </c>
      <c r="E84" s="209" t="s">
        <v>912</v>
      </c>
      <c r="F84" s="209">
        <v>4.0090000000000003</v>
      </c>
      <c r="G84" s="209">
        <v>440</v>
      </c>
      <c r="H84" s="209">
        <v>110</v>
      </c>
      <c r="I84" s="209" t="s">
        <v>71</v>
      </c>
      <c r="J84" s="208">
        <v>2356</v>
      </c>
      <c r="K84" s="208">
        <v>4521</v>
      </c>
      <c r="L84" s="207">
        <v>2000</v>
      </c>
      <c r="M84" s="206" t="s">
        <v>775</v>
      </c>
      <c r="N84" s="216">
        <v>11</v>
      </c>
      <c r="O84" s="215">
        <f>IF(N84&gt;0,1/N84*37.7*68.6,"")</f>
        <v>235.1109090909091</v>
      </c>
      <c r="P84" s="203">
        <v>10.35</v>
      </c>
      <c r="Q84" s="202" t="s">
        <v>831</v>
      </c>
      <c r="R84" s="201" t="s">
        <v>993</v>
      </c>
      <c r="S84" s="201" t="s">
        <v>34</v>
      </c>
      <c r="T84" s="200"/>
      <c r="U84" s="199"/>
      <c r="V84" s="198">
        <f>IFERROR(IF(N84&lt;P84,"",(ROUNDDOWN(N84/P84*100,0))),"")</f>
        <v>106</v>
      </c>
    </row>
    <row r="85" spans="1:22" ht="24" customHeight="1">
      <c r="A85" s="219"/>
      <c r="B85" s="223"/>
      <c r="C85" s="228"/>
      <c r="D85" s="211" t="s">
        <v>1035</v>
      </c>
      <c r="E85" s="209" t="s">
        <v>912</v>
      </c>
      <c r="F85" s="209">
        <v>4.0090000000000003</v>
      </c>
      <c r="G85" s="209">
        <v>440</v>
      </c>
      <c r="H85" s="209">
        <v>110</v>
      </c>
      <c r="I85" s="209" t="s">
        <v>71</v>
      </c>
      <c r="J85" s="208">
        <v>2356</v>
      </c>
      <c r="K85" s="208">
        <v>4521</v>
      </c>
      <c r="L85" s="207">
        <v>2000</v>
      </c>
      <c r="M85" s="206" t="s">
        <v>775</v>
      </c>
      <c r="N85" s="216">
        <v>11</v>
      </c>
      <c r="O85" s="215">
        <f>IF(N85&gt;0,1/N85*37.7*68.6,"")</f>
        <v>235.1109090909091</v>
      </c>
      <c r="P85" s="203">
        <v>10.35</v>
      </c>
      <c r="Q85" s="202" t="s">
        <v>831</v>
      </c>
      <c r="R85" s="201" t="s">
        <v>993</v>
      </c>
      <c r="S85" s="201" t="s">
        <v>34</v>
      </c>
      <c r="T85" s="200"/>
      <c r="U85" s="199"/>
      <c r="V85" s="198">
        <f>IFERROR(IF(N85&lt;P85,"",(ROUNDDOWN(N85/P85*100,0))),"")</f>
        <v>106</v>
      </c>
    </row>
    <row r="86" spans="1:22" ht="24" customHeight="1">
      <c r="A86" s="219"/>
      <c r="B86" s="223"/>
      <c r="C86" s="228"/>
      <c r="D86" s="211" t="s">
        <v>1034</v>
      </c>
      <c r="E86" s="209" t="s">
        <v>912</v>
      </c>
      <c r="F86" s="209">
        <v>4.0090000000000003</v>
      </c>
      <c r="G86" s="209">
        <v>440</v>
      </c>
      <c r="H86" s="209">
        <v>110</v>
      </c>
      <c r="I86" s="209" t="s">
        <v>71</v>
      </c>
      <c r="J86" s="208">
        <v>2356</v>
      </c>
      <c r="K86" s="208">
        <v>4521</v>
      </c>
      <c r="L86" s="207">
        <v>2000</v>
      </c>
      <c r="M86" s="206" t="s">
        <v>775</v>
      </c>
      <c r="N86" s="216">
        <v>11</v>
      </c>
      <c r="O86" s="215">
        <f>IF(N86&gt;0,1/N86*37.7*68.6,"")</f>
        <v>235.1109090909091</v>
      </c>
      <c r="P86" s="203">
        <v>10.35</v>
      </c>
      <c r="Q86" s="202" t="s">
        <v>831</v>
      </c>
      <c r="R86" s="201" t="s">
        <v>993</v>
      </c>
      <c r="S86" s="201" t="s">
        <v>34</v>
      </c>
      <c r="T86" s="200"/>
      <c r="U86" s="199"/>
      <c r="V86" s="198">
        <f>IFERROR(IF(N86&lt;P86,"",(ROUNDDOWN(N86/P86*100,0))),"")</f>
        <v>106</v>
      </c>
    </row>
    <row r="87" spans="1:22" ht="24" customHeight="1">
      <c r="A87" s="219"/>
      <c r="B87" s="223"/>
      <c r="C87" s="228"/>
      <c r="D87" s="211" t="s">
        <v>1033</v>
      </c>
      <c r="E87" s="209" t="s">
        <v>912</v>
      </c>
      <c r="F87" s="209">
        <v>4.0090000000000003</v>
      </c>
      <c r="G87" s="209">
        <v>440</v>
      </c>
      <c r="H87" s="209">
        <v>110</v>
      </c>
      <c r="I87" s="209" t="s">
        <v>71</v>
      </c>
      <c r="J87" s="208">
        <v>2356</v>
      </c>
      <c r="K87" s="208">
        <v>4521</v>
      </c>
      <c r="L87" s="207">
        <v>2000</v>
      </c>
      <c r="M87" s="206" t="s">
        <v>775</v>
      </c>
      <c r="N87" s="216">
        <v>11</v>
      </c>
      <c r="O87" s="215">
        <f>IF(N87&gt;0,1/N87*37.7*68.6,"")</f>
        <v>235.1109090909091</v>
      </c>
      <c r="P87" s="203">
        <v>10.35</v>
      </c>
      <c r="Q87" s="202" t="s">
        <v>831</v>
      </c>
      <c r="R87" s="201" t="s">
        <v>993</v>
      </c>
      <c r="S87" s="201" t="s">
        <v>34</v>
      </c>
      <c r="T87" s="200"/>
      <c r="U87" s="199"/>
      <c r="V87" s="198">
        <f>IFERROR(IF(N87&lt;P87,"",(ROUNDDOWN(N87/P87*100,0))),"")</f>
        <v>106</v>
      </c>
    </row>
    <row r="88" spans="1:22" ht="24" customHeight="1">
      <c r="A88" s="219"/>
      <c r="B88" s="223"/>
      <c r="C88" s="228"/>
      <c r="D88" s="211" t="s">
        <v>1032</v>
      </c>
      <c r="E88" s="209" t="s">
        <v>912</v>
      </c>
      <c r="F88" s="209">
        <v>4.0090000000000003</v>
      </c>
      <c r="G88" s="209">
        <v>440</v>
      </c>
      <c r="H88" s="209">
        <v>110</v>
      </c>
      <c r="I88" s="209" t="s">
        <v>71</v>
      </c>
      <c r="J88" s="208">
        <v>2356</v>
      </c>
      <c r="K88" s="208">
        <v>4521</v>
      </c>
      <c r="L88" s="207">
        <v>2000</v>
      </c>
      <c r="M88" s="206" t="s">
        <v>775</v>
      </c>
      <c r="N88" s="216">
        <v>11</v>
      </c>
      <c r="O88" s="215">
        <f>IF(N88&gt;0,1/N88*37.7*68.6,"")</f>
        <v>235.1109090909091</v>
      </c>
      <c r="P88" s="203">
        <v>10.35</v>
      </c>
      <c r="Q88" s="202" t="s">
        <v>831</v>
      </c>
      <c r="R88" s="201" t="s">
        <v>993</v>
      </c>
      <c r="S88" s="201" t="s">
        <v>34</v>
      </c>
      <c r="T88" s="200"/>
      <c r="U88" s="199"/>
      <c r="V88" s="198">
        <f>IFERROR(IF(N88&lt;P88,"",(ROUNDDOWN(N88/P88*100,0))),"")</f>
        <v>106</v>
      </c>
    </row>
    <row r="89" spans="1:22" ht="24" customHeight="1">
      <c r="A89" s="219"/>
      <c r="B89" s="223"/>
      <c r="C89" s="228"/>
      <c r="D89" s="211" t="s">
        <v>1032</v>
      </c>
      <c r="E89" s="209" t="s">
        <v>912</v>
      </c>
      <c r="F89" s="209">
        <v>4.0090000000000003</v>
      </c>
      <c r="G89" s="209">
        <v>440</v>
      </c>
      <c r="H89" s="209">
        <v>110</v>
      </c>
      <c r="I89" s="209" t="s">
        <v>71</v>
      </c>
      <c r="J89" s="208">
        <v>2652</v>
      </c>
      <c r="K89" s="208">
        <v>5812</v>
      </c>
      <c r="L89" s="207">
        <v>2995</v>
      </c>
      <c r="M89" s="206" t="s">
        <v>775</v>
      </c>
      <c r="N89" s="216">
        <v>10.199999999999999</v>
      </c>
      <c r="O89" s="215">
        <f>IF(N89&gt;0,1/N89*37.7*68.6,"")</f>
        <v>253.55098039215687</v>
      </c>
      <c r="P89" s="203">
        <v>9.51</v>
      </c>
      <c r="Q89" s="202" t="s">
        <v>831</v>
      </c>
      <c r="R89" s="201" t="s">
        <v>993</v>
      </c>
      <c r="S89" s="201" t="s">
        <v>34</v>
      </c>
      <c r="T89" s="200"/>
      <c r="U89" s="199"/>
      <c r="V89" s="198">
        <f>IFERROR(IF(N89&lt;P89,"",(ROUNDDOWN(N89/P89*100,0))),"")</f>
        <v>107</v>
      </c>
    </row>
    <row r="90" spans="1:22" ht="24" customHeight="1">
      <c r="A90" s="219"/>
      <c r="B90" s="223"/>
      <c r="C90" s="228"/>
      <c r="D90" s="211" t="s">
        <v>1031</v>
      </c>
      <c r="E90" s="209" t="s">
        <v>912</v>
      </c>
      <c r="F90" s="209">
        <v>4.0090000000000003</v>
      </c>
      <c r="G90" s="209">
        <v>440</v>
      </c>
      <c r="H90" s="209">
        <v>110</v>
      </c>
      <c r="I90" s="209" t="s">
        <v>71</v>
      </c>
      <c r="J90" s="208">
        <v>2652</v>
      </c>
      <c r="K90" s="208">
        <v>5812</v>
      </c>
      <c r="L90" s="207">
        <v>2995</v>
      </c>
      <c r="M90" s="206" t="s">
        <v>775</v>
      </c>
      <c r="N90" s="216">
        <v>10.199999999999999</v>
      </c>
      <c r="O90" s="215">
        <f>IF(N90&gt;0,1/N90*37.7*68.6,"")</f>
        <v>253.55098039215687</v>
      </c>
      <c r="P90" s="203">
        <v>9.51</v>
      </c>
      <c r="Q90" s="202" t="s">
        <v>831</v>
      </c>
      <c r="R90" s="201" t="s">
        <v>993</v>
      </c>
      <c r="S90" s="201" t="s">
        <v>34</v>
      </c>
      <c r="T90" s="200"/>
      <c r="U90" s="199"/>
      <c r="V90" s="198">
        <f>IFERROR(IF(N90&lt;P90,"",(ROUNDDOWN(N90/P90*100,0))),"")</f>
        <v>107</v>
      </c>
    </row>
    <row r="91" spans="1:22" ht="24" customHeight="1">
      <c r="A91" s="219"/>
      <c r="B91" s="223"/>
      <c r="C91" s="228"/>
      <c r="D91" s="211" t="s">
        <v>1030</v>
      </c>
      <c r="E91" s="209" t="s">
        <v>912</v>
      </c>
      <c r="F91" s="209">
        <v>4.0090000000000003</v>
      </c>
      <c r="G91" s="209">
        <v>440</v>
      </c>
      <c r="H91" s="209">
        <v>110</v>
      </c>
      <c r="I91" s="209" t="s">
        <v>790</v>
      </c>
      <c r="J91" s="208">
        <v>2979</v>
      </c>
      <c r="K91" s="208">
        <v>6893</v>
      </c>
      <c r="L91" s="207">
        <v>3749</v>
      </c>
      <c r="M91" s="206" t="s">
        <v>775</v>
      </c>
      <c r="N91" s="216">
        <v>8.8000000000000007</v>
      </c>
      <c r="O91" s="215">
        <f>IF(N91&gt;0,1/N91*37.7*68.6,"")</f>
        <v>293.88863636363635</v>
      </c>
      <c r="P91" s="203">
        <v>8.1199999999999992</v>
      </c>
      <c r="Q91" s="202" t="s">
        <v>834</v>
      </c>
      <c r="R91" s="201" t="s">
        <v>993</v>
      </c>
      <c r="S91" s="201" t="s">
        <v>34</v>
      </c>
      <c r="T91" s="200"/>
      <c r="U91" s="199"/>
      <c r="V91" s="198">
        <f>IFERROR(IF(N91&lt;P91,"",(ROUNDDOWN(N91/P91*100,0))),"")</f>
        <v>108</v>
      </c>
    </row>
    <row r="92" spans="1:22" ht="24" customHeight="1">
      <c r="A92" s="219"/>
      <c r="B92" s="223"/>
      <c r="C92" s="228"/>
      <c r="D92" s="211" t="s">
        <v>1030</v>
      </c>
      <c r="E92" s="209" t="s">
        <v>912</v>
      </c>
      <c r="F92" s="209">
        <v>4.0090000000000003</v>
      </c>
      <c r="G92" s="209">
        <v>440</v>
      </c>
      <c r="H92" s="209">
        <v>110</v>
      </c>
      <c r="I92" s="209" t="s">
        <v>71</v>
      </c>
      <c r="J92" s="208">
        <v>2979</v>
      </c>
      <c r="K92" s="208">
        <v>6893</v>
      </c>
      <c r="L92" s="207">
        <v>3749</v>
      </c>
      <c r="M92" s="206" t="s">
        <v>775</v>
      </c>
      <c r="N92" s="216">
        <v>8.6999999999999993</v>
      </c>
      <c r="O92" s="215">
        <f>IF(N92&gt;0,1/N92*37.7*68.6,"")</f>
        <v>297.26666666666671</v>
      </c>
      <c r="P92" s="203">
        <v>8.1199999999999992</v>
      </c>
      <c r="Q92" s="202" t="s">
        <v>834</v>
      </c>
      <c r="R92" s="201" t="s">
        <v>993</v>
      </c>
      <c r="S92" s="201" t="s">
        <v>34</v>
      </c>
      <c r="T92" s="200"/>
      <c r="U92" s="199"/>
      <c r="V92" s="198">
        <f>IFERROR(IF(N92&lt;P92,"",(ROUNDDOWN(N92/P92*100,0))),"")</f>
        <v>107</v>
      </c>
    </row>
    <row r="93" spans="1:22" ht="24" customHeight="1">
      <c r="A93" s="219"/>
      <c r="B93" s="223"/>
      <c r="C93" s="228"/>
      <c r="D93" s="211" t="s">
        <v>1029</v>
      </c>
      <c r="E93" s="209" t="s">
        <v>912</v>
      </c>
      <c r="F93" s="209">
        <v>4.0090000000000003</v>
      </c>
      <c r="G93" s="209">
        <v>440</v>
      </c>
      <c r="H93" s="209">
        <v>110</v>
      </c>
      <c r="I93" s="209" t="s">
        <v>71</v>
      </c>
      <c r="J93" s="208">
        <v>2356</v>
      </c>
      <c r="K93" s="208">
        <v>4521</v>
      </c>
      <c r="L93" s="207">
        <v>2000</v>
      </c>
      <c r="M93" s="206" t="s">
        <v>775</v>
      </c>
      <c r="N93" s="216">
        <v>11</v>
      </c>
      <c r="O93" s="215">
        <f>IF(N93&gt;0,1/N93*37.7*68.6,"")</f>
        <v>235.1109090909091</v>
      </c>
      <c r="P93" s="203">
        <v>10.35</v>
      </c>
      <c r="Q93" s="202" t="s">
        <v>831</v>
      </c>
      <c r="R93" s="201" t="s">
        <v>993</v>
      </c>
      <c r="S93" s="201" t="s">
        <v>34</v>
      </c>
      <c r="T93" s="200"/>
      <c r="U93" s="199"/>
      <c r="V93" s="198">
        <f>IFERROR(IF(N93&lt;P93,"",(ROUNDDOWN(N93/P93*100,0))),"")</f>
        <v>106</v>
      </c>
    </row>
    <row r="94" spans="1:22" ht="24" customHeight="1">
      <c r="A94" s="219"/>
      <c r="B94" s="223"/>
      <c r="C94" s="228"/>
      <c r="D94" s="211" t="s">
        <v>1029</v>
      </c>
      <c r="E94" s="209" t="s">
        <v>912</v>
      </c>
      <c r="F94" s="209">
        <v>4.0090000000000003</v>
      </c>
      <c r="G94" s="209">
        <v>440</v>
      </c>
      <c r="H94" s="209">
        <v>110</v>
      </c>
      <c r="I94" s="209" t="s">
        <v>71</v>
      </c>
      <c r="J94" s="208">
        <v>2652</v>
      </c>
      <c r="K94" s="208">
        <v>5812</v>
      </c>
      <c r="L94" s="207">
        <v>2995</v>
      </c>
      <c r="M94" s="206" t="s">
        <v>775</v>
      </c>
      <c r="N94" s="216">
        <v>10.199999999999999</v>
      </c>
      <c r="O94" s="215">
        <f>IF(N94&gt;0,1/N94*37.7*68.6,"")</f>
        <v>253.55098039215687</v>
      </c>
      <c r="P94" s="203">
        <v>9.51</v>
      </c>
      <c r="Q94" s="202" t="s">
        <v>831</v>
      </c>
      <c r="R94" s="201" t="s">
        <v>993</v>
      </c>
      <c r="S94" s="201" t="s">
        <v>34</v>
      </c>
      <c r="T94" s="200"/>
      <c r="U94" s="199"/>
      <c r="V94" s="198">
        <f>IFERROR(IF(N94&lt;P94,"",(ROUNDDOWN(N94/P94*100,0))),"")</f>
        <v>107</v>
      </c>
    </row>
    <row r="95" spans="1:22" ht="24" customHeight="1">
      <c r="A95" s="219"/>
      <c r="B95" s="223"/>
      <c r="C95" s="228"/>
      <c r="D95" s="211" t="s">
        <v>1028</v>
      </c>
      <c r="E95" s="209" t="s">
        <v>912</v>
      </c>
      <c r="F95" s="209">
        <v>4.0090000000000003</v>
      </c>
      <c r="G95" s="209">
        <v>440</v>
      </c>
      <c r="H95" s="209">
        <v>110</v>
      </c>
      <c r="I95" s="209" t="s">
        <v>71</v>
      </c>
      <c r="J95" s="208">
        <v>2356</v>
      </c>
      <c r="K95" s="208">
        <v>4521</v>
      </c>
      <c r="L95" s="207">
        <v>2000</v>
      </c>
      <c r="M95" s="206" t="s">
        <v>775</v>
      </c>
      <c r="N95" s="216">
        <v>11</v>
      </c>
      <c r="O95" s="215">
        <f>IF(N95&gt;0,1/N95*37.7*68.6,"")</f>
        <v>235.1109090909091</v>
      </c>
      <c r="P95" s="203">
        <v>10.35</v>
      </c>
      <c r="Q95" s="202" t="s">
        <v>831</v>
      </c>
      <c r="R95" s="201" t="s">
        <v>993</v>
      </c>
      <c r="S95" s="201" t="s">
        <v>34</v>
      </c>
      <c r="T95" s="200"/>
      <c r="U95" s="199"/>
      <c r="V95" s="198">
        <f>IFERROR(IF(N95&lt;P95,"",(ROUNDDOWN(N95/P95*100,0))),"")</f>
        <v>106</v>
      </c>
    </row>
    <row r="96" spans="1:22" ht="24" customHeight="1">
      <c r="A96" s="219"/>
      <c r="B96" s="223"/>
      <c r="C96" s="228"/>
      <c r="D96" s="211" t="s">
        <v>1028</v>
      </c>
      <c r="E96" s="209" t="s">
        <v>912</v>
      </c>
      <c r="F96" s="209">
        <v>4.0090000000000003</v>
      </c>
      <c r="G96" s="209">
        <v>440</v>
      </c>
      <c r="H96" s="209">
        <v>110</v>
      </c>
      <c r="I96" s="209" t="s">
        <v>71</v>
      </c>
      <c r="J96" s="208">
        <v>2652</v>
      </c>
      <c r="K96" s="208">
        <v>5812</v>
      </c>
      <c r="L96" s="207">
        <v>2995</v>
      </c>
      <c r="M96" s="206" t="s">
        <v>775</v>
      </c>
      <c r="N96" s="216">
        <v>10.199999999999999</v>
      </c>
      <c r="O96" s="215">
        <f>IF(N96&gt;0,1/N96*37.7*68.6,"")</f>
        <v>253.55098039215687</v>
      </c>
      <c r="P96" s="203">
        <v>9.51</v>
      </c>
      <c r="Q96" s="202" t="s">
        <v>831</v>
      </c>
      <c r="R96" s="201" t="s">
        <v>993</v>
      </c>
      <c r="S96" s="201" t="s">
        <v>34</v>
      </c>
      <c r="T96" s="200"/>
      <c r="U96" s="199"/>
      <c r="V96" s="198">
        <f>IFERROR(IF(N96&lt;P96,"",(ROUNDDOWN(N96/P96*100,0))),"")</f>
        <v>107</v>
      </c>
    </row>
    <row r="97" spans="1:22" ht="24" customHeight="1">
      <c r="A97" s="219"/>
      <c r="B97" s="223"/>
      <c r="C97" s="228"/>
      <c r="D97" s="211" t="s">
        <v>1027</v>
      </c>
      <c r="E97" s="209" t="s">
        <v>912</v>
      </c>
      <c r="F97" s="209">
        <v>4.0090000000000003</v>
      </c>
      <c r="G97" s="209">
        <v>440</v>
      </c>
      <c r="H97" s="209">
        <v>110</v>
      </c>
      <c r="I97" s="209" t="s">
        <v>71</v>
      </c>
      <c r="J97" s="208">
        <v>2356</v>
      </c>
      <c r="K97" s="208">
        <v>4521</v>
      </c>
      <c r="L97" s="207">
        <v>2000</v>
      </c>
      <c r="M97" s="206" t="s">
        <v>775</v>
      </c>
      <c r="N97" s="216">
        <v>11</v>
      </c>
      <c r="O97" s="215">
        <f>IF(N97&gt;0,1/N97*37.7*68.6,"")</f>
        <v>235.1109090909091</v>
      </c>
      <c r="P97" s="203">
        <v>10.35</v>
      </c>
      <c r="Q97" s="202" t="s">
        <v>831</v>
      </c>
      <c r="R97" s="201" t="s">
        <v>993</v>
      </c>
      <c r="S97" s="201" t="s">
        <v>34</v>
      </c>
      <c r="T97" s="200"/>
      <c r="U97" s="199"/>
      <c r="V97" s="198">
        <f>IFERROR(IF(N97&lt;P97,"",(ROUNDDOWN(N97/P97*100,0))),"")</f>
        <v>106</v>
      </c>
    </row>
    <row r="98" spans="1:22" ht="24" customHeight="1">
      <c r="A98" s="219"/>
      <c r="B98" s="223"/>
      <c r="C98" s="228"/>
      <c r="D98" s="211" t="s">
        <v>1027</v>
      </c>
      <c r="E98" s="209" t="s">
        <v>912</v>
      </c>
      <c r="F98" s="209">
        <v>4.0090000000000003</v>
      </c>
      <c r="G98" s="209">
        <v>440</v>
      </c>
      <c r="H98" s="209">
        <v>110</v>
      </c>
      <c r="I98" s="209" t="s">
        <v>71</v>
      </c>
      <c r="J98" s="208">
        <v>2652</v>
      </c>
      <c r="K98" s="208">
        <v>5812</v>
      </c>
      <c r="L98" s="207">
        <v>2995</v>
      </c>
      <c r="M98" s="206" t="s">
        <v>775</v>
      </c>
      <c r="N98" s="216">
        <v>10.199999999999999</v>
      </c>
      <c r="O98" s="215">
        <f>IF(N98&gt;0,1/N98*37.7*68.6,"")</f>
        <v>253.55098039215687</v>
      </c>
      <c r="P98" s="203">
        <v>9.51</v>
      </c>
      <c r="Q98" s="202" t="s">
        <v>831</v>
      </c>
      <c r="R98" s="201" t="s">
        <v>993</v>
      </c>
      <c r="S98" s="201" t="s">
        <v>34</v>
      </c>
      <c r="T98" s="200"/>
      <c r="U98" s="199"/>
      <c r="V98" s="198">
        <f>IFERROR(IF(N98&lt;P98,"",(ROUNDDOWN(N98/P98*100,0))),"")</f>
        <v>107</v>
      </c>
    </row>
    <row r="99" spans="1:22" ht="24" customHeight="1">
      <c r="A99" s="219"/>
      <c r="B99" s="223"/>
      <c r="C99" s="228"/>
      <c r="D99" s="211" t="s">
        <v>1026</v>
      </c>
      <c r="E99" s="209" t="s">
        <v>912</v>
      </c>
      <c r="F99" s="209">
        <v>4.0090000000000003</v>
      </c>
      <c r="G99" s="209">
        <v>440</v>
      </c>
      <c r="H99" s="209">
        <v>110</v>
      </c>
      <c r="I99" s="209" t="s">
        <v>71</v>
      </c>
      <c r="J99" s="208">
        <v>2652</v>
      </c>
      <c r="K99" s="208">
        <v>5812</v>
      </c>
      <c r="L99" s="207">
        <v>2995</v>
      </c>
      <c r="M99" s="206" t="s">
        <v>775</v>
      </c>
      <c r="N99" s="216">
        <v>10.199999999999999</v>
      </c>
      <c r="O99" s="215">
        <f>IF(N99&gt;0,1/N99*37.7*68.6,"")</f>
        <v>253.55098039215687</v>
      </c>
      <c r="P99" s="203">
        <v>9.51</v>
      </c>
      <c r="Q99" s="202" t="s">
        <v>831</v>
      </c>
      <c r="R99" s="201" t="s">
        <v>993</v>
      </c>
      <c r="S99" s="201" t="s">
        <v>34</v>
      </c>
      <c r="T99" s="200"/>
      <c r="U99" s="199"/>
      <c r="V99" s="198">
        <f>IFERROR(IF(N99&lt;P99,"",(ROUNDDOWN(N99/P99*100,0))),"")</f>
        <v>107</v>
      </c>
    </row>
    <row r="100" spans="1:22" ht="24" customHeight="1">
      <c r="A100" s="219"/>
      <c r="B100" s="223"/>
      <c r="C100" s="228"/>
      <c r="D100" s="211" t="s">
        <v>1025</v>
      </c>
      <c r="E100" s="209" t="s">
        <v>912</v>
      </c>
      <c r="F100" s="209">
        <v>4.0090000000000003</v>
      </c>
      <c r="G100" s="209">
        <v>440</v>
      </c>
      <c r="H100" s="209">
        <v>110</v>
      </c>
      <c r="I100" s="209" t="s">
        <v>71</v>
      </c>
      <c r="J100" s="208">
        <v>2979</v>
      </c>
      <c r="K100" s="208">
        <v>6893</v>
      </c>
      <c r="L100" s="207">
        <v>3749</v>
      </c>
      <c r="M100" s="206" t="s">
        <v>775</v>
      </c>
      <c r="N100" s="216">
        <v>8.6999999999999993</v>
      </c>
      <c r="O100" s="215">
        <f>IF(N100&gt;0,1/N100*37.7*68.6,"")</f>
        <v>297.26666666666671</v>
      </c>
      <c r="P100" s="203">
        <v>8.1199999999999992</v>
      </c>
      <c r="Q100" s="202" t="s">
        <v>834</v>
      </c>
      <c r="R100" s="201" t="s">
        <v>993</v>
      </c>
      <c r="S100" s="201" t="s">
        <v>34</v>
      </c>
      <c r="T100" s="200"/>
      <c r="U100" s="199"/>
      <c r="V100" s="198">
        <f>IFERROR(IF(N100&lt;P100,"",(ROUNDDOWN(N100/P100*100,0))),"")</f>
        <v>107</v>
      </c>
    </row>
    <row r="101" spans="1:22" ht="24" customHeight="1">
      <c r="A101" s="219"/>
      <c r="B101" s="223"/>
      <c r="C101" s="228"/>
      <c r="D101" s="211" t="s">
        <v>1024</v>
      </c>
      <c r="E101" s="209" t="s">
        <v>912</v>
      </c>
      <c r="F101" s="209">
        <v>4.0090000000000003</v>
      </c>
      <c r="G101" s="209">
        <v>440</v>
      </c>
      <c r="H101" s="209">
        <v>110</v>
      </c>
      <c r="I101" s="209" t="s">
        <v>790</v>
      </c>
      <c r="J101" s="208">
        <v>2979</v>
      </c>
      <c r="K101" s="208">
        <v>6893</v>
      </c>
      <c r="L101" s="207">
        <v>3749</v>
      </c>
      <c r="M101" s="206" t="s">
        <v>775</v>
      </c>
      <c r="N101" s="216">
        <v>8.8000000000000007</v>
      </c>
      <c r="O101" s="215">
        <f>IF(N101&gt;0,1/N101*37.7*68.6,"")</f>
        <v>293.88863636363635</v>
      </c>
      <c r="P101" s="203">
        <v>8.1199999999999992</v>
      </c>
      <c r="Q101" s="202" t="s">
        <v>834</v>
      </c>
      <c r="R101" s="201" t="s">
        <v>993</v>
      </c>
      <c r="S101" s="201" t="s">
        <v>34</v>
      </c>
      <c r="T101" s="200"/>
      <c r="U101" s="199"/>
      <c r="V101" s="198">
        <f>IFERROR(IF(N101&lt;P101,"",(ROUNDDOWN(N101/P101*100,0))),"")</f>
        <v>108</v>
      </c>
    </row>
    <row r="102" spans="1:22" ht="24" customHeight="1">
      <c r="A102" s="219"/>
      <c r="B102" s="223"/>
      <c r="C102" s="228"/>
      <c r="D102" s="211" t="s">
        <v>1024</v>
      </c>
      <c r="E102" s="209" t="s">
        <v>912</v>
      </c>
      <c r="F102" s="209">
        <v>4.0090000000000003</v>
      </c>
      <c r="G102" s="209">
        <v>440</v>
      </c>
      <c r="H102" s="209">
        <v>110</v>
      </c>
      <c r="I102" s="209" t="s">
        <v>71</v>
      </c>
      <c r="J102" s="208">
        <v>2979</v>
      </c>
      <c r="K102" s="208">
        <v>6893</v>
      </c>
      <c r="L102" s="207">
        <v>3749</v>
      </c>
      <c r="M102" s="206" t="s">
        <v>775</v>
      </c>
      <c r="N102" s="216">
        <v>8.6999999999999993</v>
      </c>
      <c r="O102" s="215">
        <f>IF(N102&gt;0,1/N102*37.7*68.6,"")</f>
        <v>297.26666666666671</v>
      </c>
      <c r="P102" s="203">
        <v>8.1199999999999992</v>
      </c>
      <c r="Q102" s="202" t="s">
        <v>834</v>
      </c>
      <c r="R102" s="201" t="s">
        <v>993</v>
      </c>
      <c r="S102" s="201" t="s">
        <v>34</v>
      </c>
      <c r="T102" s="200"/>
      <c r="U102" s="199"/>
      <c r="V102" s="198">
        <f>IFERROR(IF(N102&lt;P102,"",(ROUNDDOWN(N102/P102*100,0))),"")</f>
        <v>107</v>
      </c>
    </row>
    <row r="103" spans="1:22" ht="24" customHeight="1">
      <c r="A103" s="219"/>
      <c r="B103" s="223"/>
      <c r="C103" s="228"/>
      <c r="D103" s="211" t="s">
        <v>1023</v>
      </c>
      <c r="E103" s="209" t="s">
        <v>912</v>
      </c>
      <c r="F103" s="209">
        <v>4.0090000000000003</v>
      </c>
      <c r="G103" s="209">
        <v>440</v>
      </c>
      <c r="H103" s="209">
        <v>110</v>
      </c>
      <c r="I103" s="209" t="s">
        <v>71</v>
      </c>
      <c r="J103" s="208">
        <v>2356</v>
      </c>
      <c r="K103" s="208">
        <v>4521</v>
      </c>
      <c r="L103" s="207">
        <v>2000</v>
      </c>
      <c r="M103" s="206" t="s">
        <v>775</v>
      </c>
      <c r="N103" s="216">
        <v>11</v>
      </c>
      <c r="O103" s="215">
        <f>IF(N103&gt;0,1/N103*37.7*68.6,"")</f>
        <v>235.1109090909091</v>
      </c>
      <c r="P103" s="203">
        <v>10.35</v>
      </c>
      <c r="Q103" s="202" t="s">
        <v>831</v>
      </c>
      <c r="R103" s="201" t="s">
        <v>993</v>
      </c>
      <c r="S103" s="201" t="s">
        <v>34</v>
      </c>
      <c r="T103" s="200"/>
      <c r="U103" s="199"/>
      <c r="V103" s="198">
        <f>IFERROR(IF(N103&lt;P103,"",(ROUNDDOWN(N103/P103*100,0))),"")</f>
        <v>106</v>
      </c>
    </row>
    <row r="104" spans="1:22" ht="24" customHeight="1">
      <c r="A104" s="219"/>
      <c r="B104" s="223"/>
      <c r="C104" s="228"/>
      <c r="D104" s="211" t="s">
        <v>1023</v>
      </c>
      <c r="E104" s="209" t="s">
        <v>912</v>
      </c>
      <c r="F104" s="209">
        <v>4.0090000000000003</v>
      </c>
      <c r="G104" s="209">
        <v>440</v>
      </c>
      <c r="H104" s="209">
        <v>110</v>
      </c>
      <c r="I104" s="209" t="s">
        <v>71</v>
      </c>
      <c r="J104" s="208">
        <v>2652</v>
      </c>
      <c r="K104" s="208">
        <v>5812</v>
      </c>
      <c r="L104" s="207">
        <v>2995</v>
      </c>
      <c r="M104" s="206" t="s">
        <v>775</v>
      </c>
      <c r="N104" s="216">
        <v>10.199999999999999</v>
      </c>
      <c r="O104" s="215">
        <f>IF(N104&gt;0,1/N104*37.7*68.6,"")</f>
        <v>253.55098039215687</v>
      </c>
      <c r="P104" s="203">
        <v>9.51</v>
      </c>
      <c r="Q104" s="202" t="s">
        <v>831</v>
      </c>
      <c r="R104" s="201" t="s">
        <v>993</v>
      </c>
      <c r="S104" s="201" t="s">
        <v>34</v>
      </c>
      <c r="T104" s="200"/>
      <c r="U104" s="199"/>
      <c r="V104" s="198">
        <f>IFERROR(IF(N104&lt;P104,"",(ROUNDDOWN(N104/P104*100,0))),"")</f>
        <v>107</v>
      </c>
    </row>
    <row r="105" spans="1:22" ht="24" customHeight="1">
      <c r="A105" s="219"/>
      <c r="B105" s="223"/>
      <c r="C105" s="228"/>
      <c r="D105" s="211" t="s">
        <v>1022</v>
      </c>
      <c r="E105" s="209" t="s">
        <v>912</v>
      </c>
      <c r="F105" s="209">
        <v>4.0090000000000003</v>
      </c>
      <c r="G105" s="209">
        <v>440</v>
      </c>
      <c r="H105" s="209">
        <v>110</v>
      </c>
      <c r="I105" s="209" t="s">
        <v>71</v>
      </c>
      <c r="J105" s="208">
        <v>2356</v>
      </c>
      <c r="K105" s="208">
        <v>4521</v>
      </c>
      <c r="L105" s="207">
        <v>2000</v>
      </c>
      <c r="M105" s="206" t="s">
        <v>775</v>
      </c>
      <c r="N105" s="216">
        <v>11</v>
      </c>
      <c r="O105" s="215">
        <f>IF(N105&gt;0,1/N105*37.7*68.6,"")</f>
        <v>235.1109090909091</v>
      </c>
      <c r="P105" s="203">
        <v>10.35</v>
      </c>
      <c r="Q105" s="202" t="s">
        <v>831</v>
      </c>
      <c r="R105" s="201" t="s">
        <v>993</v>
      </c>
      <c r="S105" s="201" t="s">
        <v>34</v>
      </c>
      <c r="T105" s="200"/>
      <c r="U105" s="199"/>
      <c r="V105" s="198">
        <f>IFERROR(IF(N105&lt;P105,"",(ROUNDDOWN(N105/P105*100,0))),"")</f>
        <v>106</v>
      </c>
    </row>
    <row r="106" spans="1:22" ht="24" customHeight="1">
      <c r="A106" s="219"/>
      <c r="B106" s="223"/>
      <c r="C106" s="228"/>
      <c r="D106" s="211" t="s">
        <v>1022</v>
      </c>
      <c r="E106" s="209" t="s">
        <v>912</v>
      </c>
      <c r="F106" s="209">
        <v>4.0090000000000003</v>
      </c>
      <c r="G106" s="209">
        <v>440</v>
      </c>
      <c r="H106" s="209">
        <v>110</v>
      </c>
      <c r="I106" s="209" t="s">
        <v>71</v>
      </c>
      <c r="J106" s="208">
        <v>2652</v>
      </c>
      <c r="K106" s="208">
        <v>5812</v>
      </c>
      <c r="L106" s="207">
        <v>2995</v>
      </c>
      <c r="M106" s="206" t="s">
        <v>775</v>
      </c>
      <c r="N106" s="216">
        <v>10.199999999999999</v>
      </c>
      <c r="O106" s="215">
        <f>IF(N106&gt;0,1/N106*37.7*68.6,"")</f>
        <v>253.55098039215687</v>
      </c>
      <c r="P106" s="203">
        <v>9.51</v>
      </c>
      <c r="Q106" s="202" t="s">
        <v>831</v>
      </c>
      <c r="R106" s="201" t="s">
        <v>993</v>
      </c>
      <c r="S106" s="201" t="s">
        <v>34</v>
      </c>
      <c r="T106" s="200"/>
      <c r="U106" s="199"/>
      <c r="V106" s="198">
        <f>IFERROR(IF(N106&lt;P106,"",(ROUNDDOWN(N106/P106*100,0))),"")</f>
        <v>107</v>
      </c>
    </row>
    <row r="107" spans="1:22" ht="24" customHeight="1">
      <c r="A107" s="219"/>
      <c r="B107" s="223"/>
      <c r="C107" s="228"/>
      <c r="D107" s="211" t="s">
        <v>1021</v>
      </c>
      <c r="E107" s="209" t="s">
        <v>912</v>
      </c>
      <c r="F107" s="209">
        <v>4.0090000000000003</v>
      </c>
      <c r="G107" s="209">
        <v>440</v>
      </c>
      <c r="H107" s="209">
        <v>110</v>
      </c>
      <c r="I107" s="209" t="s">
        <v>790</v>
      </c>
      <c r="J107" s="208">
        <v>2979</v>
      </c>
      <c r="K107" s="208">
        <v>6893</v>
      </c>
      <c r="L107" s="207">
        <v>3749</v>
      </c>
      <c r="M107" s="206" t="s">
        <v>775</v>
      </c>
      <c r="N107" s="216">
        <v>8.8000000000000007</v>
      </c>
      <c r="O107" s="215">
        <f>IF(N107&gt;0,1/N107*37.7*68.6,"")</f>
        <v>293.88863636363635</v>
      </c>
      <c r="P107" s="203">
        <v>8.1199999999999992</v>
      </c>
      <c r="Q107" s="202" t="s">
        <v>834</v>
      </c>
      <c r="R107" s="201" t="s">
        <v>993</v>
      </c>
      <c r="S107" s="201" t="s">
        <v>34</v>
      </c>
      <c r="T107" s="200"/>
      <c r="U107" s="199"/>
      <c r="V107" s="198">
        <f>IFERROR(IF(N107&lt;P107,"",(ROUNDDOWN(N107/P107*100,0))),"")</f>
        <v>108</v>
      </c>
    </row>
    <row r="108" spans="1:22" ht="24" customHeight="1">
      <c r="A108" s="219"/>
      <c r="B108" s="223"/>
      <c r="C108" s="228"/>
      <c r="D108" s="211" t="s">
        <v>1021</v>
      </c>
      <c r="E108" s="209" t="s">
        <v>912</v>
      </c>
      <c r="F108" s="209">
        <v>4.0090000000000003</v>
      </c>
      <c r="G108" s="209">
        <v>440</v>
      </c>
      <c r="H108" s="209">
        <v>110</v>
      </c>
      <c r="I108" s="209" t="s">
        <v>71</v>
      </c>
      <c r="J108" s="208">
        <v>2979</v>
      </c>
      <c r="K108" s="208">
        <v>6893</v>
      </c>
      <c r="L108" s="207">
        <v>3749</v>
      </c>
      <c r="M108" s="206" t="s">
        <v>775</v>
      </c>
      <c r="N108" s="216">
        <v>8.6999999999999993</v>
      </c>
      <c r="O108" s="215">
        <f>IF(N108&gt;0,1/N108*37.7*68.6,"")</f>
        <v>297.26666666666671</v>
      </c>
      <c r="P108" s="203">
        <v>8.1199999999999992</v>
      </c>
      <c r="Q108" s="202" t="s">
        <v>834</v>
      </c>
      <c r="R108" s="201" t="s">
        <v>993</v>
      </c>
      <c r="S108" s="201" t="s">
        <v>34</v>
      </c>
      <c r="T108" s="200"/>
      <c r="U108" s="199"/>
      <c r="V108" s="198">
        <f>IFERROR(IF(N108&lt;P108,"",(ROUNDDOWN(N108/P108*100,0))),"")</f>
        <v>107</v>
      </c>
    </row>
    <row r="109" spans="1:22" ht="24" customHeight="1">
      <c r="A109" s="219"/>
      <c r="B109" s="223"/>
      <c r="C109" s="228"/>
      <c r="D109" s="211" t="s">
        <v>1020</v>
      </c>
      <c r="E109" s="209" t="s">
        <v>912</v>
      </c>
      <c r="F109" s="209">
        <v>4.0090000000000003</v>
      </c>
      <c r="G109" s="209">
        <v>440</v>
      </c>
      <c r="H109" s="209">
        <v>110</v>
      </c>
      <c r="I109" s="209" t="s">
        <v>71</v>
      </c>
      <c r="J109" s="208">
        <v>2356</v>
      </c>
      <c r="K109" s="208">
        <v>4521</v>
      </c>
      <c r="L109" s="207">
        <v>2000</v>
      </c>
      <c r="M109" s="206" t="s">
        <v>775</v>
      </c>
      <c r="N109" s="216">
        <v>11</v>
      </c>
      <c r="O109" s="215">
        <f>IF(N109&gt;0,1/N109*37.7*68.6,"")</f>
        <v>235.1109090909091</v>
      </c>
      <c r="P109" s="203">
        <v>10.35</v>
      </c>
      <c r="Q109" s="202" t="s">
        <v>831</v>
      </c>
      <c r="R109" s="201" t="s">
        <v>993</v>
      </c>
      <c r="S109" s="201" t="s">
        <v>34</v>
      </c>
      <c r="T109" s="200"/>
      <c r="U109" s="199"/>
      <c r="V109" s="198">
        <f>IFERROR(IF(N109&lt;P109,"",(ROUNDDOWN(N109/P109*100,0))),"")</f>
        <v>106</v>
      </c>
    </row>
    <row r="110" spans="1:22" ht="24" customHeight="1">
      <c r="A110" s="219"/>
      <c r="B110" s="223"/>
      <c r="C110" s="228"/>
      <c r="D110" s="211" t="s">
        <v>1020</v>
      </c>
      <c r="E110" s="209" t="s">
        <v>912</v>
      </c>
      <c r="F110" s="209">
        <v>4.0090000000000003</v>
      </c>
      <c r="G110" s="209">
        <v>440</v>
      </c>
      <c r="H110" s="209">
        <v>110</v>
      </c>
      <c r="I110" s="209" t="s">
        <v>71</v>
      </c>
      <c r="J110" s="208">
        <v>2652</v>
      </c>
      <c r="K110" s="208">
        <v>5812</v>
      </c>
      <c r="L110" s="207">
        <v>2995</v>
      </c>
      <c r="M110" s="206" t="s">
        <v>775</v>
      </c>
      <c r="N110" s="216">
        <v>10.199999999999999</v>
      </c>
      <c r="O110" s="215">
        <f>IF(N110&gt;0,1/N110*37.7*68.6,"")</f>
        <v>253.55098039215687</v>
      </c>
      <c r="P110" s="203">
        <v>9.51</v>
      </c>
      <c r="Q110" s="202" t="s">
        <v>831</v>
      </c>
      <c r="R110" s="201" t="s">
        <v>993</v>
      </c>
      <c r="S110" s="201" t="s">
        <v>34</v>
      </c>
      <c r="T110" s="200"/>
      <c r="U110" s="199"/>
      <c r="V110" s="198">
        <f>IFERROR(IF(N110&lt;P110,"",(ROUNDDOWN(N110/P110*100,0))),"")</f>
        <v>107</v>
      </c>
    </row>
    <row r="111" spans="1:22" ht="24" customHeight="1">
      <c r="A111" s="219"/>
      <c r="B111" s="223"/>
      <c r="C111" s="228"/>
      <c r="D111" s="211" t="s">
        <v>1019</v>
      </c>
      <c r="E111" s="209" t="s">
        <v>912</v>
      </c>
      <c r="F111" s="209">
        <v>4.0090000000000003</v>
      </c>
      <c r="G111" s="209">
        <v>440</v>
      </c>
      <c r="H111" s="209">
        <v>110</v>
      </c>
      <c r="I111" s="209" t="s">
        <v>71</v>
      </c>
      <c r="J111" s="208">
        <v>2356</v>
      </c>
      <c r="K111" s="208">
        <v>4521</v>
      </c>
      <c r="L111" s="207">
        <v>2000</v>
      </c>
      <c r="M111" s="206" t="s">
        <v>775</v>
      </c>
      <c r="N111" s="216">
        <v>11</v>
      </c>
      <c r="O111" s="215">
        <f>IF(N111&gt;0,1/N111*37.7*68.6,"")</f>
        <v>235.1109090909091</v>
      </c>
      <c r="P111" s="203">
        <v>10.35</v>
      </c>
      <c r="Q111" s="202" t="s">
        <v>831</v>
      </c>
      <c r="R111" s="201" t="s">
        <v>993</v>
      </c>
      <c r="S111" s="201" t="s">
        <v>34</v>
      </c>
      <c r="T111" s="200"/>
      <c r="U111" s="199"/>
      <c r="V111" s="198">
        <f>IFERROR(IF(N111&lt;P111,"",(ROUNDDOWN(N111/P111*100,0))),"")</f>
        <v>106</v>
      </c>
    </row>
    <row r="112" spans="1:22" ht="24" customHeight="1">
      <c r="A112" s="219"/>
      <c r="B112" s="223"/>
      <c r="C112" s="228"/>
      <c r="D112" s="211" t="s">
        <v>1018</v>
      </c>
      <c r="E112" s="209" t="s">
        <v>912</v>
      </c>
      <c r="F112" s="209">
        <v>4.0090000000000003</v>
      </c>
      <c r="G112" s="209">
        <v>440</v>
      </c>
      <c r="H112" s="209">
        <v>110</v>
      </c>
      <c r="I112" s="209" t="s">
        <v>71</v>
      </c>
      <c r="J112" s="208">
        <v>2652</v>
      </c>
      <c r="K112" s="208">
        <v>5812</v>
      </c>
      <c r="L112" s="207">
        <v>2995</v>
      </c>
      <c r="M112" s="206" t="s">
        <v>775</v>
      </c>
      <c r="N112" s="216">
        <v>10.199999999999999</v>
      </c>
      <c r="O112" s="215">
        <f>IF(N112&gt;0,1/N112*37.7*68.6,"")</f>
        <v>253.55098039215687</v>
      </c>
      <c r="P112" s="203">
        <v>9.51</v>
      </c>
      <c r="Q112" s="202" t="s">
        <v>831</v>
      </c>
      <c r="R112" s="201" t="s">
        <v>993</v>
      </c>
      <c r="S112" s="201" t="s">
        <v>34</v>
      </c>
      <c r="T112" s="200"/>
      <c r="U112" s="199"/>
      <c r="V112" s="198">
        <f>IFERROR(IF(N112&lt;P112,"",(ROUNDDOWN(N112/P112*100,0))),"")</f>
        <v>107</v>
      </c>
    </row>
    <row r="113" spans="1:22" ht="24" customHeight="1">
      <c r="A113" s="219"/>
      <c r="B113" s="223"/>
      <c r="C113" s="228"/>
      <c r="D113" s="211" t="s">
        <v>1018</v>
      </c>
      <c r="E113" s="209" t="s">
        <v>912</v>
      </c>
      <c r="F113" s="209">
        <v>4.0090000000000003</v>
      </c>
      <c r="G113" s="209">
        <v>440</v>
      </c>
      <c r="H113" s="209">
        <v>110</v>
      </c>
      <c r="I113" s="209" t="s">
        <v>71</v>
      </c>
      <c r="J113" s="208">
        <v>2979</v>
      </c>
      <c r="K113" s="208">
        <v>6893</v>
      </c>
      <c r="L113" s="207">
        <v>3749</v>
      </c>
      <c r="M113" s="206" t="s">
        <v>775</v>
      </c>
      <c r="N113" s="216">
        <v>8.6999999999999993</v>
      </c>
      <c r="O113" s="215">
        <f>IF(N113&gt;0,1/N113*37.7*68.6,"")</f>
        <v>297.26666666666671</v>
      </c>
      <c r="P113" s="203">
        <v>8.1199999999999992</v>
      </c>
      <c r="Q113" s="202" t="s">
        <v>834</v>
      </c>
      <c r="R113" s="201" t="s">
        <v>993</v>
      </c>
      <c r="S113" s="201" t="s">
        <v>34</v>
      </c>
      <c r="T113" s="200"/>
      <c r="U113" s="199"/>
      <c r="V113" s="198">
        <f>IFERROR(IF(N113&lt;P113,"",(ROUNDDOWN(N113/P113*100,0))),"")</f>
        <v>107</v>
      </c>
    </row>
    <row r="114" spans="1:22" ht="24" customHeight="1">
      <c r="A114" s="219"/>
      <c r="B114" s="223"/>
      <c r="C114" s="228"/>
      <c r="D114" s="211" t="s">
        <v>1017</v>
      </c>
      <c r="E114" s="209" t="s">
        <v>912</v>
      </c>
      <c r="F114" s="209">
        <v>4.0090000000000003</v>
      </c>
      <c r="G114" s="209">
        <v>440</v>
      </c>
      <c r="H114" s="209">
        <v>110</v>
      </c>
      <c r="I114" s="209" t="s">
        <v>790</v>
      </c>
      <c r="J114" s="208">
        <v>2979</v>
      </c>
      <c r="K114" s="208">
        <v>6893</v>
      </c>
      <c r="L114" s="207">
        <v>3749</v>
      </c>
      <c r="M114" s="206" t="s">
        <v>775</v>
      </c>
      <c r="N114" s="216">
        <v>8.8000000000000007</v>
      </c>
      <c r="O114" s="215">
        <f>IF(N114&gt;0,1/N114*37.7*68.6,"")</f>
        <v>293.88863636363635</v>
      </c>
      <c r="P114" s="203">
        <v>8.1199999999999992</v>
      </c>
      <c r="Q114" s="202" t="s">
        <v>834</v>
      </c>
      <c r="R114" s="201" t="s">
        <v>993</v>
      </c>
      <c r="S114" s="201" t="s">
        <v>34</v>
      </c>
      <c r="T114" s="200"/>
      <c r="U114" s="199"/>
      <c r="V114" s="198">
        <f>IFERROR(IF(N114&lt;P114,"",(ROUNDDOWN(N114/P114*100,0))),"")</f>
        <v>108</v>
      </c>
    </row>
    <row r="115" spans="1:22" ht="24" customHeight="1">
      <c r="A115" s="219"/>
      <c r="B115" s="223"/>
      <c r="C115" s="228"/>
      <c r="D115" s="211" t="s">
        <v>1016</v>
      </c>
      <c r="E115" s="209" t="s">
        <v>912</v>
      </c>
      <c r="F115" s="209">
        <v>4.0090000000000003</v>
      </c>
      <c r="G115" s="209">
        <v>440</v>
      </c>
      <c r="H115" s="209">
        <v>110</v>
      </c>
      <c r="I115" s="209" t="s">
        <v>71</v>
      </c>
      <c r="J115" s="208">
        <v>2356</v>
      </c>
      <c r="K115" s="208">
        <v>4521</v>
      </c>
      <c r="L115" s="207">
        <v>2000</v>
      </c>
      <c r="M115" s="206" t="s">
        <v>775</v>
      </c>
      <c r="N115" s="216">
        <v>11</v>
      </c>
      <c r="O115" s="215">
        <f>IF(N115&gt;0,1/N115*37.7*68.6,"")</f>
        <v>235.1109090909091</v>
      </c>
      <c r="P115" s="203">
        <v>10.35</v>
      </c>
      <c r="Q115" s="202" t="s">
        <v>831</v>
      </c>
      <c r="R115" s="201" t="s">
        <v>993</v>
      </c>
      <c r="S115" s="201" t="s">
        <v>34</v>
      </c>
      <c r="T115" s="200"/>
      <c r="U115" s="199"/>
      <c r="V115" s="198">
        <f>IFERROR(IF(N115&lt;P115,"",(ROUNDDOWN(N115/P115*100,0))),"")</f>
        <v>106</v>
      </c>
    </row>
    <row r="116" spans="1:22" ht="24" customHeight="1">
      <c r="A116" s="219"/>
      <c r="B116" s="223"/>
      <c r="C116" s="228"/>
      <c r="D116" s="211" t="s">
        <v>1015</v>
      </c>
      <c r="E116" s="209" t="s">
        <v>912</v>
      </c>
      <c r="F116" s="209">
        <v>4.0090000000000003</v>
      </c>
      <c r="G116" s="209">
        <v>440</v>
      </c>
      <c r="H116" s="209">
        <v>110</v>
      </c>
      <c r="I116" s="209" t="s">
        <v>71</v>
      </c>
      <c r="J116" s="208">
        <v>2652</v>
      </c>
      <c r="K116" s="208">
        <v>5812</v>
      </c>
      <c r="L116" s="207">
        <v>2995</v>
      </c>
      <c r="M116" s="206" t="s">
        <v>775</v>
      </c>
      <c r="N116" s="216">
        <v>10.199999999999999</v>
      </c>
      <c r="O116" s="215">
        <f>IF(N116&gt;0,1/N116*37.7*68.6,"")</f>
        <v>253.55098039215687</v>
      </c>
      <c r="P116" s="203">
        <v>9.51</v>
      </c>
      <c r="Q116" s="202" t="s">
        <v>831</v>
      </c>
      <c r="R116" s="201" t="s">
        <v>993</v>
      </c>
      <c r="S116" s="201" t="s">
        <v>34</v>
      </c>
      <c r="T116" s="200"/>
      <c r="U116" s="199"/>
      <c r="V116" s="198">
        <f>IFERROR(IF(N116&lt;P116,"",(ROUNDDOWN(N116/P116*100,0))),"")</f>
        <v>107</v>
      </c>
    </row>
    <row r="117" spans="1:22" ht="24" customHeight="1">
      <c r="A117" s="219"/>
      <c r="B117" s="223"/>
      <c r="C117" s="228"/>
      <c r="D117" s="211" t="s">
        <v>1015</v>
      </c>
      <c r="E117" s="209" t="s">
        <v>912</v>
      </c>
      <c r="F117" s="209">
        <v>4.0090000000000003</v>
      </c>
      <c r="G117" s="209">
        <v>440</v>
      </c>
      <c r="H117" s="209">
        <v>110</v>
      </c>
      <c r="I117" s="209" t="s">
        <v>790</v>
      </c>
      <c r="J117" s="208">
        <v>2979</v>
      </c>
      <c r="K117" s="208">
        <v>6893</v>
      </c>
      <c r="L117" s="207">
        <v>3749</v>
      </c>
      <c r="M117" s="206" t="s">
        <v>775</v>
      </c>
      <c r="N117" s="216">
        <v>8.8000000000000007</v>
      </c>
      <c r="O117" s="215">
        <f>IF(N117&gt;0,1/N117*37.7*68.6,"")</f>
        <v>293.88863636363635</v>
      </c>
      <c r="P117" s="203">
        <v>8.1199999999999992</v>
      </c>
      <c r="Q117" s="202" t="s">
        <v>834</v>
      </c>
      <c r="R117" s="201" t="s">
        <v>993</v>
      </c>
      <c r="S117" s="201" t="s">
        <v>34</v>
      </c>
      <c r="T117" s="200"/>
      <c r="U117" s="199"/>
      <c r="V117" s="198">
        <f>IFERROR(IF(N117&lt;P117,"",(ROUNDDOWN(N117/P117*100,0))),"")</f>
        <v>108</v>
      </c>
    </row>
    <row r="118" spans="1:22" ht="24" customHeight="1">
      <c r="A118" s="219"/>
      <c r="B118" s="223"/>
      <c r="C118" s="228"/>
      <c r="D118" s="211" t="s">
        <v>1015</v>
      </c>
      <c r="E118" s="209" t="s">
        <v>912</v>
      </c>
      <c r="F118" s="209">
        <v>4.0090000000000003</v>
      </c>
      <c r="G118" s="209">
        <v>440</v>
      </c>
      <c r="H118" s="209">
        <v>110</v>
      </c>
      <c r="I118" s="209" t="s">
        <v>71</v>
      </c>
      <c r="J118" s="208">
        <v>2979</v>
      </c>
      <c r="K118" s="208">
        <v>6893</v>
      </c>
      <c r="L118" s="207">
        <v>3749</v>
      </c>
      <c r="M118" s="206" t="s">
        <v>775</v>
      </c>
      <c r="N118" s="216">
        <v>8.6999999999999993</v>
      </c>
      <c r="O118" s="215">
        <f>IF(N118&gt;0,1/N118*37.7*68.6,"")</f>
        <v>297.26666666666671</v>
      </c>
      <c r="P118" s="203">
        <v>8.1199999999999992</v>
      </c>
      <c r="Q118" s="202" t="s">
        <v>834</v>
      </c>
      <c r="R118" s="201" t="s">
        <v>993</v>
      </c>
      <c r="S118" s="201" t="s">
        <v>34</v>
      </c>
      <c r="T118" s="200"/>
      <c r="U118" s="199"/>
      <c r="V118" s="198">
        <f>IFERROR(IF(N118&lt;P118,"",(ROUNDDOWN(N118/P118*100,0))),"")</f>
        <v>107</v>
      </c>
    </row>
    <row r="119" spans="1:22" ht="24" customHeight="1">
      <c r="A119" s="219"/>
      <c r="B119" s="223"/>
      <c r="C119" s="228"/>
      <c r="D119" s="211" t="s">
        <v>1014</v>
      </c>
      <c r="E119" s="209" t="s">
        <v>912</v>
      </c>
      <c r="F119" s="209">
        <v>4.0090000000000003</v>
      </c>
      <c r="G119" s="209">
        <v>440</v>
      </c>
      <c r="H119" s="209">
        <v>110</v>
      </c>
      <c r="I119" s="209" t="s">
        <v>71</v>
      </c>
      <c r="J119" s="208">
        <v>2356</v>
      </c>
      <c r="K119" s="208">
        <v>4521</v>
      </c>
      <c r="L119" s="207">
        <v>2000</v>
      </c>
      <c r="M119" s="206" t="s">
        <v>775</v>
      </c>
      <c r="N119" s="216">
        <v>11</v>
      </c>
      <c r="O119" s="215">
        <f>IF(N119&gt;0,1/N119*37.7*68.6,"")</f>
        <v>235.1109090909091</v>
      </c>
      <c r="P119" s="203">
        <v>10.35</v>
      </c>
      <c r="Q119" s="202" t="s">
        <v>831</v>
      </c>
      <c r="R119" s="201" t="s">
        <v>993</v>
      </c>
      <c r="S119" s="201" t="s">
        <v>34</v>
      </c>
      <c r="T119" s="200"/>
      <c r="U119" s="199"/>
      <c r="V119" s="198">
        <f>IFERROR(IF(N119&lt;P119,"",(ROUNDDOWN(N119/P119*100,0))),"")</f>
        <v>106</v>
      </c>
    </row>
    <row r="120" spans="1:22" ht="24" customHeight="1">
      <c r="A120" s="219"/>
      <c r="B120" s="223"/>
      <c r="C120" s="228"/>
      <c r="D120" s="211" t="s">
        <v>1013</v>
      </c>
      <c r="E120" s="209" t="s">
        <v>912</v>
      </c>
      <c r="F120" s="209">
        <v>4.0090000000000003</v>
      </c>
      <c r="G120" s="209">
        <v>440</v>
      </c>
      <c r="H120" s="209">
        <v>110</v>
      </c>
      <c r="I120" s="209" t="s">
        <v>71</v>
      </c>
      <c r="J120" s="208">
        <v>2652</v>
      </c>
      <c r="K120" s="208">
        <v>5812</v>
      </c>
      <c r="L120" s="207">
        <v>2995</v>
      </c>
      <c r="M120" s="206" t="s">
        <v>775</v>
      </c>
      <c r="N120" s="216">
        <v>10.199999999999999</v>
      </c>
      <c r="O120" s="215">
        <f>IF(N120&gt;0,1/N120*37.7*68.6,"")</f>
        <v>253.55098039215687</v>
      </c>
      <c r="P120" s="203">
        <v>9.51</v>
      </c>
      <c r="Q120" s="202" t="s">
        <v>831</v>
      </c>
      <c r="R120" s="201" t="s">
        <v>993</v>
      </c>
      <c r="S120" s="201" t="s">
        <v>34</v>
      </c>
      <c r="T120" s="200"/>
      <c r="U120" s="199"/>
      <c r="V120" s="198">
        <f>IFERROR(IF(N120&lt;P120,"",(ROUNDDOWN(N120/P120*100,0))),"")</f>
        <v>107</v>
      </c>
    </row>
    <row r="121" spans="1:22" ht="24" customHeight="1">
      <c r="A121" s="219"/>
      <c r="B121" s="223"/>
      <c r="C121" s="228"/>
      <c r="D121" s="211" t="s">
        <v>1013</v>
      </c>
      <c r="E121" s="209" t="s">
        <v>912</v>
      </c>
      <c r="F121" s="209">
        <v>4.0090000000000003</v>
      </c>
      <c r="G121" s="209">
        <v>440</v>
      </c>
      <c r="H121" s="209">
        <v>110</v>
      </c>
      <c r="I121" s="209" t="s">
        <v>790</v>
      </c>
      <c r="J121" s="208">
        <v>2979</v>
      </c>
      <c r="K121" s="208">
        <v>6893</v>
      </c>
      <c r="L121" s="207">
        <v>3749</v>
      </c>
      <c r="M121" s="206" t="s">
        <v>775</v>
      </c>
      <c r="N121" s="216">
        <v>8.8000000000000007</v>
      </c>
      <c r="O121" s="215">
        <f>IF(N121&gt;0,1/N121*37.7*68.6,"")</f>
        <v>293.88863636363635</v>
      </c>
      <c r="P121" s="203">
        <v>8.1199999999999992</v>
      </c>
      <c r="Q121" s="202" t="s">
        <v>834</v>
      </c>
      <c r="R121" s="201" t="s">
        <v>993</v>
      </c>
      <c r="S121" s="201" t="s">
        <v>34</v>
      </c>
      <c r="T121" s="200"/>
      <c r="U121" s="199"/>
      <c r="V121" s="198">
        <f>IFERROR(IF(N121&lt;P121,"",(ROUNDDOWN(N121/P121*100,0))),"")</f>
        <v>108</v>
      </c>
    </row>
    <row r="122" spans="1:22" ht="24" customHeight="1">
      <c r="A122" s="219"/>
      <c r="B122" s="223"/>
      <c r="C122" s="228"/>
      <c r="D122" s="211" t="s">
        <v>1013</v>
      </c>
      <c r="E122" s="209" t="s">
        <v>912</v>
      </c>
      <c r="F122" s="209">
        <v>4.0090000000000003</v>
      </c>
      <c r="G122" s="209">
        <v>440</v>
      </c>
      <c r="H122" s="209">
        <v>110</v>
      </c>
      <c r="I122" s="209" t="s">
        <v>71</v>
      </c>
      <c r="J122" s="208">
        <v>2979</v>
      </c>
      <c r="K122" s="208">
        <v>6893</v>
      </c>
      <c r="L122" s="207">
        <v>3749</v>
      </c>
      <c r="M122" s="206" t="s">
        <v>775</v>
      </c>
      <c r="N122" s="216">
        <v>8.6999999999999993</v>
      </c>
      <c r="O122" s="215">
        <f>IF(N122&gt;0,1/N122*37.7*68.6,"")</f>
        <v>297.26666666666671</v>
      </c>
      <c r="P122" s="203">
        <v>8.1199999999999992</v>
      </c>
      <c r="Q122" s="202" t="s">
        <v>834</v>
      </c>
      <c r="R122" s="201" t="s">
        <v>993</v>
      </c>
      <c r="S122" s="201" t="s">
        <v>34</v>
      </c>
      <c r="T122" s="200"/>
      <c r="U122" s="199"/>
      <c r="V122" s="198">
        <f>IFERROR(IF(N122&lt;P122,"",(ROUNDDOWN(N122/P122*100,0))),"")</f>
        <v>107</v>
      </c>
    </row>
    <row r="123" spans="1:22" ht="24" customHeight="1">
      <c r="A123" s="219"/>
      <c r="B123" s="223"/>
      <c r="C123" s="228"/>
      <c r="D123" s="211" t="s">
        <v>1012</v>
      </c>
      <c r="E123" s="209" t="s">
        <v>912</v>
      </c>
      <c r="F123" s="209">
        <v>4.0090000000000003</v>
      </c>
      <c r="G123" s="209">
        <v>440</v>
      </c>
      <c r="H123" s="209">
        <v>110</v>
      </c>
      <c r="I123" s="209" t="s">
        <v>70</v>
      </c>
      <c r="J123" s="208">
        <v>2356</v>
      </c>
      <c r="K123" s="208">
        <v>4521</v>
      </c>
      <c r="L123" s="207">
        <v>2000</v>
      </c>
      <c r="M123" s="206" t="s">
        <v>775</v>
      </c>
      <c r="N123" s="216">
        <v>10.6</v>
      </c>
      <c r="O123" s="215">
        <f>IF(N123&gt;0,1/N123*37.7*68.6,"")</f>
        <v>243.98301886792456</v>
      </c>
      <c r="P123" s="203">
        <v>10.35</v>
      </c>
      <c r="Q123" s="202" t="s">
        <v>834</v>
      </c>
      <c r="R123" s="201" t="s">
        <v>993</v>
      </c>
      <c r="S123" s="201" t="s">
        <v>110</v>
      </c>
      <c r="T123" s="200"/>
      <c r="U123" s="199"/>
      <c r="V123" s="198">
        <f>IFERROR(IF(N123&lt;P123,"",(ROUNDDOWN(N123/P123*100,0))),"")</f>
        <v>102</v>
      </c>
    </row>
    <row r="124" spans="1:22" ht="24" customHeight="1">
      <c r="A124" s="219"/>
      <c r="B124" s="223"/>
      <c r="C124" s="228"/>
      <c r="D124" s="211" t="s">
        <v>1011</v>
      </c>
      <c r="E124" s="209" t="s">
        <v>912</v>
      </c>
      <c r="F124" s="209">
        <v>4.0090000000000003</v>
      </c>
      <c r="G124" s="209">
        <v>440</v>
      </c>
      <c r="H124" s="209">
        <v>110</v>
      </c>
      <c r="I124" s="209" t="s">
        <v>70</v>
      </c>
      <c r="J124" s="208">
        <v>2356</v>
      </c>
      <c r="K124" s="208">
        <v>4521</v>
      </c>
      <c r="L124" s="207">
        <v>2000</v>
      </c>
      <c r="M124" s="206" t="s">
        <v>775</v>
      </c>
      <c r="N124" s="216">
        <v>10.6</v>
      </c>
      <c r="O124" s="215">
        <f>IF(N124&gt;0,1/N124*37.7*68.6,"")</f>
        <v>243.98301886792456</v>
      </c>
      <c r="P124" s="203">
        <v>10.35</v>
      </c>
      <c r="Q124" s="202" t="s">
        <v>834</v>
      </c>
      <c r="R124" s="201" t="s">
        <v>993</v>
      </c>
      <c r="S124" s="201" t="s">
        <v>110</v>
      </c>
      <c r="T124" s="200"/>
      <c r="U124" s="199"/>
      <c r="V124" s="198">
        <f>IFERROR(IF(N124&lt;P124,"",(ROUNDDOWN(N124/P124*100,0))),"")</f>
        <v>102</v>
      </c>
    </row>
    <row r="125" spans="1:22" ht="24" customHeight="1">
      <c r="A125" s="219"/>
      <c r="B125" s="223"/>
      <c r="C125" s="228"/>
      <c r="D125" s="211" t="s">
        <v>1010</v>
      </c>
      <c r="E125" s="209" t="s">
        <v>912</v>
      </c>
      <c r="F125" s="209">
        <v>4.0090000000000003</v>
      </c>
      <c r="G125" s="209">
        <v>440</v>
      </c>
      <c r="H125" s="209">
        <v>110</v>
      </c>
      <c r="I125" s="209" t="s">
        <v>70</v>
      </c>
      <c r="J125" s="208">
        <v>2356</v>
      </c>
      <c r="K125" s="208">
        <v>4521</v>
      </c>
      <c r="L125" s="207">
        <v>2000</v>
      </c>
      <c r="M125" s="206" t="s">
        <v>775</v>
      </c>
      <c r="N125" s="216">
        <v>10.6</v>
      </c>
      <c r="O125" s="215">
        <f>IF(N125&gt;0,1/N125*37.7*68.6,"")</f>
        <v>243.98301886792456</v>
      </c>
      <c r="P125" s="203">
        <v>10.35</v>
      </c>
      <c r="Q125" s="202" t="s">
        <v>834</v>
      </c>
      <c r="R125" s="201" t="s">
        <v>993</v>
      </c>
      <c r="S125" s="201" t="s">
        <v>110</v>
      </c>
      <c r="T125" s="200"/>
      <c r="U125" s="199"/>
      <c r="V125" s="198">
        <f>IFERROR(IF(N125&lt;P125,"",(ROUNDDOWN(N125/P125*100,0))),"")</f>
        <v>102</v>
      </c>
    </row>
    <row r="126" spans="1:22" ht="24" customHeight="1">
      <c r="A126" s="219"/>
      <c r="B126" s="223"/>
      <c r="C126" s="228"/>
      <c r="D126" s="211" t="s">
        <v>1010</v>
      </c>
      <c r="E126" s="209" t="s">
        <v>912</v>
      </c>
      <c r="F126" s="209">
        <v>4.0090000000000003</v>
      </c>
      <c r="G126" s="209">
        <v>440</v>
      </c>
      <c r="H126" s="209">
        <v>110</v>
      </c>
      <c r="I126" s="209" t="s">
        <v>70</v>
      </c>
      <c r="J126" s="208">
        <v>2652</v>
      </c>
      <c r="K126" s="208">
        <v>5812</v>
      </c>
      <c r="L126" s="207">
        <v>2995</v>
      </c>
      <c r="M126" s="206" t="s">
        <v>775</v>
      </c>
      <c r="N126" s="216">
        <v>9.8000000000000007</v>
      </c>
      <c r="O126" s="215">
        <f>IF(N126&gt;0,1/N126*37.7*68.6,"")</f>
        <v>263.89999999999998</v>
      </c>
      <c r="P126" s="203">
        <v>9.51</v>
      </c>
      <c r="Q126" s="202" t="s">
        <v>834</v>
      </c>
      <c r="R126" s="201" t="s">
        <v>993</v>
      </c>
      <c r="S126" s="201" t="s">
        <v>110</v>
      </c>
      <c r="T126" s="200"/>
      <c r="U126" s="199"/>
      <c r="V126" s="198">
        <f>IFERROR(IF(N126&lt;P126,"",(ROUNDDOWN(N126/P126*100,0))),"")</f>
        <v>103</v>
      </c>
    </row>
    <row r="127" spans="1:22" ht="24" customHeight="1">
      <c r="A127" s="219"/>
      <c r="B127" s="223"/>
      <c r="C127" s="228"/>
      <c r="D127" s="211" t="s">
        <v>1009</v>
      </c>
      <c r="E127" s="209" t="s">
        <v>912</v>
      </c>
      <c r="F127" s="209">
        <v>4.0090000000000003</v>
      </c>
      <c r="G127" s="209">
        <v>440</v>
      </c>
      <c r="H127" s="209">
        <v>110</v>
      </c>
      <c r="I127" s="209" t="s">
        <v>70</v>
      </c>
      <c r="J127" s="208">
        <v>2356</v>
      </c>
      <c r="K127" s="208">
        <v>4521</v>
      </c>
      <c r="L127" s="207">
        <v>2000</v>
      </c>
      <c r="M127" s="206" t="s">
        <v>775</v>
      </c>
      <c r="N127" s="216">
        <v>10.6</v>
      </c>
      <c r="O127" s="215">
        <f>IF(N127&gt;0,1/N127*37.7*68.6,"")</f>
        <v>243.98301886792456</v>
      </c>
      <c r="P127" s="203">
        <v>10.35</v>
      </c>
      <c r="Q127" s="202" t="s">
        <v>834</v>
      </c>
      <c r="R127" s="201" t="s">
        <v>993</v>
      </c>
      <c r="S127" s="201" t="s">
        <v>110</v>
      </c>
      <c r="T127" s="200"/>
      <c r="U127" s="199"/>
      <c r="V127" s="198">
        <f>IFERROR(IF(N127&lt;P127,"",(ROUNDDOWN(N127/P127*100,0))),"")</f>
        <v>102</v>
      </c>
    </row>
    <row r="128" spans="1:22" ht="24" customHeight="1">
      <c r="A128" s="219"/>
      <c r="B128" s="223"/>
      <c r="C128" s="228"/>
      <c r="D128" s="211" t="s">
        <v>1009</v>
      </c>
      <c r="E128" s="209" t="s">
        <v>912</v>
      </c>
      <c r="F128" s="209">
        <v>4.0090000000000003</v>
      </c>
      <c r="G128" s="209">
        <v>440</v>
      </c>
      <c r="H128" s="209">
        <v>110</v>
      </c>
      <c r="I128" s="209" t="s">
        <v>70</v>
      </c>
      <c r="J128" s="208">
        <v>2652</v>
      </c>
      <c r="K128" s="208">
        <v>5812</v>
      </c>
      <c r="L128" s="207">
        <v>2995</v>
      </c>
      <c r="M128" s="206" t="s">
        <v>775</v>
      </c>
      <c r="N128" s="216">
        <v>9.8000000000000007</v>
      </c>
      <c r="O128" s="215">
        <f>IF(N128&gt;0,1/N128*37.7*68.6,"")</f>
        <v>263.89999999999998</v>
      </c>
      <c r="P128" s="203">
        <v>9.51</v>
      </c>
      <c r="Q128" s="202" t="s">
        <v>834</v>
      </c>
      <c r="R128" s="201" t="s">
        <v>993</v>
      </c>
      <c r="S128" s="201" t="s">
        <v>110</v>
      </c>
      <c r="T128" s="200"/>
      <c r="U128" s="199"/>
      <c r="V128" s="198">
        <f>IFERROR(IF(N128&lt;P128,"",(ROUNDDOWN(N128/P128*100,0))),"")</f>
        <v>103</v>
      </c>
    </row>
    <row r="129" spans="1:22" ht="24" customHeight="1">
      <c r="A129" s="219"/>
      <c r="B129" s="223"/>
      <c r="C129" s="228"/>
      <c r="D129" s="211" t="s">
        <v>1008</v>
      </c>
      <c r="E129" s="209" t="s">
        <v>912</v>
      </c>
      <c r="F129" s="209">
        <v>4.0090000000000003</v>
      </c>
      <c r="G129" s="209">
        <v>440</v>
      </c>
      <c r="H129" s="209">
        <v>110</v>
      </c>
      <c r="I129" s="209" t="s">
        <v>70</v>
      </c>
      <c r="J129" s="208">
        <v>2356</v>
      </c>
      <c r="K129" s="208">
        <v>4521</v>
      </c>
      <c r="L129" s="207">
        <v>2000</v>
      </c>
      <c r="M129" s="206" t="s">
        <v>775</v>
      </c>
      <c r="N129" s="216">
        <v>10.6</v>
      </c>
      <c r="O129" s="215">
        <f>IF(N129&gt;0,1/N129*37.7*68.6,"")</f>
        <v>243.98301886792456</v>
      </c>
      <c r="P129" s="203">
        <v>10.35</v>
      </c>
      <c r="Q129" s="202" t="s">
        <v>834</v>
      </c>
      <c r="R129" s="201" t="s">
        <v>993</v>
      </c>
      <c r="S129" s="201" t="s">
        <v>110</v>
      </c>
      <c r="T129" s="200"/>
      <c r="U129" s="199"/>
      <c r="V129" s="198">
        <f>IFERROR(IF(N129&lt;P129,"",(ROUNDDOWN(N129/P129*100,0))),"")</f>
        <v>102</v>
      </c>
    </row>
    <row r="130" spans="1:22" ht="24" customHeight="1">
      <c r="A130" s="219"/>
      <c r="B130" s="223"/>
      <c r="C130" s="228"/>
      <c r="D130" s="211" t="s">
        <v>1008</v>
      </c>
      <c r="E130" s="209" t="s">
        <v>912</v>
      </c>
      <c r="F130" s="209">
        <v>4.0090000000000003</v>
      </c>
      <c r="G130" s="209">
        <v>440</v>
      </c>
      <c r="H130" s="209">
        <v>110</v>
      </c>
      <c r="I130" s="209" t="s">
        <v>70</v>
      </c>
      <c r="J130" s="208">
        <v>2652</v>
      </c>
      <c r="K130" s="208">
        <v>5812</v>
      </c>
      <c r="L130" s="207">
        <v>2995</v>
      </c>
      <c r="M130" s="206" t="s">
        <v>775</v>
      </c>
      <c r="N130" s="216">
        <v>9.8000000000000007</v>
      </c>
      <c r="O130" s="215">
        <f>IF(N130&gt;0,1/N130*37.7*68.6,"")</f>
        <v>263.89999999999998</v>
      </c>
      <c r="P130" s="203">
        <v>9.51</v>
      </c>
      <c r="Q130" s="202" t="s">
        <v>834</v>
      </c>
      <c r="R130" s="201" t="s">
        <v>993</v>
      </c>
      <c r="S130" s="201" t="s">
        <v>110</v>
      </c>
      <c r="T130" s="200"/>
      <c r="U130" s="199"/>
      <c r="V130" s="198">
        <f>IFERROR(IF(N130&lt;P130,"",(ROUNDDOWN(N130/P130*100,0))),"")</f>
        <v>103</v>
      </c>
    </row>
    <row r="131" spans="1:22" ht="24" customHeight="1">
      <c r="A131" s="219"/>
      <c r="B131" s="223"/>
      <c r="C131" s="228"/>
      <c r="D131" s="211" t="s">
        <v>1007</v>
      </c>
      <c r="E131" s="209" t="s">
        <v>912</v>
      </c>
      <c r="F131" s="209">
        <v>4.0090000000000003</v>
      </c>
      <c r="G131" s="209">
        <v>440</v>
      </c>
      <c r="H131" s="209">
        <v>110</v>
      </c>
      <c r="I131" s="209" t="s">
        <v>70</v>
      </c>
      <c r="J131" s="208">
        <v>2356</v>
      </c>
      <c r="K131" s="208">
        <v>4521</v>
      </c>
      <c r="L131" s="207">
        <v>2000</v>
      </c>
      <c r="M131" s="206" t="s">
        <v>775</v>
      </c>
      <c r="N131" s="216">
        <v>10.6</v>
      </c>
      <c r="O131" s="215">
        <f>IF(N131&gt;0,1/N131*37.7*68.6,"")</f>
        <v>243.98301886792456</v>
      </c>
      <c r="P131" s="203">
        <v>10.35</v>
      </c>
      <c r="Q131" s="202" t="s">
        <v>834</v>
      </c>
      <c r="R131" s="201" t="s">
        <v>993</v>
      </c>
      <c r="S131" s="201" t="s">
        <v>110</v>
      </c>
      <c r="T131" s="200"/>
      <c r="U131" s="199"/>
      <c r="V131" s="198">
        <f>IFERROR(IF(N131&lt;P131,"",(ROUNDDOWN(N131/P131*100,0))),"")</f>
        <v>102</v>
      </c>
    </row>
    <row r="132" spans="1:22" ht="24" customHeight="1">
      <c r="A132" s="219"/>
      <c r="B132" s="223"/>
      <c r="C132" s="228"/>
      <c r="D132" s="211" t="s">
        <v>1007</v>
      </c>
      <c r="E132" s="209" t="s">
        <v>912</v>
      </c>
      <c r="F132" s="209">
        <v>4.0090000000000003</v>
      </c>
      <c r="G132" s="209">
        <v>440</v>
      </c>
      <c r="H132" s="209">
        <v>110</v>
      </c>
      <c r="I132" s="209" t="s">
        <v>70</v>
      </c>
      <c r="J132" s="208">
        <v>2652</v>
      </c>
      <c r="K132" s="208">
        <v>5812</v>
      </c>
      <c r="L132" s="207">
        <v>2995</v>
      </c>
      <c r="M132" s="206" t="s">
        <v>775</v>
      </c>
      <c r="N132" s="216">
        <v>9.8000000000000007</v>
      </c>
      <c r="O132" s="215">
        <f>IF(N132&gt;0,1/N132*37.7*68.6,"")</f>
        <v>263.89999999999998</v>
      </c>
      <c r="P132" s="203">
        <v>9.51</v>
      </c>
      <c r="Q132" s="202" t="s">
        <v>834</v>
      </c>
      <c r="R132" s="201" t="s">
        <v>993</v>
      </c>
      <c r="S132" s="201" t="s">
        <v>110</v>
      </c>
      <c r="T132" s="200"/>
      <c r="U132" s="199"/>
      <c r="V132" s="198">
        <f>IFERROR(IF(N132&lt;P132,"",(ROUNDDOWN(N132/P132*100,0))),"")</f>
        <v>103</v>
      </c>
    </row>
    <row r="133" spans="1:22" ht="24" customHeight="1">
      <c r="A133" s="219"/>
      <c r="B133" s="223"/>
      <c r="C133" s="228"/>
      <c r="D133" s="211" t="s">
        <v>965</v>
      </c>
      <c r="E133" s="209" t="s">
        <v>912</v>
      </c>
      <c r="F133" s="209">
        <v>4.0090000000000003</v>
      </c>
      <c r="G133" s="209">
        <v>470</v>
      </c>
      <c r="H133" s="209">
        <v>132</v>
      </c>
      <c r="I133" s="209" t="s">
        <v>71</v>
      </c>
      <c r="J133" s="208">
        <v>3543</v>
      </c>
      <c r="K133" s="208">
        <v>7928</v>
      </c>
      <c r="L133" s="207">
        <v>4275</v>
      </c>
      <c r="M133" s="206" t="s">
        <v>775</v>
      </c>
      <c r="N133" s="216">
        <v>7.4</v>
      </c>
      <c r="O133" s="215">
        <f>IF(N133&gt;0,1/N133*37.7*68.6,"")</f>
        <v>349.48918918918912</v>
      </c>
      <c r="P133" s="203">
        <v>7.24</v>
      </c>
      <c r="Q133" s="202" t="s">
        <v>834</v>
      </c>
      <c r="R133" s="201" t="s">
        <v>993</v>
      </c>
      <c r="S133" s="201" t="s">
        <v>34</v>
      </c>
      <c r="T133" s="200"/>
      <c r="U133" s="199"/>
      <c r="V133" s="198">
        <f>IFERROR(IF(N133&lt;P133,"",(ROUNDDOWN(N133/P133*100,0))),"")</f>
        <v>102</v>
      </c>
    </row>
    <row r="134" spans="1:22" ht="24" customHeight="1">
      <c r="A134" s="219"/>
      <c r="B134" s="223"/>
      <c r="C134" s="228"/>
      <c r="D134" s="211" t="s">
        <v>965</v>
      </c>
      <c r="E134" s="209" t="s">
        <v>912</v>
      </c>
      <c r="F134" s="209">
        <v>4.0090000000000003</v>
      </c>
      <c r="G134" s="209">
        <v>470</v>
      </c>
      <c r="H134" s="209">
        <v>132</v>
      </c>
      <c r="I134" s="209" t="s">
        <v>71</v>
      </c>
      <c r="J134" s="208">
        <v>3543</v>
      </c>
      <c r="K134" s="208">
        <v>7928</v>
      </c>
      <c r="L134" s="207">
        <v>4275</v>
      </c>
      <c r="M134" s="206" t="s">
        <v>775</v>
      </c>
      <c r="N134" s="216">
        <v>7.3</v>
      </c>
      <c r="O134" s="215">
        <f>IF(N134&gt;0,1/N134*37.7*68.6,"")</f>
        <v>354.27671232876708</v>
      </c>
      <c r="P134" s="203">
        <v>7.24</v>
      </c>
      <c r="Q134" s="202" t="s">
        <v>831</v>
      </c>
      <c r="R134" s="201" t="s">
        <v>993</v>
      </c>
      <c r="S134" s="201" t="s">
        <v>34</v>
      </c>
      <c r="T134" s="200"/>
      <c r="U134" s="199"/>
      <c r="V134" s="198">
        <f>IFERROR(IF(N134&lt;P134,"",(ROUNDDOWN(N134/P134*100,0))),"")</f>
        <v>100</v>
      </c>
    </row>
    <row r="135" spans="1:22" ht="24" customHeight="1">
      <c r="A135" s="219"/>
      <c r="B135" s="223"/>
      <c r="C135" s="228"/>
      <c r="D135" s="211" t="s">
        <v>915</v>
      </c>
      <c r="E135" s="209" t="s">
        <v>912</v>
      </c>
      <c r="F135" s="209">
        <v>4.0090000000000003</v>
      </c>
      <c r="G135" s="209">
        <v>470</v>
      </c>
      <c r="H135" s="209">
        <v>132</v>
      </c>
      <c r="I135" s="209" t="s">
        <v>71</v>
      </c>
      <c r="J135" s="208">
        <v>3543</v>
      </c>
      <c r="K135" s="208">
        <v>7928</v>
      </c>
      <c r="L135" s="207">
        <v>4275</v>
      </c>
      <c r="M135" s="206" t="s">
        <v>775</v>
      </c>
      <c r="N135" s="216">
        <v>7.4</v>
      </c>
      <c r="O135" s="215">
        <f>IF(N135&gt;0,1/N135*37.7*68.6,"")</f>
        <v>349.48918918918912</v>
      </c>
      <c r="P135" s="203">
        <v>7.24</v>
      </c>
      <c r="Q135" s="202" t="s">
        <v>834</v>
      </c>
      <c r="R135" s="201" t="s">
        <v>993</v>
      </c>
      <c r="S135" s="201" t="s">
        <v>34</v>
      </c>
      <c r="T135" s="200"/>
      <c r="U135" s="199"/>
      <c r="V135" s="198">
        <f>IFERROR(IF(N135&lt;P135,"",(ROUNDDOWN(N135/P135*100,0))),"")</f>
        <v>102</v>
      </c>
    </row>
    <row r="136" spans="1:22" ht="24" customHeight="1">
      <c r="A136" s="219"/>
      <c r="B136" s="223"/>
      <c r="C136" s="228"/>
      <c r="D136" s="211" t="s">
        <v>1006</v>
      </c>
      <c r="E136" s="209" t="s">
        <v>912</v>
      </c>
      <c r="F136" s="209">
        <v>4.0090000000000003</v>
      </c>
      <c r="G136" s="209">
        <v>470</v>
      </c>
      <c r="H136" s="209">
        <v>132</v>
      </c>
      <c r="I136" s="209" t="s">
        <v>71</v>
      </c>
      <c r="J136" s="208">
        <v>3543</v>
      </c>
      <c r="K136" s="208">
        <v>7928</v>
      </c>
      <c r="L136" s="207">
        <v>4275</v>
      </c>
      <c r="M136" s="206" t="s">
        <v>775</v>
      </c>
      <c r="N136" s="216">
        <v>7.3</v>
      </c>
      <c r="O136" s="215">
        <f>IF(N136&gt;0,1/N136*37.7*68.6,"")</f>
        <v>354.27671232876708</v>
      </c>
      <c r="P136" s="203">
        <v>7.24</v>
      </c>
      <c r="Q136" s="202" t="s">
        <v>831</v>
      </c>
      <c r="R136" s="201" t="s">
        <v>993</v>
      </c>
      <c r="S136" s="201" t="s">
        <v>34</v>
      </c>
      <c r="T136" s="200"/>
      <c r="U136" s="199"/>
      <c r="V136" s="198">
        <f>IFERROR(IF(N136&lt;P136,"",(ROUNDDOWN(N136/P136*100,0))),"")</f>
        <v>100</v>
      </c>
    </row>
    <row r="137" spans="1:22" ht="24" customHeight="1">
      <c r="A137" s="219"/>
      <c r="B137" s="223"/>
      <c r="C137" s="228"/>
      <c r="D137" s="211" t="s">
        <v>964</v>
      </c>
      <c r="E137" s="209" t="s">
        <v>912</v>
      </c>
      <c r="F137" s="209">
        <v>4.0090000000000003</v>
      </c>
      <c r="G137" s="209">
        <v>470</v>
      </c>
      <c r="H137" s="209">
        <v>132</v>
      </c>
      <c r="I137" s="209" t="s">
        <v>71</v>
      </c>
      <c r="J137" s="208">
        <v>2356</v>
      </c>
      <c r="K137" s="208">
        <v>4521</v>
      </c>
      <c r="L137" s="207">
        <v>2000</v>
      </c>
      <c r="M137" s="206" t="s">
        <v>775</v>
      </c>
      <c r="N137" s="216">
        <v>10.6</v>
      </c>
      <c r="O137" s="215">
        <f>IF(N137&gt;0,1/N137*37.7*68.6,"")</f>
        <v>243.98301886792456</v>
      </c>
      <c r="P137" s="203">
        <v>10.35</v>
      </c>
      <c r="Q137" s="202" t="s">
        <v>834</v>
      </c>
      <c r="R137" s="201" t="s">
        <v>993</v>
      </c>
      <c r="S137" s="201" t="s">
        <v>34</v>
      </c>
      <c r="T137" s="200"/>
      <c r="U137" s="199"/>
      <c r="V137" s="198">
        <f>IFERROR(IF(N137&lt;P137,"",(ROUNDDOWN(N137/P137*100,0))),"")</f>
        <v>102</v>
      </c>
    </row>
    <row r="138" spans="1:22" ht="24" customHeight="1">
      <c r="A138" s="219"/>
      <c r="B138" s="223"/>
      <c r="C138" s="228"/>
      <c r="D138" s="211" t="s">
        <v>964</v>
      </c>
      <c r="E138" s="209" t="s">
        <v>912</v>
      </c>
      <c r="F138" s="209">
        <v>4.0090000000000003</v>
      </c>
      <c r="G138" s="209">
        <v>470</v>
      </c>
      <c r="H138" s="209">
        <v>132</v>
      </c>
      <c r="I138" s="209" t="s">
        <v>71</v>
      </c>
      <c r="J138" s="208">
        <v>3543</v>
      </c>
      <c r="K138" s="208">
        <v>7928</v>
      </c>
      <c r="L138" s="207">
        <v>4275</v>
      </c>
      <c r="M138" s="206" t="s">
        <v>775</v>
      </c>
      <c r="N138" s="216">
        <v>7.4</v>
      </c>
      <c r="O138" s="215">
        <f>IF(N138&gt;0,1/N138*37.7*68.6,"")</f>
        <v>349.48918918918912</v>
      </c>
      <c r="P138" s="203">
        <v>7.24</v>
      </c>
      <c r="Q138" s="202" t="s">
        <v>834</v>
      </c>
      <c r="R138" s="201" t="s">
        <v>993</v>
      </c>
      <c r="S138" s="201" t="s">
        <v>34</v>
      </c>
      <c r="T138" s="200"/>
      <c r="U138" s="199"/>
      <c r="V138" s="198">
        <f>IFERROR(IF(N138&lt;P138,"",(ROUNDDOWN(N138/P138*100,0))),"")</f>
        <v>102</v>
      </c>
    </row>
    <row r="139" spans="1:22" ht="24" customHeight="1">
      <c r="A139" s="219"/>
      <c r="B139" s="223"/>
      <c r="C139" s="228"/>
      <c r="D139" s="211" t="s">
        <v>964</v>
      </c>
      <c r="E139" s="209" t="s">
        <v>912</v>
      </c>
      <c r="F139" s="209">
        <v>4.0090000000000003</v>
      </c>
      <c r="G139" s="209">
        <v>470</v>
      </c>
      <c r="H139" s="209">
        <v>132</v>
      </c>
      <c r="I139" s="209" t="s">
        <v>71</v>
      </c>
      <c r="J139" s="208">
        <v>3543</v>
      </c>
      <c r="K139" s="208">
        <v>7928</v>
      </c>
      <c r="L139" s="207">
        <v>4275</v>
      </c>
      <c r="M139" s="206" t="s">
        <v>775</v>
      </c>
      <c r="N139" s="216">
        <v>7.3</v>
      </c>
      <c r="O139" s="215">
        <f>IF(N139&gt;0,1/N139*37.7*68.6,"")</f>
        <v>354.27671232876708</v>
      </c>
      <c r="P139" s="203">
        <v>7.24</v>
      </c>
      <c r="Q139" s="202" t="s">
        <v>831</v>
      </c>
      <c r="R139" s="201" t="s">
        <v>993</v>
      </c>
      <c r="S139" s="201" t="s">
        <v>34</v>
      </c>
      <c r="T139" s="200"/>
      <c r="U139" s="199"/>
      <c r="V139" s="198">
        <f>IFERROR(IF(N139&lt;P139,"",(ROUNDDOWN(N139/P139*100,0))),"")</f>
        <v>100</v>
      </c>
    </row>
    <row r="140" spans="1:22" ht="24" customHeight="1">
      <c r="A140" s="219"/>
      <c r="B140" s="223"/>
      <c r="C140" s="228"/>
      <c r="D140" s="211" t="s">
        <v>933</v>
      </c>
      <c r="E140" s="209" t="s">
        <v>912</v>
      </c>
      <c r="F140" s="209">
        <v>4.0090000000000003</v>
      </c>
      <c r="G140" s="209">
        <v>470</v>
      </c>
      <c r="H140" s="209">
        <v>132</v>
      </c>
      <c r="I140" s="209" t="s">
        <v>71</v>
      </c>
      <c r="J140" s="208">
        <v>2652</v>
      </c>
      <c r="K140" s="208">
        <v>5812</v>
      </c>
      <c r="L140" s="207">
        <v>2995</v>
      </c>
      <c r="M140" s="206" t="s">
        <v>775</v>
      </c>
      <c r="N140" s="216">
        <v>9.9</v>
      </c>
      <c r="O140" s="215">
        <f>IF(N140&gt;0,1/N140*37.7*68.6,"")</f>
        <v>261.23434343434343</v>
      </c>
      <c r="P140" s="203">
        <v>9.51</v>
      </c>
      <c r="Q140" s="202" t="s">
        <v>834</v>
      </c>
      <c r="R140" s="201" t="s">
        <v>993</v>
      </c>
      <c r="S140" s="201" t="s">
        <v>34</v>
      </c>
      <c r="T140" s="200"/>
      <c r="U140" s="199"/>
      <c r="V140" s="198">
        <f>IFERROR(IF(N140&lt;P140,"",(ROUNDDOWN(N140/P140*100,0))),"")</f>
        <v>104</v>
      </c>
    </row>
    <row r="141" spans="1:22" ht="24" customHeight="1">
      <c r="A141" s="219"/>
      <c r="B141" s="223"/>
      <c r="C141" s="228"/>
      <c r="D141" s="211" t="s">
        <v>933</v>
      </c>
      <c r="E141" s="209" t="s">
        <v>912</v>
      </c>
      <c r="F141" s="209">
        <v>4.0090000000000003</v>
      </c>
      <c r="G141" s="209">
        <v>470</v>
      </c>
      <c r="H141" s="209">
        <v>132</v>
      </c>
      <c r="I141" s="209" t="s">
        <v>71</v>
      </c>
      <c r="J141" s="208">
        <v>2979</v>
      </c>
      <c r="K141" s="208">
        <v>6893</v>
      </c>
      <c r="L141" s="207">
        <v>3749</v>
      </c>
      <c r="M141" s="206" t="s">
        <v>775</v>
      </c>
      <c r="N141" s="216">
        <v>8.1999999999999993</v>
      </c>
      <c r="O141" s="215">
        <f>IF(N141&gt;0,1/N141*37.7*68.6,"")</f>
        <v>315.39268292682931</v>
      </c>
      <c r="P141" s="203">
        <v>8.1199999999999992</v>
      </c>
      <c r="Q141" s="202" t="s">
        <v>834</v>
      </c>
      <c r="R141" s="201" t="s">
        <v>993</v>
      </c>
      <c r="S141" s="201" t="s">
        <v>34</v>
      </c>
      <c r="T141" s="200"/>
      <c r="U141" s="199"/>
      <c r="V141" s="198">
        <f>IFERROR(IF(N141&lt;P141,"",(ROUNDDOWN(N141/P141*100,0))),"")</f>
        <v>100</v>
      </c>
    </row>
    <row r="142" spans="1:22" ht="24" customHeight="1">
      <c r="A142" s="219"/>
      <c r="B142" s="223"/>
      <c r="C142" s="228"/>
      <c r="D142" s="211" t="s">
        <v>963</v>
      </c>
      <c r="E142" s="209" t="s">
        <v>912</v>
      </c>
      <c r="F142" s="209">
        <v>4.0090000000000003</v>
      </c>
      <c r="G142" s="209">
        <v>470</v>
      </c>
      <c r="H142" s="209">
        <v>132</v>
      </c>
      <c r="I142" s="209" t="s">
        <v>71</v>
      </c>
      <c r="J142" s="208">
        <v>2356</v>
      </c>
      <c r="K142" s="208">
        <v>4521</v>
      </c>
      <c r="L142" s="207">
        <v>2000</v>
      </c>
      <c r="M142" s="206" t="s">
        <v>775</v>
      </c>
      <c r="N142" s="216">
        <v>10.6</v>
      </c>
      <c r="O142" s="215">
        <f>IF(N142&gt;0,1/N142*37.7*68.6,"")</f>
        <v>243.98301886792456</v>
      </c>
      <c r="P142" s="203">
        <v>10.35</v>
      </c>
      <c r="Q142" s="202" t="s">
        <v>834</v>
      </c>
      <c r="R142" s="201" t="s">
        <v>993</v>
      </c>
      <c r="S142" s="201" t="s">
        <v>34</v>
      </c>
      <c r="T142" s="200"/>
      <c r="U142" s="199"/>
      <c r="V142" s="198">
        <f>IFERROR(IF(N142&lt;P142,"",(ROUNDDOWN(N142/P142*100,0))),"")</f>
        <v>102</v>
      </c>
    </row>
    <row r="143" spans="1:22" ht="24" customHeight="1">
      <c r="A143" s="219"/>
      <c r="B143" s="223"/>
      <c r="C143" s="228"/>
      <c r="D143" s="211" t="s">
        <v>963</v>
      </c>
      <c r="E143" s="209" t="s">
        <v>912</v>
      </c>
      <c r="F143" s="209">
        <v>4.0090000000000003</v>
      </c>
      <c r="G143" s="209">
        <v>470</v>
      </c>
      <c r="H143" s="209">
        <v>132</v>
      </c>
      <c r="I143" s="209" t="s">
        <v>71</v>
      </c>
      <c r="J143" s="208">
        <v>3543</v>
      </c>
      <c r="K143" s="208">
        <v>7928</v>
      </c>
      <c r="L143" s="207">
        <v>4275</v>
      </c>
      <c r="M143" s="206" t="s">
        <v>775</v>
      </c>
      <c r="N143" s="216">
        <v>7.4</v>
      </c>
      <c r="O143" s="215">
        <f>IF(N143&gt;0,1/N143*37.7*68.6,"")</f>
        <v>349.48918918918912</v>
      </c>
      <c r="P143" s="203">
        <v>7.24</v>
      </c>
      <c r="Q143" s="202" t="s">
        <v>834</v>
      </c>
      <c r="R143" s="201" t="s">
        <v>993</v>
      </c>
      <c r="S143" s="201" t="s">
        <v>34</v>
      </c>
      <c r="T143" s="200"/>
      <c r="U143" s="199"/>
      <c r="V143" s="198">
        <f>IFERROR(IF(N143&lt;P143,"",(ROUNDDOWN(N143/P143*100,0))),"")</f>
        <v>102</v>
      </c>
    </row>
    <row r="144" spans="1:22" ht="24" customHeight="1">
      <c r="A144" s="219"/>
      <c r="B144" s="223"/>
      <c r="C144" s="228"/>
      <c r="D144" s="211" t="s">
        <v>963</v>
      </c>
      <c r="E144" s="209" t="s">
        <v>912</v>
      </c>
      <c r="F144" s="209">
        <v>4.0090000000000003</v>
      </c>
      <c r="G144" s="209">
        <v>470</v>
      </c>
      <c r="H144" s="209">
        <v>132</v>
      </c>
      <c r="I144" s="209" t="s">
        <v>71</v>
      </c>
      <c r="J144" s="208">
        <v>3543</v>
      </c>
      <c r="K144" s="208">
        <v>7928</v>
      </c>
      <c r="L144" s="207">
        <v>4275</v>
      </c>
      <c r="M144" s="206" t="s">
        <v>775</v>
      </c>
      <c r="N144" s="216">
        <v>7.3</v>
      </c>
      <c r="O144" s="215">
        <f>IF(N144&gt;0,1/N144*37.7*68.6,"")</f>
        <v>354.27671232876708</v>
      </c>
      <c r="P144" s="203">
        <v>7.24</v>
      </c>
      <c r="Q144" s="202" t="s">
        <v>831</v>
      </c>
      <c r="R144" s="201" t="s">
        <v>993</v>
      </c>
      <c r="S144" s="201" t="s">
        <v>34</v>
      </c>
      <c r="T144" s="200"/>
      <c r="U144" s="199"/>
      <c r="V144" s="198">
        <f>IFERROR(IF(N144&lt;P144,"",(ROUNDDOWN(N144/P144*100,0))),"")</f>
        <v>100</v>
      </c>
    </row>
    <row r="145" spans="1:22" ht="24" customHeight="1">
      <c r="A145" s="219"/>
      <c r="B145" s="223"/>
      <c r="C145" s="228"/>
      <c r="D145" s="211" t="s">
        <v>932</v>
      </c>
      <c r="E145" s="209" t="s">
        <v>912</v>
      </c>
      <c r="F145" s="209">
        <v>4.0090000000000003</v>
      </c>
      <c r="G145" s="209">
        <v>470</v>
      </c>
      <c r="H145" s="209">
        <v>132</v>
      </c>
      <c r="I145" s="209" t="s">
        <v>71</v>
      </c>
      <c r="J145" s="208">
        <v>2652</v>
      </c>
      <c r="K145" s="208">
        <v>5812</v>
      </c>
      <c r="L145" s="207">
        <v>2995</v>
      </c>
      <c r="M145" s="206" t="s">
        <v>775</v>
      </c>
      <c r="N145" s="216">
        <v>9.9</v>
      </c>
      <c r="O145" s="215">
        <f>IF(N145&gt;0,1/N145*37.7*68.6,"")</f>
        <v>261.23434343434343</v>
      </c>
      <c r="P145" s="203">
        <v>9.51</v>
      </c>
      <c r="Q145" s="202" t="s">
        <v>834</v>
      </c>
      <c r="R145" s="201" t="s">
        <v>993</v>
      </c>
      <c r="S145" s="201" t="s">
        <v>34</v>
      </c>
      <c r="T145" s="200"/>
      <c r="U145" s="199"/>
      <c r="V145" s="198">
        <f>IFERROR(IF(N145&lt;P145,"",(ROUNDDOWN(N145/P145*100,0))),"")</f>
        <v>104</v>
      </c>
    </row>
    <row r="146" spans="1:22" ht="24" customHeight="1">
      <c r="A146" s="219"/>
      <c r="B146" s="223"/>
      <c r="C146" s="228"/>
      <c r="D146" s="211" t="s">
        <v>932</v>
      </c>
      <c r="E146" s="209" t="s">
        <v>912</v>
      </c>
      <c r="F146" s="209">
        <v>4.0090000000000003</v>
      </c>
      <c r="G146" s="209">
        <v>470</v>
      </c>
      <c r="H146" s="209">
        <v>132</v>
      </c>
      <c r="I146" s="209" t="s">
        <v>71</v>
      </c>
      <c r="J146" s="208">
        <v>2979</v>
      </c>
      <c r="K146" s="208">
        <v>6893</v>
      </c>
      <c r="L146" s="207">
        <v>3749</v>
      </c>
      <c r="M146" s="206" t="s">
        <v>775</v>
      </c>
      <c r="N146" s="216">
        <v>8.1999999999999993</v>
      </c>
      <c r="O146" s="215">
        <f>IF(N146&gt;0,1/N146*37.7*68.6,"")</f>
        <v>315.39268292682931</v>
      </c>
      <c r="P146" s="203">
        <v>8.1199999999999992</v>
      </c>
      <c r="Q146" s="202" t="s">
        <v>834</v>
      </c>
      <c r="R146" s="201" t="s">
        <v>993</v>
      </c>
      <c r="S146" s="201" t="s">
        <v>34</v>
      </c>
      <c r="T146" s="200"/>
      <c r="U146" s="199"/>
      <c r="V146" s="198">
        <f>IFERROR(IF(N146&lt;P146,"",(ROUNDDOWN(N146/P146*100,0))),"")</f>
        <v>100</v>
      </c>
    </row>
    <row r="147" spans="1:22" ht="24" customHeight="1">
      <c r="A147" s="219"/>
      <c r="B147" s="223"/>
      <c r="C147" s="228"/>
      <c r="D147" s="211" t="s">
        <v>918</v>
      </c>
      <c r="E147" s="209" t="s">
        <v>912</v>
      </c>
      <c r="F147" s="209">
        <v>4.0090000000000003</v>
      </c>
      <c r="G147" s="209">
        <v>470</v>
      </c>
      <c r="H147" s="209">
        <v>132</v>
      </c>
      <c r="I147" s="209" t="s">
        <v>71</v>
      </c>
      <c r="J147" s="208">
        <v>3543</v>
      </c>
      <c r="K147" s="208">
        <v>7928</v>
      </c>
      <c r="L147" s="207">
        <v>4275</v>
      </c>
      <c r="M147" s="206" t="s">
        <v>775</v>
      </c>
      <c r="N147" s="216">
        <v>7.4</v>
      </c>
      <c r="O147" s="215">
        <f>IF(N147&gt;0,1/N147*37.7*68.6,"")</f>
        <v>349.48918918918912</v>
      </c>
      <c r="P147" s="203">
        <v>7.24</v>
      </c>
      <c r="Q147" s="202" t="s">
        <v>834</v>
      </c>
      <c r="R147" s="201" t="s">
        <v>993</v>
      </c>
      <c r="S147" s="201" t="s">
        <v>34</v>
      </c>
      <c r="T147" s="200"/>
      <c r="U147" s="199"/>
      <c r="V147" s="198">
        <f>IFERROR(IF(N147&lt;P147,"",(ROUNDDOWN(N147/P147*100,0))),"")</f>
        <v>102</v>
      </c>
    </row>
    <row r="148" spans="1:22" ht="24" customHeight="1">
      <c r="A148" s="219"/>
      <c r="B148" s="223"/>
      <c r="C148" s="228"/>
      <c r="D148" s="211" t="s">
        <v>1005</v>
      </c>
      <c r="E148" s="209" t="s">
        <v>912</v>
      </c>
      <c r="F148" s="209">
        <v>4.0090000000000003</v>
      </c>
      <c r="G148" s="209">
        <v>470</v>
      </c>
      <c r="H148" s="209">
        <v>132</v>
      </c>
      <c r="I148" s="209" t="s">
        <v>71</v>
      </c>
      <c r="J148" s="208">
        <v>3543</v>
      </c>
      <c r="K148" s="208">
        <v>7928</v>
      </c>
      <c r="L148" s="207">
        <v>4275</v>
      </c>
      <c r="M148" s="206" t="s">
        <v>775</v>
      </c>
      <c r="N148" s="216">
        <v>7.3</v>
      </c>
      <c r="O148" s="215">
        <f>IF(N148&gt;0,1/N148*37.7*68.6,"")</f>
        <v>354.27671232876708</v>
      </c>
      <c r="P148" s="203">
        <v>7.24</v>
      </c>
      <c r="Q148" s="202" t="s">
        <v>831</v>
      </c>
      <c r="R148" s="201" t="s">
        <v>993</v>
      </c>
      <c r="S148" s="201" t="s">
        <v>34</v>
      </c>
      <c r="T148" s="200"/>
      <c r="U148" s="199"/>
      <c r="V148" s="198">
        <f>IFERROR(IF(N148&lt;P148,"",(ROUNDDOWN(N148/P148*100,0))),"")</f>
        <v>100</v>
      </c>
    </row>
    <row r="149" spans="1:22" ht="24" customHeight="1">
      <c r="A149" s="219"/>
      <c r="B149" s="223"/>
      <c r="C149" s="228"/>
      <c r="D149" s="211" t="s">
        <v>922</v>
      </c>
      <c r="E149" s="209" t="s">
        <v>912</v>
      </c>
      <c r="F149" s="209">
        <v>4.0090000000000003</v>
      </c>
      <c r="G149" s="209">
        <v>470</v>
      </c>
      <c r="H149" s="209">
        <v>132</v>
      </c>
      <c r="I149" s="209" t="s">
        <v>71</v>
      </c>
      <c r="J149" s="208">
        <v>2979</v>
      </c>
      <c r="K149" s="208">
        <v>6893</v>
      </c>
      <c r="L149" s="207">
        <v>3749</v>
      </c>
      <c r="M149" s="206" t="s">
        <v>775</v>
      </c>
      <c r="N149" s="216">
        <v>8.1999999999999993</v>
      </c>
      <c r="O149" s="215">
        <f>IF(N149&gt;0,1/N149*37.7*68.6,"")</f>
        <v>315.39268292682931</v>
      </c>
      <c r="P149" s="203">
        <v>8.1199999999999992</v>
      </c>
      <c r="Q149" s="202" t="s">
        <v>834</v>
      </c>
      <c r="R149" s="201" t="s">
        <v>993</v>
      </c>
      <c r="S149" s="201" t="s">
        <v>34</v>
      </c>
      <c r="T149" s="200"/>
      <c r="U149" s="199"/>
      <c r="V149" s="198">
        <f>IFERROR(IF(N149&lt;P149,"",(ROUNDDOWN(N149/P149*100,0))),"")</f>
        <v>100</v>
      </c>
    </row>
    <row r="150" spans="1:22" ht="24" customHeight="1">
      <c r="A150" s="219"/>
      <c r="B150" s="223"/>
      <c r="C150" s="228"/>
      <c r="D150" s="211" t="s">
        <v>1004</v>
      </c>
      <c r="E150" s="209" t="s">
        <v>912</v>
      </c>
      <c r="F150" s="209">
        <v>4.0090000000000003</v>
      </c>
      <c r="G150" s="209">
        <v>440</v>
      </c>
      <c r="H150" s="209">
        <v>110</v>
      </c>
      <c r="I150" s="209" t="s">
        <v>70</v>
      </c>
      <c r="J150" s="208">
        <v>2356</v>
      </c>
      <c r="K150" s="208">
        <v>4521</v>
      </c>
      <c r="L150" s="207">
        <v>2000</v>
      </c>
      <c r="M150" s="206" t="s">
        <v>775</v>
      </c>
      <c r="N150" s="216">
        <v>10.6</v>
      </c>
      <c r="O150" s="215">
        <f>IF(N150&gt;0,1/N150*37.7*68.6,"")</f>
        <v>243.98301886792456</v>
      </c>
      <c r="P150" s="203">
        <v>10.35</v>
      </c>
      <c r="Q150" s="202" t="s">
        <v>834</v>
      </c>
      <c r="R150" s="201" t="s">
        <v>993</v>
      </c>
      <c r="S150" s="201" t="s">
        <v>110</v>
      </c>
      <c r="T150" s="200"/>
      <c r="U150" s="199"/>
      <c r="V150" s="198">
        <f>IFERROR(IF(N150&lt;P150,"",(ROUNDDOWN(N150/P150*100,0))),"")</f>
        <v>102</v>
      </c>
    </row>
    <row r="151" spans="1:22" ht="24" customHeight="1">
      <c r="A151" s="219"/>
      <c r="B151" s="223"/>
      <c r="C151" s="228"/>
      <c r="D151" s="211" t="s">
        <v>1004</v>
      </c>
      <c r="E151" s="209" t="s">
        <v>912</v>
      </c>
      <c r="F151" s="209">
        <v>4.0090000000000003</v>
      </c>
      <c r="G151" s="209">
        <v>440</v>
      </c>
      <c r="H151" s="209">
        <v>110</v>
      </c>
      <c r="I151" s="209" t="s">
        <v>70</v>
      </c>
      <c r="J151" s="208">
        <v>2652</v>
      </c>
      <c r="K151" s="208">
        <v>5812</v>
      </c>
      <c r="L151" s="207">
        <v>2995</v>
      </c>
      <c r="M151" s="206" t="s">
        <v>775</v>
      </c>
      <c r="N151" s="216">
        <v>9.8000000000000007</v>
      </c>
      <c r="O151" s="215">
        <f>IF(N151&gt;0,1/N151*37.7*68.6,"")</f>
        <v>263.89999999999998</v>
      </c>
      <c r="P151" s="203">
        <v>9.51</v>
      </c>
      <c r="Q151" s="202" t="s">
        <v>834</v>
      </c>
      <c r="R151" s="201" t="s">
        <v>993</v>
      </c>
      <c r="S151" s="201" t="s">
        <v>110</v>
      </c>
      <c r="T151" s="200"/>
      <c r="U151" s="199"/>
      <c r="V151" s="198">
        <f>IFERROR(IF(N151&lt;P151,"",(ROUNDDOWN(N151/P151*100,0))),"")</f>
        <v>103</v>
      </c>
    </row>
    <row r="152" spans="1:22" ht="24" customHeight="1">
      <c r="A152" s="219"/>
      <c r="B152" s="223"/>
      <c r="C152" s="228"/>
      <c r="D152" s="211" t="s">
        <v>1003</v>
      </c>
      <c r="E152" s="209" t="s">
        <v>912</v>
      </c>
      <c r="F152" s="209">
        <v>4.0090000000000003</v>
      </c>
      <c r="G152" s="209">
        <v>440</v>
      </c>
      <c r="H152" s="209">
        <v>110</v>
      </c>
      <c r="I152" s="209" t="s">
        <v>71</v>
      </c>
      <c r="J152" s="208">
        <v>3543</v>
      </c>
      <c r="K152" s="208">
        <v>7928</v>
      </c>
      <c r="L152" s="207">
        <v>4275</v>
      </c>
      <c r="M152" s="206" t="s">
        <v>775</v>
      </c>
      <c r="N152" s="216">
        <v>7.9</v>
      </c>
      <c r="O152" s="215">
        <f>IF(N152&gt;0,1/N152*37.7*68.6,"")</f>
        <v>327.3696202531645</v>
      </c>
      <c r="P152" s="203">
        <v>7.24</v>
      </c>
      <c r="Q152" s="202" t="s">
        <v>834</v>
      </c>
      <c r="R152" s="201" t="s">
        <v>993</v>
      </c>
      <c r="S152" s="201" t="s">
        <v>34</v>
      </c>
      <c r="T152" s="200"/>
      <c r="U152" s="199"/>
      <c r="V152" s="198">
        <f>IFERROR(IF(N152&lt;P152,"",(ROUNDDOWN(N152/P152*100,0))),"")</f>
        <v>109</v>
      </c>
    </row>
    <row r="153" spans="1:22" ht="24" customHeight="1">
      <c r="A153" s="219"/>
      <c r="B153" s="223"/>
      <c r="C153" s="228"/>
      <c r="D153" s="211" t="s">
        <v>1002</v>
      </c>
      <c r="E153" s="209" t="s">
        <v>912</v>
      </c>
      <c r="F153" s="209">
        <v>4.0090000000000003</v>
      </c>
      <c r="G153" s="209">
        <v>440</v>
      </c>
      <c r="H153" s="209">
        <v>110</v>
      </c>
      <c r="I153" s="209" t="s">
        <v>71</v>
      </c>
      <c r="J153" s="208">
        <v>3543</v>
      </c>
      <c r="K153" s="208">
        <v>7928</v>
      </c>
      <c r="L153" s="207">
        <v>4275</v>
      </c>
      <c r="M153" s="206" t="s">
        <v>775</v>
      </c>
      <c r="N153" s="216">
        <v>7.9</v>
      </c>
      <c r="O153" s="215">
        <f>IF(N153&gt;0,1/N153*37.7*68.6,"")</f>
        <v>327.3696202531645</v>
      </c>
      <c r="P153" s="203">
        <v>7.24</v>
      </c>
      <c r="Q153" s="202" t="s">
        <v>834</v>
      </c>
      <c r="R153" s="201" t="s">
        <v>993</v>
      </c>
      <c r="S153" s="201" t="s">
        <v>34</v>
      </c>
      <c r="T153" s="200"/>
      <c r="U153" s="199"/>
      <c r="V153" s="198">
        <f>IFERROR(IF(N153&lt;P153,"",(ROUNDDOWN(N153/P153*100,0))),"")</f>
        <v>109</v>
      </c>
    </row>
    <row r="154" spans="1:22" ht="24" customHeight="1">
      <c r="A154" s="219"/>
      <c r="B154" s="223"/>
      <c r="C154" s="228"/>
      <c r="D154" s="211" t="s">
        <v>1001</v>
      </c>
      <c r="E154" s="209" t="s">
        <v>912</v>
      </c>
      <c r="F154" s="209">
        <v>4.0090000000000003</v>
      </c>
      <c r="G154" s="209">
        <v>440</v>
      </c>
      <c r="H154" s="209">
        <v>110</v>
      </c>
      <c r="I154" s="209" t="s">
        <v>71</v>
      </c>
      <c r="J154" s="208">
        <v>3543</v>
      </c>
      <c r="K154" s="208">
        <v>7928</v>
      </c>
      <c r="L154" s="207">
        <v>4275</v>
      </c>
      <c r="M154" s="206" t="s">
        <v>775</v>
      </c>
      <c r="N154" s="216">
        <v>7.9</v>
      </c>
      <c r="O154" s="215">
        <f>IF(N154&gt;0,1/N154*37.7*68.6,"")</f>
        <v>327.3696202531645</v>
      </c>
      <c r="P154" s="203">
        <v>7.24</v>
      </c>
      <c r="Q154" s="202" t="s">
        <v>834</v>
      </c>
      <c r="R154" s="201" t="s">
        <v>993</v>
      </c>
      <c r="S154" s="201" t="s">
        <v>34</v>
      </c>
      <c r="T154" s="200"/>
      <c r="U154" s="199"/>
      <c r="V154" s="198">
        <f>IFERROR(IF(N154&lt;P154,"",(ROUNDDOWN(N154/P154*100,0))),"")</f>
        <v>109</v>
      </c>
    </row>
    <row r="155" spans="1:22" ht="24" customHeight="1">
      <c r="A155" s="219"/>
      <c r="B155" s="223"/>
      <c r="C155" s="228"/>
      <c r="D155" s="211" t="s">
        <v>1000</v>
      </c>
      <c r="E155" s="209" t="s">
        <v>912</v>
      </c>
      <c r="F155" s="209">
        <v>4.0090000000000003</v>
      </c>
      <c r="G155" s="209">
        <v>440</v>
      </c>
      <c r="H155" s="209">
        <v>110</v>
      </c>
      <c r="I155" s="209" t="s">
        <v>71</v>
      </c>
      <c r="J155" s="208">
        <v>3543</v>
      </c>
      <c r="K155" s="208">
        <v>7928</v>
      </c>
      <c r="L155" s="207">
        <v>4275</v>
      </c>
      <c r="M155" s="206" t="s">
        <v>775</v>
      </c>
      <c r="N155" s="216">
        <v>7.9</v>
      </c>
      <c r="O155" s="215">
        <f>IF(N155&gt;0,1/N155*37.7*68.6,"")</f>
        <v>327.3696202531645</v>
      </c>
      <c r="P155" s="203">
        <v>7.24</v>
      </c>
      <c r="Q155" s="202" t="s">
        <v>834</v>
      </c>
      <c r="R155" s="201" t="s">
        <v>993</v>
      </c>
      <c r="S155" s="201" t="s">
        <v>34</v>
      </c>
      <c r="T155" s="200"/>
      <c r="U155" s="199"/>
      <c r="V155" s="198">
        <f>IFERROR(IF(N155&lt;P155,"",(ROUNDDOWN(N155/P155*100,0))),"")</f>
        <v>109</v>
      </c>
    </row>
    <row r="156" spans="1:22" ht="24" customHeight="1">
      <c r="A156" s="219"/>
      <c r="B156" s="223"/>
      <c r="C156" s="228"/>
      <c r="D156" s="211" t="s">
        <v>999</v>
      </c>
      <c r="E156" s="209" t="s">
        <v>912</v>
      </c>
      <c r="F156" s="209">
        <v>4.0090000000000003</v>
      </c>
      <c r="G156" s="209">
        <v>440</v>
      </c>
      <c r="H156" s="209">
        <v>110</v>
      </c>
      <c r="I156" s="209" t="s">
        <v>71</v>
      </c>
      <c r="J156" s="208">
        <v>3543</v>
      </c>
      <c r="K156" s="208">
        <v>7928</v>
      </c>
      <c r="L156" s="207">
        <v>4275</v>
      </c>
      <c r="M156" s="206" t="s">
        <v>775</v>
      </c>
      <c r="N156" s="216">
        <v>7.9</v>
      </c>
      <c r="O156" s="215">
        <f>IF(N156&gt;0,1/N156*37.7*68.6,"")</f>
        <v>327.3696202531645</v>
      </c>
      <c r="P156" s="203">
        <v>7.24</v>
      </c>
      <c r="Q156" s="202" t="s">
        <v>834</v>
      </c>
      <c r="R156" s="201" t="s">
        <v>993</v>
      </c>
      <c r="S156" s="201" t="s">
        <v>34</v>
      </c>
      <c r="T156" s="200"/>
      <c r="U156" s="199"/>
      <c r="V156" s="198">
        <f>IFERROR(IF(N156&lt;P156,"",(ROUNDDOWN(N156/P156*100,0))),"")</f>
        <v>109</v>
      </c>
    </row>
    <row r="157" spans="1:22" ht="24" customHeight="1">
      <c r="A157" s="219"/>
      <c r="B157" s="223"/>
      <c r="C157" s="228"/>
      <c r="D157" s="211" t="s">
        <v>998</v>
      </c>
      <c r="E157" s="209" t="s">
        <v>912</v>
      </c>
      <c r="F157" s="209">
        <v>4.0090000000000003</v>
      </c>
      <c r="G157" s="209">
        <v>440</v>
      </c>
      <c r="H157" s="209">
        <v>110</v>
      </c>
      <c r="I157" s="209" t="s">
        <v>71</v>
      </c>
      <c r="J157" s="208">
        <v>3543</v>
      </c>
      <c r="K157" s="208">
        <v>7928</v>
      </c>
      <c r="L157" s="207">
        <v>4275</v>
      </c>
      <c r="M157" s="206" t="s">
        <v>775</v>
      </c>
      <c r="N157" s="216">
        <v>7.9</v>
      </c>
      <c r="O157" s="215">
        <f>IF(N157&gt;0,1/N157*37.7*68.6,"")</f>
        <v>327.3696202531645</v>
      </c>
      <c r="P157" s="203">
        <v>7.24</v>
      </c>
      <c r="Q157" s="202" t="s">
        <v>834</v>
      </c>
      <c r="R157" s="201" t="s">
        <v>993</v>
      </c>
      <c r="S157" s="201" t="s">
        <v>34</v>
      </c>
      <c r="T157" s="200"/>
      <c r="U157" s="199"/>
      <c r="V157" s="198">
        <f>IFERROR(IF(N157&lt;P157,"",(ROUNDDOWN(N157/P157*100,0))),"")</f>
        <v>109</v>
      </c>
    </row>
    <row r="158" spans="1:22" ht="24" customHeight="1">
      <c r="A158" s="219"/>
      <c r="B158" s="223"/>
      <c r="C158" s="228"/>
      <c r="D158" s="211" t="s">
        <v>997</v>
      </c>
      <c r="E158" s="209" t="s">
        <v>912</v>
      </c>
      <c r="F158" s="209">
        <v>4.0090000000000003</v>
      </c>
      <c r="G158" s="209">
        <v>440</v>
      </c>
      <c r="H158" s="209">
        <v>110</v>
      </c>
      <c r="I158" s="209" t="s">
        <v>790</v>
      </c>
      <c r="J158" s="208">
        <v>3543</v>
      </c>
      <c r="K158" s="208">
        <v>7928</v>
      </c>
      <c r="L158" s="207">
        <v>4275</v>
      </c>
      <c r="M158" s="206" t="s">
        <v>775</v>
      </c>
      <c r="N158" s="216">
        <v>8</v>
      </c>
      <c r="O158" s="215">
        <f>IF(N158&gt;0,1/N158*37.7*68.6,"")</f>
        <v>323.27749999999997</v>
      </c>
      <c r="P158" s="203">
        <v>7.24</v>
      </c>
      <c r="Q158" s="202" t="s">
        <v>834</v>
      </c>
      <c r="R158" s="201" t="s">
        <v>993</v>
      </c>
      <c r="S158" s="201" t="s">
        <v>34</v>
      </c>
      <c r="T158" s="200"/>
      <c r="U158" s="199"/>
      <c r="V158" s="198">
        <f>IFERROR(IF(N158&lt;P158,"",(ROUNDDOWN(N158/P158*100,0))),"")</f>
        <v>110</v>
      </c>
    </row>
    <row r="159" spans="1:22" ht="24" customHeight="1">
      <c r="A159" s="219"/>
      <c r="B159" s="223"/>
      <c r="C159" s="228"/>
      <c r="D159" s="211" t="s">
        <v>996</v>
      </c>
      <c r="E159" s="209" t="s">
        <v>912</v>
      </c>
      <c r="F159" s="209">
        <v>4.0090000000000003</v>
      </c>
      <c r="G159" s="209">
        <v>440</v>
      </c>
      <c r="H159" s="209">
        <v>110</v>
      </c>
      <c r="I159" s="209" t="s">
        <v>790</v>
      </c>
      <c r="J159" s="208">
        <v>3543</v>
      </c>
      <c r="K159" s="208">
        <v>7928</v>
      </c>
      <c r="L159" s="207">
        <v>4275</v>
      </c>
      <c r="M159" s="206" t="s">
        <v>775</v>
      </c>
      <c r="N159" s="216">
        <v>8</v>
      </c>
      <c r="O159" s="215">
        <f>IF(N159&gt;0,1/N159*37.7*68.6,"")</f>
        <v>323.27749999999997</v>
      </c>
      <c r="P159" s="203">
        <v>7.24</v>
      </c>
      <c r="Q159" s="202" t="s">
        <v>834</v>
      </c>
      <c r="R159" s="201" t="s">
        <v>993</v>
      </c>
      <c r="S159" s="201" t="s">
        <v>34</v>
      </c>
      <c r="T159" s="200"/>
      <c r="U159" s="199"/>
      <c r="V159" s="198">
        <f>IFERROR(IF(N159&lt;P159,"",(ROUNDDOWN(N159/P159*100,0))),"")</f>
        <v>110</v>
      </c>
    </row>
    <row r="160" spans="1:22" ht="24" customHeight="1">
      <c r="A160" s="219"/>
      <c r="B160" s="223"/>
      <c r="C160" s="228"/>
      <c r="D160" s="211" t="s">
        <v>995</v>
      </c>
      <c r="E160" s="209" t="s">
        <v>912</v>
      </c>
      <c r="F160" s="209">
        <v>4.0090000000000003</v>
      </c>
      <c r="G160" s="209">
        <v>440</v>
      </c>
      <c r="H160" s="209">
        <v>110</v>
      </c>
      <c r="I160" s="209" t="s">
        <v>790</v>
      </c>
      <c r="J160" s="208">
        <v>3543</v>
      </c>
      <c r="K160" s="208">
        <v>7928</v>
      </c>
      <c r="L160" s="207">
        <v>4275</v>
      </c>
      <c r="M160" s="206" t="s">
        <v>775</v>
      </c>
      <c r="N160" s="216">
        <v>8</v>
      </c>
      <c r="O160" s="215">
        <f>IF(N160&gt;0,1/N160*37.7*68.6,"")</f>
        <v>323.27749999999997</v>
      </c>
      <c r="P160" s="203">
        <v>7.24</v>
      </c>
      <c r="Q160" s="202" t="s">
        <v>834</v>
      </c>
      <c r="R160" s="201" t="s">
        <v>993</v>
      </c>
      <c r="S160" s="201" t="s">
        <v>34</v>
      </c>
      <c r="T160" s="200"/>
      <c r="U160" s="199"/>
      <c r="V160" s="198">
        <f>IFERROR(IF(N160&lt;P160,"",(ROUNDDOWN(N160/P160*100,0))),"")</f>
        <v>110</v>
      </c>
    </row>
    <row r="161" spans="1:25" ht="24" customHeight="1">
      <c r="A161" s="219"/>
      <c r="B161" s="223"/>
      <c r="C161" s="228"/>
      <c r="D161" s="211" t="s">
        <v>994</v>
      </c>
      <c r="E161" s="209" t="s">
        <v>912</v>
      </c>
      <c r="F161" s="209">
        <v>4.0090000000000003</v>
      </c>
      <c r="G161" s="209">
        <v>440</v>
      </c>
      <c r="H161" s="209">
        <v>110</v>
      </c>
      <c r="I161" s="209" t="s">
        <v>790</v>
      </c>
      <c r="J161" s="208">
        <v>3543</v>
      </c>
      <c r="K161" s="208">
        <v>7928</v>
      </c>
      <c r="L161" s="207">
        <v>4275</v>
      </c>
      <c r="M161" s="206" t="s">
        <v>775</v>
      </c>
      <c r="N161" s="216">
        <v>8</v>
      </c>
      <c r="O161" s="215">
        <f>IF(N161&gt;0,1/N161*37.7*68.6,"")</f>
        <v>323.27749999999997</v>
      </c>
      <c r="P161" s="203">
        <v>7.24</v>
      </c>
      <c r="Q161" s="202" t="s">
        <v>834</v>
      </c>
      <c r="R161" s="201" t="s">
        <v>993</v>
      </c>
      <c r="S161" s="201" t="s">
        <v>34</v>
      </c>
      <c r="T161" s="200"/>
      <c r="U161" s="199"/>
      <c r="V161" s="198">
        <f>IFERROR(IF(N161&lt;P161,"",(ROUNDDOWN(N161/P161*100,0))),"")</f>
        <v>110</v>
      </c>
    </row>
    <row r="162" spans="1:25" s="229" customFormat="1" ht="24" customHeight="1">
      <c r="A162" s="244"/>
      <c r="B162" s="251"/>
      <c r="C162" s="242"/>
      <c r="D162" s="250" t="s">
        <v>992</v>
      </c>
      <c r="E162" s="240" t="s">
        <v>979</v>
      </c>
      <c r="F162" s="249">
        <v>4.0090000000000003</v>
      </c>
      <c r="G162" s="240">
        <v>470</v>
      </c>
      <c r="H162" s="240">
        <v>110</v>
      </c>
      <c r="I162" s="240" t="s">
        <v>839</v>
      </c>
      <c r="J162" s="208">
        <v>2356</v>
      </c>
      <c r="K162" s="208">
        <v>4521</v>
      </c>
      <c r="L162" s="248">
        <v>2000</v>
      </c>
      <c r="M162" s="238" t="s">
        <v>589</v>
      </c>
      <c r="N162" s="237">
        <v>12.01</v>
      </c>
      <c r="O162" s="247">
        <f>IF(N162&gt;0,1/N162*37.7*68.6,"")</f>
        <v>215.3388842631141</v>
      </c>
      <c r="P162" s="246">
        <v>10.35</v>
      </c>
      <c r="Q162" s="245" t="s">
        <v>752</v>
      </c>
      <c r="R162" s="234" t="s">
        <v>911</v>
      </c>
      <c r="S162" s="234" t="s">
        <v>34</v>
      </c>
      <c r="T162" s="234" t="s">
        <v>978</v>
      </c>
      <c r="U162" s="232"/>
      <c r="V162" s="231">
        <f>IFERROR(IF(N162&lt;P162,"",(ROUNDDOWN(N162/P162*100,0))),"")</f>
        <v>116</v>
      </c>
    </row>
    <row r="163" spans="1:25" s="229" customFormat="1" ht="24" customHeight="1">
      <c r="A163" s="244"/>
      <c r="B163" s="254"/>
      <c r="C163" s="253"/>
      <c r="D163" s="250" t="s">
        <v>991</v>
      </c>
      <c r="E163" s="240" t="s">
        <v>979</v>
      </c>
      <c r="F163" s="249">
        <v>4.0090000000000003</v>
      </c>
      <c r="G163" s="240">
        <v>470</v>
      </c>
      <c r="H163" s="240">
        <v>110</v>
      </c>
      <c r="I163" s="240" t="s">
        <v>839</v>
      </c>
      <c r="J163" s="208">
        <v>2356</v>
      </c>
      <c r="K163" s="208">
        <v>4521</v>
      </c>
      <c r="L163" s="248">
        <v>2000</v>
      </c>
      <c r="M163" s="238" t="s">
        <v>589</v>
      </c>
      <c r="N163" s="237">
        <v>12.01</v>
      </c>
      <c r="O163" s="247">
        <f>IF(N163&gt;0,1/N163*37.7*68.6,"")</f>
        <v>215.3388842631141</v>
      </c>
      <c r="P163" s="246">
        <v>10.35</v>
      </c>
      <c r="Q163" s="245" t="s">
        <v>752</v>
      </c>
      <c r="R163" s="234" t="s">
        <v>911</v>
      </c>
      <c r="S163" s="234" t="s">
        <v>34</v>
      </c>
      <c r="T163" s="234" t="s">
        <v>978</v>
      </c>
      <c r="U163" s="232"/>
      <c r="V163" s="231">
        <f>IFERROR(IF(N163&lt;P163,"",(ROUNDDOWN(N163/P163*100,0))),"")</f>
        <v>116</v>
      </c>
      <c r="Y163" s="252"/>
    </row>
    <row r="164" spans="1:25" s="229" customFormat="1" ht="24" customHeight="1">
      <c r="A164" s="244"/>
      <c r="B164" s="251"/>
      <c r="C164" s="242"/>
      <c r="D164" s="250" t="s">
        <v>991</v>
      </c>
      <c r="E164" s="240" t="s">
        <v>979</v>
      </c>
      <c r="F164" s="249">
        <v>4.0090000000000003</v>
      </c>
      <c r="G164" s="240">
        <v>470</v>
      </c>
      <c r="H164" s="240">
        <v>110</v>
      </c>
      <c r="I164" s="240" t="s">
        <v>839</v>
      </c>
      <c r="J164" s="208">
        <v>2652</v>
      </c>
      <c r="K164" s="208">
        <v>5812</v>
      </c>
      <c r="L164" s="248">
        <v>2995</v>
      </c>
      <c r="M164" s="238" t="s">
        <v>589</v>
      </c>
      <c r="N164" s="237">
        <v>11.12</v>
      </c>
      <c r="O164" s="247">
        <f>IF(N164&gt;0,1/N164*37.7*68.6,"")</f>
        <v>232.57374100719426</v>
      </c>
      <c r="P164" s="246">
        <v>9.51</v>
      </c>
      <c r="Q164" s="245" t="s">
        <v>752</v>
      </c>
      <c r="R164" s="234" t="s">
        <v>911</v>
      </c>
      <c r="S164" s="234" t="s">
        <v>34</v>
      </c>
      <c r="T164" s="234" t="s">
        <v>978</v>
      </c>
      <c r="U164" s="232"/>
      <c r="V164" s="231">
        <f>IFERROR(IF(N164&lt;P164,"",(ROUNDDOWN(N164/P164*100,0))),"")</f>
        <v>116</v>
      </c>
    </row>
    <row r="165" spans="1:25" s="229" customFormat="1" ht="24" customHeight="1">
      <c r="A165" s="244"/>
      <c r="B165" s="251"/>
      <c r="C165" s="242"/>
      <c r="D165" s="250" t="s">
        <v>990</v>
      </c>
      <c r="E165" s="240" t="s">
        <v>979</v>
      </c>
      <c r="F165" s="249">
        <v>4.0090000000000003</v>
      </c>
      <c r="G165" s="240">
        <v>470</v>
      </c>
      <c r="H165" s="240">
        <v>110</v>
      </c>
      <c r="I165" s="240" t="s">
        <v>839</v>
      </c>
      <c r="J165" s="208">
        <v>2356</v>
      </c>
      <c r="K165" s="208">
        <v>4521</v>
      </c>
      <c r="L165" s="248">
        <v>2000</v>
      </c>
      <c r="M165" s="238" t="s">
        <v>589</v>
      </c>
      <c r="N165" s="237">
        <v>12.01</v>
      </c>
      <c r="O165" s="247">
        <f>IF(N165&gt;0,1/N165*37.7*68.6,"")</f>
        <v>215.3388842631141</v>
      </c>
      <c r="P165" s="246">
        <v>10.35</v>
      </c>
      <c r="Q165" s="245" t="s">
        <v>752</v>
      </c>
      <c r="R165" s="234" t="s">
        <v>911</v>
      </c>
      <c r="S165" s="234" t="s">
        <v>34</v>
      </c>
      <c r="T165" s="234" t="s">
        <v>978</v>
      </c>
      <c r="U165" s="232"/>
      <c r="V165" s="231">
        <f>IFERROR(IF(N165&lt;P165,"",(ROUNDDOWN(N165/P165*100,0))),"")</f>
        <v>116</v>
      </c>
    </row>
    <row r="166" spans="1:25" s="229" customFormat="1" ht="24" customHeight="1">
      <c r="A166" s="244"/>
      <c r="B166" s="251"/>
      <c r="C166" s="242"/>
      <c r="D166" s="250" t="s">
        <v>989</v>
      </c>
      <c r="E166" s="240" t="s">
        <v>979</v>
      </c>
      <c r="F166" s="249">
        <v>4.0090000000000003</v>
      </c>
      <c r="G166" s="240">
        <v>470</v>
      </c>
      <c r="H166" s="240">
        <v>110</v>
      </c>
      <c r="I166" s="240" t="s">
        <v>839</v>
      </c>
      <c r="J166" s="208">
        <v>2356</v>
      </c>
      <c r="K166" s="208">
        <v>4521</v>
      </c>
      <c r="L166" s="248">
        <v>2000</v>
      </c>
      <c r="M166" s="238" t="s">
        <v>589</v>
      </c>
      <c r="N166" s="237">
        <v>12.01</v>
      </c>
      <c r="O166" s="247">
        <f>IF(N166&gt;0,1/N166*37.7*68.6,"")</f>
        <v>215.3388842631141</v>
      </c>
      <c r="P166" s="246">
        <v>10.35</v>
      </c>
      <c r="Q166" s="245" t="s">
        <v>752</v>
      </c>
      <c r="R166" s="234" t="s">
        <v>911</v>
      </c>
      <c r="S166" s="234" t="s">
        <v>34</v>
      </c>
      <c r="T166" s="234" t="s">
        <v>978</v>
      </c>
      <c r="U166" s="232"/>
      <c r="V166" s="231">
        <f>IFERROR(IF(N166&lt;P166,"",(ROUNDDOWN(N166/P166*100,0))),"")</f>
        <v>116</v>
      </c>
    </row>
    <row r="167" spans="1:25" s="229" customFormat="1" ht="24" customHeight="1">
      <c r="A167" s="244"/>
      <c r="B167" s="251"/>
      <c r="C167" s="242"/>
      <c r="D167" s="250" t="s">
        <v>989</v>
      </c>
      <c r="E167" s="240" t="s">
        <v>979</v>
      </c>
      <c r="F167" s="249">
        <v>4.0090000000000003</v>
      </c>
      <c r="G167" s="240">
        <v>470</v>
      </c>
      <c r="H167" s="240">
        <v>110</v>
      </c>
      <c r="I167" s="240" t="s">
        <v>839</v>
      </c>
      <c r="J167" s="208">
        <v>2652</v>
      </c>
      <c r="K167" s="208">
        <v>5812</v>
      </c>
      <c r="L167" s="248">
        <v>2995</v>
      </c>
      <c r="M167" s="238" t="s">
        <v>589</v>
      </c>
      <c r="N167" s="237">
        <v>11.12</v>
      </c>
      <c r="O167" s="247">
        <f>IF(N167&gt;0,1/N167*37.7*68.6,"")</f>
        <v>232.57374100719426</v>
      </c>
      <c r="P167" s="246">
        <v>9.51</v>
      </c>
      <c r="Q167" s="245" t="s">
        <v>752</v>
      </c>
      <c r="R167" s="234" t="s">
        <v>911</v>
      </c>
      <c r="S167" s="234" t="s">
        <v>34</v>
      </c>
      <c r="T167" s="234" t="s">
        <v>978</v>
      </c>
      <c r="U167" s="232"/>
      <c r="V167" s="231">
        <f>IFERROR(IF(N167&lt;P167,"",(ROUNDDOWN(N167/P167*100,0))),"")</f>
        <v>116</v>
      </c>
    </row>
    <row r="168" spans="1:25" s="229" customFormat="1" ht="24" customHeight="1">
      <c r="A168" s="244"/>
      <c r="B168" s="251"/>
      <c r="C168" s="242"/>
      <c r="D168" s="250" t="s">
        <v>988</v>
      </c>
      <c r="E168" s="240" t="s">
        <v>979</v>
      </c>
      <c r="F168" s="249">
        <v>4.0090000000000003</v>
      </c>
      <c r="G168" s="240">
        <v>470</v>
      </c>
      <c r="H168" s="240">
        <v>110</v>
      </c>
      <c r="I168" s="240" t="s">
        <v>839</v>
      </c>
      <c r="J168" s="208">
        <v>2356</v>
      </c>
      <c r="K168" s="208">
        <v>4521</v>
      </c>
      <c r="L168" s="248">
        <v>2000</v>
      </c>
      <c r="M168" s="238" t="s">
        <v>589</v>
      </c>
      <c r="N168" s="237">
        <v>12.01</v>
      </c>
      <c r="O168" s="247">
        <f>IF(N168&gt;0,1/N168*37.7*68.6,"")</f>
        <v>215.3388842631141</v>
      </c>
      <c r="P168" s="246">
        <v>10.35</v>
      </c>
      <c r="Q168" s="245" t="s">
        <v>752</v>
      </c>
      <c r="R168" s="234" t="s">
        <v>911</v>
      </c>
      <c r="S168" s="234" t="s">
        <v>34</v>
      </c>
      <c r="T168" s="234" t="s">
        <v>978</v>
      </c>
      <c r="U168" s="232"/>
      <c r="V168" s="231">
        <f>IFERROR(IF(N168&lt;P168,"",(ROUNDDOWN(N168/P168*100,0))),"")</f>
        <v>116</v>
      </c>
    </row>
    <row r="169" spans="1:25" s="229" customFormat="1" ht="24" customHeight="1">
      <c r="A169" s="244"/>
      <c r="B169" s="251"/>
      <c r="C169" s="242"/>
      <c r="D169" s="250" t="s">
        <v>987</v>
      </c>
      <c r="E169" s="240" t="s">
        <v>979</v>
      </c>
      <c r="F169" s="249">
        <v>4.0090000000000003</v>
      </c>
      <c r="G169" s="240">
        <v>470</v>
      </c>
      <c r="H169" s="240">
        <v>110</v>
      </c>
      <c r="I169" s="240" t="s">
        <v>839</v>
      </c>
      <c r="J169" s="208">
        <v>2356</v>
      </c>
      <c r="K169" s="208">
        <v>4521</v>
      </c>
      <c r="L169" s="248">
        <v>2000</v>
      </c>
      <c r="M169" s="238" t="s">
        <v>589</v>
      </c>
      <c r="N169" s="237">
        <v>12.01</v>
      </c>
      <c r="O169" s="247">
        <f>IF(N169&gt;0,1/N169*37.7*68.6,"")</f>
        <v>215.3388842631141</v>
      </c>
      <c r="P169" s="246">
        <v>10.35</v>
      </c>
      <c r="Q169" s="245" t="s">
        <v>752</v>
      </c>
      <c r="R169" s="234" t="s">
        <v>911</v>
      </c>
      <c r="S169" s="234" t="s">
        <v>34</v>
      </c>
      <c r="T169" s="234" t="s">
        <v>978</v>
      </c>
      <c r="U169" s="232"/>
      <c r="V169" s="231">
        <f>IFERROR(IF(N169&lt;P169,"",(ROUNDDOWN(N169/P169*100,0))),"")</f>
        <v>116</v>
      </c>
    </row>
    <row r="170" spans="1:25" s="229" customFormat="1" ht="24" customHeight="1">
      <c r="A170" s="244"/>
      <c r="B170" s="251"/>
      <c r="C170" s="242"/>
      <c r="D170" s="250" t="s">
        <v>986</v>
      </c>
      <c r="E170" s="240" t="s">
        <v>979</v>
      </c>
      <c r="F170" s="249">
        <v>4.0090000000000003</v>
      </c>
      <c r="G170" s="240">
        <v>470</v>
      </c>
      <c r="H170" s="240">
        <v>110</v>
      </c>
      <c r="I170" s="240" t="s">
        <v>839</v>
      </c>
      <c r="J170" s="208">
        <v>2652</v>
      </c>
      <c r="K170" s="208">
        <v>5812</v>
      </c>
      <c r="L170" s="248">
        <v>2995</v>
      </c>
      <c r="M170" s="238" t="s">
        <v>589</v>
      </c>
      <c r="N170" s="237">
        <v>11.12</v>
      </c>
      <c r="O170" s="247">
        <f>IF(N170&gt;0,1/N170*37.7*68.6,"")</f>
        <v>232.57374100719426</v>
      </c>
      <c r="P170" s="246">
        <v>9.51</v>
      </c>
      <c r="Q170" s="245" t="s">
        <v>752</v>
      </c>
      <c r="R170" s="234" t="s">
        <v>911</v>
      </c>
      <c r="S170" s="234" t="s">
        <v>34</v>
      </c>
      <c r="T170" s="234" t="s">
        <v>978</v>
      </c>
      <c r="U170" s="232"/>
      <c r="V170" s="231">
        <f>IFERROR(IF(N170&lt;P170,"",(ROUNDDOWN(N170/P170*100,0))),"")</f>
        <v>116</v>
      </c>
    </row>
    <row r="171" spans="1:25" s="229" customFormat="1" ht="24" customHeight="1">
      <c r="A171" s="244"/>
      <c r="B171" s="251"/>
      <c r="C171" s="242"/>
      <c r="D171" s="250" t="s">
        <v>985</v>
      </c>
      <c r="E171" s="240" t="s">
        <v>979</v>
      </c>
      <c r="F171" s="249">
        <v>4.0090000000000003</v>
      </c>
      <c r="G171" s="240">
        <v>470</v>
      </c>
      <c r="H171" s="240">
        <v>110</v>
      </c>
      <c r="I171" s="240" t="s">
        <v>839</v>
      </c>
      <c r="J171" s="208">
        <v>2652</v>
      </c>
      <c r="K171" s="208">
        <v>5812</v>
      </c>
      <c r="L171" s="248">
        <v>2995</v>
      </c>
      <c r="M171" s="238" t="s">
        <v>589</v>
      </c>
      <c r="N171" s="237">
        <v>11.12</v>
      </c>
      <c r="O171" s="247">
        <f>IF(N171&gt;0,1/N171*37.7*68.6,"")</f>
        <v>232.57374100719426</v>
      </c>
      <c r="P171" s="246">
        <v>9.51</v>
      </c>
      <c r="Q171" s="245" t="s">
        <v>752</v>
      </c>
      <c r="R171" s="234" t="s">
        <v>911</v>
      </c>
      <c r="S171" s="234" t="s">
        <v>34</v>
      </c>
      <c r="T171" s="234" t="s">
        <v>978</v>
      </c>
      <c r="U171" s="232"/>
      <c r="V171" s="231">
        <f>IFERROR(IF(N171&lt;P171,"",(ROUNDDOWN(N171/P171*100,0))),"")</f>
        <v>116</v>
      </c>
    </row>
    <row r="172" spans="1:25" s="229" customFormat="1" ht="24" customHeight="1">
      <c r="A172" s="244"/>
      <c r="B172" s="251"/>
      <c r="C172" s="242"/>
      <c r="D172" s="250" t="s">
        <v>984</v>
      </c>
      <c r="E172" s="240" t="s">
        <v>979</v>
      </c>
      <c r="F172" s="249">
        <v>4.0090000000000003</v>
      </c>
      <c r="G172" s="240">
        <v>470</v>
      </c>
      <c r="H172" s="240">
        <v>110</v>
      </c>
      <c r="I172" s="240" t="s">
        <v>839</v>
      </c>
      <c r="J172" s="208">
        <v>2652</v>
      </c>
      <c r="K172" s="208">
        <v>5812</v>
      </c>
      <c r="L172" s="248">
        <v>2995</v>
      </c>
      <c r="M172" s="238" t="s">
        <v>589</v>
      </c>
      <c r="N172" s="237">
        <v>11.12</v>
      </c>
      <c r="O172" s="247">
        <f>IF(N172&gt;0,1/N172*37.7*68.6,"")</f>
        <v>232.57374100719426</v>
      </c>
      <c r="P172" s="246">
        <v>9.51</v>
      </c>
      <c r="Q172" s="245" t="s">
        <v>752</v>
      </c>
      <c r="R172" s="234" t="s">
        <v>911</v>
      </c>
      <c r="S172" s="234" t="s">
        <v>34</v>
      </c>
      <c r="T172" s="234" t="s">
        <v>978</v>
      </c>
      <c r="U172" s="232"/>
      <c r="V172" s="231">
        <f>IFERROR(IF(N172&lt;P172,"",(ROUNDDOWN(N172/P172*100,0))),"")</f>
        <v>116</v>
      </c>
    </row>
    <row r="173" spans="1:25" s="229" customFormat="1" ht="24" customHeight="1">
      <c r="A173" s="244"/>
      <c r="B173" s="251"/>
      <c r="C173" s="242"/>
      <c r="D173" s="250" t="s">
        <v>983</v>
      </c>
      <c r="E173" s="240" t="s">
        <v>979</v>
      </c>
      <c r="F173" s="249">
        <v>4.0090000000000003</v>
      </c>
      <c r="G173" s="240">
        <v>470</v>
      </c>
      <c r="H173" s="240">
        <v>110</v>
      </c>
      <c r="I173" s="240" t="s">
        <v>839</v>
      </c>
      <c r="J173" s="208">
        <v>2652</v>
      </c>
      <c r="K173" s="208">
        <v>5812</v>
      </c>
      <c r="L173" s="248">
        <v>2995</v>
      </c>
      <c r="M173" s="238" t="s">
        <v>589</v>
      </c>
      <c r="N173" s="237">
        <v>11.12</v>
      </c>
      <c r="O173" s="247">
        <f>IF(N173&gt;0,1/N173*37.7*68.6,"")</f>
        <v>232.57374100719426</v>
      </c>
      <c r="P173" s="246">
        <v>9.51</v>
      </c>
      <c r="Q173" s="245" t="s">
        <v>752</v>
      </c>
      <c r="R173" s="234" t="s">
        <v>911</v>
      </c>
      <c r="S173" s="234" t="s">
        <v>34</v>
      </c>
      <c r="T173" s="234" t="s">
        <v>978</v>
      </c>
      <c r="U173" s="232"/>
      <c r="V173" s="231">
        <f>IFERROR(IF(N173&lt;P173,"",(ROUNDDOWN(N173/P173*100,0))),"")</f>
        <v>116</v>
      </c>
    </row>
    <row r="174" spans="1:25" s="229" customFormat="1" ht="24" customHeight="1">
      <c r="A174" s="244"/>
      <c r="B174" s="251"/>
      <c r="C174" s="242"/>
      <c r="D174" s="250" t="s">
        <v>982</v>
      </c>
      <c r="E174" s="240" t="s">
        <v>979</v>
      </c>
      <c r="F174" s="249">
        <v>4.0090000000000003</v>
      </c>
      <c r="G174" s="240">
        <v>470</v>
      </c>
      <c r="H174" s="240">
        <v>110</v>
      </c>
      <c r="I174" s="240" t="s">
        <v>839</v>
      </c>
      <c r="J174" s="208">
        <v>2979</v>
      </c>
      <c r="K174" s="208">
        <v>6893</v>
      </c>
      <c r="L174" s="248">
        <v>3749</v>
      </c>
      <c r="M174" s="238" t="s">
        <v>589</v>
      </c>
      <c r="N174" s="237">
        <v>9.2200000000000006</v>
      </c>
      <c r="O174" s="247">
        <f>IF(N174&gt;0,1/N174*37.7*68.6,"")</f>
        <v>280.50108459869847</v>
      </c>
      <c r="P174" s="246">
        <v>8.1199999999999992</v>
      </c>
      <c r="Q174" s="245" t="s">
        <v>752</v>
      </c>
      <c r="R174" s="234" t="s">
        <v>911</v>
      </c>
      <c r="S174" s="234" t="s">
        <v>34</v>
      </c>
      <c r="T174" s="234" t="s">
        <v>978</v>
      </c>
      <c r="U174" s="232"/>
      <c r="V174" s="231">
        <f>IFERROR(IF(N174&lt;P174,"",(ROUNDDOWN(N174/P174*100,0))),"")</f>
        <v>113</v>
      </c>
    </row>
    <row r="175" spans="1:25" s="229" customFormat="1" ht="24" customHeight="1">
      <c r="A175" s="244"/>
      <c r="B175" s="251"/>
      <c r="C175" s="242"/>
      <c r="D175" s="250" t="s">
        <v>981</v>
      </c>
      <c r="E175" s="240" t="s">
        <v>979</v>
      </c>
      <c r="F175" s="249">
        <v>4.0090000000000003</v>
      </c>
      <c r="G175" s="240">
        <v>470</v>
      </c>
      <c r="H175" s="240">
        <v>110</v>
      </c>
      <c r="I175" s="240" t="s">
        <v>839</v>
      </c>
      <c r="J175" s="208">
        <v>2979</v>
      </c>
      <c r="K175" s="208">
        <v>6893</v>
      </c>
      <c r="L175" s="248">
        <v>3749</v>
      </c>
      <c r="M175" s="238" t="s">
        <v>589</v>
      </c>
      <c r="N175" s="237">
        <v>9.2200000000000006</v>
      </c>
      <c r="O175" s="247">
        <f>IF(N175&gt;0,1/N175*37.7*68.6,"")</f>
        <v>280.50108459869847</v>
      </c>
      <c r="P175" s="246">
        <v>8.1199999999999992</v>
      </c>
      <c r="Q175" s="245" t="s">
        <v>752</v>
      </c>
      <c r="R175" s="234" t="s">
        <v>911</v>
      </c>
      <c r="S175" s="234" t="s">
        <v>34</v>
      </c>
      <c r="T175" s="234" t="s">
        <v>978</v>
      </c>
      <c r="U175" s="232"/>
      <c r="V175" s="231">
        <f>IFERROR(IF(N175&lt;P175,"",(ROUNDDOWN(N175/P175*100,0))),"")</f>
        <v>113</v>
      </c>
    </row>
    <row r="176" spans="1:25" s="229" customFormat="1" ht="24" customHeight="1">
      <c r="A176" s="244"/>
      <c r="B176" s="251"/>
      <c r="C176" s="242"/>
      <c r="D176" s="250" t="s">
        <v>980</v>
      </c>
      <c r="E176" s="240" t="s">
        <v>979</v>
      </c>
      <c r="F176" s="249">
        <v>4.0090000000000003</v>
      </c>
      <c r="G176" s="240">
        <v>470</v>
      </c>
      <c r="H176" s="240">
        <v>110</v>
      </c>
      <c r="I176" s="240" t="s">
        <v>839</v>
      </c>
      <c r="J176" s="208">
        <v>2979</v>
      </c>
      <c r="K176" s="208">
        <v>6893</v>
      </c>
      <c r="L176" s="248">
        <v>3749</v>
      </c>
      <c r="M176" s="238" t="s">
        <v>589</v>
      </c>
      <c r="N176" s="237">
        <v>9.2200000000000006</v>
      </c>
      <c r="O176" s="247">
        <f>IF(N176&gt;0,1/N176*37.7*68.6,"")</f>
        <v>280.50108459869847</v>
      </c>
      <c r="P176" s="246">
        <v>8.1199999999999992</v>
      </c>
      <c r="Q176" s="245" t="s">
        <v>752</v>
      </c>
      <c r="R176" s="234" t="s">
        <v>911</v>
      </c>
      <c r="S176" s="234" t="s">
        <v>34</v>
      </c>
      <c r="T176" s="234" t="s">
        <v>978</v>
      </c>
      <c r="U176" s="232"/>
      <c r="V176" s="231">
        <f>IFERROR(IF(N176&lt;P176,"",(ROUNDDOWN(N176/P176*100,0))),"")</f>
        <v>113</v>
      </c>
    </row>
    <row r="177" spans="1:24" s="229" customFormat="1" ht="24" customHeight="1">
      <c r="A177" s="244"/>
      <c r="B177" s="243"/>
      <c r="C177" s="242"/>
      <c r="D177" s="241" t="s">
        <v>977</v>
      </c>
      <c r="E177" s="240" t="s">
        <v>912</v>
      </c>
      <c r="F177" s="240">
        <v>4.0090000000000003</v>
      </c>
      <c r="G177" s="240">
        <v>440</v>
      </c>
      <c r="H177" s="240">
        <v>110</v>
      </c>
      <c r="I177" s="240" t="s">
        <v>790</v>
      </c>
      <c r="J177" s="208">
        <v>2356</v>
      </c>
      <c r="K177" s="208">
        <v>4521</v>
      </c>
      <c r="L177" s="239">
        <v>2000</v>
      </c>
      <c r="M177" s="240" t="s">
        <v>589</v>
      </c>
      <c r="N177" s="237">
        <v>10.62</v>
      </c>
      <c r="O177" s="236">
        <f>IF(N177&gt;0,1/N177*37.7*68.6,"")</f>
        <v>243.52354048964222</v>
      </c>
      <c r="P177" s="235">
        <v>10.35</v>
      </c>
      <c r="Q177" s="234" t="s">
        <v>834</v>
      </c>
      <c r="R177" s="234" t="s">
        <v>911</v>
      </c>
      <c r="S177" s="234" t="s">
        <v>34</v>
      </c>
      <c r="T177" s="233" t="s">
        <v>751</v>
      </c>
      <c r="U177" s="232"/>
      <c r="V177" s="231">
        <f>IFERROR(IF(N177&lt;P177,"",(ROUNDDOWN(N177/P177*100,0))),"")</f>
        <v>102</v>
      </c>
      <c r="W177" s="230"/>
      <c r="X177" s="230"/>
    </row>
    <row r="178" spans="1:24" s="229" customFormat="1" ht="24" customHeight="1">
      <c r="A178" s="244"/>
      <c r="B178" s="243"/>
      <c r="C178" s="242"/>
      <c r="D178" s="241" t="s">
        <v>977</v>
      </c>
      <c r="E178" s="240" t="s">
        <v>912</v>
      </c>
      <c r="F178" s="240">
        <v>4.0090000000000003</v>
      </c>
      <c r="G178" s="240">
        <v>440</v>
      </c>
      <c r="H178" s="240">
        <v>110</v>
      </c>
      <c r="I178" s="240" t="s">
        <v>71</v>
      </c>
      <c r="J178" s="208">
        <v>2356</v>
      </c>
      <c r="K178" s="208">
        <v>4521</v>
      </c>
      <c r="L178" s="239">
        <v>2000</v>
      </c>
      <c r="M178" s="238" t="s">
        <v>589</v>
      </c>
      <c r="N178" s="237">
        <v>10.53</v>
      </c>
      <c r="O178" s="236">
        <f>IF(N178&gt;0,1/N178*37.7*68.6,"")</f>
        <v>245.60493827160494</v>
      </c>
      <c r="P178" s="235">
        <v>10.35</v>
      </c>
      <c r="Q178" s="234" t="s">
        <v>834</v>
      </c>
      <c r="R178" s="234" t="s">
        <v>911</v>
      </c>
      <c r="S178" s="234" t="s">
        <v>34</v>
      </c>
      <c r="T178" s="233" t="s">
        <v>751</v>
      </c>
      <c r="U178" s="232"/>
      <c r="V178" s="231">
        <f>IFERROR(IF(N178&lt;P178,"",(ROUNDDOWN(N178/P178*100,0))),"")</f>
        <v>101</v>
      </c>
      <c r="W178" s="230"/>
      <c r="X178" s="230"/>
    </row>
    <row r="179" spans="1:24" s="229" customFormat="1" ht="24" customHeight="1">
      <c r="A179" s="244"/>
      <c r="B179" s="243"/>
      <c r="C179" s="242"/>
      <c r="D179" s="241" t="s">
        <v>976</v>
      </c>
      <c r="E179" s="240" t="s">
        <v>912</v>
      </c>
      <c r="F179" s="240">
        <v>4.0090000000000003</v>
      </c>
      <c r="G179" s="240">
        <v>440</v>
      </c>
      <c r="H179" s="240">
        <v>110</v>
      </c>
      <c r="I179" s="240" t="s">
        <v>790</v>
      </c>
      <c r="J179" s="208">
        <v>2356</v>
      </c>
      <c r="K179" s="208">
        <v>4521</v>
      </c>
      <c r="L179" s="239">
        <v>2000</v>
      </c>
      <c r="M179" s="238" t="s">
        <v>589</v>
      </c>
      <c r="N179" s="237">
        <v>10.62</v>
      </c>
      <c r="O179" s="236">
        <f>IF(N179&gt;0,1/N179*37.7*68.6,"")</f>
        <v>243.52354048964222</v>
      </c>
      <c r="P179" s="235">
        <v>10.35</v>
      </c>
      <c r="Q179" s="234" t="s">
        <v>834</v>
      </c>
      <c r="R179" s="234" t="s">
        <v>911</v>
      </c>
      <c r="S179" s="234" t="s">
        <v>34</v>
      </c>
      <c r="T179" s="233" t="s">
        <v>751</v>
      </c>
      <c r="U179" s="232"/>
      <c r="V179" s="231">
        <f>IFERROR(IF(N179&lt;P179,"",(ROUNDDOWN(N179/P179*100,0))),"")</f>
        <v>102</v>
      </c>
      <c r="W179" s="230"/>
      <c r="X179" s="230"/>
    </row>
    <row r="180" spans="1:24" s="229" customFormat="1" ht="24" customHeight="1">
      <c r="A180" s="244"/>
      <c r="B180" s="243"/>
      <c r="C180" s="242"/>
      <c r="D180" s="241" t="s">
        <v>976</v>
      </c>
      <c r="E180" s="240" t="s">
        <v>912</v>
      </c>
      <c r="F180" s="240">
        <v>4.0090000000000003</v>
      </c>
      <c r="G180" s="240">
        <v>440</v>
      </c>
      <c r="H180" s="240">
        <v>110</v>
      </c>
      <c r="I180" s="240" t="s">
        <v>71</v>
      </c>
      <c r="J180" s="208">
        <v>2356</v>
      </c>
      <c r="K180" s="208">
        <v>4521</v>
      </c>
      <c r="L180" s="239">
        <v>2000</v>
      </c>
      <c r="M180" s="238" t="s">
        <v>589</v>
      </c>
      <c r="N180" s="237">
        <v>10.53</v>
      </c>
      <c r="O180" s="236">
        <f>IF(N180&gt;0,1/N180*37.7*68.6,"")</f>
        <v>245.60493827160494</v>
      </c>
      <c r="P180" s="235">
        <v>10.35</v>
      </c>
      <c r="Q180" s="234" t="s">
        <v>834</v>
      </c>
      <c r="R180" s="234" t="s">
        <v>911</v>
      </c>
      <c r="S180" s="234" t="s">
        <v>34</v>
      </c>
      <c r="T180" s="233" t="s">
        <v>751</v>
      </c>
      <c r="U180" s="232"/>
      <c r="V180" s="231">
        <f>IFERROR(IF(N180&lt;P180,"",(ROUNDDOWN(N180/P180*100,0))),"")</f>
        <v>101</v>
      </c>
      <c r="W180" s="230"/>
      <c r="X180" s="230"/>
    </row>
    <row r="181" spans="1:24" s="229" customFormat="1" ht="24" customHeight="1">
      <c r="A181" s="244"/>
      <c r="B181" s="243"/>
      <c r="C181" s="242"/>
      <c r="D181" s="241" t="s">
        <v>975</v>
      </c>
      <c r="E181" s="240" t="s">
        <v>912</v>
      </c>
      <c r="F181" s="240">
        <v>4.0090000000000003</v>
      </c>
      <c r="G181" s="240">
        <v>440</v>
      </c>
      <c r="H181" s="240">
        <v>110</v>
      </c>
      <c r="I181" s="240" t="s">
        <v>790</v>
      </c>
      <c r="J181" s="208">
        <v>2356</v>
      </c>
      <c r="K181" s="208">
        <v>4521</v>
      </c>
      <c r="L181" s="239">
        <v>2000</v>
      </c>
      <c r="M181" s="238" t="s">
        <v>589</v>
      </c>
      <c r="N181" s="237">
        <v>10.62</v>
      </c>
      <c r="O181" s="236">
        <f>IF(N181&gt;0,1/N181*37.7*68.6,"")</f>
        <v>243.52354048964222</v>
      </c>
      <c r="P181" s="235">
        <v>10.35</v>
      </c>
      <c r="Q181" s="234" t="s">
        <v>834</v>
      </c>
      <c r="R181" s="234" t="s">
        <v>911</v>
      </c>
      <c r="S181" s="234" t="s">
        <v>34</v>
      </c>
      <c r="T181" s="233" t="s">
        <v>751</v>
      </c>
      <c r="U181" s="232"/>
      <c r="V181" s="231">
        <f>IFERROR(IF(N181&lt;P181,"",(ROUNDDOWN(N181/P181*100,0))),"")</f>
        <v>102</v>
      </c>
      <c r="W181" s="230"/>
      <c r="X181" s="230"/>
    </row>
    <row r="182" spans="1:24" s="229" customFormat="1" ht="24" customHeight="1">
      <c r="A182" s="244"/>
      <c r="B182" s="243"/>
      <c r="C182" s="242"/>
      <c r="D182" s="241" t="s">
        <v>975</v>
      </c>
      <c r="E182" s="240" t="s">
        <v>912</v>
      </c>
      <c r="F182" s="240">
        <v>4.0090000000000003</v>
      </c>
      <c r="G182" s="240">
        <v>440</v>
      </c>
      <c r="H182" s="240">
        <v>110</v>
      </c>
      <c r="I182" s="240" t="s">
        <v>71</v>
      </c>
      <c r="J182" s="208">
        <v>2356</v>
      </c>
      <c r="K182" s="208">
        <v>4521</v>
      </c>
      <c r="L182" s="239">
        <v>2000</v>
      </c>
      <c r="M182" s="238" t="s">
        <v>589</v>
      </c>
      <c r="N182" s="237">
        <v>10.53</v>
      </c>
      <c r="O182" s="236">
        <f>IF(N182&gt;0,1/N182*37.7*68.6,"")</f>
        <v>245.60493827160494</v>
      </c>
      <c r="P182" s="235">
        <v>10.35</v>
      </c>
      <c r="Q182" s="234" t="s">
        <v>834</v>
      </c>
      <c r="R182" s="234" t="s">
        <v>911</v>
      </c>
      <c r="S182" s="234" t="s">
        <v>34</v>
      </c>
      <c r="T182" s="233" t="s">
        <v>751</v>
      </c>
      <c r="U182" s="232"/>
      <c r="V182" s="231">
        <f>IFERROR(IF(N182&lt;P182,"",(ROUNDDOWN(N182/P182*100,0))),"")</f>
        <v>101</v>
      </c>
      <c r="W182" s="230"/>
      <c r="X182" s="230"/>
    </row>
    <row r="183" spans="1:24" s="229" customFormat="1" ht="24" customHeight="1">
      <c r="A183" s="244"/>
      <c r="B183" s="243"/>
      <c r="C183" s="242"/>
      <c r="D183" s="241" t="s">
        <v>974</v>
      </c>
      <c r="E183" s="240" t="s">
        <v>912</v>
      </c>
      <c r="F183" s="240">
        <v>4.0090000000000003</v>
      </c>
      <c r="G183" s="240">
        <v>440</v>
      </c>
      <c r="H183" s="240">
        <v>110</v>
      </c>
      <c r="I183" s="240" t="s">
        <v>790</v>
      </c>
      <c r="J183" s="208">
        <v>2356</v>
      </c>
      <c r="K183" s="208">
        <v>4521</v>
      </c>
      <c r="L183" s="239">
        <v>2000</v>
      </c>
      <c r="M183" s="238" t="s">
        <v>589</v>
      </c>
      <c r="N183" s="237">
        <v>10.62</v>
      </c>
      <c r="O183" s="236">
        <f>IF(N183&gt;0,1/N183*37.7*68.6,"")</f>
        <v>243.52354048964222</v>
      </c>
      <c r="P183" s="235">
        <v>10.35</v>
      </c>
      <c r="Q183" s="234" t="s">
        <v>834</v>
      </c>
      <c r="R183" s="234" t="s">
        <v>911</v>
      </c>
      <c r="S183" s="234" t="s">
        <v>34</v>
      </c>
      <c r="T183" s="233" t="s">
        <v>751</v>
      </c>
      <c r="U183" s="232"/>
      <c r="V183" s="231">
        <f>IFERROR(IF(N183&lt;P183,"",(ROUNDDOWN(N183/P183*100,0))),"")</f>
        <v>102</v>
      </c>
      <c r="W183" s="230"/>
      <c r="X183" s="230"/>
    </row>
    <row r="184" spans="1:24" s="229" customFormat="1" ht="24" customHeight="1">
      <c r="A184" s="244"/>
      <c r="B184" s="243"/>
      <c r="C184" s="242"/>
      <c r="D184" s="241" t="s">
        <v>974</v>
      </c>
      <c r="E184" s="240" t="s">
        <v>912</v>
      </c>
      <c r="F184" s="240">
        <v>4.0090000000000003</v>
      </c>
      <c r="G184" s="240">
        <v>440</v>
      </c>
      <c r="H184" s="240">
        <v>110</v>
      </c>
      <c r="I184" s="240" t="s">
        <v>71</v>
      </c>
      <c r="J184" s="208">
        <v>2356</v>
      </c>
      <c r="K184" s="208">
        <v>4521</v>
      </c>
      <c r="L184" s="239">
        <v>2000</v>
      </c>
      <c r="M184" s="238" t="s">
        <v>589</v>
      </c>
      <c r="N184" s="237">
        <v>10.53</v>
      </c>
      <c r="O184" s="236">
        <f>IF(N184&gt;0,1/N184*37.7*68.6,"")</f>
        <v>245.60493827160494</v>
      </c>
      <c r="P184" s="235">
        <v>10.35</v>
      </c>
      <c r="Q184" s="234" t="s">
        <v>834</v>
      </c>
      <c r="R184" s="234" t="s">
        <v>911</v>
      </c>
      <c r="S184" s="234" t="s">
        <v>34</v>
      </c>
      <c r="T184" s="233" t="s">
        <v>751</v>
      </c>
      <c r="U184" s="232"/>
      <c r="V184" s="231">
        <f>IFERROR(IF(N184&lt;P184,"",(ROUNDDOWN(N184/P184*100,0))),"")</f>
        <v>101</v>
      </c>
      <c r="W184" s="230"/>
      <c r="X184" s="230"/>
    </row>
    <row r="185" spans="1:24" s="229" customFormat="1" ht="24" customHeight="1">
      <c r="A185" s="244"/>
      <c r="B185" s="243"/>
      <c r="C185" s="242"/>
      <c r="D185" s="241" t="s">
        <v>973</v>
      </c>
      <c r="E185" s="240" t="s">
        <v>912</v>
      </c>
      <c r="F185" s="240">
        <v>4.0090000000000003</v>
      </c>
      <c r="G185" s="240">
        <v>440</v>
      </c>
      <c r="H185" s="240">
        <v>110</v>
      </c>
      <c r="I185" s="240" t="s">
        <v>790</v>
      </c>
      <c r="J185" s="208">
        <v>2356</v>
      </c>
      <c r="K185" s="208">
        <v>4521</v>
      </c>
      <c r="L185" s="239">
        <v>2000</v>
      </c>
      <c r="M185" s="238" t="s">
        <v>589</v>
      </c>
      <c r="N185" s="237">
        <v>10.62</v>
      </c>
      <c r="O185" s="236">
        <f>IF(N185&gt;0,1/N185*37.7*68.6,"")</f>
        <v>243.52354048964222</v>
      </c>
      <c r="P185" s="235">
        <v>10.35</v>
      </c>
      <c r="Q185" s="234" t="s">
        <v>834</v>
      </c>
      <c r="R185" s="234" t="s">
        <v>911</v>
      </c>
      <c r="S185" s="234" t="s">
        <v>34</v>
      </c>
      <c r="T185" s="233" t="s">
        <v>751</v>
      </c>
      <c r="U185" s="232"/>
      <c r="V185" s="231">
        <f>IFERROR(IF(N185&lt;P185,"",(ROUNDDOWN(N185/P185*100,0))),"")</f>
        <v>102</v>
      </c>
      <c r="W185" s="230"/>
      <c r="X185" s="230"/>
    </row>
    <row r="186" spans="1:24" s="229" customFormat="1" ht="24" customHeight="1">
      <c r="A186" s="244"/>
      <c r="B186" s="243"/>
      <c r="C186" s="242"/>
      <c r="D186" s="241" t="s">
        <v>973</v>
      </c>
      <c r="E186" s="240" t="s">
        <v>912</v>
      </c>
      <c r="F186" s="240">
        <v>4.0090000000000003</v>
      </c>
      <c r="G186" s="240">
        <v>440</v>
      </c>
      <c r="H186" s="240">
        <v>110</v>
      </c>
      <c r="I186" s="240" t="s">
        <v>71</v>
      </c>
      <c r="J186" s="208">
        <v>2356</v>
      </c>
      <c r="K186" s="208">
        <v>4521</v>
      </c>
      <c r="L186" s="239">
        <v>2000</v>
      </c>
      <c r="M186" s="238" t="s">
        <v>589</v>
      </c>
      <c r="N186" s="237">
        <v>10.53</v>
      </c>
      <c r="O186" s="236">
        <f>IF(N186&gt;0,1/N186*37.7*68.6,"")</f>
        <v>245.60493827160494</v>
      </c>
      <c r="P186" s="235">
        <v>10.35</v>
      </c>
      <c r="Q186" s="234" t="s">
        <v>834</v>
      </c>
      <c r="R186" s="234" t="s">
        <v>911</v>
      </c>
      <c r="S186" s="234" t="s">
        <v>34</v>
      </c>
      <c r="T186" s="233" t="s">
        <v>751</v>
      </c>
      <c r="U186" s="232"/>
      <c r="V186" s="231">
        <f>IFERROR(IF(N186&lt;P186,"",(ROUNDDOWN(N186/P186*100,0))),"")</f>
        <v>101</v>
      </c>
      <c r="W186" s="230"/>
      <c r="X186" s="230"/>
    </row>
    <row r="187" spans="1:24" s="229" customFormat="1" ht="24" customHeight="1">
      <c r="A187" s="244"/>
      <c r="B187" s="243"/>
      <c r="C187" s="242"/>
      <c r="D187" s="241" t="s">
        <v>972</v>
      </c>
      <c r="E187" s="240" t="s">
        <v>912</v>
      </c>
      <c r="F187" s="240">
        <v>4.0090000000000003</v>
      </c>
      <c r="G187" s="240">
        <v>440</v>
      </c>
      <c r="H187" s="240">
        <v>110</v>
      </c>
      <c r="I187" s="240" t="s">
        <v>790</v>
      </c>
      <c r="J187" s="208">
        <v>2356</v>
      </c>
      <c r="K187" s="208">
        <v>4521</v>
      </c>
      <c r="L187" s="239">
        <v>2000</v>
      </c>
      <c r="M187" s="238" t="s">
        <v>589</v>
      </c>
      <c r="N187" s="237">
        <v>10.62</v>
      </c>
      <c r="O187" s="236">
        <f>IF(N187&gt;0,1/N187*37.7*68.6,"")</f>
        <v>243.52354048964222</v>
      </c>
      <c r="P187" s="235">
        <v>10.35</v>
      </c>
      <c r="Q187" s="234" t="s">
        <v>834</v>
      </c>
      <c r="R187" s="234" t="s">
        <v>911</v>
      </c>
      <c r="S187" s="234" t="s">
        <v>34</v>
      </c>
      <c r="T187" s="233" t="s">
        <v>751</v>
      </c>
      <c r="U187" s="232"/>
      <c r="V187" s="231">
        <f>IFERROR(IF(N187&lt;P187,"",(ROUNDDOWN(N187/P187*100,0))),"")</f>
        <v>102</v>
      </c>
      <c r="W187" s="230"/>
      <c r="X187" s="230"/>
    </row>
    <row r="188" spans="1:24" s="229" customFormat="1" ht="24" customHeight="1">
      <c r="A188" s="244"/>
      <c r="B188" s="243"/>
      <c r="C188" s="242"/>
      <c r="D188" s="241" t="s">
        <v>972</v>
      </c>
      <c r="E188" s="240" t="s">
        <v>912</v>
      </c>
      <c r="F188" s="240">
        <v>4.0090000000000003</v>
      </c>
      <c r="G188" s="240">
        <v>440</v>
      </c>
      <c r="H188" s="240">
        <v>110</v>
      </c>
      <c r="I188" s="240" t="s">
        <v>71</v>
      </c>
      <c r="J188" s="208">
        <v>2356</v>
      </c>
      <c r="K188" s="208">
        <v>4521</v>
      </c>
      <c r="L188" s="239">
        <v>2000</v>
      </c>
      <c r="M188" s="238" t="s">
        <v>589</v>
      </c>
      <c r="N188" s="237">
        <v>10.53</v>
      </c>
      <c r="O188" s="236">
        <f>IF(N188&gt;0,1/N188*37.7*68.6,"")</f>
        <v>245.60493827160494</v>
      </c>
      <c r="P188" s="235">
        <v>10.35</v>
      </c>
      <c r="Q188" s="234" t="s">
        <v>834</v>
      </c>
      <c r="R188" s="234" t="s">
        <v>911</v>
      </c>
      <c r="S188" s="234" t="s">
        <v>34</v>
      </c>
      <c r="T188" s="233" t="s">
        <v>751</v>
      </c>
      <c r="U188" s="232"/>
      <c r="V188" s="231">
        <f>IFERROR(IF(N188&lt;P188,"",(ROUNDDOWN(N188/P188*100,0))),"")</f>
        <v>101</v>
      </c>
      <c r="W188" s="230"/>
      <c r="X188" s="230"/>
    </row>
    <row r="189" spans="1:24" s="229" customFormat="1" ht="24" customHeight="1">
      <c r="A189" s="244"/>
      <c r="B189" s="243"/>
      <c r="C189" s="242"/>
      <c r="D189" s="241" t="s">
        <v>972</v>
      </c>
      <c r="E189" s="240" t="s">
        <v>912</v>
      </c>
      <c r="F189" s="240">
        <v>4.0090000000000003</v>
      </c>
      <c r="G189" s="240">
        <v>440</v>
      </c>
      <c r="H189" s="240">
        <v>110</v>
      </c>
      <c r="I189" s="240" t="s">
        <v>790</v>
      </c>
      <c r="J189" s="208">
        <v>2652</v>
      </c>
      <c r="K189" s="208">
        <v>5812</v>
      </c>
      <c r="L189" s="239">
        <v>2995</v>
      </c>
      <c r="M189" s="238" t="s">
        <v>589</v>
      </c>
      <c r="N189" s="237">
        <v>9.83</v>
      </c>
      <c r="O189" s="236">
        <f>IF(N189&gt;0,1/N189*37.7*68.6,"")</f>
        <v>263.09460834181078</v>
      </c>
      <c r="P189" s="235">
        <v>9.51</v>
      </c>
      <c r="Q189" s="234" t="s">
        <v>834</v>
      </c>
      <c r="R189" s="234" t="s">
        <v>911</v>
      </c>
      <c r="S189" s="234" t="s">
        <v>34</v>
      </c>
      <c r="T189" s="233" t="s">
        <v>751</v>
      </c>
      <c r="U189" s="232"/>
      <c r="V189" s="231">
        <f>IFERROR(IF(N189&lt;P189,"",(ROUNDDOWN(N189/P189*100,0))),"")</f>
        <v>103</v>
      </c>
      <c r="W189" s="230"/>
      <c r="X189" s="230"/>
    </row>
    <row r="190" spans="1:24" s="229" customFormat="1" ht="24" customHeight="1">
      <c r="A190" s="244"/>
      <c r="B190" s="243"/>
      <c r="C190" s="242"/>
      <c r="D190" s="241" t="s">
        <v>972</v>
      </c>
      <c r="E190" s="240" t="s">
        <v>912</v>
      </c>
      <c r="F190" s="240">
        <v>4.0090000000000003</v>
      </c>
      <c r="G190" s="240">
        <v>440</v>
      </c>
      <c r="H190" s="240">
        <v>110</v>
      </c>
      <c r="I190" s="240" t="s">
        <v>71</v>
      </c>
      <c r="J190" s="208">
        <v>2652</v>
      </c>
      <c r="K190" s="208">
        <v>5812</v>
      </c>
      <c r="L190" s="239">
        <v>2995</v>
      </c>
      <c r="M190" s="238" t="s">
        <v>589</v>
      </c>
      <c r="N190" s="237">
        <v>9.7799999999999994</v>
      </c>
      <c r="O190" s="236">
        <f>IF(N190&gt;0,1/N190*37.7*68.6,"")</f>
        <v>264.43967280163599</v>
      </c>
      <c r="P190" s="235">
        <v>9.51</v>
      </c>
      <c r="Q190" s="234" t="s">
        <v>834</v>
      </c>
      <c r="R190" s="234" t="s">
        <v>911</v>
      </c>
      <c r="S190" s="234" t="s">
        <v>34</v>
      </c>
      <c r="T190" s="233" t="s">
        <v>751</v>
      </c>
      <c r="U190" s="232"/>
      <c r="V190" s="231">
        <f>IFERROR(IF(N190&lt;P190,"",(ROUNDDOWN(N190/P190*100,0))),"")</f>
        <v>102</v>
      </c>
      <c r="W190" s="230"/>
      <c r="X190" s="230"/>
    </row>
    <row r="191" spans="1:24" s="229" customFormat="1" ht="24" customHeight="1">
      <c r="A191" s="244"/>
      <c r="B191" s="243"/>
      <c r="C191" s="242"/>
      <c r="D191" s="241" t="s">
        <v>971</v>
      </c>
      <c r="E191" s="240" t="s">
        <v>912</v>
      </c>
      <c r="F191" s="240">
        <v>4.0090000000000003</v>
      </c>
      <c r="G191" s="240">
        <v>440</v>
      </c>
      <c r="H191" s="240">
        <v>110</v>
      </c>
      <c r="I191" s="240" t="s">
        <v>790</v>
      </c>
      <c r="J191" s="208">
        <v>2356</v>
      </c>
      <c r="K191" s="208">
        <v>4521</v>
      </c>
      <c r="L191" s="239">
        <v>2000</v>
      </c>
      <c r="M191" s="238" t="s">
        <v>589</v>
      </c>
      <c r="N191" s="237">
        <v>10.62</v>
      </c>
      <c r="O191" s="236">
        <f>IF(N191&gt;0,1/N191*37.7*68.6,"")</f>
        <v>243.52354048964222</v>
      </c>
      <c r="P191" s="235">
        <v>10.35</v>
      </c>
      <c r="Q191" s="234" t="s">
        <v>834</v>
      </c>
      <c r="R191" s="234" t="s">
        <v>911</v>
      </c>
      <c r="S191" s="234" t="s">
        <v>34</v>
      </c>
      <c r="T191" s="233" t="s">
        <v>751</v>
      </c>
      <c r="U191" s="232"/>
      <c r="V191" s="231">
        <f>IFERROR(IF(N191&lt;P191,"",(ROUNDDOWN(N191/P191*100,0))),"")</f>
        <v>102</v>
      </c>
      <c r="W191" s="230"/>
      <c r="X191" s="230"/>
    </row>
    <row r="192" spans="1:24" s="229" customFormat="1" ht="24" customHeight="1">
      <c r="A192" s="244"/>
      <c r="B192" s="243"/>
      <c r="C192" s="242"/>
      <c r="D192" s="241" t="s">
        <v>971</v>
      </c>
      <c r="E192" s="240" t="s">
        <v>912</v>
      </c>
      <c r="F192" s="240">
        <v>4.0090000000000003</v>
      </c>
      <c r="G192" s="240">
        <v>440</v>
      </c>
      <c r="H192" s="240">
        <v>110</v>
      </c>
      <c r="I192" s="240" t="s">
        <v>71</v>
      </c>
      <c r="J192" s="208">
        <v>2356</v>
      </c>
      <c r="K192" s="208">
        <v>4521</v>
      </c>
      <c r="L192" s="239">
        <v>2000</v>
      </c>
      <c r="M192" s="238" t="s">
        <v>589</v>
      </c>
      <c r="N192" s="237">
        <v>10.53</v>
      </c>
      <c r="O192" s="236">
        <f>IF(N192&gt;0,1/N192*37.7*68.6,"")</f>
        <v>245.60493827160494</v>
      </c>
      <c r="P192" s="235">
        <v>10.35</v>
      </c>
      <c r="Q192" s="234" t="s">
        <v>834</v>
      </c>
      <c r="R192" s="234" t="s">
        <v>911</v>
      </c>
      <c r="S192" s="234" t="s">
        <v>34</v>
      </c>
      <c r="T192" s="233" t="s">
        <v>751</v>
      </c>
      <c r="U192" s="232"/>
      <c r="V192" s="231">
        <f>IFERROR(IF(N192&lt;P192,"",(ROUNDDOWN(N192/P192*100,0))),"")</f>
        <v>101</v>
      </c>
      <c r="W192" s="230"/>
      <c r="X192" s="230"/>
    </row>
    <row r="193" spans="1:24" s="229" customFormat="1" ht="24" customHeight="1">
      <c r="A193" s="244"/>
      <c r="B193" s="243"/>
      <c r="C193" s="242"/>
      <c r="D193" s="241" t="s">
        <v>970</v>
      </c>
      <c r="E193" s="240" t="s">
        <v>912</v>
      </c>
      <c r="F193" s="240">
        <v>4.0090000000000003</v>
      </c>
      <c r="G193" s="240">
        <v>440</v>
      </c>
      <c r="H193" s="240">
        <v>110</v>
      </c>
      <c r="I193" s="240" t="s">
        <v>790</v>
      </c>
      <c r="J193" s="208">
        <v>2356</v>
      </c>
      <c r="K193" s="208">
        <v>4521</v>
      </c>
      <c r="L193" s="239">
        <v>2000</v>
      </c>
      <c r="M193" s="238" t="s">
        <v>589</v>
      </c>
      <c r="N193" s="237">
        <v>10.62</v>
      </c>
      <c r="O193" s="236">
        <f>IF(N193&gt;0,1/N193*37.7*68.6,"")</f>
        <v>243.52354048964222</v>
      </c>
      <c r="P193" s="235">
        <v>10.35</v>
      </c>
      <c r="Q193" s="234" t="s">
        <v>834</v>
      </c>
      <c r="R193" s="234" t="s">
        <v>911</v>
      </c>
      <c r="S193" s="234" t="s">
        <v>34</v>
      </c>
      <c r="T193" s="233" t="s">
        <v>751</v>
      </c>
      <c r="U193" s="232"/>
      <c r="V193" s="231">
        <f>IFERROR(IF(N193&lt;P193,"",(ROUNDDOWN(N193/P193*100,0))),"")</f>
        <v>102</v>
      </c>
      <c r="W193" s="230"/>
      <c r="X193" s="230"/>
    </row>
    <row r="194" spans="1:24" s="229" customFormat="1" ht="24" customHeight="1">
      <c r="A194" s="244"/>
      <c r="B194" s="243"/>
      <c r="C194" s="242"/>
      <c r="D194" s="241" t="s">
        <v>970</v>
      </c>
      <c r="E194" s="240" t="s">
        <v>912</v>
      </c>
      <c r="F194" s="240">
        <v>4.0090000000000003</v>
      </c>
      <c r="G194" s="240">
        <v>440</v>
      </c>
      <c r="H194" s="240">
        <v>110</v>
      </c>
      <c r="I194" s="240" t="s">
        <v>71</v>
      </c>
      <c r="J194" s="208">
        <v>2356</v>
      </c>
      <c r="K194" s="208">
        <v>4521</v>
      </c>
      <c r="L194" s="239">
        <v>2000</v>
      </c>
      <c r="M194" s="238" t="s">
        <v>589</v>
      </c>
      <c r="N194" s="237">
        <v>10.53</v>
      </c>
      <c r="O194" s="236">
        <f>IF(N194&gt;0,1/N194*37.7*68.6,"")</f>
        <v>245.60493827160494</v>
      </c>
      <c r="P194" s="235">
        <v>10.35</v>
      </c>
      <c r="Q194" s="234" t="s">
        <v>834</v>
      </c>
      <c r="R194" s="234" t="s">
        <v>911</v>
      </c>
      <c r="S194" s="234" t="s">
        <v>34</v>
      </c>
      <c r="T194" s="233" t="s">
        <v>751</v>
      </c>
      <c r="U194" s="232"/>
      <c r="V194" s="231">
        <f>IFERROR(IF(N194&lt;P194,"",(ROUNDDOWN(N194/P194*100,0))),"")</f>
        <v>101</v>
      </c>
      <c r="W194" s="230"/>
      <c r="X194" s="230"/>
    </row>
    <row r="195" spans="1:24" s="229" customFormat="1" ht="24" customHeight="1">
      <c r="A195" s="244"/>
      <c r="B195" s="243"/>
      <c r="C195" s="242"/>
      <c r="D195" s="241" t="s">
        <v>970</v>
      </c>
      <c r="E195" s="240" t="s">
        <v>912</v>
      </c>
      <c r="F195" s="240">
        <v>4.0090000000000003</v>
      </c>
      <c r="G195" s="240">
        <v>440</v>
      </c>
      <c r="H195" s="240">
        <v>110</v>
      </c>
      <c r="I195" s="240" t="s">
        <v>790</v>
      </c>
      <c r="J195" s="208">
        <v>2652</v>
      </c>
      <c r="K195" s="208">
        <v>5812</v>
      </c>
      <c r="L195" s="239">
        <v>2995</v>
      </c>
      <c r="M195" s="238" t="s">
        <v>589</v>
      </c>
      <c r="N195" s="237">
        <v>9.83</v>
      </c>
      <c r="O195" s="236">
        <f>IF(N195&gt;0,1/N195*37.7*68.6,"")</f>
        <v>263.09460834181078</v>
      </c>
      <c r="P195" s="235">
        <v>9.51</v>
      </c>
      <c r="Q195" s="234" t="s">
        <v>834</v>
      </c>
      <c r="R195" s="234" t="s">
        <v>911</v>
      </c>
      <c r="S195" s="234" t="s">
        <v>34</v>
      </c>
      <c r="T195" s="233" t="s">
        <v>751</v>
      </c>
      <c r="U195" s="232"/>
      <c r="V195" s="231">
        <f>IFERROR(IF(N195&lt;P195,"",(ROUNDDOWN(N195/P195*100,0))),"")</f>
        <v>103</v>
      </c>
      <c r="W195" s="230"/>
      <c r="X195" s="230"/>
    </row>
    <row r="196" spans="1:24" s="229" customFormat="1" ht="24" customHeight="1">
      <c r="A196" s="244"/>
      <c r="B196" s="243"/>
      <c r="C196" s="242"/>
      <c r="D196" s="241" t="s">
        <v>970</v>
      </c>
      <c r="E196" s="240" t="s">
        <v>912</v>
      </c>
      <c r="F196" s="240">
        <v>4.0090000000000003</v>
      </c>
      <c r="G196" s="240">
        <v>440</v>
      </c>
      <c r="H196" s="240">
        <v>110</v>
      </c>
      <c r="I196" s="240" t="s">
        <v>71</v>
      </c>
      <c r="J196" s="208">
        <v>2652</v>
      </c>
      <c r="K196" s="208">
        <v>5812</v>
      </c>
      <c r="L196" s="239">
        <v>2995</v>
      </c>
      <c r="M196" s="238" t="s">
        <v>589</v>
      </c>
      <c r="N196" s="237">
        <v>9.7799999999999994</v>
      </c>
      <c r="O196" s="236">
        <f>IF(N196&gt;0,1/N196*37.7*68.6,"")</f>
        <v>264.43967280163599</v>
      </c>
      <c r="P196" s="235">
        <v>9.51</v>
      </c>
      <c r="Q196" s="234" t="s">
        <v>834</v>
      </c>
      <c r="R196" s="234" t="s">
        <v>911</v>
      </c>
      <c r="S196" s="234" t="s">
        <v>34</v>
      </c>
      <c r="T196" s="233" t="s">
        <v>751</v>
      </c>
      <c r="U196" s="232"/>
      <c r="V196" s="231">
        <f>IFERROR(IF(N196&lt;P196,"",(ROUNDDOWN(N196/P196*100,0))),"")</f>
        <v>102</v>
      </c>
      <c r="W196" s="230"/>
      <c r="X196" s="230"/>
    </row>
    <row r="197" spans="1:24" s="229" customFormat="1" ht="24" customHeight="1">
      <c r="A197" s="244"/>
      <c r="B197" s="243"/>
      <c r="C197" s="242"/>
      <c r="D197" s="241" t="s">
        <v>969</v>
      </c>
      <c r="E197" s="240" t="s">
        <v>912</v>
      </c>
      <c r="F197" s="240">
        <v>4.0090000000000003</v>
      </c>
      <c r="G197" s="240">
        <v>440</v>
      </c>
      <c r="H197" s="240">
        <v>110</v>
      </c>
      <c r="I197" s="240" t="s">
        <v>790</v>
      </c>
      <c r="J197" s="208">
        <v>2356</v>
      </c>
      <c r="K197" s="208">
        <v>4521</v>
      </c>
      <c r="L197" s="239">
        <v>2000</v>
      </c>
      <c r="M197" s="238" t="s">
        <v>589</v>
      </c>
      <c r="N197" s="237">
        <v>10.62</v>
      </c>
      <c r="O197" s="236">
        <f>IF(N197&gt;0,1/N197*37.7*68.6,"")</f>
        <v>243.52354048964222</v>
      </c>
      <c r="P197" s="235">
        <v>10.35</v>
      </c>
      <c r="Q197" s="234" t="s">
        <v>834</v>
      </c>
      <c r="R197" s="234" t="s">
        <v>911</v>
      </c>
      <c r="S197" s="234" t="s">
        <v>34</v>
      </c>
      <c r="T197" s="233" t="s">
        <v>751</v>
      </c>
      <c r="U197" s="232"/>
      <c r="V197" s="231">
        <f>IFERROR(IF(N197&lt;P197,"",(ROUNDDOWN(N197/P197*100,0))),"")</f>
        <v>102</v>
      </c>
      <c r="W197" s="230"/>
      <c r="X197" s="230"/>
    </row>
    <row r="198" spans="1:24" s="229" customFormat="1" ht="24" customHeight="1">
      <c r="A198" s="244"/>
      <c r="B198" s="243"/>
      <c r="C198" s="242"/>
      <c r="D198" s="241" t="s">
        <v>969</v>
      </c>
      <c r="E198" s="240" t="s">
        <v>912</v>
      </c>
      <c r="F198" s="240">
        <v>4.0090000000000003</v>
      </c>
      <c r="G198" s="240">
        <v>440</v>
      </c>
      <c r="H198" s="240">
        <v>110</v>
      </c>
      <c r="I198" s="240" t="s">
        <v>71</v>
      </c>
      <c r="J198" s="208">
        <v>2356</v>
      </c>
      <c r="K198" s="208">
        <v>4521</v>
      </c>
      <c r="L198" s="239">
        <v>2000</v>
      </c>
      <c r="M198" s="238" t="s">
        <v>589</v>
      </c>
      <c r="N198" s="237">
        <v>10.53</v>
      </c>
      <c r="O198" s="236">
        <f>IF(N198&gt;0,1/N198*37.7*68.6,"")</f>
        <v>245.60493827160494</v>
      </c>
      <c r="P198" s="235">
        <v>10.35</v>
      </c>
      <c r="Q198" s="234" t="s">
        <v>834</v>
      </c>
      <c r="R198" s="234" t="s">
        <v>911</v>
      </c>
      <c r="S198" s="234" t="s">
        <v>34</v>
      </c>
      <c r="T198" s="233" t="s">
        <v>751</v>
      </c>
      <c r="U198" s="232"/>
      <c r="V198" s="231">
        <f>IFERROR(IF(N198&lt;P198,"",(ROUNDDOWN(N198/P198*100,0))),"")</f>
        <v>101</v>
      </c>
      <c r="W198" s="230"/>
      <c r="X198" s="230"/>
    </row>
    <row r="199" spans="1:24" s="229" customFormat="1" ht="24" customHeight="1">
      <c r="A199" s="244"/>
      <c r="B199" s="243"/>
      <c r="C199" s="242"/>
      <c r="D199" s="241" t="s">
        <v>969</v>
      </c>
      <c r="E199" s="240" t="s">
        <v>912</v>
      </c>
      <c r="F199" s="240">
        <v>4.0090000000000003</v>
      </c>
      <c r="G199" s="240">
        <v>440</v>
      </c>
      <c r="H199" s="240">
        <v>110</v>
      </c>
      <c r="I199" s="240" t="s">
        <v>790</v>
      </c>
      <c r="J199" s="208">
        <v>2652</v>
      </c>
      <c r="K199" s="208">
        <v>5812</v>
      </c>
      <c r="L199" s="239">
        <v>2995</v>
      </c>
      <c r="M199" s="238" t="s">
        <v>589</v>
      </c>
      <c r="N199" s="237">
        <v>9.83</v>
      </c>
      <c r="O199" s="236">
        <f>IF(N199&gt;0,1/N199*37.7*68.6,"")</f>
        <v>263.09460834181078</v>
      </c>
      <c r="P199" s="235">
        <v>9.51</v>
      </c>
      <c r="Q199" s="234" t="s">
        <v>834</v>
      </c>
      <c r="R199" s="234" t="s">
        <v>911</v>
      </c>
      <c r="S199" s="234" t="s">
        <v>34</v>
      </c>
      <c r="T199" s="233" t="s">
        <v>751</v>
      </c>
      <c r="U199" s="232"/>
      <c r="V199" s="231">
        <f>IFERROR(IF(N199&lt;P199,"",(ROUNDDOWN(N199/P199*100,0))),"")</f>
        <v>103</v>
      </c>
      <c r="W199" s="230"/>
      <c r="X199" s="230"/>
    </row>
    <row r="200" spans="1:24" s="229" customFormat="1" ht="24" customHeight="1">
      <c r="A200" s="244"/>
      <c r="B200" s="243"/>
      <c r="C200" s="242"/>
      <c r="D200" s="241" t="s">
        <v>969</v>
      </c>
      <c r="E200" s="240" t="s">
        <v>912</v>
      </c>
      <c r="F200" s="240">
        <v>4.0090000000000003</v>
      </c>
      <c r="G200" s="240">
        <v>440</v>
      </c>
      <c r="H200" s="240">
        <v>110</v>
      </c>
      <c r="I200" s="240" t="s">
        <v>71</v>
      </c>
      <c r="J200" s="208">
        <v>2652</v>
      </c>
      <c r="K200" s="208">
        <v>5812</v>
      </c>
      <c r="L200" s="239">
        <v>2995</v>
      </c>
      <c r="M200" s="238" t="s">
        <v>589</v>
      </c>
      <c r="N200" s="237">
        <v>9.7799999999999994</v>
      </c>
      <c r="O200" s="236">
        <f>IF(N200&gt;0,1/N200*37.7*68.6,"")</f>
        <v>264.43967280163599</v>
      </c>
      <c r="P200" s="235">
        <v>9.51</v>
      </c>
      <c r="Q200" s="234" t="s">
        <v>834</v>
      </c>
      <c r="R200" s="234" t="s">
        <v>911</v>
      </c>
      <c r="S200" s="234" t="s">
        <v>34</v>
      </c>
      <c r="T200" s="233" t="s">
        <v>751</v>
      </c>
      <c r="U200" s="232"/>
      <c r="V200" s="231">
        <f>IFERROR(IF(N200&lt;P200,"",(ROUNDDOWN(N200/P200*100,0))),"")</f>
        <v>102</v>
      </c>
      <c r="W200" s="230"/>
      <c r="X200" s="230"/>
    </row>
    <row r="201" spans="1:24" s="229" customFormat="1" ht="24" customHeight="1">
      <c r="A201" s="244"/>
      <c r="B201" s="243"/>
      <c r="C201" s="242"/>
      <c r="D201" s="241" t="s">
        <v>968</v>
      </c>
      <c r="E201" s="240" t="s">
        <v>912</v>
      </c>
      <c r="F201" s="240">
        <v>4.0090000000000003</v>
      </c>
      <c r="G201" s="240">
        <v>440</v>
      </c>
      <c r="H201" s="240">
        <v>110</v>
      </c>
      <c r="I201" s="240" t="s">
        <v>790</v>
      </c>
      <c r="J201" s="208">
        <v>2356</v>
      </c>
      <c r="K201" s="208">
        <v>4521</v>
      </c>
      <c r="L201" s="239">
        <v>2000</v>
      </c>
      <c r="M201" s="238" t="s">
        <v>589</v>
      </c>
      <c r="N201" s="237">
        <v>10.62</v>
      </c>
      <c r="O201" s="236">
        <f>IF(N201&gt;0,1/N201*37.7*68.6,"")</f>
        <v>243.52354048964222</v>
      </c>
      <c r="P201" s="235">
        <v>10.35</v>
      </c>
      <c r="Q201" s="234" t="s">
        <v>834</v>
      </c>
      <c r="R201" s="234" t="s">
        <v>911</v>
      </c>
      <c r="S201" s="234" t="s">
        <v>34</v>
      </c>
      <c r="T201" s="233" t="s">
        <v>751</v>
      </c>
      <c r="U201" s="232"/>
      <c r="V201" s="231">
        <f>IFERROR(IF(N201&lt;P201,"",(ROUNDDOWN(N201/P201*100,0))),"")</f>
        <v>102</v>
      </c>
      <c r="W201" s="230"/>
      <c r="X201" s="230"/>
    </row>
    <row r="202" spans="1:24" s="229" customFormat="1" ht="24" customHeight="1">
      <c r="A202" s="244"/>
      <c r="B202" s="243"/>
      <c r="C202" s="242"/>
      <c r="D202" s="241" t="s">
        <v>968</v>
      </c>
      <c r="E202" s="240" t="s">
        <v>912</v>
      </c>
      <c r="F202" s="240">
        <v>4.0090000000000003</v>
      </c>
      <c r="G202" s="240">
        <v>440</v>
      </c>
      <c r="H202" s="240">
        <v>110</v>
      </c>
      <c r="I202" s="240" t="s">
        <v>71</v>
      </c>
      <c r="J202" s="208">
        <v>2356</v>
      </c>
      <c r="K202" s="208">
        <v>4521</v>
      </c>
      <c r="L202" s="239">
        <v>2000</v>
      </c>
      <c r="M202" s="238" t="s">
        <v>589</v>
      </c>
      <c r="N202" s="237">
        <v>10.53</v>
      </c>
      <c r="O202" s="236">
        <f>IF(N202&gt;0,1/N202*37.7*68.6,"")</f>
        <v>245.60493827160494</v>
      </c>
      <c r="P202" s="235">
        <v>10.35</v>
      </c>
      <c r="Q202" s="234" t="s">
        <v>834</v>
      </c>
      <c r="R202" s="234" t="s">
        <v>911</v>
      </c>
      <c r="S202" s="234" t="s">
        <v>34</v>
      </c>
      <c r="T202" s="233" t="s">
        <v>751</v>
      </c>
      <c r="U202" s="232"/>
      <c r="V202" s="231">
        <f>IFERROR(IF(N202&lt;P202,"",(ROUNDDOWN(N202/P202*100,0))),"")</f>
        <v>101</v>
      </c>
      <c r="W202" s="230"/>
      <c r="X202" s="230"/>
    </row>
    <row r="203" spans="1:24" s="229" customFormat="1" ht="24" customHeight="1">
      <c r="A203" s="244"/>
      <c r="B203" s="243"/>
      <c r="C203" s="242"/>
      <c r="D203" s="241" t="s">
        <v>968</v>
      </c>
      <c r="E203" s="240" t="s">
        <v>912</v>
      </c>
      <c r="F203" s="240">
        <v>4.0090000000000003</v>
      </c>
      <c r="G203" s="240">
        <v>440</v>
      </c>
      <c r="H203" s="240">
        <v>110</v>
      </c>
      <c r="I203" s="240" t="s">
        <v>790</v>
      </c>
      <c r="J203" s="208">
        <v>2652</v>
      </c>
      <c r="K203" s="208">
        <v>5812</v>
      </c>
      <c r="L203" s="239">
        <v>2995</v>
      </c>
      <c r="M203" s="238" t="s">
        <v>589</v>
      </c>
      <c r="N203" s="237">
        <v>9.83</v>
      </c>
      <c r="O203" s="236">
        <f>IF(N203&gt;0,1/N203*37.7*68.6,"")</f>
        <v>263.09460834181078</v>
      </c>
      <c r="P203" s="235">
        <v>9.51</v>
      </c>
      <c r="Q203" s="234" t="s">
        <v>834</v>
      </c>
      <c r="R203" s="234" t="s">
        <v>911</v>
      </c>
      <c r="S203" s="234" t="s">
        <v>34</v>
      </c>
      <c r="T203" s="233" t="s">
        <v>751</v>
      </c>
      <c r="U203" s="232"/>
      <c r="V203" s="231">
        <f>IFERROR(IF(N203&lt;P203,"",(ROUNDDOWN(N203/P203*100,0))),"")</f>
        <v>103</v>
      </c>
      <c r="W203" s="230"/>
      <c r="X203" s="230"/>
    </row>
    <row r="204" spans="1:24" s="229" customFormat="1" ht="24" customHeight="1">
      <c r="A204" s="244"/>
      <c r="B204" s="243"/>
      <c r="C204" s="242"/>
      <c r="D204" s="241" t="s">
        <v>968</v>
      </c>
      <c r="E204" s="240" t="s">
        <v>912</v>
      </c>
      <c r="F204" s="240">
        <v>4.0090000000000003</v>
      </c>
      <c r="G204" s="240">
        <v>440</v>
      </c>
      <c r="H204" s="240">
        <v>110</v>
      </c>
      <c r="I204" s="240" t="s">
        <v>71</v>
      </c>
      <c r="J204" s="208">
        <v>2652</v>
      </c>
      <c r="K204" s="208">
        <v>5812</v>
      </c>
      <c r="L204" s="239">
        <v>2995</v>
      </c>
      <c r="M204" s="238" t="s">
        <v>589</v>
      </c>
      <c r="N204" s="237">
        <v>9.7799999999999994</v>
      </c>
      <c r="O204" s="236">
        <f>IF(N204&gt;0,1/N204*37.7*68.6,"")</f>
        <v>264.43967280163599</v>
      </c>
      <c r="P204" s="235">
        <v>9.51</v>
      </c>
      <c r="Q204" s="234" t="s">
        <v>834</v>
      </c>
      <c r="R204" s="234" t="s">
        <v>911</v>
      </c>
      <c r="S204" s="234" t="s">
        <v>34</v>
      </c>
      <c r="T204" s="233" t="s">
        <v>751</v>
      </c>
      <c r="U204" s="232"/>
      <c r="V204" s="231">
        <f>IFERROR(IF(N204&lt;P204,"",(ROUNDDOWN(N204/P204*100,0))),"")</f>
        <v>102</v>
      </c>
      <c r="W204" s="230"/>
      <c r="X204" s="230"/>
    </row>
    <row r="205" spans="1:24" s="229" customFormat="1" ht="24" customHeight="1">
      <c r="A205" s="244"/>
      <c r="B205" s="243"/>
      <c r="C205" s="242"/>
      <c r="D205" s="241" t="s">
        <v>967</v>
      </c>
      <c r="E205" s="240" t="s">
        <v>912</v>
      </c>
      <c r="F205" s="240">
        <v>4.0090000000000003</v>
      </c>
      <c r="G205" s="240">
        <v>440</v>
      </c>
      <c r="H205" s="240">
        <v>110</v>
      </c>
      <c r="I205" s="240" t="s">
        <v>790</v>
      </c>
      <c r="J205" s="208">
        <v>2356</v>
      </c>
      <c r="K205" s="208">
        <v>4521</v>
      </c>
      <c r="L205" s="239">
        <v>2000</v>
      </c>
      <c r="M205" s="238" t="s">
        <v>589</v>
      </c>
      <c r="N205" s="237">
        <v>10.62</v>
      </c>
      <c r="O205" s="236">
        <f>IF(N205&gt;0,1/N205*37.7*68.6,"")</f>
        <v>243.52354048964222</v>
      </c>
      <c r="P205" s="235">
        <v>10.35</v>
      </c>
      <c r="Q205" s="234" t="s">
        <v>834</v>
      </c>
      <c r="R205" s="234" t="s">
        <v>911</v>
      </c>
      <c r="S205" s="234" t="s">
        <v>34</v>
      </c>
      <c r="T205" s="233" t="s">
        <v>751</v>
      </c>
      <c r="U205" s="232"/>
      <c r="V205" s="231">
        <f>IFERROR(IF(N205&lt;P205,"",(ROUNDDOWN(N205/P205*100,0))),"")</f>
        <v>102</v>
      </c>
      <c r="W205" s="230"/>
      <c r="X205" s="230"/>
    </row>
    <row r="206" spans="1:24" s="229" customFormat="1" ht="24" customHeight="1">
      <c r="A206" s="244"/>
      <c r="B206" s="243"/>
      <c r="C206" s="242"/>
      <c r="D206" s="241" t="s">
        <v>967</v>
      </c>
      <c r="E206" s="240" t="s">
        <v>912</v>
      </c>
      <c r="F206" s="240">
        <v>4.0090000000000003</v>
      </c>
      <c r="G206" s="240">
        <v>440</v>
      </c>
      <c r="H206" s="240">
        <v>110</v>
      </c>
      <c r="I206" s="240" t="s">
        <v>71</v>
      </c>
      <c r="J206" s="208">
        <v>2356</v>
      </c>
      <c r="K206" s="208">
        <v>4521</v>
      </c>
      <c r="L206" s="239">
        <v>2000</v>
      </c>
      <c r="M206" s="238" t="s">
        <v>589</v>
      </c>
      <c r="N206" s="237">
        <v>10.53</v>
      </c>
      <c r="O206" s="236">
        <f>IF(N206&gt;0,1/N206*37.7*68.6,"")</f>
        <v>245.60493827160494</v>
      </c>
      <c r="P206" s="235">
        <v>10.35</v>
      </c>
      <c r="Q206" s="234" t="s">
        <v>834</v>
      </c>
      <c r="R206" s="234" t="s">
        <v>911</v>
      </c>
      <c r="S206" s="234" t="s">
        <v>34</v>
      </c>
      <c r="T206" s="233" t="s">
        <v>751</v>
      </c>
      <c r="U206" s="232"/>
      <c r="V206" s="231">
        <f>IFERROR(IF(N206&lt;P206,"",(ROUNDDOWN(N206/P206*100,0))),"")</f>
        <v>101</v>
      </c>
      <c r="W206" s="230"/>
      <c r="X206" s="230"/>
    </row>
    <row r="207" spans="1:24" s="229" customFormat="1" ht="24" customHeight="1">
      <c r="A207" s="244"/>
      <c r="B207" s="243"/>
      <c r="C207" s="242"/>
      <c r="D207" s="241" t="s">
        <v>967</v>
      </c>
      <c r="E207" s="240" t="s">
        <v>912</v>
      </c>
      <c r="F207" s="240">
        <v>4.0090000000000003</v>
      </c>
      <c r="G207" s="240">
        <v>440</v>
      </c>
      <c r="H207" s="240">
        <v>110</v>
      </c>
      <c r="I207" s="240" t="s">
        <v>790</v>
      </c>
      <c r="J207" s="208">
        <v>2652</v>
      </c>
      <c r="K207" s="208">
        <v>5812</v>
      </c>
      <c r="L207" s="239">
        <v>2995</v>
      </c>
      <c r="M207" s="238" t="s">
        <v>589</v>
      </c>
      <c r="N207" s="237">
        <v>9.83</v>
      </c>
      <c r="O207" s="236">
        <f>IF(N207&gt;0,1/N207*37.7*68.6,"")</f>
        <v>263.09460834181078</v>
      </c>
      <c r="P207" s="235">
        <v>9.51</v>
      </c>
      <c r="Q207" s="234" t="s">
        <v>834</v>
      </c>
      <c r="R207" s="234" t="s">
        <v>911</v>
      </c>
      <c r="S207" s="234" t="s">
        <v>34</v>
      </c>
      <c r="T207" s="233" t="s">
        <v>751</v>
      </c>
      <c r="U207" s="232"/>
      <c r="V207" s="231">
        <f>IFERROR(IF(N207&lt;P207,"",(ROUNDDOWN(N207/P207*100,0))),"")</f>
        <v>103</v>
      </c>
      <c r="W207" s="230"/>
      <c r="X207" s="230"/>
    </row>
    <row r="208" spans="1:24" s="229" customFormat="1" ht="24" customHeight="1">
      <c r="A208" s="244"/>
      <c r="B208" s="243"/>
      <c r="C208" s="242"/>
      <c r="D208" s="241" t="s">
        <v>967</v>
      </c>
      <c r="E208" s="240" t="s">
        <v>912</v>
      </c>
      <c r="F208" s="240">
        <v>4.0090000000000003</v>
      </c>
      <c r="G208" s="240">
        <v>440</v>
      </c>
      <c r="H208" s="240">
        <v>110</v>
      </c>
      <c r="I208" s="240" t="s">
        <v>71</v>
      </c>
      <c r="J208" s="208">
        <v>2652</v>
      </c>
      <c r="K208" s="208">
        <v>5812</v>
      </c>
      <c r="L208" s="239">
        <v>2995</v>
      </c>
      <c r="M208" s="238" t="s">
        <v>589</v>
      </c>
      <c r="N208" s="237">
        <v>9.7799999999999994</v>
      </c>
      <c r="O208" s="236">
        <f>IF(N208&gt;0,1/N208*37.7*68.6,"")</f>
        <v>264.43967280163599</v>
      </c>
      <c r="P208" s="235">
        <v>9.51</v>
      </c>
      <c r="Q208" s="234" t="s">
        <v>834</v>
      </c>
      <c r="R208" s="234" t="s">
        <v>911</v>
      </c>
      <c r="S208" s="234" t="s">
        <v>34</v>
      </c>
      <c r="T208" s="233" t="s">
        <v>751</v>
      </c>
      <c r="U208" s="232"/>
      <c r="V208" s="231">
        <f>IFERROR(IF(N208&lt;P208,"",(ROUNDDOWN(N208/P208*100,0))),"")</f>
        <v>102</v>
      </c>
      <c r="W208" s="230"/>
      <c r="X208" s="230"/>
    </row>
    <row r="209" spans="1:24" s="229" customFormat="1" ht="24" customHeight="1">
      <c r="A209" s="244"/>
      <c r="B209" s="243"/>
      <c r="C209" s="242"/>
      <c r="D209" s="241" t="s">
        <v>966</v>
      </c>
      <c r="E209" s="240" t="s">
        <v>912</v>
      </c>
      <c r="F209" s="240">
        <v>4.0090000000000003</v>
      </c>
      <c r="G209" s="240">
        <v>440</v>
      </c>
      <c r="H209" s="240">
        <v>110</v>
      </c>
      <c r="I209" s="240" t="s">
        <v>790</v>
      </c>
      <c r="J209" s="208">
        <v>2356</v>
      </c>
      <c r="K209" s="208">
        <v>4521</v>
      </c>
      <c r="L209" s="239">
        <v>2000</v>
      </c>
      <c r="M209" s="238" t="s">
        <v>589</v>
      </c>
      <c r="N209" s="237">
        <v>10.62</v>
      </c>
      <c r="O209" s="236">
        <f>IF(N209&gt;0,1/N209*37.7*68.6,"")</f>
        <v>243.52354048964222</v>
      </c>
      <c r="P209" s="235">
        <v>10.35</v>
      </c>
      <c r="Q209" s="234" t="s">
        <v>834</v>
      </c>
      <c r="R209" s="234" t="s">
        <v>911</v>
      </c>
      <c r="S209" s="234" t="s">
        <v>34</v>
      </c>
      <c r="T209" s="233" t="s">
        <v>751</v>
      </c>
      <c r="U209" s="232"/>
      <c r="V209" s="231">
        <f>IFERROR(IF(N209&lt;P209,"",(ROUNDDOWN(N209/P209*100,0))),"")</f>
        <v>102</v>
      </c>
      <c r="W209" s="230"/>
      <c r="X209" s="230"/>
    </row>
    <row r="210" spans="1:24" s="229" customFormat="1" ht="24" customHeight="1">
      <c r="A210" s="244"/>
      <c r="B210" s="243"/>
      <c r="C210" s="242"/>
      <c r="D210" s="241" t="s">
        <v>966</v>
      </c>
      <c r="E210" s="240" t="s">
        <v>912</v>
      </c>
      <c r="F210" s="240">
        <v>4.0090000000000003</v>
      </c>
      <c r="G210" s="240">
        <v>440</v>
      </c>
      <c r="H210" s="240">
        <v>110</v>
      </c>
      <c r="I210" s="240" t="s">
        <v>71</v>
      </c>
      <c r="J210" s="208">
        <v>2356</v>
      </c>
      <c r="K210" s="208">
        <v>4521</v>
      </c>
      <c r="L210" s="239">
        <v>2000</v>
      </c>
      <c r="M210" s="238" t="s">
        <v>589</v>
      </c>
      <c r="N210" s="237">
        <v>10.53</v>
      </c>
      <c r="O210" s="236">
        <f>IF(N210&gt;0,1/N210*37.7*68.6,"")</f>
        <v>245.60493827160494</v>
      </c>
      <c r="P210" s="235">
        <v>10.35</v>
      </c>
      <c r="Q210" s="234" t="s">
        <v>834</v>
      </c>
      <c r="R210" s="234" t="s">
        <v>911</v>
      </c>
      <c r="S210" s="234" t="s">
        <v>34</v>
      </c>
      <c r="T210" s="233" t="s">
        <v>751</v>
      </c>
      <c r="U210" s="232"/>
      <c r="V210" s="231">
        <f>IFERROR(IF(N210&lt;P210,"",(ROUNDDOWN(N210/P210*100,0))),"")</f>
        <v>101</v>
      </c>
      <c r="W210" s="230"/>
      <c r="X210" s="230"/>
    </row>
    <row r="211" spans="1:24" s="229" customFormat="1" ht="24" customHeight="1">
      <c r="A211" s="244"/>
      <c r="B211" s="243"/>
      <c r="C211" s="242"/>
      <c r="D211" s="241" t="s">
        <v>966</v>
      </c>
      <c r="E211" s="240" t="s">
        <v>912</v>
      </c>
      <c r="F211" s="240">
        <v>4.0090000000000003</v>
      </c>
      <c r="G211" s="240">
        <v>440</v>
      </c>
      <c r="H211" s="240">
        <v>110</v>
      </c>
      <c r="I211" s="240" t="s">
        <v>790</v>
      </c>
      <c r="J211" s="208">
        <v>2652</v>
      </c>
      <c r="K211" s="208">
        <v>5812</v>
      </c>
      <c r="L211" s="239">
        <v>2995</v>
      </c>
      <c r="M211" s="238" t="s">
        <v>589</v>
      </c>
      <c r="N211" s="237">
        <v>9.83</v>
      </c>
      <c r="O211" s="236">
        <f>IF(N211&gt;0,1/N211*37.7*68.6,"")</f>
        <v>263.09460834181078</v>
      </c>
      <c r="P211" s="235">
        <v>9.51</v>
      </c>
      <c r="Q211" s="234" t="s">
        <v>834</v>
      </c>
      <c r="R211" s="234" t="s">
        <v>911</v>
      </c>
      <c r="S211" s="234" t="s">
        <v>34</v>
      </c>
      <c r="T211" s="233" t="s">
        <v>751</v>
      </c>
      <c r="U211" s="232"/>
      <c r="V211" s="231">
        <f>IFERROR(IF(N211&lt;P211,"",(ROUNDDOWN(N211/P211*100,0))),"")</f>
        <v>103</v>
      </c>
      <c r="W211" s="230"/>
      <c r="X211" s="230"/>
    </row>
    <row r="212" spans="1:24" s="229" customFormat="1" ht="24" customHeight="1">
      <c r="A212" s="244"/>
      <c r="B212" s="243"/>
      <c r="C212" s="242"/>
      <c r="D212" s="241" t="s">
        <v>966</v>
      </c>
      <c r="E212" s="240" t="s">
        <v>912</v>
      </c>
      <c r="F212" s="240">
        <v>4.0090000000000003</v>
      </c>
      <c r="G212" s="240">
        <v>440</v>
      </c>
      <c r="H212" s="240">
        <v>110</v>
      </c>
      <c r="I212" s="240" t="s">
        <v>71</v>
      </c>
      <c r="J212" s="208">
        <v>2652</v>
      </c>
      <c r="K212" s="208">
        <v>5812</v>
      </c>
      <c r="L212" s="239">
        <v>2995</v>
      </c>
      <c r="M212" s="238" t="s">
        <v>589</v>
      </c>
      <c r="N212" s="237">
        <v>9.7799999999999994</v>
      </c>
      <c r="O212" s="236">
        <f>IF(N212&gt;0,1/N212*37.7*68.6,"")</f>
        <v>264.43967280163599</v>
      </c>
      <c r="P212" s="235">
        <v>9.51</v>
      </c>
      <c r="Q212" s="234" t="s">
        <v>834</v>
      </c>
      <c r="R212" s="234" t="s">
        <v>911</v>
      </c>
      <c r="S212" s="234" t="s">
        <v>34</v>
      </c>
      <c r="T212" s="233" t="s">
        <v>751</v>
      </c>
      <c r="U212" s="232"/>
      <c r="V212" s="231">
        <f>IFERROR(IF(N212&lt;P212,"",(ROUNDDOWN(N212/P212*100,0))),"")</f>
        <v>102</v>
      </c>
      <c r="W212" s="230"/>
      <c r="X212" s="230"/>
    </row>
    <row r="213" spans="1:24" s="229" customFormat="1" ht="24" customHeight="1">
      <c r="A213" s="244"/>
      <c r="B213" s="243"/>
      <c r="C213" s="242"/>
      <c r="D213" s="241" t="s">
        <v>965</v>
      </c>
      <c r="E213" s="240" t="s">
        <v>912</v>
      </c>
      <c r="F213" s="240">
        <v>4.0090000000000003</v>
      </c>
      <c r="G213" s="240">
        <v>440</v>
      </c>
      <c r="H213" s="240">
        <v>110</v>
      </c>
      <c r="I213" s="240" t="s">
        <v>790</v>
      </c>
      <c r="J213" s="208">
        <v>2356</v>
      </c>
      <c r="K213" s="208">
        <v>4521</v>
      </c>
      <c r="L213" s="239">
        <v>2000</v>
      </c>
      <c r="M213" s="238" t="s">
        <v>589</v>
      </c>
      <c r="N213" s="237">
        <v>10.62</v>
      </c>
      <c r="O213" s="236">
        <f>IF(N213&gt;0,1/N213*37.7*68.6,"")</f>
        <v>243.52354048964222</v>
      </c>
      <c r="P213" s="235">
        <v>10.35</v>
      </c>
      <c r="Q213" s="234" t="s">
        <v>834</v>
      </c>
      <c r="R213" s="234" t="s">
        <v>911</v>
      </c>
      <c r="S213" s="234" t="s">
        <v>34</v>
      </c>
      <c r="T213" s="233" t="s">
        <v>751</v>
      </c>
      <c r="U213" s="232"/>
      <c r="V213" s="231">
        <f>IFERROR(IF(N213&lt;P213,"",(ROUNDDOWN(N213/P213*100,0))),"")</f>
        <v>102</v>
      </c>
      <c r="W213" s="230"/>
      <c r="X213" s="230"/>
    </row>
    <row r="214" spans="1:24" s="229" customFormat="1" ht="24" customHeight="1">
      <c r="A214" s="244"/>
      <c r="B214" s="243"/>
      <c r="C214" s="242"/>
      <c r="D214" s="241" t="s">
        <v>965</v>
      </c>
      <c r="E214" s="240" t="s">
        <v>912</v>
      </c>
      <c r="F214" s="240">
        <v>4.0090000000000003</v>
      </c>
      <c r="G214" s="240">
        <v>440</v>
      </c>
      <c r="H214" s="240">
        <v>110</v>
      </c>
      <c r="I214" s="240" t="s">
        <v>71</v>
      </c>
      <c r="J214" s="208">
        <v>2356</v>
      </c>
      <c r="K214" s="208">
        <v>4521</v>
      </c>
      <c r="L214" s="239">
        <v>2000</v>
      </c>
      <c r="M214" s="238" t="s">
        <v>589</v>
      </c>
      <c r="N214" s="237">
        <v>10.53</v>
      </c>
      <c r="O214" s="236">
        <f>IF(N214&gt;0,1/N214*37.7*68.6,"")</f>
        <v>245.60493827160494</v>
      </c>
      <c r="P214" s="235">
        <v>10.35</v>
      </c>
      <c r="Q214" s="234" t="s">
        <v>834</v>
      </c>
      <c r="R214" s="234" t="s">
        <v>911</v>
      </c>
      <c r="S214" s="234" t="s">
        <v>34</v>
      </c>
      <c r="T214" s="233" t="s">
        <v>751</v>
      </c>
      <c r="U214" s="232"/>
      <c r="V214" s="231">
        <f>IFERROR(IF(N214&lt;P214,"",(ROUNDDOWN(N214/P214*100,0))),"")</f>
        <v>101</v>
      </c>
      <c r="W214" s="230"/>
      <c r="X214" s="230"/>
    </row>
    <row r="215" spans="1:24" s="229" customFormat="1" ht="24" customHeight="1">
      <c r="A215" s="244"/>
      <c r="B215" s="243"/>
      <c r="C215" s="242"/>
      <c r="D215" s="241" t="s">
        <v>965</v>
      </c>
      <c r="E215" s="240" t="s">
        <v>912</v>
      </c>
      <c r="F215" s="240">
        <v>4.0090000000000003</v>
      </c>
      <c r="G215" s="240">
        <v>440</v>
      </c>
      <c r="H215" s="240">
        <v>110</v>
      </c>
      <c r="I215" s="240" t="s">
        <v>790</v>
      </c>
      <c r="J215" s="208">
        <v>3543</v>
      </c>
      <c r="K215" s="208">
        <v>7928</v>
      </c>
      <c r="L215" s="239">
        <v>4275</v>
      </c>
      <c r="M215" s="238" t="s">
        <v>589</v>
      </c>
      <c r="N215" s="237">
        <v>7.45</v>
      </c>
      <c r="O215" s="236">
        <f>IF(N215&gt;0,1/N215*37.7*68.6,"")</f>
        <v>347.14362416107377</v>
      </c>
      <c r="P215" s="235">
        <v>7.24</v>
      </c>
      <c r="Q215" s="234" t="s">
        <v>834</v>
      </c>
      <c r="R215" s="234" t="s">
        <v>911</v>
      </c>
      <c r="S215" s="234" t="s">
        <v>34</v>
      </c>
      <c r="T215" s="233" t="s">
        <v>751</v>
      </c>
      <c r="U215" s="232"/>
      <c r="V215" s="231">
        <f>IFERROR(IF(N215&lt;P215,"",(ROUNDDOWN(N215/P215*100,0))),"")</f>
        <v>102</v>
      </c>
      <c r="W215" s="230"/>
      <c r="X215" s="230"/>
    </row>
    <row r="216" spans="1:24" s="229" customFormat="1" ht="24" customHeight="1">
      <c r="A216" s="244"/>
      <c r="B216" s="243"/>
      <c r="C216" s="242"/>
      <c r="D216" s="241" t="s">
        <v>965</v>
      </c>
      <c r="E216" s="240" t="s">
        <v>912</v>
      </c>
      <c r="F216" s="240">
        <v>4.0090000000000003</v>
      </c>
      <c r="G216" s="240">
        <v>440</v>
      </c>
      <c r="H216" s="240">
        <v>110</v>
      </c>
      <c r="I216" s="240" t="s">
        <v>71</v>
      </c>
      <c r="J216" s="208">
        <v>3543</v>
      </c>
      <c r="K216" s="208">
        <v>7928</v>
      </c>
      <c r="L216" s="239">
        <v>4275</v>
      </c>
      <c r="M216" s="238" t="s">
        <v>589</v>
      </c>
      <c r="N216" s="237">
        <v>7.38</v>
      </c>
      <c r="O216" s="236">
        <f>IF(N216&gt;0,1/N216*37.7*68.6,"")</f>
        <v>350.43631436314365</v>
      </c>
      <c r="P216" s="235">
        <v>7.24</v>
      </c>
      <c r="Q216" s="234" t="s">
        <v>834</v>
      </c>
      <c r="R216" s="234" t="s">
        <v>911</v>
      </c>
      <c r="S216" s="234" t="s">
        <v>34</v>
      </c>
      <c r="T216" s="233" t="s">
        <v>751</v>
      </c>
      <c r="U216" s="232"/>
      <c r="V216" s="231">
        <f>IFERROR(IF(N216&lt;P216,"",(ROUNDDOWN(N216/P216*100,0))),"")</f>
        <v>101</v>
      </c>
      <c r="W216" s="230"/>
      <c r="X216" s="230"/>
    </row>
    <row r="217" spans="1:24" s="229" customFormat="1" ht="24" customHeight="1">
      <c r="A217" s="244"/>
      <c r="B217" s="243"/>
      <c r="C217" s="242"/>
      <c r="D217" s="241" t="s">
        <v>965</v>
      </c>
      <c r="E217" s="240" t="s">
        <v>912</v>
      </c>
      <c r="F217" s="240">
        <v>4.0090000000000003</v>
      </c>
      <c r="G217" s="240">
        <v>470</v>
      </c>
      <c r="H217" s="240">
        <v>132</v>
      </c>
      <c r="I217" s="240" t="s">
        <v>71</v>
      </c>
      <c r="J217" s="208">
        <v>3543</v>
      </c>
      <c r="K217" s="208">
        <v>7928</v>
      </c>
      <c r="L217" s="239">
        <v>4275</v>
      </c>
      <c r="M217" s="238" t="s">
        <v>589</v>
      </c>
      <c r="N217" s="237">
        <v>7.24</v>
      </c>
      <c r="O217" s="236">
        <f>IF(N217&gt;0,1/N217*37.7*68.6,"")</f>
        <v>357.21270718232046</v>
      </c>
      <c r="P217" s="235">
        <v>7.24</v>
      </c>
      <c r="Q217" s="234" t="s">
        <v>834</v>
      </c>
      <c r="R217" s="234" t="s">
        <v>911</v>
      </c>
      <c r="S217" s="234" t="s">
        <v>34</v>
      </c>
      <c r="T217" s="233" t="s">
        <v>751</v>
      </c>
      <c r="U217" s="232"/>
      <c r="V217" s="231">
        <f>IFERROR(IF(N217&lt;P217,"",(ROUNDDOWN(N217/P217*100,0))),"")</f>
        <v>100</v>
      </c>
      <c r="W217" s="230"/>
      <c r="X217" s="230"/>
    </row>
    <row r="218" spans="1:24" s="229" customFormat="1" ht="24" customHeight="1">
      <c r="A218" s="244"/>
      <c r="B218" s="243"/>
      <c r="C218" s="242"/>
      <c r="D218" s="241" t="s">
        <v>964</v>
      </c>
      <c r="E218" s="240" t="s">
        <v>912</v>
      </c>
      <c r="F218" s="240">
        <v>4.0090000000000003</v>
      </c>
      <c r="G218" s="240">
        <v>440</v>
      </c>
      <c r="H218" s="240">
        <v>110</v>
      </c>
      <c r="I218" s="240" t="s">
        <v>790</v>
      </c>
      <c r="J218" s="208">
        <v>2356</v>
      </c>
      <c r="K218" s="208">
        <v>4521</v>
      </c>
      <c r="L218" s="239">
        <v>2000</v>
      </c>
      <c r="M218" s="238" t="s">
        <v>589</v>
      </c>
      <c r="N218" s="237">
        <v>10.62</v>
      </c>
      <c r="O218" s="236">
        <f>IF(N218&gt;0,1/N218*37.7*68.6,"")</f>
        <v>243.52354048964222</v>
      </c>
      <c r="P218" s="235">
        <v>10.35</v>
      </c>
      <c r="Q218" s="234" t="s">
        <v>834</v>
      </c>
      <c r="R218" s="234" t="s">
        <v>911</v>
      </c>
      <c r="S218" s="234" t="s">
        <v>34</v>
      </c>
      <c r="T218" s="233" t="s">
        <v>751</v>
      </c>
      <c r="U218" s="232"/>
      <c r="V218" s="231">
        <f>IFERROR(IF(N218&lt;P218,"",(ROUNDDOWN(N218/P218*100,0))),"")</f>
        <v>102</v>
      </c>
      <c r="W218" s="230"/>
      <c r="X218" s="230"/>
    </row>
    <row r="219" spans="1:24" s="229" customFormat="1" ht="24" customHeight="1">
      <c r="A219" s="244"/>
      <c r="B219" s="243"/>
      <c r="C219" s="242"/>
      <c r="D219" s="241" t="s">
        <v>964</v>
      </c>
      <c r="E219" s="240" t="s">
        <v>912</v>
      </c>
      <c r="F219" s="240">
        <v>4.0090000000000003</v>
      </c>
      <c r="G219" s="240">
        <v>440</v>
      </c>
      <c r="H219" s="240">
        <v>110</v>
      </c>
      <c r="I219" s="240" t="s">
        <v>71</v>
      </c>
      <c r="J219" s="208">
        <v>2356</v>
      </c>
      <c r="K219" s="208">
        <v>4521</v>
      </c>
      <c r="L219" s="239">
        <v>2000</v>
      </c>
      <c r="M219" s="238" t="s">
        <v>589</v>
      </c>
      <c r="N219" s="237">
        <v>10.53</v>
      </c>
      <c r="O219" s="236">
        <f>IF(N219&gt;0,1/N219*37.7*68.6,"")</f>
        <v>245.60493827160494</v>
      </c>
      <c r="P219" s="235">
        <v>10.35</v>
      </c>
      <c r="Q219" s="234" t="s">
        <v>834</v>
      </c>
      <c r="R219" s="234" t="s">
        <v>911</v>
      </c>
      <c r="S219" s="234" t="s">
        <v>34</v>
      </c>
      <c r="T219" s="233" t="s">
        <v>751</v>
      </c>
      <c r="U219" s="232"/>
      <c r="V219" s="231">
        <f>IFERROR(IF(N219&lt;P219,"",(ROUNDDOWN(N219/P219*100,0))),"")</f>
        <v>101</v>
      </c>
      <c r="W219" s="230"/>
      <c r="X219" s="230"/>
    </row>
    <row r="220" spans="1:24" s="229" customFormat="1" ht="24" customHeight="1">
      <c r="A220" s="244"/>
      <c r="B220" s="243"/>
      <c r="C220" s="242"/>
      <c r="D220" s="241" t="s">
        <v>964</v>
      </c>
      <c r="E220" s="240" t="s">
        <v>912</v>
      </c>
      <c r="F220" s="240">
        <v>4.0090000000000003</v>
      </c>
      <c r="G220" s="240">
        <v>440</v>
      </c>
      <c r="H220" s="240">
        <v>110</v>
      </c>
      <c r="I220" s="240" t="s">
        <v>790</v>
      </c>
      <c r="J220" s="208">
        <v>3543</v>
      </c>
      <c r="K220" s="208">
        <v>7928</v>
      </c>
      <c r="L220" s="239">
        <v>4275</v>
      </c>
      <c r="M220" s="238" t="s">
        <v>589</v>
      </c>
      <c r="N220" s="237">
        <v>7.45</v>
      </c>
      <c r="O220" s="236">
        <f>IF(N220&gt;0,1/N220*37.7*68.6,"")</f>
        <v>347.14362416107377</v>
      </c>
      <c r="P220" s="235">
        <v>7.24</v>
      </c>
      <c r="Q220" s="234" t="s">
        <v>834</v>
      </c>
      <c r="R220" s="234" t="s">
        <v>911</v>
      </c>
      <c r="S220" s="234" t="s">
        <v>34</v>
      </c>
      <c r="T220" s="233" t="s">
        <v>751</v>
      </c>
      <c r="U220" s="232"/>
      <c r="V220" s="231">
        <f>IFERROR(IF(N220&lt;P220,"",(ROUNDDOWN(N220/P220*100,0))),"")</f>
        <v>102</v>
      </c>
      <c r="W220" s="230"/>
      <c r="X220" s="230"/>
    </row>
    <row r="221" spans="1:24" s="229" customFormat="1" ht="24" customHeight="1">
      <c r="A221" s="244"/>
      <c r="B221" s="243"/>
      <c r="C221" s="242"/>
      <c r="D221" s="241" t="s">
        <v>964</v>
      </c>
      <c r="E221" s="240" t="s">
        <v>912</v>
      </c>
      <c r="F221" s="240">
        <v>4.0090000000000003</v>
      </c>
      <c r="G221" s="240">
        <v>440</v>
      </c>
      <c r="H221" s="240">
        <v>110</v>
      </c>
      <c r="I221" s="240" t="s">
        <v>71</v>
      </c>
      <c r="J221" s="208">
        <v>3543</v>
      </c>
      <c r="K221" s="208">
        <v>7928</v>
      </c>
      <c r="L221" s="239">
        <v>4275</v>
      </c>
      <c r="M221" s="238" t="s">
        <v>589</v>
      </c>
      <c r="N221" s="237">
        <v>7.38</v>
      </c>
      <c r="O221" s="236">
        <f>IF(N221&gt;0,1/N221*37.7*68.6,"")</f>
        <v>350.43631436314365</v>
      </c>
      <c r="P221" s="235">
        <v>7.24</v>
      </c>
      <c r="Q221" s="234" t="s">
        <v>834</v>
      </c>
      <c r="R221" s="234" t="s">
        <v>911</v>
      </c>
      <c r="S221" s="234" t="s">
        <v>34</v>
      </c>
      <c r="T221" s="233" t="s">
        <v>751</v>
      </c>
      <c r="U221" s="232"/>
      <c r="V221" s="231">
        <f>IFERROR(IF(N221&lt;P221,"",(ROUNDDOWN(N221/P221*100,0))),"")</f>
        <v>101</v>
      </c>
      <c r="W221" s="230"/>
      <c r="X221" s="230"/>
    </row>
    <row r="222" spans="1:24" s="229" customFormat="1" ht="24" customHeight="1">
      <c r="A222" s="244"/>
      <c r="B222" s="243"/>
      <c r="C222" s="242"/>
      <c r="D222" s="241" t="s">
        <v>964</v>
      </c>
      <c r="E222" s="240" t="s">
        <v>912</v>
      </c>
      <c r="F222" s="240">
        <v>4.0090000000000003</v>
      </c>
      <c r="G222" s="240">
        <v>470</v>
      </c>
      <c r="H222" s="240">
        <v>132</v>
      </c>
      <c r="I222" s="240" t="s">
        <v>71</v>
      </c>
      <c r="J222" s="208">
        <v>3543</v>
      </c>
      <c r="K222" s="208">
        <v>7928</v>
      </c>
      <c r="L222" s="239">
        <v>4275</v>
      </c>
      <c r="M222" s="238" t="s">
        <v>589</v>
      </c>
      <c r="N222" s="237">
        <v>7.24</v>
      </c>
      <c r="O222" s="236">
        <f>IF(N222&gt;0,1/N222*37.7*68.6,"")</f>
        <v>357.21270718232046</v>
      </c>
      <c r="P222" s="235">
        <v>7.24</v>
      </c>
      <c r="Q222" s="234" t="s">
        <v>834</v>
      </c>
      <c r="R222" s="234" t="s">
        <v>911</v>
      </c>
      <c r="S222" s="234" t="s">
        <v>34</v>
      </c>
      <c r="T222" s="233" t="s">
        <v>751</v>
      </c>
      <c r="U222" s="232"/>
      <c r="V222" s="231">
        <f>IFERROR(IF(N222&lt;P222,"",(ROUNDDOWN(N222/P222*100,0))),"")</f>
        <v>100</v>
      </c>
      <c r="W222" s="230"/>
      <c r="X222" s="230"/>
    </row>
    <row r="223" spans="1:24" s="229" customFormat="1" ht="24" customHeight="1">
      <c r="A223" s="244"/>
      <c r="B223" s="243"/>
      <c r="C223" s="242"/>
      <c r="D223" s="241" t="s">
        <v>963</v>
      </c>
      <c r="E223" s="240" t="s">
        <v>912</v>
      </c>
      <c r="F223" s="240">
        <v>4.0090000000000003</v>
      </c>
      <c r="G223" s="240">
        <v>440</v>
      </c>
      <c r="H223" s="240">
        <v>110</v>
      </c>
      <c r="I223" s="240" t="s">
        <v>790</v>
      </c>
      <c r="J223" s="208">
        <v>2356</v>
      </c>
      <c r="K223" s="208">
        <v>4521</v>
      </c>
      <c r="L223" s="239">
        <v>2000</v>
      </c>
      <c r="M223" s="238" t="s">
        <v>589</v>
      </c>
      <c r="N223" s="237">
        <v>10.62</v>
      </c>
      <c r="O223" s="236">
        <f>IF(N223&gt;0,1/N223*37.7*68.6,"")</f>
        <v>243.52354048964222</v>
      </c>
      <c r="P223" s="235">
        <v>10.35</v>
      </c>
      <c r="Q223" s="234" t="s">
        <v>834</v>
      </c>
      <c r="R223" s="234" t="s">
        <v>911</v>
      </c>
      <c r="S223" s="234" t="s">
        <v>34</v>
      </c>
      <c r="T223" s="233" t="s">
        <v>751</v>
      </c>
      <c r="U223" s="232"/>
      <c r="V223" s="231">
        <f>IFERROR(IF(N223&lt;P223,"",(ROUNDDOWN(N223/P223*100,0))),"")</f>
        <v>102</v>
      </c>
      <c r="W223" s="230"/>
      <c r="X223" s="230"/>
    </row>
    <row r="224" spans="1:24" s="229" customFormat="1" ht="24" customHeight="1">
      <c r="A224" s="244"/>
      <c r="B224" s="243"/>
      <c r="C224" s="242"/>
      <c r="D224" s="241" t="s">
        <v>963</v>
      </c>
      <c r="E224" s="240" t="s">
        <v>912</v>
      </c>
      <c r="F224" s="240">
        <v>4.0090000000000003</v>
      </c>
      <c r="G224" s="240">
        <v>440</v>
      </c>
      <c r="H224" s="240">
        <v>110</v>
      </c>
      <c r="I224" s="240" t="s">
        <v>71</v>
      </c>
      <c r="J224" s="208">
        <v>2356</v>
      </c>
      <c r="K224" s="208">
        <v>4521</v>
      </c>
      <c r="L224" s="239">
        <v>2000</v>
      </c>
      <c r="M224" s="238" t="s">
        <v>589</v>
      </c>
      <c r="N224" s="237">
        <v>10.53</v>
      </c>
      <c r="O224" s="236">
        <f>IF(N224&gt;0,1/N224*37.7*68.6,"")</f>
        <v>245.60493827160494</v>
      </c>
      <c r="P224" s="235">
        <v>10.35</v>
      </c>
      <c r="Q224" s="234" t="s">
        <v>834</v>
      </c>
      <c r="R224" s="234" t="s">
        <v>911</v>
      </c>
      <c r="S224" s="234" t="s">
        <v>34</v>
      </c>
      <c r="T224" s="233" t="s">
        <v>751</v>
      </c>
      <c r="U224" s="232"/>
      <c r="V224" s="231">
        <f>IFERROR(IF(N224&lt;P224,"",(ROUNDDOWN(N224/P224*100,0))),"")</f>
        <v>101</v>
      </c>
      <c r="W224" s="230"/>
      <c r="X224" s="230"/>
    </row>
    <row r="225" spans="1:24" s="229" customFormat="1" ht="24" customHeight="1">
      <c r="A225" s="244"/>
      <c r="B225" s="243"/>
      <c r="C225" s="242"/>
      <c r="D225" s="241" t="s">
        <v>963</v>
      </c>
      <c r="E225" s="240" t="s">
        <v>912</v>
      </c>
      <c r="F225" s="240">
        <v>4.0090000000000003</v>
      </c>
      <c r="G225" s="240">
        <v>440</v>
      </c>
      <c r="H225" s="240">
        <v>110</v>
      </c>
      <c r="I225" s="240" t="s">
        <v>790</v>
      </c>
      <c r="J225" s="208">
        <v>3543</v>
      </c>
      <c r="K225" s="208">
        <v>7928</v>
      </c>
      <c r="L225" s="239">
        <v>4275</v>
      </c>
      <c r="M225" s="238" t="s">
        <v>589</v>
      </c>
      <c r="N225" s="237">
        <v>7.45</v>
      </c>
      <c r="O225" s="236">
        <f>IF(N225&gt;0,1/N225*37.7*68.6,"")</f>
        <v>347.14362416107377</v>
      </c>
      <c r="P225" s="235">
        <v>7.24</v>
      </c>
      <c r="Q225" s="234" t="s">
        <v>834</v>
      </c>
      <c r="R225" s="234" t="s">
        <v>911</v>
      </c>
      <c r="S225" s="234" t="s">
        <v>34</v>
      </c>
      <c r="T225" s="233" t="s">
        <v>751</v>
      </c>
      <c r="U225" s="232"/>
      <c r="V225" s="231">
        <f>IFERROR(IF(N225&lt;P225,"",(ROUNDDOWN(N225/P225*100,0))),"")</f>
        <v>102</v>
      </c>
      <c r="W225" s="230"/>
      <c r="X225" s="230"/>
    </row>
    <row r="226" spans="1:24" s="229" customFormat="1" ht="24" customHeight="1">
      <c r="A226" s="244"/>
      <c r="B226" s="243"/>
      <c r="C226" s="242"/>
      <c r="D226" s="241" t="s">
        <v>963</v>
      </c>
      <c r="E226" s="240" t="s">
        <v>912</v>
      </c>
      <c r="F226" s="240">
        <v>4.0090000000000003</v>
      </c>
      <c r="G226" s="240">
        <v>440</v>
      </c>
      <c r="H226" s="240">
        <v>110</v>
      </c>
      <c r="I226" s="240" t="s">
        <v>71</v>
      </c>
      <c r="J226" s="208">
        <v>3543</v>
      </c>
      <c r="K226" s="208">
        <v>7928</v>
      </c>
      <c r="L226" s="239">
        <v>4275</v>
      </c>
      <c r="M226" s="238" t="s">
        <v>589</v>
      </c>
      <c r="N226" s="237">
        <v>7.38</v>
      </c>
      <c r="O226" s="236">
        <f>IF(N226&gt;0,1/N226*37.7*68.6,"")</f>
        <v>350.43631436314365</v>
      </c>
      <c r="P226" s="235">
        <v>7.24</v>
      </c>
      <c r="Q226" s="234" t="s">
        <v>834</v>
      </c>
      <c r="R226" s="234" t="s">
        <v>911</v>
      </c>
      <c r="S226" s="234" t="s">
        <v>34</v>
      </c>
      <c r="T226" s="233" t="s">
        <v>751</v>
      </c>
      <c r="U226" s="232"/>
      <c r="V226" s="231">
        <f>IFERROR(IF(N226&lt;P226,"",(ROUNDDOWN(N226/P226*100,0))),"")</f>
        <v>101</v>
      </c>
      <c r="W226" s="230"/>
      <c r="X226" s="230"/>
    </row>
    <row r="227" spans="1:24" s="229" customFormat="1" ht="24" customHeight="1">
      <c r="A227" s="244"/>
      <c r="B227" s="243"/>
      <c r="C227" s="242"/>
      <c r="D227" s="241" t="s">
        <v>963</v>
      </c>
      <c r="E227" s="240" t="s">
        <v>912</v>
      </c>
      <c r="F227" s="240">
        <v>4.0090000000000003</v>
      </c>
      <c r="G227" s="240">
        <v>470</v>
      </c>
      <c r="H227" s="240">
        <v>132</v>
      </c>
      <c r="I227" s="240" t="s">
        <v>71</v>
      </c>
      <c r="J227" s="208">
        <v>3543</v>
      </c>
      <c r="K227" s="208">
        <v>7928</v>
      </c>
      <c r="L227" s="239">
        <v>4275</v>
      </c>
      <c r="M227" s="238" t="s">
        <v>589</v>
      </c>
      <c r="N227" s="237">
        <v>7.24</v>
      </c>
      <c r="O227" s="236">
        <f>IF(N227&gt;0,1/N227*37.7*68.6,"")</f>
        <v>357.21270718232046</v>
      </c>
      <c r="P227" s="235">
        <v>7.24</v>
      </c>
      <c r="Q227" s="234" t="s">
        <v>834</v>
      </c>
      <c r="R227" s="234" t="s">
        <v>911</v>
      </c>
      <c r="S227" s="234" t="s">
        <v>34</v>
      </c>
      <c r="T227" s="233" t="s">
        <v>751</v>
      </c>
      <c r="U227" s="232"/>
      <c r="V227" s="231">
        <f>IFERROR(IF(N227&lt;P227,"",(ROUNDDOWN(N227/P227*100,0))),"")</f>
        <v>100</v>
      </c>
      <c r="W227" s="230"/>
      <c r="X227" s="230"/>
    </row>
    <row r="228" spans="1:24" s="229" customFormat="1" ht="24" customHeight="1">
      <c r="A228" s="244"/>
      <c r="B228" s="243"/>
      <c r="C228" s="242"/>
      <c r="D228" s="241" t="s">
        <v>962</v>
      </c>
      <c r="E228" s="240" t="s">
        <v>912</v>
      </c>
      <c r="F228" s="240">
        <v>4.0090000000000003</v>
      </c>
      <c r="G228" s="240">
        <v>440</v>
      </c>
      <c r="H228" s="240">
        <v>110</v>
      </c>
      <c r="I228" s="240" t="s">
        <v>71</v>
      </c>
      <c r="J228" s="208">
        <v>2356</v>
      </c>
      <c r="K228" s="208">
        <v>4521</v>
      </c>
      <c r="L228" s="239">
        <v>2000</v>
      </c>
      <c r="M228" s="238" t="s">
        <v>589</v>
      </c>
      <c r="N228" s="237">
        <v>10.53</v>
      </c>
      <c r="O228" s="236">
        <f>IF(N228&gt;0,1/N228*37.7*68.6,"")</f>
        <v>245.60493827160494</v>
      </c>
      <c r="P228" s="235">
        <v>10.35</v>
      </c>
      <c r="Q228" s="234" t="s">
        <v>834</v>
      </c>
      <c r="R228" s="234" t="s">
        <v>911</v>
      </c>
      <c r="S228" s="234" t="s">
        <v>34</v>
      </c>
      <c r="T228" s="233" t="s">
        <v>751</v>
      </c>
      <c r="U228" s="232"/>
      <c r="V228" s="231">
        <f>IFERROR(IF(N228&lt;P228,"",(ROUNDDOWN(N228/P228*100,0))),"")</f>
        <v>101</v>
      </c>
      <c r="W228" s="230"/>
      <c r="X228" s="230"/>
    </row>
    <row r="229" spans="1:24" s="229" customFormat="1" ht="24" customHeight="1">
      <c r="A229" s="244"/>
      <c r="B229" s="243"/>
      <c r="C229" s="242"/>
      <c r="D229" s="241" t="s">
        <v>961</v>
      </c>
      <c r="E229" s="240" t="s">
        <v>912</v>
      </c>
      <c r="F229" s="240">
        <v>4.0090000000000003</v>
      </c>
      <c r="G229" s="240">
        <v>440</v>
      </c>
      <c r="H229" s="240">
        <v>110</v>
      </c>
      <c r="I229" s="240" t="s">
        <v>71</v>
      </c>
      <c r="J229" s="208">
        <v>2356</v>
      </c>
      <c r="K229" s="208">
        <v>4521</v>
      </c>
      <c r="L229" s="239">
        <v>2000</v>
      </c>
      <c r="M229" s="238" t="s">
        <v>589</v>
      </c>
      <c r="N229" s="237">
        <v>10.53</v>
      </c>
      <c r="O229" s="236">
        <f>IF(N229&gt;0,1/N229*37.7*68.6,"")</f>
        <v>245.60493827160494</v>
      </c>
      <c r="P229" s="235">
        <v>10.35</v>
      </c>
      <c r="Q229" s="234" t="s">
        <v>834</v>
      </c>
      <c r="R229" s="234" t="s">
        <v>911</v>
      </c>
      <c r="S229" s="234" t="s">
        <v>34</v>
      </c>
      <c r="T229" s="233" t="s">
        <v>751</v>
      </c>
      <c r="U229" s="232"/>
      <c r="V229" s="231">
        <f>IFERROR(IF(N229&lt;P229,"",(ROUNDDOWN(N229/P229*100,0))),"")</f>
        <v>101</v>
      </c>
      <c r="W229" s="230"/>
      <c r="X229" s="230"/>
    </row>
    <row r="230" spans="1:24" s="229" customFormat="1" ht="24" customHeight="1">
      <c r="A230" s="244"/>
      <c r="B230" s="243"/>
      <c r="C230" s="242"/>
      <c r="D230" s="241" t="s">
        <v>961</v>
      </c>
      <c r="E230" s="240" t="s">
        <v>912</v>
      </c>
      <c r="F230" s="240">
        <v>4.0090000000000003</v>
      </c>
      <c r="G230" s="240">
        <v>440</v>
      </c>
      <c r="H230" s="240">
        <v>110</v>
      </c>
      <c r="I230" s="240" t="s">
        <v>71</v>
      </c>
      <c r="J230" s="208">
        <v>2652</v>
      </c>
      <c r="K230" s="208">
        <v>5812</v>
      </c>
      <c r="L230" s="239">
        <v>2995</v>
      </c>
      <c r="M230" s="238" t="s">
        <v>589</v>
      </c>
      <c r="N230" s="237">
        <v>9.7799999999999994</v>
      </c>
      <c r="O230" s="236">
        <f>IF(N230&gt;0,1/N230*37.7*68.6,"")</f>
        <v>264.43967280163599</v>
      </c>
      <c r="P230" s="235">
        <v>9.51</v>
      </c>
      <c r="Q230" s="234" t="s">
        <v>834</v>
      </c>
      <c r="R230" s="234" t="s">
        <v>911</v>
      </c>
      <c r="S230" s="234" t="s">
        <v>34</v>
      </c>
      <c r="T230" s="233" t="s">
        <v>751</v>
      </c>
      <c r="U230" s="232"/>
      <c r="V230" s="231">
        <f>IFERROR(IF(N230&lt;P230,"",(ROUNDDOWN(N230/P230*100,0))),"")</f>
        <v>102</v>
      </c>
      <c r="W230" s="230"/>
      <c r="X230" s="230"/>
    </row>
    <row r="231" spans="1:24" s="229" customFormat="1" ht="24" customHeight="1">
      <c r="A231" s="244"/>
      <c r="B231" s="243"/>
      <c r="C231" s="242"/>
      <c r="D231" s="241" t="s">
        <v>960</v>
      </c>
      <c r="E231" s="240" t="s">
        <v>912</v>
      </c>
      <c r="F231" s="240">
        <v>4.0090000000000003</v>
      </c>
      <c r="G231" s="240">
        <v>470</v>
      </c>
      <c r="H231" s="240">
        <v>132</v>
      </c>
      <c r="I231" s="240" t="s">
        <v>71</v>
      </c>
      <c r="J231" s="208">
        <v>2356</v>
      </c>
      <c r="K231" s="208">
        <v>4521</v>
      </c>
      <c r="L231" s="239">
        <v>2000</v>
      </c>
      <c r="M231" s="238" t="s">
        <v>589</v>
      </c>
      <c r="N231" s="237">
        <v>10.25</v>
      </c>
      <c r="O231" s="236">
        <f>IF(N231&gt;0,1/N231*37.7*68.6,"")</f>
        <v>252.31414634146344</v>
      </c>
      <c r="P231" s="235">
        <v>10.35</v>
      </c>
      <c r="Q231" s="234" t="s">
        <v>834</v>
      </c>
      <c r="R231" s="234" t="s">
        <v>911</v>
      </c>
      <c r="S231" s="234" t="s">
        <v>34</v>
      </c>
      <c r="T231" s="233" t="s">
        <v>751</v>
      </c>
      <c r="U231" s="232"/>
      <c r="V231" s="231" t="str">
        <f>IFERROR(IF(N231&lt;P231,"",(ROUNDDOWN(N231/P231*100,0))),"")</f>
        <v/>
      </c>
      <c r="W231" s="230"/>
      <c r="X231" s="230"/>
    </row>
    <row r="232" spans="1:24" s="229" customFormat="1" ht="24" customHeight="1">
      <c r="A232" s="244"/>
      <c r="B232" s="243"/>
      <c r="C232" s="242"/>
      <c r="D232" s="241" t="s">
        <v>960</v>
      </c>
      <c r="E232" s="240" t="s">
        <v>912</v>
      </c>
      <c r="F232" s="240">
        <v>4.0090000000000003</v>
      </c>
      <c r="G232" s="240">
        <v>440</v>
      </c>
      <c r="H232" s="240">
        <v>110</v>
      </c>
      <c r="I232" s="240" t="s">
        <v>71</v>
      </c>
      <c r="J232" s="208">
        <v>2356</v>
      </c>
      <c r="K232" s="208">
        <v>4521</v>
      </c>
      <c r="L232" s="239">
        <v>2000</v>
      </c>
      <c r="M232" s="238" t="s">
        <v>589</v>
      </c>
      <c r="N232" s="237">
        <v>10.17</v>
      </c>
      <c r="O232" s="236">
        <f>IF(N232&gt;0,1/N232*37.7*68.6,"")</f>
        <v>254.29891838741395</v>
      </c>
      <c r="P232" s="235">
        <v>10.35</v>
      </c>
      <c r="Q232" s="234" t="s">
        <v>831</v>
      </c>
      <c r="R232" s="234" t="s">
        <v>911</v>
      </c>
      <c r="S232" s="234" t="s">
        <v>34</v>
      </c>
      <c r="T232" s="233" t="s">
        <v>751</v>
      </c>
      <c r="U232" s="232"/>
      <c r="V232" s="231" t="str">
        <f>IFERROR(IF(N232&lt;P232,"",(ROUNDDOWN(N232/P232*100,0))),"")</f>
        <v/>
      </c>
      <c r="W232" s="230"/>
      <c r="X232" s="230"/>
    </row>
    <row r="233" spans="1:24" s="229" customFormat="1" ht="24" customHeight="1">
      <c r="A233" s="244"/>
      <c r="B233" s="243"/>
      <c r="C233" s="242"/>
      <c r="D233" s="241" t="s">
        <v>960</v>
      </c>
      <c r="E233" s="240" t="s">
        <v>912</v>
      </c>
      <c r="F233" s="240">
        <v>4.0090000000000003</v>
      </c>
      <c r="G233" s="240">
        <v>470</v>
      </c>
      <c r="H233" s="240">
        <v>132</v>
      </c>
      <c r="I233" s="240" t="s">
        <v>71</v>
      </c>
      <c r="J233" s="208">
        <v>3543</v>
      </c>
      <c r="K233" s="208">
        <v>7928</v>
      </c>
      <c r="L233" s="239">
        <v>4275</v>
      </c>
      <c r="M233" s="238" t="s">
        <v>589</v>
      </c>
      <c r="N233" s="237">
        <v>7.07</v>
      </c>
      <c r="O233" s="236">
        <f>IF(N233&gt;0,1/N233*37.7*68.6,"")</f>
        <v>365.80198019801975</v>
      </c>
      <c r="P233" s="235">
        <v>7.24</v>
      </c>
      <c r="Q233" s="234" t="s">
        <v>831</v>
      </c>
      <c r="R233" s="234" t="s">
        <v>911</v>
      </c>
      <c r="S233" s="234" t="s">
        <v>34</v>
      </c>
      <c r="T233" s="233" t="s">
        <v>751</v>
      </c>
      <c r="U233" s="232"/>
      <c r="V233" s="231" t="str">
        <f>IFERROR(IF(N233&lt;P233,"",(ROUNDDOWN(N233/P233*100,0))),"")</f>
        <v/>
      </c>
      <c r="W233" s="230"/>
      <c r="X233" s="230"/>
    </row>
    <row r="234" spans="1:24" s="229" customFormat="1" ht="24" customHeight="1">
      <c r="A234" s="244"/>
      <c r="B234" s="243"/>
      <c r="C234" s="242"/>
      <c r="D234" s="241" t="s">
        <v>959</v>
      </c>
      <c r="E234" s="240" t="s">
        <v>912</v>
      </c>
      <c r="F234" s="240">
        <v>4.0090000000000003</v>
      </c>
      <c r="G234" s="240">
        <v>470</v>
      </c>
      <c r="H234" s="240">
        <v>132</v>
      </c>
      <c r="I234" s="240" t="s">
        <v>71</v>
      </c>
      <c r="J234" s="208">
        <v>2356</v>
      </c>
      <c r="K234" s="208">
        <v>4521</v>
      </c>
      <c r="L234" s="239">
        <v>2000</v>
      </c>
      <c r="M234" s="238" t="s">
        <v>589</v>
      </c>
      <c r="N234" s="237">
        <v>10.25</v>
      </c>
      <c r="O234" s="236">
        <f>IF(N234&gt;0,1/N234*37.7*68.6,"")</f>
        <v>252.31414634146344</v>
      </c>
      <c r="P234" s="235">
        <v>10.35</v>
      </c>
      <c r="Q234" s="234" t="s">
        <v>834</v>
      </c>
      <c r="R234" s="234" t="s">
        <v>911</v>
      </c>
      <c r="S234" s="234" t="s">
        <v>34</v>
      </c>
      <c r="T234" s="233" t="s">
        <v>751</v>
      </c>
      <c r="U234" s="232"/>
      <c r="V234" s="231" t="str">
        <f>IFERROR(IF(N234&lt;P234,"",(ROUNDDOWN(N234/P234*100,0))),"")</f>
        <v/>
      </c>
      <c r="W234" s="230"/>
      <c r="X234" s="230"/>
    </row>
    <row r="235" spans="1:24" s="229" customFormat="1" ht="24" customHeight="1">
      <c r="A235" s="244"/>
      <c r="B235" s="243"/>
      <c r="C235" s="242"/>
      <c r="D235" s="241" t="s">
        <v>959</v>
      </c>
      <c r="E235" s="240" t="s">
        <v>912</v>
      </c>
      <c r="F235" s="240">
        <v>4.0090000000000003</v>
      </c>
      <c r="G235" s="240">
        <v>440</v>
      </c>
      <c r="H235" s="240">
        <v>110</v>
      </c>
      <c r="I235" s="240" t="s">
        <v>71</v>
      </c>
      <c r="J235" s="208">
        <v>2356</v>
      </c>
      <c r="K235" s="208">
        <v>4521</v>
      </c>
      <c r="L235" s="239">
        <v>2000</v>
      </c>
      <c r="M235" s="238" t="s">
        <v>589</v>
      </c>
      <c r="N235" s="237">
        <v>10.17</v>
      </c>
      <c r="O235" s="236">
        <f>IF(N235&gt;0,1/N235*37.7*68.6,"")</f>
        <v>254.29891838741395</v>
      </c>
      <c r="P235" s="235">
        <v>10.35</v>
      </c>
      <c r="Q235" s="234" t="s">
        <v>831</v>
      </c>
      <c r="R235" s="234" t="s">
        <v>911</v>
      </c>
      <c r="S235" s="234" t="s">
        <v>34</v>
      </c>
      <c r="T235" s="233" t="s">
        <v>751</v>
      </c>
      <c r="U235" s="232"/>
      <c r="V235" s="231" t="str">
        <f>IFERROR(IF(N235&lt;P235,"",(ROUNDDOWN(N235/P235*100,0))),"")</f>
        <v/>
      </c>
      <c r="W235" s="230"/>
      <c r="X235" s="230"/>
    </row>
    <row r="236" spans="1:24" s="229" customFormat="1" ht="24" customHeight="1">
      <c r="A236" s="244"/>
      <c r="B236" s="243"/>
      <c r="C236" s="242"/>
      <c r="D236" s="241" t="s">
        <v>959</v>
      </c>
      <c r="E236" s="240" t="s">
        <v>912</v>
      </c>
      <c r="F236" s="240">
        <v>4.0090000000000003</v>
      </c>
      <c r="G236" s="240">
        <v>470</v>
      </c>
      <c r="H236" s="240">
        <v>132</v>
      </c>
      <c r="I236" s="240" t="s">
        <v>71</v>
      </c>
      <c r="J236" s="208">
        <v>3543</v>
      </c>
      <c r="K236" s="208">
        <v>7928</v>
      </c>
      <c r="L236" s="239">
        <v>4275</v>
      </c>
      <c r="M236" s="238" t="s">
        <v>589</v>
      </c>
      <c r="N236" s="237">
        <v>7.07</v>
      </c>
      <c r="O236" s="236">
        <f>IF(N236&gt;0,1/N236*37.7*68.6,"")</f>
        <v>365.80198019801975</v>
      </c>
      <c r="P236" s="235">
        <v>7.24</v>
      </c>
      <c r="Q236" s="234" t="s">
        <v>831</v>
      </c>
      <c r="R236" s="234" t="s">
        <v>911</v>
      </c>
      <c r="S236" s="234" t="s">
        <v>34</v>
      </c>
      <c r="T236" s="233" t="s">
        <v>751</v>
      </c>
      <c r="U236" s="232"/>
      <c r="V236" s="231" t="str">
        <f>IFERROR(IF(N236&lt;P236,"",(ROUNDDOWN(N236/P236*100,0))),"")</f>
        <v/>
      </c>
      <c r="W236" s="230"/>
      <c r="X236" s="230"/>
    </row>
    <row r="237" spans="1:24" s="229" customFormat="1" ht="24" customHeight="1">
      <c r="A237" s="244"/>
      <c r="B237" s="243"/>
      <c r="C237" s="242"/>
      <c r="D237" s="241" t="s">
        <v>958</v>
      </c>
      <c r="E237" s="240" t="s">
        <v>912</v>
      </c>
      <c r="F237" s="240">
        <v>4.0090000000000003</v>
      </c>
      <c r="G237" s="240">
        <v>440</v>
      </c>
      <c r="H237" s="240">
        <v>110</v>
      </c>
      <c r="I237" s="240" t="s">
        <v>71</v>
      </c>
      <c r="J237" s="208">
        <v>2356</v>
      </c>
      <c r="K237" s="208">
        <v>4521</v>
      </c>
      <c r="L237" s="239">
        <v>2000</v>
      </c>
      <c r="M237" s="238" t="s">
        <v>589</v>
      </c>
      <c r="N237" s="237">
        <v>10.17</v>
      </c>
      <c r="O237" s="236">
        <f>IF(N237&gt;0,1/N237*37.7*68.6,"")</f>
        <v>254.29891838741395</v>
      </c>
      <c r="P237" s="235">
        <v>10.35</v>
      </c>
      <c r="Q237" s="234" t="s">
        <v>831</v>
      </c>
      <c r="R237" s="234" t="s">
        <v>911</v>
      </c>
      <c r="S237" s="234" t="s">
        <v>34</v>
      </c>
      <c r="T237" s="233" t="s">
        <v>751</v>
      </c>
      <c r="U237" s="232"/>
      <c r="V237" s="231" t="str">
        <f>IFERROR(IF(N237&lt;P237,"",(ROUNDDOWN(N237/P237*100,0))),"")</f>
        <v/>
      </c>
      <c r="W237" s="230"/>
      <c r="X237" s="230"/>
    </row>
    <row r="238" spans="1:24" s="229" customFormat="1" ht="24" customHeight="1">
      <c r="A238" s="244"/>
      <c r="B238" s="243"/>
      <c r="C238" s="242"/>
      <c r="D238" s="241" t="s">
        <v>957</v>
      </c>
      <c r="E238" s="240" t="s">
        <v>912</v>
      </c>
      <c r="F238" s="240">
        <v>4.0090000000000003</v>
      </c>
      <c r="G238" s="240">
        <v>440</v>
      </c>
      <c r="H238" s="240">
        <v>110</v>
      </c>
      <c r="I238" s="240" t="s">
        <v>71</v>
      </c>
      <c r="J238" s="239">
        <v>2356</v>
      </c>
      <c r="K238" s="239">
        <v>4521</v>
      </c>
      <c r="L238" s="239">
        <v>2000</v>
      </c>
      <c r="M238" s="238" t="s">
        <v>589</v>
      </c>
      <c r="N238" s="237">
        <v>10.17</v>
      </c>
      <c r="O238" s="236">
        <f>IF(N238&gt;0,1/N238*37.7*68.6,"")</f>
        <v>254.29891838741395</v>
      </c>
      <c r="P238" s="235">
        <v>10.35</v>
      </c>
      <c r="Q238" s="234" t="s">
        <v>831</v>
      </c>
      <c r="R238" s="234" t="s">
        <v>911</v>
      </c>
      <c r="S238" s="234" t="s">
        <v>34</v>
      </c>
      <c r="T238" s="233" t="s">
        <v>751</v>
      </c>
      <c r="U238" s="232"/>
      <c r="V238" s="231" t="str">
        <f>IFERROR(IF(N238&lt;P238,"",(ROUNDDOWN(N238/P238*100,0))),"")</f>
        <v/>
      </c>
      <c r="W238" s="230"/>
      <c r="X238" s="230"/>
    </row>
    <row r="239" spans="1:24" s="229" customFormat="1" ht="24" customHeight="1">
      <c r="A239" s="244"/>
      <c r="B239" s="243"/>
      <c r="C239" s="242"/>
      <c r="D239" s="241" t="s">
        <v>956</v>
      </c>
      <c r="E239" s="240" t="s">
        <v>912</v>
      </c>
      <c r="F239" s="240">
        <v>4.0090000000000003</v>
      </c>
      <c r="G239" s="240">
        <v>440</v>
      </c>
      <c r="H239" s="240">
        <v>110</v>
      </c>
      <c r="I239" s="240" t="s">
        <v>71</v>
      </c>
      <c r="J239" s="208">
        <v>2356</v>
      </c>
      <c r="K239" s="208">
        <v>4521</v>
      </c>
      <c r="L239" s="239">
        <v>2000</v>
      </c>
      <c r="M239" s="238" t="s">
        <v>589</v>
      </c>
      <c r="N239" s="237">
        <v>10.17</v>
      </c>
      <c r="O239" s="236">
        <f>IF(N239&gt;0,1/N239*37.7*68.6,"")</f>
        <v>254.29891838741395</v>
      </c>
      <c r="P239" s="235">
        <v>10.35</v>
      </c>
      <c r="Q239" s="234" t="s">
        <v>831</v>
      </c>
      <c r="R239" s="234" t="s">
        <v>911</v>
      </c>
      <c r="S239" s="234" t="s">
        <v>34</v>
      </c>
      <c r="T239" s="233" t="s">
        <v>751</v>
      </c>
      <c r="U239" s="232"/>
      <c r="V239" s="231" t="str">
        <f>IFERROR(IF(N239&lt;P239,"",(ROUNDDOWN(N239/P239*100,0))),"")</f>
        <v/>
      </c>
      <c r="W239" s="230"/>
      <c r="X239" s="230"/>
    </row>
    <row r="240" spans="1:24" s="229" customFormat="1" ht="24" customHeight="1">
      <c r="A240" s="244"/>
      <c r="B240" s="243"/>
      <c r="C240" s="242"/>
      <c r="D240" s="241" t="s">
        <v>955</v>
      </c>
      <c r="E240" s="240" t="s">
        <v>912</v>
      </c>
      <c r="F240" s="240">
        <v>4.0090000000000003</v>
      </c>
      <c r="G240" s="240">
        <v>440</v>
      </c>
      <c r="H240" s="240">
        <v>110</v>
      </c>
      <c r="I240" s="240" t="s">
        <v>71</v>
      </c>
      <c r="J240" s="208">
        <v>2356</v>
      </c>
      <c r="K240" s="208">
        <v>4521</v>
      </c>
      <c r="L240" s="239">
        <v>2000</v>
      </c>
      <c r="M240" s="238" t="s">
        <v>589</v>
      </c>
      <c r="N240" s="237">
        <v>10.17</v>
      </c>
      <c r="O240" s="236">
        <f>IF(N240&gt;0,1/N240*37.7*68.6,"")</f>
        <v>254.29891838741395</v>
      </c>
      <c r="P240" s="235">
        <v>10.35</v>
      </c>
      <c r="Q240" s="234" t="s">
        <v>831</v>
      </c>
      <c r="R240" s="234" t="s">
        <v>911</v>
      </c>
      <c r="S240" s="234" t="s">
        <v>34</v>
      </c>
      <c r="T240" s="233" t="s">
        <v>751</v>
      </c>
      <c r="U240" s="232"/>
      <c r="V240" s="231" t="str">
        <f>IFERROR(IF(N240&lt;P240,"",(ROUNDDOWN(N240/P240*100,0))),"")</f>
        <v/>
      </c>
      <c r="W240" s="230"/>
      <c r="X240" s="230"/>
    </row>
    <row r="241" spans="1:24" s="229" customFormat="1" ht="24" customHeight="1">
      <c r="A241" s="244"/>
      <c r="B241" s="243"/>
      <c r="C241" s="242"/>
      <c r="D241" s="241" t="s">
        <v>954</v>
      </c>
      <c r="E241" s="240" t="s">
        <v>912</v>
      </c>
      <c r="F241" s="240">
        <v>4.0090000000000003</v>
      </c>
      <c r="G241" s="240">
        <v>440</v>
      </c>
      <c r="H241" s="240">
        <v>110</v>
      </c>
      <c r="I241" s="240" t="s">
        <v>71</v>
      </c>
      <c r="J241" s="208">
        <v>2356</v>
      </c>
      <c r="K241" s="208">
        <v>4521</v>
      </c>
      <c r="L241" s="239">
        <v>2000</v>
      </c>
      <c r="M241" s="238" t="s">
        <v>589</v>
      </c>
      <c r="N241" s="237">
        <v>10.17</v>
      </c>
      <c r="O241" s="236">
        <f>IF(N241&gt;0,1/N241*37.7*68.6,"")</f>
        <v>254.29891838741395</v>
      </c>
      <c r="P241" s="235">
        <v>10.35</v>
      </c>
      <c r="Q241" s="234" t="s">
        <v>831</v>
      </c>
      <c r="R241" s="234" t="s">
        <v>911</v>
      </c>
      <c r="S241" s="234" t="s">
        <v>34</v>
      </c>
      <c r="T241" s="233" t="s">
        <v>751</v>
      </c>
      <c r="U241" s="232"/>
      <c r="V241" s="231" t="str">
        <f>IFERROR(IF(N241&lt;P241,"",(ROUNDDOWN(N241/P241*100,0))),"")</f>
        <v/>
      </c>
      <c r="W241" s="230"/>
      <c r="X241" s="230"/>
    </row>
    <row r="242" spans="1:24" s="229" customFormat="1" ht="24" customHeight="1">
      <c r="A242" s="244"/>
      <c r="B242" s="243"/>
      <c r="C242" s="242"/>
      <c r="D242" s="241" t="s">
        <v>953</v>
      </c>
      <c r="E242" s="240" t="s">
        <v>912</v>
      </c>
      <c r="F242" s="240">
        <v>4.0090000000000003</v>
      </c>
      <c r="G242" s="240">
        <v>440</v>
      </c>
      <c r="H242" s="240">
        <v>110</v>
      </c>
      <c r="I242" s="240" t="s">
        <v>71</v>
      </c>
      <c r="J242" s="208">
        <v>2356</v>
      </c>
      <c r="K242" s="208">
        <v>4521</v>
      </c>
      <c r="L242" s="239">
        <v>2000</v>
      </c>
      <c r="M242" s="238" t="s">
        <v>589</v>
      </c>
      <c r="N242" s="237">
        <v>10.17</v>
      </c>
      <c r="O242" s="236">
        <f>IF(N242&gt;0,1/N242*37.7*68.6,"")</f>
        <v>254.29891838741395</v>
      </c>
      <c r="P242" s="235">
        <v>10.35</v>
      </c>
      <c r="Q242" s="234" t="s">
        <v>831</v>
      </c>
      <c r="R242" s="234" t="s">
        <v>911</v>
      </c>
      <c r="S242" s="234" t="s">
        <v>34</v>
      </c>
      <c r="T242" s="233" t="s">
        <v>751</v>
      </c>
      <c r="U242" s="232"/>
      <c r="V242" s="231" t="str">
        <f>IFERROR(IF(N242&lt;P242,"",(ROUNDDOWN(N242/P242*100,0))),"")</f>
        <v/>
      </c>
      <c r="W242" s="230"/>
      <c r="X242" s="230"/>
    </row>
    <row r="243" spans="1:24" s="229" customFormat="1" ht="24" customHeight="1">
      <c r="A243" s="244"/>
      <c r="B243" s="243"/>
      <c r="C243" s="242"/>
      <c r="D243" s="241" t="s">
        <v>952</v>
      </c>
      <c r="E243" s="240" t="s">
        <v>912</v>
      </c>
      <c r="F243" s="240">
        <v>4.0090000000000003</v>
      </c>
      <c r="G243" s="240">
        <v>440</v>
      </c>
      <c r="H243" s="240">
        <v>110</v>
      </c>
      <c r="I243" s="240" t="s">
        <v>71</v>
      </c>
      <c r="J243" s="208">
        <v>2356</v>
      </c>
      <c r="K243" s="208">
        <v>4521</v>
      </c>
      <c r="L243" s="239">
        <v>2000</v>
      </c>
      <c r="M243" s="238" t="s">
        <v>589</v>
      </c>
      <c r="N243" s="237">
        <v>10.17</v>
      </c>
      <c r="O243" s="236">
        <f>IF(N243&gt;0,1/N243*37.7*68.6,"")</f>
        <v>254.29891838741395</v>
      </c>
      <c r="P243" s="235">
        <v>10.35</v>
      </c>
      <c r="Q243" s="234" t="s">
        <v>831</v>
      </c>
      <c r="R243" s="234" t="s">
        <v>911</v>
      </c>
      <c r="S243" s="234" t="s">
        <v>34</v>
      </c>
      <c r="T243" s="233" t="s">
        <v>751</v>
      </c>
      <c r="U243" s="232"/>
      <c r="V243" s="231" t="str">
        <f>IFERROR(IF(N243&lt;P243,"",(ROUNDDOWN(N243/P243*100,0))),"")</f>
        <v/>
      </c>
      <c r="W243" s="230"/>
      <c r="X243" s="230"/>
    </row>
    <row r="244" spans="1:24" s="229" customFormat="1" ht="24" customHeight="1">
      <c r="A244" s="244"/>
      <c r="B244" s="243"/>
      <c r="C244" s="242"/>
      <c r="D244" s="241" t="s">
        <v>952</v>
      </c>
      <c r="E244" s="240" t="s">
        <v>912</v>
      </c>
      <c r="F244" s="240">
        <v>4.0090000000000003</v>
      </c>
      <c r="G244" s="240">
        <v>440</v>
      </c>
      <c r="H244" s="240">
        <v>110</v>
      </c>
      <c r="I244" s="240" t="s">
        <v>71</v>
      </c>
      <c r="J244" s="208">
        <v>2652</v>
      </c>
      <c r="K244" s="208">
        <v>5812</v>
      </c>
      <c r="L244" s="239">
        <v>2995</v>
      </c>
      <c r="M244" s="238" t="s">
        <v>589</v>
      </c>
      <c r="N244" s="237">
        <v>9.4700000000000006</v>
      </c>
      <c r="O244" s="236">
        <f>IF(N244&gt;0,1/N244*37.7*68.6,"")</f>
        <v>273.09609292502637</v>
      </c>
      <c r="P244" s="235">
        <v>9.51</v>
      </c>
      <c r="Q244" s="234" t="s">
        <v>831</v>
      </c>
      <c r="R244" s="234" t="s">
        <v>911</v>
      </c>
      <c r="S244" s="234" t="s">
        <v>34</v>
      </c>
      <c r="T244" s="233" t="s">
        <v>751</v>
      </c>
      <c r="U244" s="232"/>
      <c r="V244" s="231" t="str">
        <f>IFERROR(IF(N244&lt;P244,"",(ROUNDDOWN(N244/P244*100,0))),"")</f>
        <v/>
      </c>
      <c r="W244" s="230"/>
      <c r="X244" s="230"/>
    </row>
    <row r="245" spans="1:24" s="229" customFormat="1" ht="24" customHeight="1">
      <c r="A245" s="244"/>
      <c r="B245" s="243"/>
      <c r="C245" s="242"/>
      <c r="D245" s="241" t="s">
        <v>951</v>
      </c>
      <c r="E245" s="240" t="s">
        <v>912</v>
      </c>
      <c r="F245" s="240">
        <v>4.0090000000000003</v>
      </c>
      <c r="G245" s="240">
        <v>440</v>
      </c>
      <c r="H245" s="240">
        <v>110</v>
      </c>
      <c r="I245" s="240" t="s">
        <v>71</v>
      </c>
      <c r="J245" s="208">
        <v>2356</v>
      </c>
      <c r="K245" s="208">
        <v>4521</v>
      </c>
      <c r="L245" s="239">
        <v>2000</v>
      </c>
      <c r="M245" s="238" t="s">
        <v>589</v>
      </c>
      <c r="N245" s="237">
        <v>10.17</v>
      </c>
      <c r="O245" s="236">
        <f>IF(N245&gt;0,1/N245*37.7*68.6,"")</f>
        <v>254.29891838741395</v>
      </c>
      <c r="P245" s="235">
        <v>10.35</v>
      </c>
      <c r="Q245" s="234" t="s">
        <v>831</v>
      </c>
      <c r="R245" s="234" t="s">
        <v>911</v>
      </c>
      <c r="S245" s="234" t="s">
        <v>34</v>
      </c>
      <c r="T245" s="233" t="s">
        <v>751</v>
      </c>
      <c r="U245" s="232"/>
      <c r="V245" s="231" t="str">
        <f>IFERROR(IF(N245&lt;P245,"",(ROUNDDOWN(N245/P245*100,0))),"")</f>
        <v/>
      </c>
      <c r="W245" s="230"/>
      <c r="X245" s="230"/>
    </row>
    <row r="246" spans="1:24" s="229" customFormat="1" ht="24" customHeight="1">
      <c r="A246" s="244"/>
      <c r="B246" s="243"/>
      <c r="C246" s="242"/>
      <c r="D246" s="241" t="s">
        <v>950</v>
      </c>
      <c r="E246" s="240" t="s">
        <v>912</v>
      </c>
      <c r="F246" s="240">
        <v>4.0090000000000003</v>
      </c>
      <c r="G246" s="240">
        <v>440</v>
      </c>
      <c r="H246" s="240">
        <v>110</v>
      </c>
      <c r="I246" s="240" t="s">
        <v>71</v>
      </c>
      <c r="J246" s="208">
        <v>2356</v>
      </c>
      <c r="K246" s="208">
        <v>4521</v>
      </c>
      <c r="L246" s="239">
        <v>2000</v>
      </c>
      <c r="M246" s="238" t="s">
        <v>589</v>
      </c>
      <c r="N246" s="237">
        <v>10.17</v>
      </c>
      <c r="O246" s="236">
        <f>IF(N246&gt;0,1/N246*37.7*68.6,"")</f>
        <v>254.29891838741395</v>
      </c>
      <c r="P246" s="235">
        <v>10.35</v>
      </c>
      <c r="Q246" s="234" t="s">
        <v>831</v>
      </c>
      <c r="R246" s="234" t="s">
        <v>911</v>
      </c>
      <c r="S246" s="234" t="s">
        <v>34</v>
      </c>
      <c r="T246" s="233" t="s">
        <v>751</v>
      </c>
      <c r="U246" s="232"/>
      <c r="V246" s="231" t="str">
        <f>IFERROR(IF(N246&lt;P246,"",(ROUNDDOWN(N246/P246*100,0))),"")</f>
        <v/>
      </c>
      <c r="W246" s="230"/>
      <c r="X246" s="230"/>
    </row>
    <row r="247" spans="1:24" s="229" customFormat="1" ht="24" customHeight="1">
      <c r="A247" s="244"/>
      <c r="B247" s="243"/>
      <c r="C247" s="242"/>
      <c r="D247" s="241" t="s">
        <v>950</v>
      </c>
      <c r="E247" s="240" t="s">
        <v>912</v>
      </c>
      <c r="F247" s="240">
        <v>4.0090000000000003</v>
      </c>
      <c r="G247" s="240">
        <v>440</v>
      </c>
      <c r="H247" s="240">
        <v>110</v>
      </c>
      <c r="I247" s="240" t="s">
        <v>71</v>
      </c>
      <c r="J247" s="208">
        <v>2652</v>
      </c>
      <c r="K247" s="208">
        <v>5812</v>
      </c>
      <c r="L247" s="239">
        <v>2995</v>
      </c>
      <c r="M247" s="238" t="s">
        <v>589</v>
      </c>
      <c r="N247" s="237">
        <v>9.4700000000000006</v>
      </c>
      <c r="O247" s="236">
        <f>IF(N247&gt;0,1/N247*37.7*68.6,"")</f>
        <v>273.09609292502637</v>
      </c>
      <c r="P247" s="235">
        <v>9.51</v>
      </c>
      <c r="Q247" s="234" t="s">
        <v>831</v>
      </c>
      <c r="R247" s="234" t="s">
        <v>911</v>
      </c>
      <c r="S247" s="234" t="s">
        <v>34</v>
      </c>
      <c r="T247" s="233" t="s">
        <v>751</v>
      </c>
      <c r="U247" s="232"/>
      <c r="V247" s="231" t="str">
        <f>IFERROR(IF(N247&lt;P247,"",(ROUNDDOWN(N247/P247*100,0))),"")</f>
        <v/>
      </c>
      <c r="W247" s="230"/>
      <c r="X247" s="230"/>
    </row>
    <row r="248" spans="1:24" s="229" customFormat="1" ht="24" customHeight="1">
      <c r="A248" s="244"/>
      <c r="B248" s="243"/>
      <c r="C248" s="242"/>
      <c r="D248" s="241" t="s">
        <v>949</v>
      </c>
      <c r="E248" s="240" t="s">
        <v>912</v>
      </c>
      <c r="F248" s="240">
        <v>4.0090000000000003</v>
      </c>
      <c r="G248" s="240">
        <v>440</v>
      </c>
      <c r="H248" s="240">
        <v>110</v>
      </c>
      <c r="I248" s="240" t="s">
        <v>71</v>
      </c>
      <c r="J248" s="208">
        <v>2356</v>
      </c>
      <c r="K248" s="208">
        <v>4521</v>
      </c>
      <c r="L248" s="239">
        <v>2000</v>
      </c>
      <c r="M248" s="238" t="s">
        <v>589</v>
      </c>
      <c r="N248" s="237">
        <v>10.17</v>
      </c>
      <c r="O248" s="236">
        <f>IF(N248&gt;0,1/N248*37.7*68.6,"")</f>
        <v>254.29891838741395</v>
      </c>
      <c r="P248" s="235">
        <v>10.35</v>
      </c>
      <c r="Q248" s="234" t="s">
        <v>831</v>
      </c>
      <c r="R248" s="234" t="s">
        <v>911</v>
      </c>
      <c r="S248" s="234" t="s">
        <v>34</v>
      </c>
      <c r="T248" s="233" t="s">
        <v>751</v>
      </c>
      <c r="U248" s="232"/>
      <c r="V248" s="231" t="str">
        <f>IFERROR(IF(N248&lt;P248,"",(ROUNDDOWN(N248/P248*100,0))),"")</f>
        <v/>
      </c>
      <c r="W248" s="230"/>
      <c r="X248" s="230"/>
    </row>
    <row r="249" spans="1:24" s="229" customFormat="1" ht="24" customHeight="1">
      <c r="A249" s="244"/>
      <c r="B249" s="243"/>
      <c r="C249" s="242"/>
      <c r="D249" s="241" t="s">
        <v>949</v>
      </c>
      <c r="E249" s="240" t="s">
        <v>912</v>
      </c>
      <c r="F249" s="240">
        <v>4.0090000000000003</v>
      </c>
      <c r="G249" s="240">
        <v>440</v>
      </c>
      <c r="H249" s="240">
        <v>110</v>
      </c>
      <c r="I249" s="240" t="s">
        <v>71</v>
      </c>
      <c r="J249" s="208">
        <v>2652</v>
      </c>
      <c r="K249" s="208">
        <v>5812</v>
      </c>
      <c r="L249" s="239">
        <v>2995</v>
      </c>
      <c r="M249" s="238" t="s">
        <v>589</v>
      </c>
      <c r="N249" s="237">
        <v>9.4700000000000006</v>
      </c>
      <c r="O249" s="236">
        <f>IF(N249&gt;0,1/N249*37.7*68.6,"")</f>
        <v>273.09609292502637</v>
      </c>
      <c r="P249" s="235">
        <v>9.51</v>
      </c>
      <c r="Q249" s="234" t="s">
        <v>831</v>
      </c>
      <c r="R249" s="234" t="s">
        <v>911</v>
      </c>
      <c r="S249" s="234" t="s">
        <v>34</v>
      </c>
      <c r="T249" s="233" t="s">
        <v>751</v>
      </c>
      <c r="U249" s="232"/>
      <c r="V249" s="231" t="str">
        <f>IFERROR(IF(N249&lt;P249,"",(ROUNDDOWN(N249/P249*100,0))),"")</f>
        <v/>
      </c>
      <c r="W249" s="230"/>
      <c r="X249" s="230"/>
    </row>
    <row r="250" spans="1:24" s="229" customFormat="1" ht="24" customHeight="1">
      <c r="A250" s="244"/>
      <c r="B250" s="243"/>
      <c r="C250" s="242"/>
      <c r="D250" s="241" t="s">
        <v>948</v>
      </c>
      <c r="E250" s="240" t="s">
        <v>912</v>
      </c>
      <c r="F250" s="240">
        <v>4.0090000000000003</v>
      </c>
      <c r="G250" s="240">
        <v>440</v>
      </c>
      <c r="H250" s="240">
        <v>110</v>
      </c>
      <c r="I250" s="240" t="s">
        <v>71</v>
      </c>
      <c r="J250" s="208">
        <v>2356</v>
      </c>
      <c r="K250" s="208">
        <v>4521</v>
      </c>
      <c r="L250" s="239">
        <v>2000</v>
      </c>
      <c r="M250" s="238" t="s">
        <v>589</v>
      </c>
      <c r="N250" s="237">
        <v>10.17</v>
      </c>
      <c r="O250" s="236">
        <f>IF(N250&gt;0,1/N250*37.7*68.6,"")</f>
        <v>254.29891838741395</v>
      </c>
      <c r="P250" s="235">
        <v>10.35</v>
      </c>
      <c r="Q250" s="234" t="s">
        <v>831</v>
      </c>
      <c r="R250" s="234" t="s">
        <v>911</v>
      </c>
      <c r="S250" s="234" t="s">
        <v>34</v>
      </c>
      <c r="T250" s="233" t="s">
        <v>751</v>
      </c>
      <c r="U250" s="232"/>
      <c r="V250" s="231" t="str">
        <f>IFERROR(IF(N250&lt;P250,"",(ROUNDDOWN(N250/P250*100,0))),"")</f>
        <v/>
      </c>
      <c r="W250" s="230"/>
      <c r="X250" s="230"/>
    </row>
    <row r="251" spans="1:24" s="229" customFormat="1" ht="24" customHeight="1">
      <c r="A251" s="244"/>
      <c r="B251" s="243"/>
      <c r="C251" s="242"/>
      <c r="D251" s="241" t="s">
        <v>948</v>
      </c>
      <c r="E251" s="240" t="s">
        <v>912</v>
      </c>
      <c r="F251" s="240">
        <v>4.0090000000000003</v>
      </c>
      <c r="G251" s="240">
        <v>440</v>
      </c>
      <c r="H251" s="240">
        <v>110</v>
      </c>
      <c r="I251" s="240" t="s">
        <v>71</v>
      </c>
      <c r="J251" s="208">
        <v>2652</v>
      </c>
      <c r="K251" s="208">
        <v>5812</v>
      </c>
      <c r="L251" s="239">
        <v>2995</v>
      </c>
      <c r="M251" s="238" t="s">
        <v>589</v>
      </c>
      <c r="N251" s="237">
        <v>9.4700000000000006</v>
      </c>
      <c r="O251" s="236">
        <f>IF(N251&gt;0,1/N251*37.7*68.6,"")</f>
        <v>273.09609292502637</v>
      </c>
      <c r="P251" s="235">
        <v>9.51</v>
      </c>
      <c r="Q251" s="234" t="s">
        <v>831</v>
      </c>
      <c r="R251" s="234" t="s">
        <v>911</v>
      </c>
      <c r="S251" s="234" t="s">
        <v>34</v>
      </c>
      <c r="T251" s="233" t="s">
        <v>751</v>
      </c>
      <c r="U251" s="232"/>
      <c r="V251" s="231" t="str">
        <f>IFERROR(IF(N251&lt;P251,"",(ROUNDDOWN(N251/P251*100,0))),"")</f>
        <v/>
      </c>
      <c r="W251" s="230"/>
      <c r="X251" s="230"/>
    </row>
    <row r="252" spans="1:24" s="229" customFormat="1" ht="24" customHeight="1">
      <c r="A252" s="244"/>
      <c r="B252" s="243"/>
      <c r="C252" s="242"/>
      <c r="D252" s="241" t="s">
        <v>947</v>
      </c>
      <c r="E252" s="240" t="s">
        <v>912</v>
      </c>
      <c r="F252" s="240">
        <v>4.0090000000000003</v>
      </c>
      <c r="G252" s="240">
        <v>440</v>
      </c>
      <c r="H252" s="240">
        <v>110</v>
      </c>
      <c r="I252" s="240" t="s">
        <v>71</v>
      </c>
      <c r="J252" s="208">
        <v>2356</v>
      </c>
      <c r="K252" s="208">
        <v>4521</v>
      </c>
      <c r="L252" s="239">
        <v>2000</v>
      </c>
      <c r="M252" s="238" t="s">
        <v>589</v>
      </c>
      <c r="N252" s="237">
        <v>10.17</v>
      </c>
      <c r="O252" s="236">
        <f>IF(N252&gt;0,1/N252*37.7*68.6,"")</f>
        <v>254.29891838741395</v>
      </c>
      <c r="P252" s="235">
        <v>10.35</v>
      </c>
      <c r="Q252" s="234" t="s">
        <v>831</v>
      </c>
      <c r="R252" s="234" t="s">
        <v>911</v>
      </c>
      <c r="S252" s="234" t="s">
        <v>34</v>
      </c>
      <c r="T252" s="233" t="s">
        <v>751</v>
      </c>
      <c r="U252" s="232"/>
      <c r="V252" s="231" t="str">
        <f>IFERROR(IF(N252&lt;P252,"",(ROUNDDOWN(N252/P252*100,0))),"")</f>
        <v/>
      </c>
      <c r="W252" s="230"/>
      <c r="X252" s="230"/>
    </row>
    <row r="253" spans="1:24" s="229" customFormat="1" ht="24" customHeight="1">
      <c r="A253" s="244"/>
      <c r="B253" s="243"/>
      <c r="C253" s="242"/>
      <c r="D253" s="241" t="s">
        <v>947</v>
      </c>
      <c r="E253" s="240" t="s">
        <v>912</v>
      </c>
      <c r="F253" s="240">
        <v>4.0090000000000003</v>
      </c>
      <c r="G253" s="240">
        <v>440</v>
      </c>
      <c r="H253" s="240">
        <v>110</v>
      </c>
      <c r="I253" s="240" t="s">
        <v>71</v>
      </c>
      <c r="J253" s="208">
        <v>2652</v>
      </c>
      <c r="K253" s="208">
        <v>5812</v>
      </c>
      <c r="L253" s="239">
        <v>2995</v>
      </c>
      <c r="M253" s="238" t="s">
        <v>589</v>
      </c>
      <c r="N253" s="237">
        <v>9.4700000000000006</v>
      </c>
      <c r="O253" s="236">
        <f>IF(N253&gt;0,1/N253*37.7*68.6,"")</f>
        <v>273.09609292502637</v>
      </c>
      <c r="P253" s="235">
        <v>9.51</v>
      </c>
      <c r="Q253" s="234" t="s">
        <v>831</v>
      </c>
      <c r="R253" s="234" t="s">
        <v>911</v>
      </c>
      <c r="S253" s="234" t="s">
        <v>34</v>
      </c>
      <c r="T253" s="233" t="s">
        <v>751</v>
      </c>
      <c r="U253" s="232"/>
      <c r="V253" s="231" t="str">
        <f>IFERROR(IF(N253&lt;P253,"",(ROUNDDOWN(N253/P253*100,0))),"")</f>
        <v/>
      </c>
      <c r="W253" s="230"/>
      <c r="X253" s="230"/>
    </row>
    <row r="254" spans="1:24" s="229" customFormat="1" ht="24" customHeight="1">
      <c r="A254" s="244"/>
      <c r="B254" s="243"/>
      <c r="C254" s="242"/>
      <c r="D254" s="241" t="s">
        <v>946</v>
      </c>
      <c r="E254" s="240" t="s">
        <v>912</v>
      </c>
      <c r="F254" s="240">
        <v>4.0090000000000003</v>
      </c>
      <c r="G254" s="240">
        <v>440</v>
      </c>
      <c r="H254" s="240">
        <v>110</v>
      </c>
      <c r="I254" s="240" t="s">
        <v>71</v>
      </c>
      <c r="J254" s="208">
        <v>2356</v>
      </c>
      <c r="K254" s="208">
        <v>4521</v>
      </c>
      <c r="L254" s="239">
        <v>2000</v>
      </c>
      <c r="M254" s="238" t="s">
        <v>589</v>
      </c>
      <c r="N254" s="237">
        <v>10.17</v>
      </c>
      <c r="O254" s="236">
        <f>IF(N254&gt;0,1/N254*37.7*68.6,"")</f>
        <v>254.29891838741395</v>
      </c>
      <c r="P254" s="235">
        <v>10.35</v>
      </c>
      <c r="Q254" s="234" t="s">
        <v>831</v>
      </c>
      <c r="R254" s="234" t="s">
        <v>911</v>
      </c>
      <c r="S254" s="234" t="s">
        <v>34</v>
      </c>
      <c r="T254" s="233" t="s">
        <v>751</v>
      </c>
      <c r="U254" s="232"/>
      <c r="V254" s="231" t="str">
        <f>IFERROR(IF(N254&lt;P254,"",(ROUNDDOWN(N254/P254*100,0))),"")</f>
        <v/>
      </c>
      <c r="W254" s="230"/>
      <c r="X254" s="230"/>
    </row>
    <row r="255" spans="1:24" s="229" customFormat="1" ht="24" customHeight="1">
      <c r="A255" s="244"/>
      <c r="B255" s="243"/>
      <c r="C255" s="242"/>
      <c r="D255" s="241" t="s">
        <v>946</v>
      </c>
      <c r="E255" s="240" t="s">
        <v>912</v>
      </c>
      <c r="F255" s="240">
        <v>4.0090000000000003</v>
      </c>
      <c r="G255" s="240">
        <v>440</v>
      </c>
      <c r="H255" s="240">
        <v>110</v>
      </c>
      <c r="I255" s="240" t="s">
        <v>71</v>
      </c>
      <c r="J255" s="208">
        <v>2652</v>
      </c>
      <c r="K255" s="208">
        <v>5812</v>
      </c>
      <c r="L255" s="239">
        <v>2995</v>
      </c>
      <c r="M255" s="238" t="s">
        <v>589</v>
      </c>
      <c r="N255" s="237">
        <v>9.4700000000000006</v>
      </c>
      <c r="O255" s="236">
        <f>IF(N255&gt;0,1/N255*37.7*68.6,"")</f>
        <v>273.09609292502637</v>
      </c>
      <c r="P255" s="235">
        <v>9.51</v>
      </c>
      <c r="Q255" s="234" t="s">
        <v>831</v>
      </c>
      <c r="R255" s="234" t="s">
        <v>911</v>
      </c>
      <c r="S255" s="234" t="s">
        <v>34</v>
      </c>
      <c r="T255" s="233" t="s">
        <v>751</v>
      </c>
      <c r="U255" s="232"/>
      <c r="V255" s="231" t="str">
        <f>IFERROR(IF(N255&lt;P255,"",(ROUNDDOWN(N255/P255*100,0))),"")</f>
        <v/>
      </c>
      <c r="W255" s="230"/>
      <c r="X255" s="230"/>
    </row>
    <row r="256" spans="1:24" s="229" customFormat="1" ht="24" customHeight="1">
      <c r="A256" s="244"/>
      <c r="B256" s="243"/>
      <c r="C256" s="242"/>
      <c r="D256" s="241" t="s">
        <v>945</v>
      </c>
      <c r="E256" s="240" t="s">
        <v>912</v>
      </c>
      <c r="F256" s="240">
        <v>4.0090000000000003</v>
      </c>
      <c r="G256" s="240">
        <v>440</v>
      </c>
      <c r="H256" s="240">
        <v>110</v>
      </c>
      <c r="I256" s="240" t="s">
        <v>71</v>
      </c>
      <c r="J256" s="208">
        <v>2356</v>
      </c>
      <c r="K256" s="208">
        <v>4521</v>
      </c>
      <c r="L256" s="239">
        <v>2000</v>
      </c>
      <c r="M256" s="238" t="s">
        <v>589</v>
      </c>
      <c r="N256" s="237">
        <v>10.17</v>
      </c>
      <c r="O256" s="236">
        <f>IF(N256&gt;0,1/N256*37.7*68.6,"")</f>
        <v>254.29891838741395</v>
      </c>
      <c r="P256" s="235">
        <v>10.35</v>
      </c>
      <c r="Q256" s="234" t="s">
        <v>831</v>
      </c>
      <c r="R256" s="234" t="s">
        <v>911</v>
      </c>
      <c r="S256" s="234" t="s">
        <v>34</v>
      </c>
      <c r="T256" s="233" t="s">
        <v>751</v>
      </c>
      <c r="U256" s="232"/>
      <c r="V256" s="231" t="str">
        <f>IFERROR(IF(N256&lt;P256,"",(ROUNDDOWN(N256/P256*100,0))),"")</f>
        <v/>
      </c>
      <c r="W256" s="230"/>
      <c r="X256" s="230"/>
    </row>
    <row r="257" spans="1:24" s="229" customFormat="1" ht="24" customHeight="1">
      <c r="A257" s="244"/>
      <c r="B257" s="243"/>
      <c r="C257" s="242"/>
      <c r="D257" s="241" t="s">
        <v>945</v>
      </c>
      <c r="E257" s="240" t="s">
        <v>912</v>
      </c>
      <c r="F257" s="240">
        <v>4.0090000000000003</v>
      </c>
      <c r="G257" s="240">
        <v>440</v>
      </c>
      <c r="H257" s="240">
        <v>110</v>
      </c>
      <c r="I257" s="240" t="s">
        <v>71</v>
      </c>
      <c r="J257" s="208">
        <v>2652</v>
      </c>
      <c r="K257" s="208">
        <v>5812</v>
      </c>
      <c r="L257" s="239">
        <v>2995</v>
      </c>
      <c r="M257" s="238" t="s">
        <v>589</v>
      </c>
      <c r="N257" s="237">
        <v>9.4700000000000006</v>
      </c>
      <c r="O257" s="236">
        <f>IF(N257&gt;0,1/N257*37.7*68.6,"")</f>
        <v>273.09609292502637</v>
      </c>
      <c r="P257" s="235">
        <v>9.51</v>
      </c>
      <c r="Q257" s="234" t="s">
        <v>831</v>
      </c>
      <c r="R257" s="234" t="s">
        <v>911</v>
      </c>
      <c r="S257" s="234" t="s">
        <v>34</v>
      </c>
      <c r="T257" s="233" t="s">
        <v>751</v>
      </c>
      <c r="U257" s="232"/>
      <c r="V257" s="231" t="str">
        <f>IFERROR(IF(N257&lt;P257,"",(ROUNDDOWN(N257/P257*100,0))),"")</f>
        <v/>
      </c>
      <c r="W257" s="230"/>
      <c r="X257" s="230"/>
    </row>
    <row r="258" spans="1:24" s="229" customFormat="1" ht="24" customHeight="1">
      <c r="A258" s="244"/>
      <c r="B258" s="243"/>
      <c r="C258" s="242"/>
      <c r="D258" s="241" t="s">
        <v>944</v>
      </c>
      <c r="E258" s="240" t="s">
        <v>912</v>
      </c>
      <c r="F258" s="240">
        <v>4.0090000000000003</v>
      </c>
      <c r="G258" s="240">
        <v>440</v>
      </c>
      <c r="H258" s="240">
        <v>110</v>
      </c>
      <c r="I258" s="240" t="s">
        <v>71</v>
      </c>
      <c r="J258" s="208">
        <v>2356</v>
      </c>
      <c r="K258" s="208">
        <v>4521</v>
      </c>
      <c r="L258" s="239">
        <v>2000</v>
      </c>
      <c r="M258" s="238" t="s">
        <v>589</v>
      </c>
      <c r="N258" s="237">
        <v>10.17</v>
      </c>
      <c r="O258" s="236">
        <f>IF(N258&gt;0,1/N258*37.7*68.6,"")</f>
        <v>254.29891838741395</v>
      </c>
      <c r="P258" s="235">
        <v>10.35</v>
      </c>
      <c r="Q258" s="234" t="s">
        <v>831</v>
      </c>
      <c r="R258" s="234" t="s">
        <v>911</v>
      </c>
      <c r="S258" s="234" t="s">
        <v>34</v>
      </c>
      <c r="T258" s="233" t="s">
        <v>751</v>
      </c>
      <c r="U258" s="232"/>
      <c r="V258" s="231" t="str">
        <f>IFERROR(IF(N258&lt;P258,"",(ROUNDDOWN(N258/P258*100,0))),"")</f>
        <v/>
      </c>
      <c r="W258" s="230"/>
      <c r="X258" s="230"/>
    </row>
    <row r="259" spans="1:24" s="229" customFormat="1" ht="24" customHeight="1">
      <c r="A259" s="244"/>
      <c r="B259" s="243"/>
      <c r="C259" s="242"/>
      <c r="D259" s="241" t="s">
        <v>944</v>
      </c>
      <c r="E259" s="240" t="s">
        <v>912</v>
      </c>
      <c r="F259" s="240">
        <v>4.0090000000000003</v>
      </c>
      <c r="G259" s="240">
        <v>470</v>
      </c>
      <c r="H259" s="240">
        <v>132</v>
      </c>
      <c r="I259" s="240" t="s">
        <v>71</v>
      </c>
      <c r="J259" s="208">
        <v>3543</v>
      </c>
      <c r="K259" s="208">
        <v>7928</v>
      </c>
      <c r="L259" s="239">
        <v>4275</v>
      </c>
      <c r="M259" s="238" t="s">
        <v>589</v>
      </c>
      <c r="N259" s="237">
        <v>7.07</v>
      </c>
      <c r="O259" s="236">
        <f>IF(N259&gt;0,1/N259*37.7*68.6,"")</f>
        <v>365.80198019801975</v>
      </c>
      <c r="P259" s="235">
        <v>7.24</v>
      </c>
      <c r="Q259" s="234" t="s">
        <v>831</v>
      </c>
      <c r="R259" s="234" t="s">
        <v>911</v>
      </c>
      <c r="S259" s="234" t="s">
        <v>34</v>
      </c>
      <c r="T259" s="233" t="s">
        <v>751</v>
      </c>
      <c r="U259" s="232"/>
      <c r="V259" s="231" t="str">
        <f>IFERROR(IF(N259&lt;P259,"",(ROUNDDOWN(N259/P259*100,0))),"")</f>
        <v/>
      </c>
      <c r="W259" s="230"/>
      <c r="X259" s="230"/>
    </row>
    <row r="260" spans="1:24" s="229" customFormat="1" ht="24" customHeight="1">
      <c r="A260" s="244"/>
      <c r="B260" s="243"/>
      <c r="C260" s="242"/>
      <c r="D260" s="241" t="s">
        <v>943</v>
      </c>
      <c r="E260" s="240" t="s">
        <v>912</v>
      </c>
      <c r="F260" s="240">
        <v>4.0090000000000003</v>
      </c>
      <c r="G260" s="240">
        <v>440</v>
      </c>
      <c r="H260" s="240">
        <v>110</v>
      </c>
      <c r="I260" s="240" t="s">
        <v>70</v>
      </c>
      <c r="J260" s="208">
        <v>2356</v>
      </c>
      <c r="K260" s="208">
        <v>4521</v>
      </c>
      <c r="L260" s="239">
        <v>2000</v>
      </c>
      <c r="M260" s="238" t="s">
        <v>589</v>
      </c>
      <c r="N260" s="237">
        <v>9.84</v>
      </c>
      <c r="O260" s="236">
        <f>IF(N260&gt;0,1/N260*37.7*68.6,"")</f>
        <v>262.82723577235771</v>
      </c>
      <c r="P260" s="235">
        <v>10.35</v>
      </c>
      <c r="Q260" s="234" t="s">
        <v>834</v>
      </c>
      <c r="R260" s="234" t="s">
        <v>911</v>
      </c>
      <c r="S260" s="234" t="s">
        <v>110</v>
      </c>
      <c r="T260" s="233" t="s">
        <v>751</v>
      </c>
      <c r="U260" s="232"/>
      <c r="V260" s="231" t="str">
        <f>IFERROR(IF(N260&lt;P260,"",(ROUNDDOWN(N260/P260*100,0))),"")</f>
        <v/>
      </c>
      <c r="W260" s="230"/>
      <c r="X260" s="230"/>
    </row>
    <row r="261" spans="1:24" s="229" customFormat="1" ht="24" customHeight="1">
      <c r="A261" s="244"/>
      <c r="B261" s="243"/>
      <c r="C261" s="242"/>
      <c r="D261" s="241" t="s">
        <v>942</v>
      </c>
      <c r="E261" s="240" t="s">
        <v>912</v>
      </c>
      <c r="F261" s="240">
        <v>4.0090000000000003</v>
      </c>
      <c r="G261" s="240">
        <v>440</v>
      </c>
      <c r="H261" s="240">
        <v>110</v>
      </c>
      <c r="I261" s="240" t="s">
        <v>70</v>
      </c>
      <c r="J261" s="208">
        <v>2356</v>
      </c>
      <c r="K261" s="208">
        <v>4521</v>
      </c>
      <c r="L261" s="239">
        <v>2000</v>
      </c>
      <c r="M261" s="238" t="s">
        <v>589</v>
      </c>
      <c r="N261" s="237">
        <v>9.84</v>
      </c>
      <c r="O261" s="236">
        <f>IF(N261&gt;0,1/N261*37.7*68.6,"")</f>
        <v>262.82723577235771</v>
      </c>
      <c r="P261" s="235">
        <v>10.35</v>
      </c>
      <c r="Q261" s="234" t="s">
        <v>834</v>
      </c>
      <c r="R261" s="234" t="s">
        <v>911</v>
      </c>
      <c r="S261" s="234" t="s">
        <v>110</v>
      </c>
      <c r="T261" s="233" t="s">
        <v>751</v>
      </c>
      <c r="U261" s="232"/>
      <c r="V261" s="231" t="str">
        <f>IFERROR(IF(N261&lt;P261,"",(ROUNDDOWN(N261/P261*100,0))),"")</f>
        <v/>
      </c>
      <c r="W261" s="230"/>
      <c r="X261" s="230"/>
    </row>
    <row r="262" spans="1:24" s="229" customFormat="1" ht="24" customHeight="1">
      <c r="A262" s="244"/>
      <c r="B262" s="243"/>
      <c r="C262" s="242"/>
      <c r="D262" s="241" t="s">
        <v>941</v>
      </c>
      <c r="E262" s="240" t="s">
        <v>912</v>
      </c>
      <c r="F262" s="240">
        <v>4.0090000000000003</v>
      </c>
      <c r="G262" s="240">
        <v>440</v>
      </c>
      <c r="H262" s="240">
        <v>110</v>
      </c>
      <c r="I262" s="240" t="s">
        <v>70</v>
      </c>
      <c r="J262" s="208">
        <v>2356</v>
      </c>
      <c r="K262" s="208">
        <v>4521</v>
      </c>
      <c r="L262" s="239">
        <v>2000</v>
      </c>
      <c r="M262" s="238" t="s">
        <v>589</v>
      </c>
      <c r="N262" s="237">
        <v>9.84</v>
      </c>
      <c r="O262" s="236">
        <f>IF(N262&gt;0,1/N262*37.7*68.6,"")</f>
        <v>262.82723577235771</v>
      </c>
      <c r="P262" s="235">
        <v>10.35</v>
      </c>
      <c r="Q262" s="234" t="s">
        <v>834</v>
      </c>
      <c r="R262" s="234" t="s">
        <v>911</v>
      </c>
      <c r="S262" s="234" t="s">
        <v>110</v>
      </c>
      <c r="T262" s="233" t="s">
        <v>751</v>
      </c>
      <c r="U262" s="232"/>
      <c r="V262" s="231" t="str">
        <f>IFERROR(IF(N262&lt;P262,"",(ROUNDDOWN(N262/P262*100,0))),"")</f>
        <v/>
      </c>
      <c r="W262" s="230"/>
      <c r="X262" s="230"/>
    </row>
    <row r="263" spans="1:24" s="229" customFormat="1" ht="24" customHeight="1">
      <c r="A263" s="244"/>
      <c r="B263" s="243"/>
      <c r="C263" s="242"/>
      <c r="D263" s="241" t="s">
        <v>941</v>
      </c>
      <c r="E263" s="240" t="s">
        <v>912</v>
      </c>
      <c r="F263" s="240">
        <v>4.0090000000000003</v>
      </c>
      <c r="G263" s="240">
        <v>440</v>
      </c>
      <c r="H263" s="240">
        <v>110</v>
      </c>
      <c r="I263" s="240" t="s">
        <v>70</v>
      </c>
      <c r="J263" s="208">
        <v>2652</v>
      </c>
      <c r="K263" s="208">
        <v>5812</v>
      </c>
      <c r="L263" s="239">
        <v>2995</v>
      </c>
      <c r="M263" s="238" t="s">
        <v>589</v>
      </c>
      <c r="N263" s="237">
        <v>9.16</v>
      </c>
      <c r="O263" s="236">
        <f>IF(N263&gt;0,1/N263*37.7*68.6,"")</f>
        <v>282.33842794759829</v>
      </c>
      <c r="P263" s="235">
        <v>9.51</v>
      </c>
      <c r="Q263" s="234" t="s">
        <v>834</v>
      </c>
      <c r="R263" s="234" t="s">
        <v>911</v>
      </c>
      <c r="S263" s="234" t="s">
        <v>110</v>
      </c>
      <c r="T263" s="233" t="s">
        <v>751</v>
      </c>
      <c r="U263" s="232"/>
      <c r="V263" s="231" t="str">
        <f>IFERROR(IF(N263&lt;P263,"",(ROUNDDOWN(N263/P263*100,0))),"")</f>
        <v/>
      </c>
      <c r="W263" s="230"/>
      <c r="X263" s="230"/>
    </row>
    <row r="264" spans="1:24" s="229" customFormat="1" ht="24" customHeight="1">
      <c r="A264" s="244"/>
      <c r="B264" s="243"/>
      <c r="C264" s="242"/>
      <c r="D264" s="241" t="s">
        <v>940</v>
      </c>
      <c r="E264" s="240" t="s">
        <v>912</v>
      </c>
      <c r="F264" s="240">
        <v>4.0090000000000003</v>
      </c>
      <c r="G264" s="240">
        <v>440</v>
      </c>
      <c r="H264" s="240">
        <v>110</v>
      </c>
      <c r="I264" s="240" t="s">
        <v>70</v>
      </c>
      <c r="J264" s="208">
        <v>2356</v>
      </c>
      <c r="K264" s="208">
        <v>4521</v>
      </c>
      <c r="L264" s="239">
        <v>2000</v>
      </c>
      <c r="M264" s="238" t="s">
        <v>589</v>
      </c>
      <c r="N264" s="237">
        <v>9.84</v>
      </c>
      <c r="O264" s="236">
        <f>IF(N264&gt;0,1/N264*37.7*68.6,"")</f>
        <v>262.82723577235771</v>
      </c>
      <c r="P264" s="235">
        <v>10.35</v>
      </c>
      <c r="Q264" s="234" t="s">
        <v>834</v>
      </c>
      <c r="R264" s="234" t="s">
        <v>911</v>
      </c>
      <c r="S264" s="234" t="s">
        <v>110</v>
      </c>
      <c r="T264" s="233" t="s">
        <v>751</v>
      </c>
      <c r="U264" s="232"/>
      <c r="V264" s="231" t="str">
        <f>IFERROR(IF(N264&lt;P264,"",(ROUNDDOWN(N264/P264*100,0))),"")</f>
        <v/>
      </c>
      <c r="W264" s="230"/>
      <c r="X264" s="230"/>
    </row>
    <row r="265" spans="1:24" s="229" customFormat="1" ht="24" customHeight="1">
      <c r="A265" s="244"/>
      <c r="B265" s="243"/>
      <c r="C265" s="242"/>
      <c r="D265" s="241" t="s">
        <v>940</v>
      </c>
      <c r="E265" s="240" t="s">
        <v>912</v>
      </c>
      <c r="F265" s="240">
        <v>4.0090000000000003</v>
      </c>
      <c r="G265" s="240">
        <v>440</v>
      </c>
      <c r="H265" s="240">
        <v>110</v>
      </c>
      <c r="I265" s="240" t="s">
        <v>70</v>
      </c>
      <c r="J265" s="208">
        <v>2652</v>
      </c>
      <c r="K265" s="208">
        <v>5812</v>
      </c>
      <c r="L265" s="239">
        <v>2995</v>
      </c>
      <c r="M265" s="238" t="s">
        <v>589</v>
      </c>
      <c r="N265" s="237">
        <v>9.16</v>
      </c>
      <c r="O265" s="236">
        <f>IF(N265&gt;0,1/N265*37.7*68.6,"")</f>
        <v>282.33842794759829</v>
      </c>
      <c r="P265" s="235">
        <v>9.51</v>
      </c>
      <c r="Q265" s="234" t="s">
        <v>834</v>
      </c>
      <c r="R265" s="234" t="s">
        <v>911</v>
      </c>
      <c r="S265" s="234" t="s">
        <v>110</v>
      </c>
      <c r="T265" s="233" t="s">
        <v>751</v>
      </c>
      <c r="U265" s="232"/>
      <c r="V265" s="231" t="str">
        <f>IFERROR(IF(N265&lt;P265,"",(ROUNDDOWN(N265/P265*100,0))),"")</f>
        <v/>
      </c>
      <c r="W265" s="230"/>
      <c r="X265" s="230"/>
    </row>
    <row r="266" spans="1:24" s="229" customFormat="1" ht="24" customHeight="1">
      <c r="A266" s="244"/>
      <c r="B266" s="243"/>
      <c r="C266" s="242"/>
      <c r="D266" s="241" t="s">
        <v>939</v>
      </c>
      <c r="E266" s="240" t="s">
        <v>912</v>
      </c>
      <c r="F266" s="240">
        <v>4.0090000000000003</v>
      </c>
      <c r="G266" s="240">
        <v>440</v>
      </c>
      <c r="H266" s="240">
        <v>110</v>
      </c>
      <c r="I266" s="240" t="s">
        <v>70</v>
      </c>
      <c r="J266" s="208">
        <v>2356</v>
      </c>
      <c r="K266" s="208">
        <v>4521</v>
      </c>
      <c r="L266" s="239">
        <v>2000</v>
      </c>
      <c r="M266" s="238" t="s">
        <v>589</v>
      </c>
      <c r="N266" s="237">
        <v>9.84</v>
      </c>
      <c r="O266" s="236">
        <f>IF(N266&gt;0,1/N266*37.7*68.6,"")</f>
        <v>262.82723577235771</v>
      </c>
      <c r="P266" s="235">
        <v>10.35</v>
      </c>
      <c r="Q266" s="234" t="s">
        <v>834</v>
      </c>
      <c r="R266" s="234" t="s">
        <v>911</v>
      </c>
      <c r="S266" s="234" t="s">
        <v>110</v>
      </c>
      <c r="T266" s="233" t="s">
        <v>751</v>
      </c>
      <c r="U266" s="232"/>
      <c r="V266" s="231" t="str">
        <f>IFERROR(IF(N266&lt;P266,"",(ROUNDDOWN(N266/P266*100,0))),"")</f>
        <v/>
      </c>
      <c r="W266" s="230"/>
      <c r="X266" s="230"/>
    </row>
    <row r="267" spans="1:24" s="229" customFormat="1" ht="24" customHeight="1">
      <c r="A267" s="244"/>
      <c r="B267" s="243"/>
      <c r="C267" s="242"/>
      <c r="D267" s="241" t="s">
        <v>939</v>
      </c>
      <c r="E267" s="240" t="s">
        <v>912</v>
      </c>
      <c r="F267" s="240">
        <v>4.0090000000000003</v>
      </c>
      <c r="G267" s="240">
        <v>440</v>
      </c>
      <c r="H267" s="240">
        <v>110</v>
      </c>
      <c r="I267" s="240" t="s">
        <v>70</v>
      </c>
      <c r="J267" s="208">
        <v>2652</v>
      </c>
      <c r="K267" s="208">
        <v>5812</v>
      </c>
      <c r="L267" s="239">
        <v>2995</v>
      </c>
      <c r="M267" s="238" t="s">
        <v>589</v>
      </c>
      <c r="N267" s="237">
        <v>9.16</v>
      </c>
      <c r="O267" s="236">
        <f>IF(N267&gt;0,1/N267*37.7*68.6,"")</f>
        <v>282.33842794759829</v>
      </c>
      <c r="P267" s="235">
        <v>9.51</v>
      </c>
      <c r="Q267" s="234" t="s">
        <v>834</v>
      </c>
      <c r="R267" s="234" t="s">
        <v>911</v>
      </c>
      <c r="S267" s="234" t="s">
        <v>110</v>
      </c>
      <c r="T267" s="233" t="s">
        <v>751</v>
      </c>
      <c r="U267" s="232"/>
      <c r="V267" s="231" t="str">
        <f>IFERROR(IF(N267&lt;P267,"",(ROUNDDOWN(N267/P267*100,0))),"")</f>
        <v/>
      </c>
      <c r="W267" s="230"/>
      <c r="X267" s="230"/>
    </row>
    <row r="268" spans="1:24" s="229" customFormat="1" ht="24" customHeight="1">
      <c r="A268" s="244"/>
      <c r="B268" s="243"/>
      <c r="C268" s="242"/>
      <c r="D268" s="241" t="s">
        <v>939</v>
      </c>
      <c r="E268" s="240" t="s">
        <v>912</v>
      </c>
      <c r="F268" s="240">
        <v>4.0090000000000003</v>
      </c>
      <c r="G268" s="240">
        <v>440</v>
      </c>
      <c r="H268" s="240">
        <v>110</v>
      </c>
      <c r="I268" s="240" t="s">
        <v>70</v>
      </c>
      <c r="J268" s="208">
        <v>2652</v>
      </c>
      <c r="K268" s="208">
        <v>5812</v>
      </c>
      <c r="L268" s="239">
        <v>2995</v>
      </c>
      <c r="M268" s="238" t="s">
        <v>589</v>
      </c>
      <c r="N268" s="237">
        <v>8.7899999999999991</v>
      </c>
      <c r="O268" s="236">
        <f>IF(N268&gt;0,1/N268*37.7*68.6,"")</f>
        <v>294.22298065984074</v>
      </c>
      <c r="P268" s="235">
        <v>9.51</v>
      </c>
      <c r="Q268" s="234" t="s">
        <v>831</v>
      </c>
      <c r="R268" s="234" t="s">
        <v>911</v>
      </c>
      <c r="S268" s="234" t="s">
        <v>110</v>
      </c>
      <c r="T268" s="233" t="s">
        <v>751</v>
      </c>
      <c r="U268" s="232"/>
      <c r="V268" s="231" t="str">
        <f>IFERROR(IF(N268&lt;P268,"",(ROUNDDOWN(N268/P268*100,0))),"")</f>
        <v/>
      </c>
      <c r="W268" s="230"/>
      <c r="X268" s="230"/>
    </row>
    <row r="269" spans="1:24" s="229" customFormat="1" ht="24" customHeight="1">
      <c r="A269" s="244"/>
      <c r="B269" s="243"/>
      <c r="C269" s="242"/>
      <c r="D269" s="241" t="s">
        <v>938</v>
      </c>
      <c r="E269" s="240" t="s">
        <v>912</v>
      </c>
      <c r="F269" s="240">
        <v>4.0090000000000003</v>
      </c>
      <c r="G269" s="240">
        <v>440</v>
      </c>
      <c r="H269" s="240">
        <v>110</v>
      </c>
      <c r="I269" s="240" t="s">
        <v>70</v>
      </c>
      <c r="J269" s="208">
        <v>2356</v>
      </c>
      <c r="K269" s="208">
        <v>4521</v>
      </c>
      <c r="L269" s="239">
        <v>2000</v>
      </c>
      <c r="M269" s="238" t="s">
        <v>589</v>
      </c>
      <c r="N269" s="237">
        <v>9.84</v>
      </c>
      <c r="O269" s="236">
        <f>IF(N269&gt;0,1/N269*37.7*68.6,"")</f>
        <v>262.82723577235771</v>
      </c>
      <c r="P269" s="235">
        <v>10.35</v>
      </c>
      <c r="Q269" s="234" t="s">
        <v>834</v>
      </c>
      <c r="R269" s="234" t="s">
        <v>911</v>
      </c>
      <c r="S269" s="234" t="s">
        <v>110</v>
      </c>
      <c r="T269" s="233" t="s">
        <v>751</v>
      </c>
      <c r="U269" s="232"/>
      <c r="V269" s="231" t="str">
        <f>IFERROR(IF(N269&lt;P269,"",(ROUNDDOWN(N269/P269*100,0))),"")</f>
        <v/>
      </c>
      <c r="W269" s="230"/>
      <c r="X269" s="230"/>
    </row>
    <row r="270" spans="1:24" s="229" customFormat="1" ht="24" customHeight="1">
      <c r="A270" s="244"/>
      <c r="B270" s="243"/>
      <c r="C270" s="242"/>
      <c r="D270" s="241" t="s">
        <v>938</v>
      </c>
      <c r="E270" s="240" t="s">
        <v>912</v>
      </c>
      <c r="F270" s="240">
        <v>4.0090000000000003</v>
      </c>
      <c r="G270" s="240">
        <v>440</v>
      </c>
      <c r="H270" s="240">
        <v>110</v>
      </c>
      <c r="I270" s="240" t="s">
        <v>70</v>
      </c>
      <c r="J270" s="208">
        <v>2652</v>
      </c>
      <c r="K270" s="208">
        <v>5812</v>
      </c>
      <c r="L270" s="239">
        <v>2995</v>
      </c>
      <c r="M270" s="238" t="s">
        <v>589</v>
      </c>
      <c r="N270" s="237">
        <v>9.16</v>
      </c>
      <c r="O270" s="236">
        <f>IF(N270&gt;0,1/N270*37.7*68.6,"")</f>
        <v>282.33842794759829</v>
      </c>
      <c r="P270" s="235">
        <v>9.51</v>
      </c>
      <c r="Q270" s="234" t="s">
        <v>834</v>
      </c>
      <c r="R270" s="234" t="s">
        <v>911</v>
      </c>
      <c r="S270" s="234" t="s">
        <v>110</v>
      </c>
      <c r="T270" s="233" t="s">
        <v>751</v>
      </c>
      <c r="U270" s="232"/>
      <c r="V270" s="231" t="str">
        <f>IFERROR(IF(N270&lt;P270,"",(ROUNDDOWN(N270/P270*100,0))),"")</f>
        <v/>
      </c>
      <c r="W270" s="230"/>
      <c r="X270" s="230"/>
    </row>
    <row r="271" spans="1:24" s="229" customFormat="1" ht="24" customHeight="1">
      <c r="A271" s="244"/>
      <c r="B271" s="243"/>
      <c r="C271" s="242"/>
      <c r="D271" s="241" t="s">
        <v>937</v>
      </c>
      <c r="E271" s="240" t="s">
        <v>912</v>
      </c>
      <c r="F271" s="240">
        <v>4.0090000000000003</v>
      </c>
      <c r="G271" s="240">
        <v>440</v>
      </c>
      <c r="H271" s="240">
        <v>110</v>
      </c>
      <c r="I271" s="240" t="s">
        <v>70</v>
      </c>
      <c r="J271" s="208">
        <v>2356</v>
      </c>
      <c r="K271" s="208">
        <v>4521</v>
      </c>
      <c r="L271" s="239">
        <v>2000</v>
      </c>
      <c r="M271" s="238" t="s">
        <v>589</v>
      </c>
      <c r="N271" s="237">
        <v>9.84</v>
      </c>
      <c r="O271" s="236">
        <f>IF(N271&gt;0,1/N271*37.7*68.6,"")</f>
        <v>262.82723577235771</v>
      </c>
      <c r="P271" s="235">
        <v>10.35</v>
      </c>
      <c r="Q271" s="234" t="s">
        <v>834</v>
      </c>
      <c r="R271" s="234" t="s">
        <v>911</v>
      </c>
      <c r="S271" s="234" t="s">
        <v>110</v>
      </c>
      <c r="T271" s="233" t="s">
        <v>751</v>
      </c>
      <c r="U271" s="232"/>
      <c r="V271" s="231" t="str">
        <f>IFERROR(IF(N271&lt;P271,"",(ROUNDDOWN(N271/P271*100,0))),"")</f>
        <v/>
      </c>
      <c r="W271" s="230"/>
      <c r="X271" s="230"/>
    </row>
    <row r="272" spans="1:24" s="229" customFormat="1" ht="24" customHeight="1">
      <c r="A272" s="244"/>
      <c r="B272" s="243"/>
      <c r="C272" s="242"/>
      <c r="D272" s="241" t="s">
        <v>937</v>
      </c>
      <c r="E272" s="240" t="s">
        <v>912</v>
      </c>
      <c r="F272" s="240">
        <v>4.0090000000000003</v>
      </c>
      <c r="G272" s="240">
        <v>440</v>
      </c>
      <c r="H272" s="240">
        <v>110</v>
      </c>
      <c r="I272" s="240" t="s">
        <v>70</v>
      </c>
      <c r="J272" s="208">
        <v>2652</v>
      </c>
      <c r="K272" s="208">
        <v>5812</v>
      </c>
      <c r="L272" s="239">
        <v>2995</v>
      </c>
      <c r="M272" s="238" t="s">
        <v>589</v>
      </c>
      <c r="N272" s="237">
        <v>9.16</v>
      </c>
      <c r="O272" s="236">
        <f>IF(N272&gt;0,1/N272*37.7*68.6,"")</f>
        <v>282.33842794759829</v>
      </c>
      <c r="P272" s="235">
        <v>9.51</v>
      </c>
      <c r="Q272" s="234" t="s">
        <v>834</v>
      </c>
      <c r="R272" s="234" t="s">
        <v>911</v>
      </c>
      <c r="S272" s="234" t="s">
        <v>110</v>
      </c>
      <c r="T272" s="233" t="s">
        <v>751</v>
      </c>
      <c r="U272" s="232"/>
      <c r="V272" s="231" t="str">
        <f>IFERROR(IF(N272&lt;P272,"",(ROUNDDOWN(N272/P272*100,0))),"")</f>
        <v/>
      </c>
      <c r="W272" s="230"/>
      <c r="X272" s="230"/>
    </row>
    <row r="273" spans="1:24" s="229" customFormat="1" ht="24" customHeight="1">
      <c r="A273" s="244"/>
      <c r="B273" s="243"/>
      <c r="C273" s="242"/>
      <c r="D273" s="241" t="s">
        <v>936</v>
      </c>
      <c r="E273" s="240" t="s">
        <v>912</v>
      </c>
      <c r="F273" s="240">
        <v>4.0090000000000003</v>
      </c>
      <c r="G273" s="240">
        <v>440</v>
      </c>
      <c r="H273" s="240">
        <v>110</v>
      </c>
      <c r="I273" s="240" t="s">
        <v>790</v>
      </c>
      <c r="J273" s="208">
        <v>2652</v>
      </c>
      <c r="K273" s="208">
        <v>5812</v>
      </c>
      <c r="L273" s="239">
        <v>2995</v>
      </c>
      <c r="M273" s="238" t="s">
        <v>589</v>
      </c>
      <c r="N273" s="237">
        <v>9.83</v>
      </c>
      <c r="O273" s="236">
        <f>IF(N273&gt;0,1/N273*37.7*68.6,"")</f>
        <v>263.09460834181078</v>
      </c>
      <c r="P273" s="235">
        <v>9.51</v>
      </c>
      <c r="Q273" s="234" t="s">
        <v>834</v>
      </c>
      <c r="R273" s="234" t="s">
        <v>911</v>
      </c>
      <c r="S273" s="234" t="s">
        <v>34</v>
      </c>
      <c r="T273" s="233" t="s">
        <v>751</v>
      </c>
      <c r="U273" s="232"/>
      <c r="V273" s="231">
        <f>IFERROR(IF(N273&lt;P273,"",(ROUNDDOWN(N273/P273*100,0))),"")</f>
        <v>103</v>
      </c>
      <c r="W273" s="230"/>
      <c r="X273" s="230"/>
    </row>
    <row r="274" spans="1:24" s="229" customFormat="1" ht="24" customHeight="1">
      <c r="A274" s="244"/>
      <c r="B274" s="243"/>
      <c r="C274" s="242"/>
      <c r="D274" s="241" t="s">
        <v>936</v>
      </c>
      <c r="E274" s="240" t="s">
        <v>912</v>
      </c>
      <c r="F274" s="240">
        <v>4.0090000000000003</v>
      </c>
      <c r="G274" s="240">
        <v>440</v>
      </c>
      <c r="H274" s="240">
        <v>110</v>
      </c>
      <c r="I274" s="240" t="s">
        <v>71</v>
      </c>
      <c r="J274" s="208">
        <v>2652</v>
      </c>
      <c r="K274" s="208">
        <v>5812</v>
      </c>
      <c r="L274" s="239">
        <v>2995</v>
      </c>
      <c r="M274" s="238" t="s">
        <v>589</v>
      </c>
      <c r="N274" s="237">
        <v>9.7799999999999994</v>
      </c>
      <c r="O274" s="236">
        <f>IF(N274&gt;0,1/N274*37.7*68.6,"")</f>
        <v>264.43967280163599</v>
      </c>
      <c r="P274" s="235">
        <v>9.51</v>
      </c>
      <c r="Q274" s="234" t="s">
        <v>834</v>
      </c>
      <c r="R274" s="234" t="s">
        <v>911</v>
      </c>
      <c r="S274" s="234" t="s">
        <v>34</v>
      </c>
      <c r="T274" s="233" t="s">
        <v>751</v>
      </c>
      <c r="U274" s="232"/>
      <c r="V274" s="231">
        <f>IFERROR(IF(N274&lt;P274,"",(ROUNDDOWN(N274/P274*100,0))),"")</f>
        <v>102</v>
      </c>
      <c r="W274" s="230"/>
      <c r="X274" s="230"/>
    </row>
    <row r="275" spans="1:24" s="229" customFormat="1" ht="24" customHeight="1">
      <c r="A275" s="244"/>
      <c r="B275" s="243"/>
      <c r="C275" s="242"/>
      <c r="D275" s="241" t="s">
        <v>935</v>
      </c>
      <c r="E275" s="240" t="s">
        <v>912</v>
      </c>
      <c r="F275" s="240">
        <v>4.0090000000000003</v>
      </c>
      <c r="G275" s="240">
        <v>440</v>
      </c>
      <c r="H275" s="240">
        <v>110</v>
      </c>
      <c r="I275" s="240" t="s">
        <v>790</v>
      </c>
      <c r="J275" s="208">
        <v>2652</v>
      </c>
      <c r="K275" s="208">
        <v>5812</v>
      </c>
      <c r="L275" s="239">
        <v>2995</v>
      </c>
      <c r="M275" s="238" t="s">
        <v>589</v>
      </c>
      <c r="N275" s="237">
        <v>9.83</v>
      </c>
      <c r="O275" s="236">
        <f>IF(N275&gt;0,1/N275*37.7*68.6,"")</f>
        <v>263.09460834181078</v>
      </c>
      <c r="P275" s="235">
        <v>9.51</v>
      </c>
      <c r="Q275" s="234" t="s">
        <v>834</v>
      </c>
      <c r="R275" s="234" t="s">
        <v>911</v>
      </c>
      <c r="S275" s="234" t="s">
        <v>34</v>
      </c>
      <c r="T275" s="233" t="s">
        <v>751</v>
      </c>
      <c r="U275" s="232"/>
      <c r="V275" s="231">
        <f>IFERROR(IF(N275&lt;P275,"",(ROUNDDOWN(N275/P275*100,0))),"")</f>
        <v>103</v>
      </c>
      <c r="W275" s="230"/>
      <c r="X275" s="230"/>
    </row>
    <row r="276" spans="1:24" s="229" customFormat="1" ht="24" customHeight="1">
      <c r="A276" s="244"/>
      <c r="B276" s="243"/>
      <c r="C276" s="242"/>
      <c r="D276" s="241" t="s">
        <v>935</v>
      </c>
      <c r="E276" s="240" t="s">
        <v>912</v>
      </c>
      <c r="F276" s="240">
        <v>4.0090000000000003</v>
      </c>
      <c r="G276" s="240">
        <v>440</v>
      </c>
      <c r="H276" s="240">
        <v>110</v>
      </c>
      <c r="I276" s="240" t="s">
        <v>71</v>
      </c>
      <c r="J276" s="208">
        <v>2652</v>
      </c>
      <c r="K276" s="208">
        <v>5812</v>
      </c>
      <c r="L276" s="239">
        <v>2995</v>
      </c>
      <c r="M276" s="238" t="s">
        <v>589</v>
      </c>
      <c r="N276" s="237">
        <v>9.7799999999999994</v>
      </c>
      <c r="O276" s="236">
        <f>IF(N276&gt;0,1/N276*37.7*68.6,"")</f>
        <v>264.43967280163599</v>
      </c>
      <c r="P276" s="235">
        <v>9.51</v>
      </c>
      <c r="Q276" s="234" t="s">
        <v>834</v>
      </c>
      <c r="R276" s="234" t="s">
        <v>911</v>
      </c>
      <c r="S276" s="234" t="s">
        <v>34</v>
      </c>
      <c r="T276" s="233" t="s">
        <v>751</v>
      </c>
      <c r="U276" s="232"/>
      <c r="V276" s="231">
        <f>IFERROR(IF(N276&lt;P276,"",(ROUNDDOWN(N276/P276*100,0))),"")</f>
        <v>102</v>
      </c>
      <c r="W276" s="230"/>
      <c r="X276" s="230"/>
    </row>
    <row r="277" spans="1:24" s="229" customFormat="1" ht="24" customHeight="1">
      <c r="A277" s="244"/>
      <c r="B277" s="243"/>
      <c r="C277" s="242"/>
      <c r="D277" s="241" t="s">
        <v>934</v>
      </c>
      <c r="E277" s="240" t="s">
        <v>912</v>
      </c>
      <c r="F277" s="240">
        <v>4.0090000000000003</v>
      </c>
      <c r="G277" s="240">
        <v>440</v>
      </c>
      <c r="H277" s="240">
        <v>110</v>
      </c>
      <c r="I277" s="240" t="s">
        <v>790</v>
      </c>
      <c r="J277" s="208">
        <v>2652</v>
      </c>
      <c r="K277" s="208">
        <v>5812</v>
      </c>
      <c r="L277" s="239">
        <v>2995</v>
      </c>
      <c r="M277" s="238" t="s">
        <v>589</v>
      </c>
      <c r="N277" s="237">
        <v>9.83</v>
      </c>
      <c r="O277" s="236">
        <f>IF(N277&gt;0,1/N277*37.7*68.6,"")</f>
        <v>263.09460834181078</v>
      </c>
      <c r="P277" s="235">
        <v>9.51</v>
      </c>
      <c r="Q277" s="234" t="s">
        <v>834</v>
      </c>
      <c r="R277" s="234" t="s">
        <v>911</v>
      </c>
      <c r="S277" s="234" t="s">
        <v>34</v>
      </c>
      <c r="T277" s="233" t="s">
        <v>751</v>
      </c>
      <c r="U277" s="232"/>
      <c r="V277" s="231">
        <f>IFERROR(IF(N277&lt;P277,"",(ROUNDDOWN(N277/P277*100,0))),"")</f>
        <v>103</v>
      </c>
      <c r="W277" s="230"/>
      <c r="X277" s="230"/>
    </row>
    <row r="278" spans="1:24" s="229" customFormat="1" ht="24" customHeight="1">
      <c r="A278" s="244"/>
      <c r="B278" s="243"/>
      <c r="C278" s="242"/>
      <c r="D278" s="241" t="s">
        <v>934</v>
      </c>
      <c r="E278" s="240" t="s">
        <v>912</v>
      </c>
      <c r="F278" s="240">
        <v>4.0090000000000003</v>
      </c>
      <c r="G278" s="240">
        <v>440</v>
      </c>
      <c r="H278" s="240">
        <v>110</v>
      </c>
      <c r="I278" s="240" t="s">
        <v>71</v>
      </c>
      <c r="J278" s="208">
        <v>2652</v>
      </c>
      <c r="K278" s="208">
        <v>5812</v>
      </c>
      <c r="L278" s="239">
        <v>2995</v>
      </c>
      <c r="M278" s="238" t="s">
        <v>589</v>
      </c>
      <c r="N278" s="237">
        <v>9.7799999999999994</v>
      </c>
      <c r="O278" s="236">
        <f>IF(N278&gt;0,1/N278*37.7*68.6,"")</f>
        <v>264.43967280163599</v>
      </c>
      <c r="P278" s="235">
        <v>9.51</v>
      </c>
      <c r="Q278" s="234" t="s">
        <v>834</v>
      </c>
      <c r="R278" s="234" t="s">
        <v>911</v>
      </c>
      <c r="S278" s="234" t="s">
        <v>34</v>
      </c>
      <c r="T278" s="233" t="s">
        <v>751</v>
      </c>
      <c r="U278" s="232"/>
      <c r="V278" s="231">
        <f>IFERROR(IF(N278&lt;P278,"",(ROUNDDOWN(N278/P278*100,0))),"")</f>
        <v>102</v>
      </c>
      <c r="W278" s="230"/>
      <c r="X278" s="230"/>
    </row>
    <row r="279" spans="1:24" s="229" customFormat="1" ht="24" customHeight="1">
      <c r="A279" s="244"/>
      <c r="B279" s="243"/>
      <c r="C279" s="242"/>
      <c r="D279" s="241" t="s">
        <v>934</v>
      </c>
      <c r="E279" s="240" t="s">
        <v>912</v>
      </c>
      <c r="F279" s="240">
        <v>4.0090000000000003</v>
      </c>
      <c r="G279" s="240">
        <v>440</v>
      </c>
      <c r="H279" s="240">
        <v>110</v>
      </c>
      <c r="I279" s="240" t="s">
        <v>71</v>
      </c>
      <c r="J279" s="208">
        <v>2979</v>
      </c>
      <c r="K279" s="208">
        <v>6893</v>
      </c>
      <c r="L279" s="239">
        <v>3749</v>
      </c>
      <c r="M279" s="238" t="s">
        <v>589</v>
      </c>
      <c r="N279" s="237">
        <v>8.23</v>
      </c>
      <c r="O279" s="236">
        <f>IF(N279&gt;0,1/N279*37.7*68.6,"")</f>
        <v>314.24301336573512</v>
      </c>
      <c r="P279" s="235">
        <v>8.1199999999999992</v>
      </c>
      <c r="Q279" s="234" t="s">
        <v>834</v>
      </c>
      <c r="R279" s="234" t="s">
        <v>911</v>
      </c>
      <c r="S279" s="234" t="s">
        <v>34</v>
      </c>
      <c r="T279" s="233" t="s">
        <v>751</v>
      </c>
      <c r="U279" s="232"/>
      <c r="V279" s="231">
        <f>IFERROR(IF(N279&lt;P279,"",(ROUNDDOWN(N279/P279*100,0))),"")</f>
        <v>101</v>
      </c>
      <c r="W279" s="230"/>
      <c r="X279" s="230"/>
    </row>
    <row r="280" spans="1:24" s="229" customFormat="1" ht="24" customHeight="1">
      <c r="A280" s="244"/>
      <c r="B280" s="243"/>
      <c r="C280" s="242"/>
      <c r="D280" s="241" t="s">
        <v>933</v>
      </c>
      <c r="E280" s="240" t="s">
        <v>912</v>
      </c>
      <c r="F280" s="240">
        <v>4.0090000000000003</v>
      </c>
      <c r="G280" s="240">
        <v>440</v>
      </c>
      <c r="H280" s="240">
        <v>110</v>
      </c>
      <c r="I280" s="240" t="s">
        <v>790</v>
      </c>
      <c r="J280" s="208">
        <v>2652</v>
      </c>
      <c r="K280" s="208">
        <v>5812</v>
      </c>
      <c r="L280" s="239">
        <v>2995</v>
      </c>
      <c r="M280" s="238" t="s">
        <v>589</v>
      </c>
      <c r="N280" s="237">
        <v>9.83</v>
      </c>
      <c r="O280" s="236">
        <f>IF(N280&gt;0,1/N280*37.7*68.6,"")</f>
        <v>263.09460834181078</v>
      </c>
      <c r="P280" s="235">
        <v>9.51</v>
      </c>
      <c r="Q280" s="234" t="s">
        <v>834</v>
      </c>
      <c r="R280" s="234" t="s">
        <v>911</v>
      </c>
      <c r="S280" s="234" t="s">
        <v>34</v>
      </c>
      <c r="T280" s="233" t="s">
        <v>751</v>
      </c>
      <c r="U280" s="232"/>
      <c r="V280" s="231">
        <f>IFERROR(IF(N280&lt;P280,"",(ROUNDDOWN(N280/P280*100,0))),"")</f>
        <v>103</v>
      </c>
      <c r="W280" s="230"/>
      <c r="X280" s="230"/>
    </row>
    <row r="281" spans="1:24" s="229" customFormat="1" ht="24" customHeight="1">
      <c r="A281" s="244"/>
      <c r="B281" s="243"/>
      <c r="C281" s="242"/>
      <c r="D281" s="241" t="s">
        <v>933</v>
      </c>
      <c r="E281" s="240" t="s">
        <v>912</v>
      </c>
      <c r="F281" s="240">
        <v>4.0090000000000003</v>
      </c>
      <c r="G281" s="240">
        <v>440</v>
      </c>
      <c r="H281" s="240">
        <v>110</v>
      </c>
      <c r="I281" s="240" t="s">
        <v>71</v>
      </c>
      <c r="J281" s="208">
        <v>2652</v>
      </c>
      <c r="K281" s="208">
        <v>5812</v>
      </c>
      <c r="L281" s="239">
        <v>2995</v>
      </c>
      <c r="M281" s="238" t="s">
        <v>589</v>
      </c>
      <c r="N281" s="237">
        <v>9.7799999999999994</v>
      </c>
      <c r="O281" s="236">
        <f>IF(N281&gt;0,1/N281*37.7*68.6,"")</f>
        <v>264.43967280163599</v>
      </c>
      <c r="P281" s="235">
        <v>9.51</v>
      </c>
      <c r="Q281" s="234" t="s">
        <v>834</v>
      </c>
      <c r="R281" s="234" t="s">
        <v>911</v>
      </c>
      <c r="S281" s="234" t="s">
        <v>34</v>
      </c>
      <c r="T281" s="233" t="s">
        <v>751</v>
      </c>
      <c r="U281" s="232"/>
      <c r="V281" s="231">
        <f>IFERROR(IF(N281&lt;P281,"",(ROUNDDOWN(N281/P281*100,0))),"")</f>
        <v>102</v>
      </c>
      <c r="W281" s="230"/>
      <c r="X281" s="230"/>
    </row>
    <row r="282" spans="1:24" s="229" customFormat="1" ht="24" customHeight="1">
      <c r="A282" s="244"/>
      <c r="B282" s="243"/>
      <c r="C282" s="242"/>
      <c r="D282" s="241" t="s">
        <v>933</v>
      </c>
      <c r="E282" s="240" t="s">
        <v>912</v>
      </c>
      <c r="F282" s="240">
        <v>4.0090000000000003</v>
      </c>
      <c r="G282" s="240">
        <v>470</v>
      </c>
      <c r="H282" s="240">
        <v>132</v>
      </c>
      <c r="I282" s="240" t="s">
        <v>71</v>
      </c>
      <c r="J282" s="208">
        <v>2652</v>
      </c>
      <c r="K282" s="208">
        <v>5812</v>
      </c>
      <c r="L282" s="239">
        <v>2995</v>
      </c>
      <c r="M282" s="238" t="s">
        <v>589</v>
      </c>
      <c r="N282" s="237">
        <v>9.5299999999999994</v>
      </c>
      <c r="O282" s="236">
        <f>IF(N282&gt;0,1/N282*37.7*68.6,"")</f>
        <v>271.37670514165796</v>
      </c>
      <c r="P282" s="235">
        <v>9.51</v>
      </c>
      <c r="Q282" s="234" t="s">
        <v>834</v>
      </c>
      <c r="R282" s="234" t="s">
        <v>911</v>
      </c>
      <c r="S282" s="234" t="s">
        <v>34</v>
      </c>
      <c r="T282" s="233" t="s">
        <v>751</v>
      </c>
      <c r="U282" s="232"/>
      <c r="V282" s="231">
        <f>IFERROR(IF(N282&lt;P282,"",(ROUNDDOWN(N282/P282*100,0))),"")</f>
        <v>100</v>
      </c>
      <c r="W282" s="230"/>
      <c r="X282" s="230"/>
    </row>
    <row r="283" spans="1:24" s="229" customFormat="1" ht="24" customHeight="1">
      <c r="A283" s="244"/>
      <c r="B283" s="243"/>
      <c r="C283" s="242"/>
      <c r="D283" s="241" t="s">
        <v>933</v>
      </c>
      <c r="E283" s="240" t="s">
        <v>912</v>
      </c>
      <c r="F283" s="240">
        <v>4.0090000000000003</v>
      </c>
      <c r="G283" s="240">
        <v>440</v>
      </c>
      <c r="H283" s="240">
        <v>110</v>
      </c>
      <c r="I283" s="240" t="s">
        <v>790</v>
      </c>
      <c r="J283" s="208">
        <v>2979</v>
      </c>
      <c r="K283" s="208">
        <v>6893</v>
      </c>
      <c r="L283" s="239">
        <v>3749</v>
      </c>
      <c r="M283" s="238" t="s">
        <v>589</v>
      </c>
      <c r="N283" s="237">
        <v>8.26</v>
      </c>
      <c r="O283" s="236">
        <f>IF(N283&gt;0,1/N283*37.7*68.6,"")</f>
        <v>313.10169491525426</v>
      </c>
      <c r="P283" s="235">
        <v>8.1199999999999992</v>
      </c>
      <c r="Q283" s="234" t="s">
        <v>834</v>
      </c>
      <c r="R283" s="234" t="s">
        <v>911</v>
      </c>
      <c r="S283" s="234" t="s">
        <v>34</v>
      </c>
      <c r="T283" s="233" t="s">
        <v>751</v>
      </c>
      <c r="U283" s="232"/>
      <c r="V283" s="231">
        <f>IFERROR(IF(N283&lt;P283,"",(ROUNDDOWN(N283/P283*100,0))),"")</f>
        <v>101</v>
      </c>
      <c r="W283" s="230"/>
      <c r="X283" s="230"/>
    </row>
    <row r="284" spans="1:24" s="229" customFormat="1" ht="24" customHeight="1">
      <c r="A284" s="244"/>
      <c r="B284" s="243"/>
      <c r="C284" s="242"/>
      <c r="D284" s="241" t="s">
        <v>933</v>
      </c>
      <c r="E284" s="240" t="s">
        <v>912</v>
      </c>
      <c r="F284" s="240">
        <v>4.0090000000000003</v>
      </c>
      <c r="G284" s="240">
        <v>440</v>
      </c>
      <c r="H284" s="240">
        <v>110</v>
      </c>
      <c r="I284" s="240" t="s">
        <v>71</v>
      </c>
      <c r="J284" s="208">
        <v>2979</v>
      </c>
      <c r="K284" s="208">
        <v>6893</v>
      </c>
      <c r="L284" s="239">
        <v>3749</v>
      </c>
      <c r="M284" s="238" t="s">
        <v>589</v>
      </c>
      <c r="N284" s="237">
        <v>8.23</v>
      </c>
      <c r="O284" s="236">
        <f>IF(N284&gt;0,1/N284*37.7*68.6,"")</f>
        <v>314.24301336573512</v>
      </c>
      <c r="P284" s="235">
        <v>8.1199999999999992</v>
      </c>
      <c r="Q284" s="234" t="s">
        <v>834</v>
      </c>
      <c r="R284" s="234" t="s">
        <v>911</v>
      </c>
      <c r="S284" s="234" t="s">
        <v>34</v>
      </c>
      <c r="T284" s="233" t="s">
        <v>751</v>
      </c>
      <c r="U284" s="232"/>
      <c r="V284" s="231">
        <f>IFERROR(IF(N284&lt;P284,"",(ROUNDDOWN(N284/P284*100,0))),"")</f>
        <v>101</v>
      </c>
      <c r="W284" s="230"/>
      <c r="X284" s="230"/>
    </row>
    <row r="285" spans="1:24" s="229" customFormat="1" ht="24" customHeight="1">
      <c r="A285" s="244"/>
      <c r="B285" s="243"/>
      <c r="C285" s="242"/>
      <c r="D285" s="241" t="s">
        <v>932</v>
      </c>
      <c r="E285" s="240" t="s">
        <v>912</v>
      </c>
      <c r="F285" s="240">
        <v>4.0090000000000003</v>
      </c>
      <c r="G285" s="240">
        <v>440</v>
      </c>
      <c r="H285" s="240">
        <v>110</v>
      </c>
      <c r="I285" s="240" t="s">
        <v>790</v>
      </c>
      <c r="J285" s="208">
        <v>2652</v>
      </c>
      <c r="K285" s="208">
        <v>5812</v>
      </c>
      <c r="L285" s="239">
        <v>2995</v>
      </c>
      <c r="M285" s="238" t="s">
        <v>589</v>
      </c>
      <c r="N285" s="237">
        <v>9.83</v>
      </c>
      <c r="O285" s="236">
        <f>IF(N285&gt;0,1/N285*37.7*68.6,"")</f>
        <v>263.09460834181078</v>
      </c>
      <c r="P285" s="235">
        <v>9.51</v>
      </c>
      <c r="Q285" s="234" t="s">
        <v>834</v>
      </c>
      <c r="R285" s="234" t="s">
        <v>911</v>
      </c>
      <c r="S285" s="234" t="s">
        <v>34</v>
      </c>
      <c r="T285" s="233" t="s">
        <v>751</v>
      </c>
      <c r="U285" s="232"/>
      <c r="V285" s="231">
        <f>IFERROR(IF(N285&lt;P285,"",(ROUNDDOWN(N285/P285*100,0))),"")</f>
        <v>103</v>
      </c>
      <c r="W285" s="230"/>
      <c r="X285" s="230"/>
    </row>
    <row r="286" spans="1:24" s="229" customFormat="1" ht="24" customHeight="1">
      <c r="A286" s="244"/>
      <c r="B286" s="243"/>
      <c r="C286" s="242"/>
      <c r="D286" s="241" t="s">
        <v>932</v>
      </c>
      <c r="E286" s="240" t="s">
        <v>912</v>
      </c>
      <c r="F286" s="240">
        <v>4.0090000000000003</v>
      </c>
      <c r="G286" s="240">
        <v>440</v>
      </c>
      <c r="H286" s="240">
        <v>110</v>
      </c>
      <c r="I286" s="240" t="s">
        <v>71</v>
      </c>
      <c r="J286" s="208">
        <v>2652</v>
      </c>
      <c r="K286" s="208">
        <v>5812</v>
      </c>
      <c r="L286" s="239">
        <v>2995</v>
      </c>
      <c r="M286" s="238" t="s">
        <v>589</v>
      </c>
      <c r="N286" s="237">
        <v>9.7799999999999994</v>
      </c>
      <c r="O286" s="236">
        <f>IF(N286&gt;0,1/N286*37.7*68.6,"")</f>
        <v>264.43967280163599</v>
      </c>
      <c r="P286" s="235">
        <v>9.51</v>
      </c>
      <c r="Q286" s="234" t="s">
        <v>834</v>
      </c>
      <c r="R286" s="234" t="s">
        <v>911</v>
      </c>
      <c r="S286" s="234" t="s">
        <v>34</v>
      </c>
      <c r="T286" s="233" t="s">
        <v>751</v>
      </c>
      <c r="U286" s="232"/>
      <c r="V286" s="231">
        <f>IFERROR(IF(N286&lt;P286,"",(ROUNDDOWN(N286/P286*100,0))),"")</f>
        <v>102</v>
      </c>
      <c r="W286" s="230"/>
      <c r="X286" s="230"/>
    </row>
    <row r="287" spans="1:24" s="229" customFormat="1" ht="24" customHeight="1">
      <c r="A287" s="244"/>
      <c r="B287" s="243"/>
      <c r="C287" s="242"/>
      <c r="D287" s="241" t="s">
        <v>932</v>
      </c>
      <c r="E287" s="240" t="s">
        <v>912</v>
      </c>
      <c r="F287" s="240">
        <v>4.0090000000000003</v>
      </c>
      <c r="G287" s="240">
        <v>470</v>
      </c>
      <c r="H287" s="240">
        <v>132</v>
      </c>
      <c r="I287" s="240" t="s">
        <v>71</v>
      </c>
      <c r="J287" s="208">
        <v>2652</v>
      </c>
      <c r="K287" s="208">
        <v>5812</v>
      </c>
      <c r="L287" s="239">
        <v>2995</v>
      </c>
      <c r="M287" s="238" t="s">
        <v>589</v>
      </c>
      <c r="N287" s="237">
        <v>9.5299999999999994</v>
      </c>
      <c r="O287" s="236">
        <f>IF(N287&gt;0,1/N287*37.7*68.6,"")</f>
        <v>271.37670514165796</v>
      </c>
      <c r="P287" s="235">
        <v>9.51</v>
      </c>
      <c r="Q287" s="234" t="s">
        <v>834</v>
      </c>
      <c r="R287" s="234" t="s">
        <v>911</v>
      </c>
      <c r="S287" s="234" t="s">
        <v>34</v>
      </c>
      <c r="T287" s="233" t="s">
        <v>751</v>
      </c>
      <c r="U287" s="232"/>
      <c r="V287" s="231">
        <f>IFERROR(IF(N287&lt;P287,"",(ROUNDDOWN(N287/P287*100,0))),"")</f>
        <v>100</v>
      </c>
      <c r="W287" s="230"/>
      <c r="X287" s="230"/>
    </row>
    <row r="288" spans="1:24" s="229" customFormat="1" ht="24" customHeight="1">
      <c r="A288" s="244"/>
      <c r="B288" s="243"/>
      <c r="C288" s="242"/>
      <c r="D288" s="241" t="s">
        <v>932</v>
      </c>
      <c r="E288" s="240" t="s">
        <v>912</v>
      </c>
      <c r="F288" s="240">
        <v>4.0090000000000003</v>
      </c>
      <c r="G288" s="240">
        <v>440</v>
      </c>
      <c r="H288" s="240">
        <v>110</v>
      </c>
      <c r="I288" s="240" t="s">
        <v>790</v>
      </c>
      <c r="J288" s="208">
        <v>2979</v>
      </c>
      <c r="K288" s="208">
        <v>6893</v>
      </c>
      <c r="L288" s="239">
        <v>3749</v>
      </c>
      <c r="M288" s="238" t="s">
        <v>589</v>
      </c>
      <c r="N288" s="237">
        <v>8.26</v>
      </c>
      <c r="O288" s="236">
        <f>IF(N288&gt;0,1/N288*37.7*68.6,"")</f>
        <v>313.10169491525426</v>
      </c>
      <c r="P288" s="235">
        <v>8.1199999999999992</v>
      </c>
      <c r="Q288" s="234" t="s">
        <v>834</v>
      </c>
      <c r="R288" s="234" t="s">
        <v>911</v>
      </c>
      <c r="S288" s="234" t="s">
        <v>34</v>
      </c>
      <c r="T288" s="233" t="s">
        <v>751</v>
      </c>
      <c r="U288" s="232"/>
      <c r="V288" s="231">
        <f>IFERROR(IF(N288&lt;P288,"",(ROUNDDOWN(N288/P288*100,0))),"")</f>
        <v>101</v>
      </c>
      <c r="W288" s="230"/>
      <c r="X288" s="230"/>
    </row>
    <row r="289" spans="1:24" s="229" customFormat="1" ht="24" customHeight="1">
      <c r="A289" s="244"/>
      <c r="B289" s="243"/>
      <c r="C289" s="242"/>
      <c r="D289" s="241" t="s">
        <v>932</v>
      </c>
      <c r="E289" s="240" t="s">
        <v>912</v>
      </c>
      <c r="F289" s="240">
        <v>4.0090000000000003</v>
      </c>
      <c r="G289" s="240">
        <v>440</v>
      </c>
      <c r="H289" s="240">
        <v>110</v>
      </c>
      <c r="I289" s="240" t="s">
        <v>71</v>
      </c>
      <c r="J289" s="208">
        <v>2979</v>
      </c>
      <c r="K289" s="208">
        <v>6893</v>
      </c>
      <c r="L289" s="239">
        <v>3749</v>
      </c>
      <c r="M289" s="238" t="s">
        <v>589</v>
      </c>
      <c r="N289" s="237">
        <v>8.23</v>
      </c>
      <c r="O289" s="236">
        <f>IF(N289&gt;0,1/N289*37.7*68.6,"")</f>
        <v>314.24301336573512</v>
      </c>
      <c r="P289" s="235">
        <v>8.1199999999999992</v>
      </c>
      <c r="Q289" s="234" t="s">
        <v>834</v>
      </c>
      <c r="R289" s="234" t="s">
        <v>911</v>
      </c>
      <c r="S289" s="234" t="s">
        <v>34</v>
      </c>
      <c r="T289" s="233" t="s">
        <v>751</v>
      </c>
      <c r="U289" s="232"/>
      <c r="V289" s="231">
        <f>IFERROR(IF(N289&lt;P289,"",(ROUNDDOWN(N289/P289*100,0))),"")</f>
        <v>101</v>
      </c>
      <c r="W289" s="230"/>
      <c r="X289" s="230"/>
    </row>
    <row r="290" spans="1:24" s="229" customFormat="1" ht="24" customHeight="1">
      <c r="A290" s="244"/>
      <c r="B290" s="243"/>
      <c r="C290" s="242"/>
      <c r="D290" s="241" t="s">
        <v>931</v>
      </c>
      <c r="E290" s="240" t="s">
        <v>912</v>
      </c>
      <c r="F290" s="240">
        <v>4.0090000000000003</v>
      </c>
      <c r="G290" s="240">
        <v>440</v>
      </c>
      <c r="H290" s="240">
        <v>110</v>
      </c>
      <c r="I290" s="240" t="s">
        <v>71</v>
      </c>
      <c r="J290" s="208">
        <v>2652</v>
      </c>
      <c r="K290" s="208">
        <v>5812</v>
      </c>
      <c r="L290" s="239">
        <v>2995</v>
      </c>
      <c r="M290" s="238" t="s">
        <v>589</v>
      </c>
      <c r="N290" s="237">
        <v>9.4700000000000006</v>
      </c>
      <c r="O290" s="236">
        <f>IF(N290&gt;0,1/N290*37.7*68.6,"")</f>
        <v>273.09609292502637</v>
      </c>
      <c r="P290" s="235">
        <v>9.51</v>
      </c>
      <c r="Q290" s="234" t="s">
        <v>831</v>
      </c>
      <c r="R290" s="234" t="s">
        <v>911</v>
      </c>
      <c r="S290" s="234" t="s">
        <v>34</v>
      </c>
      <c r="T290" s="233" t="s">
        <v>751</v>
      </c>
      <c r="U290" s="232"/>
      <c r="V290" s="231" t="str">
        <f>IFERROR(IF(N290&lt;P290,"",(ROUNDDOWN(N290/P290*100,0))),"")</f>
        <v/>
      </c>
      <c r="W290" s="230"/>
      <c r="X290" s="230"/>
    </row>
    <row r="291" spans="1:24" s="229" customFormat="1" ht="24" customHeight="1">
      <c r="A291" s="244"/>
      <c r="B291" s="243"/>
      <c r="C291" s="242"/>
      <c r="D291" s="241" t="s">
        <v>931</v>
      </c>
      <c r="E291" s="240" t="s">
        <v>912</v>
      </c>
      <c r="F291" s="240">
        <v>4.0090000000000003</v>
      </c>
      <c r="G291" s="240">
        <v>440</v>
      </c>
      <c r="H291" s="240">
        <v>110</v>
      </c>
      <c r="I291" s="240" t="s">
        <v>790</v>
      </c>
      <c r="J291" s="208">
        <v>2652</v>
      </c>
      <c r="K291" s="208">
        <v>5812</v>
      </c>
      <c r="L291" s="239">
        <v>2995</v>
      </c>
      <c r="M291" s="238" t="s">
        <v>589</v>
      </c>
      <c r="N291" s="237">
        <v>9.09</v>
      </c>
      <c r="O291" s="236">
        <f>IF(N291&gt;0,1/N291*37.7*68.6,"")</f>
        <v>284.51265126512652</v>
      </c>
      <c r="P291" s="235">
        <v>9.51</v>
      </c>
      <c r="Q291" s="234" t="s">
        <v>831</v>
      </c>
      <c r="R291" s="234" t="s">
        <v>911</v>
      </c>
      <c r="S291" s="234" t="s">
        <v>34</v>
      </c>
      <c r="T291" s="233" t="s">
        <v>751</v>
      </c>
      <c r="U291" s="232"/>
      <c r="V291" s="231" t="str">
        <f>IFERROR(IF(N291&lt;P291,"",(ROUNDDOWN(N291/P291*100,0))),"")</f>
        <v/>
      </c>
      <c r="W291" s="230"/>
      <c r="X291" s="230"/>
    </row>
    <row r="292" spans="1:24" s="229" customFormat="1" ht="24" customHeight="1">
      <c r="A292" s="244"/>
      <c r="B292" s="243"/>
      <c r="C292" s="242"/>
      <c r="D292" s="241" t="s">
        <v>930</v>
      </c>
      <c r="E292" s="240" t="s">
        <v>912</v>
      </c>
      <c r="F292" s="240">
        <v>4.0090000000000003</v>
      </c>
      <c r="G292" s="240">
        <v>440</v>
      </c>
      <c r="H292" s="240">
        <v>110</v>
      </c>
      <c r="I292" s="240" t="s">
        <v>71</v>
      </c>
      <c r="J292" s="208">
        <v>2652</v>
      </c>
      <c r="K292" s="208">
        <v>5812</v>
      </c>
      <c r="L292" s="239">
        <v>2995</v>
      </c>
      <c r="M292" s="238" t="s">
        <v>589</v>
      </c>
      <c r="N292" s="237">
        <v>9.4700000000000006</v>
      </c>
      <c r="O292" s="236">
        <f>IF(N292&gt;0,1/N292*37.7*68.6,"")</f>
        <v>273.09609292502637</v>
      </c>
      <c r="P292" s="235">
        <v>9.51</v>
      </c>
      <c r="Q292" s="234" t="s">
        <v>831</v>
      </c>
      <c r="R292" s="234" t="s">
        <v>911</v>
      </c>
      <c r="S292" s="234" t="s">
        <v>34</v>
      </c>
      <c r="T292" s="233" t="s">
        <v>751</v>
      </c>
      <c r="U292" s="232"/>
      <c r="V292" s="231" t="str">
        <f>IFERROR(IF(N292&lt;P292,"",(ROUNDDOWN(N292/P292*100,0))),"")</f>
        <v/>
      </c>
      <c r="W292" s="230"/>
      <c r="X292" s="230"/>
    </row>
    <row r="293" spans="1:24" s="229" customFormat="1" ht="24" customHeight="1">
      <c r="A293" s="244"/>
      <c r="B293" s="243"/>
      <c r="C293" s="242"/>
      <c r="D293" s="241" t="s">
        <v>930</v>
      </c>
      <c r="E293" s="240" t="s">
        <v>912</v>
      </c>
      <c r="F293" s="240">
        <v>4.0090000000000003</v>
      </c>
      <c r="G293" s="240">
        <v>440</v>
      </c>
      <c r="H293" s="240">
        <v>110</v>
      </c>
      <c r="I293" s="240" t="s">
        <v>790</v>
      </c>
      <c r="J293" s="208">
        <v>2652</v>
      </c>
      <c r="K293" s="208">
        <v>5812</v>
      </c>
      <c r="L293" s="239">
        <v>2995</v>
      </c>
      <c r="M293" s="238" t="s">
        <v>589</v>
      </c>
      <c r="N293" s="237">
        <v>9.09</v>
      </c>
      <c r="O293" s="236">
        <f>IF(N293&gt;0,1/N293*37.7*68.6,"")</f>
        <v>284.51265126512652</v>
      </c>
      <c r="P293" s="235">
        <v>9.51</v>
      </c>
      <c r="Q293" s="234" t="s">
        <v>831</v>
      </c>
      <c r="R293" s="234" t="s">
        <v>911</v>
      </c>
      <c r="S293" s="234" t="s">
        <v>34</v>
      </c>
      <c r="T293" s="233" t="s">
        <v>751</v>
      </c>
      <c r="U293" s="232"/>
      <c r="V293" s="231" t="str">
        <f>IFERROR(IF(N293&lt;P293,"",(ROUNDDOWN(N293/P293*100,0))),"")</f>
        <v/>
      </c>
      <c r="W293" s="230"/>
      <c r="X293" s="230"/>
    </row>
    <row r="294" spans="1:24" s="229" customFormat="1" ht="24" customHeight="1">
      <c r="A294" s="244"/>
      <c r="B294" s="243"/>
      <c r="C294" s="242"/>
      <c r="D294" s="241" t="s">
        <v>929</v>
      </c>
      <c r="E294" s="240" t="s">
        <v>912</v>
      </c>
      <c r="F294" s="240">
        <v>4.0090000000000003</v>
      </c>
      <c r="G294" s="240">
        <v>440</v>
      </c>
      <c r="H294" s="240">
        <v>110</v>
      </c>
      <c r="I294" s="240" t="s">
        <v>71</v>
      </c>
      <c r="J294" s="208">
        <v>2652</v>
      </c>
      <c r="K294" s="208">
        <v>5812</v>
      </c>
      <c r="L294" s="239">
        <v>2995</v>
      </c>
      <c r="M294" s="238" t="s">
        <v>589</v>
      </c>
      <c r="N294" s="237">
        <v>9.4700000000000006</v>
      </c>
      <c r="O294" s="236">
        <f>IF(N294&gt;0,1/N294*37.7*68.6,"")</f>
        <v>273.09609292502637</v>
      </c>
      <c r="P294" s="235">
        <v>9.51</v>
      </c>
      <c r="Q294" s="234" t="s">
        <v>831</v>
      </c>
      <c r="R294" s="234" t="s">
        <v>911</v>
      </c>
      <c r="S294" s="234" t="s">
        <v>34</v>
      </c>
      <c r="T294" s="233" t="s">
        <v>751</v>
      </c>
      <c r="U294" s="232"/>
      <c r="V294" s="231" t="str">
        <f>IFERROR(IF(N294&lt;P294,"",(ROUNDDOWN(N294/P294*100,0))),"")</f>
        <v/>
      </c>
      <c r="W294" s="230"/>
      <c r="X294" s="230"/>
    </row>
    <row r="295" spans="1:24" s="229" customFormat="1" ht="24" customHeight="1">
      <c r="A295" s="244"/>
      <c r="B295" s="243"/>
      <c r="C295" s="242"/>
      <c r="D295" s="241" t="s">
        <v>928</v>
      </c>
      <c r="E295" s="240" t="s">
        <v>912</v>
      </c>
      <c r="F295" s="240">
        <v>4.0090000000000003</v>
      </c>
      <c r="G295" s="240">
        <v>440</v>
      </c>
      <c r="H295" s="240">
        <v>110</v>
      </c>
      <c r="I295" s="240" t="s">
        <v>71</v>
      </c>
      <c r="J295" s="208">
        <v>2652</v>
      </c>
      <c r="K295" s="208">
        <v>5812</v>
      </c>
      <c r="L295" s="239">
        <v>2995</v>
      </c>
      <c r="M295" s="238" t="s">
        <v>589</v>
      </c>
      <c r="N295" s="237">
        <v>9.4700000000000006</v>
      </c>
      <c r="O295" s="236">
        <f>IF(N295&gt;0,1/N295*37.7*68.6,"")</f>
        <v>273.09609292502637</v>
      </c>
      <c r="P295" s="235">
        <v>9.51</v>
      </c>
      <c r="Q295" s="234" t="s">
        <v>831</v>
      </c>
      <c r="R295" s="234" t="s">
        <v>911</v>
      </c>
      <c r="S295" s="234" t="s">
        <v>34</v>
      </c>
      <c r="T295" s="233" t="s">
        <v>751</v>
      </c>
      <c r="U295" s="232"/>
      <c r="V295" s="231" t="str">
        <f>IFERROR(IF(N295&lt;P295,"",(ROUNDDOWN(N295/P295*100,0))),"")</f>
        <v/>
      </c>
      <c r="W295" s="230"/>
      <c r="X295" s="230"/>
    </row>
    <row r="296" spans="1:24" s="229" customFormat="1" ht="24" customHeight="1">
      <c r="A296" s="244"/>
      <c r="B296" s="243"/>
      <c r="C296" s="242"/>
      <c r="D296" s="241" t="s">
        <v>928</v>
      </c>
      <c r="E296" s="240" t="s">
        <v>912</v>
      </c>
      <c r="F296" s="240">
        <v>4.0090000000000003</v>
      </c>
      <c r="G296" s="240">
        <v>470</v>
      </c>
      <c r="H296" s="240">
        <v>132</v>
      </c>
      <c r="I296" s="240" t="s">
        <v>71</v>
      </c>
      <c r="J296" s="208">
        <v>2979</v>
      </c>
      <c r="K296" s="208">
        <v>6893</v>
      </c>
      <c r="L296" s="239">
        <v>3749</v>
      </c>
      <c r="M296" s="238" t="s">
        <v>589</v>
      </c>
      <c r="N296" s="237">
        <v>8.0399999999999991</v>
      </c>
      <c r="O296" s="236">
        <f>IF(N296&gt;0,1/N296*37.7*68.6,"")</f>
        <v>321.66915422885575</v>
      </c>
      <c r="P296" s="235">
        <v>8.1199999999999992</v>
      </c>
      <c r="Q296" s="234" t="s">
        <v>834</v>
      </c>
      <c r="R296" s="234" t="s">
        <v>911</v>
      </c>
      <c r="S296" s="234" t="s">
        <v>34</v>
      </c>
      <c r="T296" s="233" t="s">
        <v>751</v>
      </c>
      <c r="U296" s="232"/>
      <c r="V296" s="231" t="str">
        <f>IFERROR(IF(N296&lt;P296,"",(ROUNDDOWN(N296/P296*100,0))),"")</f>
        <v/>
      </c>
      <c r="W296" s="230"/>
      <c r="X296" s="230"/>
    </row>
    <row r="297" spans="1:24" s="229" customFormat="1" ht="24" customHeight="1">
      <c r="A297" s="244"/>
      <c r="B297" s="243"/>
      <c r="C297" s="242"/>
      <c r="D297" s="241" t="s">
        <v>927</v>
      </c>
      <c r="E297" s="240" t="s">
        <v>912</v>
      </c>
      <c r="F297" s="240">
        <v>4.0090000000000003</v>
      </c>
      <c r="G297" s="240">
        <v>440</v>
      </c>
      <c r="H297" s="240">
        <v>110</v>
      </c>
      <c r="I297" s="240" t="s">
        <v>71</v>
      </c>
      <c r="J297" s="208">
        <v>2652</v>
      </c>
      <c r="K297" s="208">
        <v>5812</v>
      </c>
      <c r="L297" s="239">
        <v>2995</v>
      </c>
      <c r="M297" s="238" t="s">
        <v>589</v>
      </c>
      <c r="N297" s="237">
        <v>9.4700000000000006</v>
      </c>
      <c r="O297" s="236">
        <f>IF(N297&gt;0,1/N297*37.7*68.6,"")</f>
        <v>273.09609292502637</v>
      </c>
      <c r="P297" s="235">
        <v>9.51</v>
      </c>
      <c r="Q297" s="234" t="s">
        <v>831</v>
      </c>
      <c r="R297" s="234" t="s">
        <v>911</v>
      </c>
      <c r="S297" s="234" t="s">
        <v>34</v>
      </c>
      <c r="T297" s="233" t="s">
        <v>751</v>
      </c>
      <c r="U297" s="232"/>
      <c r="V297" s="231" t="str">
        <f>IFERROR(IF(N297&lt;P297,"",(ROUNDDOWN(N297/P297*100,0))),"")</f>
        <v/>
      </c>
      <c r="W297" s="230"/>
      <c r="X297" s="230"/>
    </row>
    <row r="298" spans="1:24" s="229" customFormat="1" ht="24" customHeight="1">
      <c r="A298" s="244"/>
      <c r="B298" s="243"/>
      <c r="C298" s="242"/>
      <c r="D298" s="241" t="s">
        <v>927</v>
      </c>
      <c r="E298" s="240" t="s">
        <v>912</v>
      </c>
      <c r="F298" s="240">
        <v>4.0090000000000003</v>
      </c>
      <c r="G298" s="240">
        <v>470</v>
      </c>
      <c r="H298" s="240">
        <v>132</v>
      </c>
      <c r="I298" s="240" t="s">
        <v>71</v>
      </c>
      <c r="J298" s="208">
        <v>2979</v>
      </c>
      <c r="K298" s="208">
        <v>6893</v>
      </c>
      <c r="L298" s="239">
        <v>3749</v>
      </c>
      <c r="M298" s="238" t="s">
        <v>589</v>
      </c>
      <c r="N298" s="237">
        <v>8.0399999999999991</v>
      </c>
      <c r="O298" s="236">
        <f>IF(N298&gt;0,1/N298*37.7*68.6,"")</f>
        <v>321.66915422885575</v>
      </c>
      <c r="P298" s="235">
        <v>8.1199999999999992</v>
      </c>
      <c r="Q298" s="234" t="s">
        <v>834</v>
      </c>
      <c r="R298" s="234" t="s">
        <v>911</v>
      </c>
      <c r="S298" s="234" t="s">
        <v>34</v>
      </c>
      <c r="T298" s="233" t="s">
        <v>751</v>
      </c>
      <c r="U298" s="232"/>
      <c r="V298" s="231" t="str">
        <f>IFERROR(IF(N298&lt;P298,"",(ROUNDDOWN(N298/P298*100,0))),"")</f>
        <v/>
      </c>
      <c r="W298" s="230"/>
      <c r="X298" s="230"/>
    </row>
    <row r="299" spans="1:24" s="229" customFormat="1" ht="24" customHeight="1">
      <c r="A299" s="244"/>
      <c r="B299" s="243"/>
      <c r="C299" s="242"/>
      <c r="D299" s="241" t="s">
        <v>926</v>
      </c>
      <c r="E299" s="240" t="s">
        <v>912</v>
      </c>
      <c r="F299" s="240">
        <v>4.0090000000000003</v>
      </c>
      <c r="G299" s="240">
        <v>440</v>
      </c>
      <c r="H299" s="240">
        <v>110</v>
      </c>
      <c r="I299" s="240" t="s">
        <v>790</v>
      </c>
      <c r="J299" s="208">
        <v>2979</v>
      </c>
      <c r="K299" s="208">
        <v>6893</v>
      </c>
      <c r="L299" s="239">
        <v>3749</v>
      </c>
      <c r="M299" s="238" t="s">
        <v>589</v>
      </c>
      <c r="N299" s="237">
        <v>8.26</v>
      </c>
      <c r="O299" s="236">
        <f>IF(N299&gt;0,1/N299*37.7*68.6,"")</f>
        <v>313.10169491525426</v>
      </c>
      <c r="P299" s="235">
        <v>8.1199999999999992</v>
      </c>
      <c r="Q299" s="234" t="s">
        <v>834</v>
      </c>
      <c r="R299" s="234" t="s">
        <v>911</v>
      </c>
      <c r="S299" s="234" t="s">
        <v>34</v>
      </c>
      <c r="T299" s="233" t="s">
        <v>751</v>
      </c>
      <c r="U299" s="232"/>
      <c r="V299" s="231">
        <f>IFERROR(IF(N299&lt;P299,"",(ROUNDDOWN(N299/P299*100,0))),"")</f>
        <v>101</v>
      </c>
      <c r="W299" s="230"/>
      <c r="X299" s="230"/>
    </row>
    <row r="300" spans="1:24" s="229" customFormat="1" ht="24" customHeight="1">
      <c r="A300" s="244"/>
      <c r="B300" s="243"/>
      <c r="C300" s="242"/>
      <c r="D300" s="241" t="s">
        <v>926</v>
      </c>
      <c r="E300" s="240" t="s">
        <v>912</v>
      </c>
      <c r="F300" s="240">
        <v>4.0090000000000003</v>
      </c>
      <c r="G300" s="240">
        <v>440</v>
      </c>
      <c r="H300" s="240">
        <v>110</v>
      </c>
      <c r="I300" s="240" t="s">
        <v>71</v>
      </c>
      <c r="J300" s="208">
        <v>2979</v>
      </c>
      <c r="K300" s="208">
        <v>6893</v>
      </c>
      <c r="L300" s="239">
        <v>3749</v>
      </c>
      <c r="M300" s="238" t="s">
        <v>589</v>
      </c>
      <c r="N300" s="237">
        <v>8.23</v>
      </c>
      <c r="O300" s="236">
        <f>IF(N300&gt;0,1/N300*37.7*68.6,"")</f>
        <v>314.24301336573512</v>
      </c>
      <c r="P300" s="235">
        <v>8.1199999999999992</v>
      </c>
      <c r="Q300" s="234" t="s">
        <v>834</v>
      </c>
      <c r="R300" s="234" t="s">
        <v>911</v>
      </c>
      <c r="S300" s="234" t="s">
        <v>34</v>
      </c>
      <c r="T300" s="233" t="s">
        <v>751</v>
      </c>
      <c r="U300" s="232"/>
      <c r="V300" s="231">
        <f>IFERROR(IF(N300&lt;P300,"",(ROUNDDOWN(N300/P300*100,0))),"")</f>
        <v>101</v>
      </c>
      <c r="W300" s="230"/>
      <c r="X300" s="230"/>
    </row>
    <row r="301" spans="1:24" s="229" customFormat="1" ht="24" customHeight="1">
      <c r="A301" s="244"/>
      <c r="B301" s="243"/>
      <c r="C301" s="242"/>
      <c r="D301" s="241" t="s">
        <v>925</v>
      </c>
      <c r="E301" s="240" t="s">
        <v>912</v>
      </c>
      <c r="F301" s="240">
        <v>4.0090000000000003</v>
      </c>
      <c r="G301" s="240">
        <v>440</v>
      </c>
      <c r="H301" s="240">
        <v>110</v>
      </c>
      <c r="I301" s="240" t="s">
        <v>790</v>
      </c>
      <c r="J301" s="208">
        <v>2979</v>
      </c>
      <c r="K301" s="208">
        <v>6893</v>
      </c>
      <c r="L301" s="239">
        <v>3749</v>
      </c>
      <c r="M301" s="238" t="s">
        <v>589</v>
      </c>
      <c r="N301" s="237">
        <v>8.26</v>
      </c>
      <c r="O301" s="236">
        <f>IF(N301&gt;0,1/N301*37.7*68.6,"")</f>
        <v>313.10169491525426</v>
      </c>
      <c r="P301" s="235">
        <v>8.1199999999999992</v>
      </c>
      <c r="Q301" s="234" t="s">
        <v>834</v>
      </c>
      <c r="R301" s="234" t="s">
        <v>911</v>
      </c>
      <c r="S301" s="234" t="s">
        <v>34</v>
      </c>
      <c r="T301" s="233" t="s">
        <v>751</v>
      </c>
      <c r="U301" s="232"/>
      <c r="V301" s="231">
        <f>IFERROR(IF(N301&lt;P301,"",(ROUNDDOWN(N301/P301*100,0))),"")</f>
        <v>101</v>
      </c>
      <c r="W301" s="230"/>
      <c r="X301" s="230"/>
    </row>
    <row r="302" spans="1:24" s="229" customFormat="1" ht="24" customHeight="1">
      <c r="A302" s="244"/>
      <c r="B302" s="243"/>
      <c r="C302" s="242"/>
      <c r="D302" s="241" t="s">
        <v>925</v>
      </c>
      <c r="E302" s="240" t="s">
        <v>912</v>
      </c>
      <c r="F302" s="240">
        <v>4.0090000000000003</v>
      </c>
      <c r="G302" s="240">
        <v>440</v>
      </c>
      <c r="H302" s="240">
        <v>110</v>
      </c>
      <c r="I302" s="240" t="s">
        <v>71</v>
      </c>
      <c r="J302" s="208">
        <v>2979</v>
      </c>
      <c r="K302" s="208">
        <v>6893</v>
      </c>
      <c r="L302" s="239">
        <v>3749</v>
      </c>
      <c r="M302" s="238" t="s">
        <v>589</v>
      </c>
      <c r="N302" s="237">
        <v>8.23</v>
      </c>
      <c r="O302" s="236">
        <f>IF(N302&gt;0,1/N302*37.7*68.6,"")</f>
        <v>314.24301336573512</v>
      </c>
      <c r="P302" s="235">
        <v>8.1199999999999992</v>
      </c>
      <c r="Q302" s="234" t="s">
        <v>834</v>
      </c>
      <c r="R302" s="234" t="s">
        <v>911</v>
      </c>
      <c r="S302" s="234" t="s">
        <v>34</v>
      </c>
      <c r="T302" s="233" t="s">
        <v>751</v>
      </c>
      <c r="U302" s="232"/>
      <c r="V302" s="231">
        <f>IFERROR(IF(N302&lt;P302,"",(ROUNDDOWN(N302/P302*100,0))),"")</f>
        <v>101</v>
      </c>
      <c r="W302" s="230"/>
      <c r="X302" s="230"/>
    </row>
    <row r="303" spans="1:24" s="229" customFormat="1" ht="24" customHeight="1">
      <c r="A303" s="244"/>
      <c r="B303" s="243"/>
      <c r="C303" s="242"/>
      <c r="D303" s="241" t="s">
        <v>924</v>
      </c>
      <c r="E303" s="240" t="s">
        <v>912</v>
      </c>
      <c r="F303" s="240">
        <v>4.0090000000000003</v>
      </c>
      <c r="G303" s="240">
        <v>440</v>
      </c>
      <c r="H303" s="240">
        <v>110</v>
      </c>
      <c r="I303" s="240" t="s">
        <v>790</v>
      </c>
      <c r="J303" s="208">
        <v>2979</v>
      </c>
      <c r="K303" s="208">
        <v>6893</v>
      </c>
      <c r="L303" s="239">
        <v>3749</v>
      </c>
      <c r="M303" s="238" t="s">
        <v>589</v>
      </c>
      <c r="N303" s="237">
        <v>8.26</v>
      </c>
      <c r="O303" s="236">
        <f>IF(N303&gt;0,1/N303*37.7*68.6,"")</f>
        <v>313.10169491525426</v>
      </c>
      <c r="P303" s="235">
        <v>8.1199999999999992</v>
      </c>
      <c r="Q303" s="234" t="s">
        <v>834</v>
      </c>
      <c r="R303" s="234" t="s">
        <v>911</v>
      </c>
      <c r="S303" s="234" t="s">
        <v>34</v>
      </c>
      <c r="T303" s="233" t="s">
        <v>751</v>
      </c>
      <c r="U303" s="232"/>
      <c r="V303" s="231">
        <f>IFERROR(IF(N303&lt;P303,"",(ROUNDDOWN(N303/P303*100,0))),"")</f>
        <v>101</v>
      </c>
      <c r="W303" s="230"/>
      <c r="X303" s="230"/>
    </row>
    <row r="304" spans="1:24" s="229" customFormat="1" ht="24" customHeight="1">
      <c r="A304" s="244"/>
      <c r="B304" s="243"/>
      <c r="C304" s="242"/>
      <c r="D304" s="241" t="s">
        <v>924</v>
      </c>
      <c r="E304" s="240" t="s">
        <v>912</v>
      </c>
      <c r="F304" s="240">
        <v>4.0090000000000003</v>
      </c>
      <c r="G304" s="240">
        <v>440</v>
      </c>
      <c r="H304" s="240">
        <v>110</v>
      </c>
      <c r="I304" s="240" t="s">
        <v>71</v>
      </c>
      <c r="J304" s="208">
        <v>2979</v>
      </c>
      <c r="K304" s="208">
        <v>6893</v>
      </c>
      <c r="L304" s="239">
        <v>3749</v>
      </c>
      <c r="M304" s="238" t="s">
        <v>589</v>
      </c>
      <c r="N304" s="237">
        <v>8.23</v>
      </c>
      <c r="O304" s="236">
        <f>IF(N304&gt;0,1/N304*37.7*68.6,"")</f>
        <v>314.24301336573512</v>
      </c>
      <c r="P304" s="235">
        <v>8.1199999999999992</v>
      </c>
      <c r="Q304" s="234" t="s">
        <v>834</v>
      </c>
      <c r="R304" s="234" t="s">
        <v>911</v>
      </c>
      <c r="S304" s="234" t="s">
        <v>34</v>
      </c>
      <c r="T304" s="233" t="s">
        <v>751</v>
      </c>
      <c r="U304" s="232"/>
      <c r="V304" s="231">
        <f>IFERROR(IF(N304&lt;P304,"",(ROUNDDOWN(N304/P304*100,0))),"")</f>
        <v>101</v>
      </c>
      <c r="W304" s="230"/>
      <c r="X304" s="230"/>
    </row>
    <row r="305" spans="1:24" s="229" customFormat="1" ht="24" customHeight="1">
      <c r="A305" s="244"/>
      <c r="B305" s="243"/>
      <c r="C305" s="242"/>
      <c r="D305" s="241" t="s">
        <v>923</v>
      </c>
      <c r="E305" s="240" t="s">
        <v>912</v>
      </c>
      <c r="F305" s="240">
        <v>4.0090000000000003</v>
      </c>
      <c r="G305" s="240">
        <v>440</v>
      </c>
      <c r="H305" s="240">
        <v>110</v>
      </c>
      <c r="I305" s="240" t="s">
        <v>790</v>
      </c>
      <c r="J305" s="208">
        <v>2979</v>
      </c>
      <c r="K305" s="208">
        <v>6893</v>
      </c>
      <c r="L305" s="239">
        <v>3749</v>
      </c>
      <c r="M305" s="238" t="s">
        <v>589</v>
      </c>
      <c r="N305" s="237">
        <v>8.26</v>
      </c>
      <c r="O305" s="236">
        <f>IF(N305&gt;0,1/N305*37.7*68.6,"")</f>
        <v>313.10169491525426</v>
      </c>
      <c r="P305" s="235">
        <v>8.1199999999999992</v>
      </c>
      <c r="Q305" s="234" t="s">
        <v>834</v>
      </c>
      <c r="R305" s="234" t="s">
        <v>911</v>
      </c>
      <c r="S305" s="234" t="s">
        <v>34</v>
      </c>
      <c r="T305" s="233" t="s">
        <v>751</v>
      </c>
      <c r="U305" s="232"/>
      <c r="V305" s="231">
        <f>IFERROR(IF(N305&lt;P305,"",(ROUNDDOWN(N305/P305*100,0))),"")</f>
        <v>101</v>
      </c>
      <c r="W305" s="230"/>
      <c r="X305" s="230"/>
    </row>
    <row r="306" spans="1:24" s="229" customFormat="1" ht="24" customHeight="1">
      <c r="A306" s="244"/>
      <c r="B306" s="243"/>
      <c r="C306" s="242"/>
      <c r="D306" s="241" t="s">
        <v>922</v>
      </c>
      <c r="E306" s="240" t="s">
        <v>912</v>
      </c>
      <c r="F306" s="240">
        <v>4.0090000000000003</v>
      </c>
      <c r="G306" s="240">
        <v>440</v>
      </c>
      <c r="H306" s="240">
        <v>110</v>
      </c>
      <c r="I306" s="240" t="s">
        <v>790</v>
      </c>
      <c r="J306" s="208">
        <v>2979</v>
      </c>
      <c r="K306" s="208">
        <v>6893</v>
      </c>
      <c r="L306" s="239">
        <v>3749</v>
      </c>
      <c r="M306" s="238" t="s">
        <v>589</v>
      </c>
      <c r="N306" s="237">
        <v>8.26</v>
      </c>
      <c r="O306" s="236">
        <f>IF(N306&gt;0,1/N306*37.7*68.6,"")</f>
        <v>313.10169491525426</v>
      </c>
      <c r="P306" s="235">
        <v>8.1199999999999992</v>
      </c>
      <c r="Q306" s="234" t="s">
        <v>834</v>
      </c>
      <c r="R306" s="234" t="s">
        <v>911</v>
      </c>
      <c r="S306" s="234" t="s">
        <v>34</v>
      </c>
      <c r="T306" s="233" t="s">
        <v>751</v>
      </c>
      <c r="U306" s="232"/>
      <c r="V306" s="231">
        <f>IFERROR(IF(N306&lt;P306,"",(ROUNDDOWN(N306/P306*100,0))),"")</f>
        <v>101</v>
      </c>
      <c r="W306" s="230"/>
      <c r="X306" s="230"/>
    </row>
    <row r="307" spans="1:24" s="229" customFormat="1" ht="24" customHeight="1">
      <c r="A307" s="244"/>
      <c r="B307" s="243"/>
      <c r="C307" s="242"/>
      <c r="D307" s="241" t="s">
        <v>921</v>
      </c>
      <c r="E307" s="240" t="s">
        <v>912</v>
      </c>
      <c r="F307" s="240">
        <v>4.0090000000000003</v>
      </c>
      <c r="G307" s="240">
        <v>440</v>
      </c>
      <c r="H307" s="240">
        <v>110</v>
      </c>
      <c r="I307" s="240" t="s">
        <v>71</v>
      </c>
      <c r="J307" s="208">
        <v>2979</v>
      </c>
      <c r="K307" s="208">
        <v>6893</v>
      </c>
      <c r="L307" s="239">
        <v>3749</v>
      </c>
      <c r="M307" s="238" t="s">
        <v>589</v>
      </c>
      <c r="N307" s="237">
        <v>8.23</v>
      </c>
      <c r="O307" s="236">
        <f>IF(N307&gt;0,1/N307*37.7*68.6,"")</f>
        <v>314.24301336573512</v>
      </c>
      <c r="P307" s="235">
        <v>8.1199999999999992</v>
      </c>
      <c r="Q307" s="234" t="s">
        <v>834</v>
      </c>
      <c r="R307" s="234" t="s">
        <v>911</v>
      </c>
      <c r="S307" s="234" t="s">
        <v>34</v>
      </c>
      <c r="T307" s="233" t="s">
        <v>751</v>
      </c>
      <c r="U307" s="232"/>
      <c r="V307" s="231">
        <f>IFERROR(IF(N307&lt;P307,"",(ROUNDDOWN(N307/P307*100,0))),"")</f>
        <v>101</v>
      </c>
      <c r="W307" s="230"/>
      <c r="X307" s="230"/>
    </row>
    <row r="308" spans="1:24" s="229" customFormat="1" ht="24" customHeight="1">
      <c r="A308" s="244"/>
      <c r="B308" s="243"/>
      <c r="C308" s="242"/>
      <c r="D308" s="241" t="s">
        <v>920</v>
      </c>
      <c r="E308" s="240" t="s">
        <v>912</v>
      </c>
      <c r="F308" s="240">
        <v>4.0090000000000003</v>
      </c>
      <c r="G308" s="240">
        <v>470</v>
      </c>
      <c r="H308" s="240">
        <v>132</v>
      </c>
      <c r="I308" s="240" t="s">
        <v>71</v>
      </c>
      <c r="J308" s="208">
        <v>2979</v>
      </c>
      <c r="K308" s="208">
        <v>6893</v>
      </c>
      <c r="L308" s="239">
        <v>3749</v>
      </c>
      <c r="M308" s="238" t="s">
        <v>589</v>
      </c>
      <c r="N308" s="237">
        <v>8.0399999999999991</v>
      </c>
      <c r="O308" s="236">
        <f>IF(N308&gt;0,1/N308*37.7*68.6,"")</f>
        <v>321.66915422885575</v>
      </c>
      <c r="P308" s="235">
        <v>8.1199999999999992</v>
      </c>
      <c r="Q308" s="234" t="s">
        <v>834</v>
      </c>
      <c r="R308" s="234" t="s">
        <v>911</v>
      </c>
      <c r="S308" s="234" t="s">
        <v>34</v>
      </c>
      <c r="T308" s="233" t="s">
        <v>751</v>
      </c>
      <c r="U308" s="232"/>
      <c r="V308" s="231" t="str">
        <f>IFERROR(IF(N308&lt;P308,"",(ROUNDDOWN(N308/P308*100,0))),"")</f>
        <v/>
      </c>
      <c r="W308" s="230"/>
      <c r="X308" s="230"/>
    </row>
    <row r="309" spans="1:24" s="229" customFormat="1" ht="24" customHeight="1">
      <c r="A309" s="244"/>
      <c r="B309" s="243"/>
      <c r="C309" s="242"/>
      <c r="D309" s="241" t="s">
        <v>919</v>
      </c>
      <c r="E309" s="240" t="s">
        <v>912</v>
      </c>
      <c r="F309" s="240">
        <v>4.0090000000000003</v>
      </c>
      <c r="G309" s="240">
        <v>440</v>
      </c>
      <c r="H309" s="240">
        <v>110</v>
      </c>
      <c r="I309" s="240" t="s">
        <v>790</v>
      </c>
      <c r="J309" s="208">
        <v>3543</v>
      </c>
      <c r="K309" s="208">
        <v>7928</v>
      </c>
      <c r="L309" s="239">
        <v>4275</v>
      </c>
      <c r="M309" s="238" t="s">
        <v>589</v>
      </c>
      <c r="N309" s="237">
        <v>7.45</v>
      </c>
      <c r="O309" s="236">
        <f>IF(N309&gt;0,1/N309*37.7*68.6,"")</f>
        <v>347.14362416107377</v>
      </c>
      <c r="P309" s="235">
        <v>7.24</v>
      </c>
      <c r="Q309" s="234" t="s">
        <v>834</v>
      </c>
      <c r="R309" s="234" t="s">
        <v>911</v>
      </c>
      <c r="S309" s="234" t="s">
        <v>34</v>
      </c>
      <c r="T309" s="233" t="s">
        <v>751</v>
      </c>
      <c r="U309" s="232"/>
      <c r="V309" s="231">
        <f>IFERROR(IF(N309&lt;P309,"",(ROUNDDOWN(N309/P309*100,0))),"")</f>
        <v>102</v>
      </c>
      <c r="W309" s="230"/>
      <c r="X309" s="230"/>
    </row>
    <row r="310" spans="1:24" s="229" customFormat="1" ht="24" customHeight="1">
      <c r="A310" s="244"/>
      <c r="B310" s="243"/>
      <c r="C310" s="242"/>
      <c r="D310" s="241" t="s">
        <v>919</v>
      </c>
      <c r="E310" s="240" t="s">
        <v>912</v>
      </c>
      <c r="F310" s="240">
        <v>4.0090000000000003</v>
      </c>
      <c r="G310" s="240">
        <v>440</v>
      </c>
      <c r="H310" s="240">
        <v>110</v>
      </c>
      <c r="I310" s="240" t="s">
        <v>71</v>
      </c>
      <c r="J310" s="208">
        <v>3543</v>
      </c>
      <c r="K310" s="208">
        <v>7928</v>
      </c>
      <c r="L310" s="239">
        <v>4275</v>
      </c>
      <c r="M310" s="238" t="s">
        <v>589</v>
      </c>
      <c r="N310" s="237">
        <v>7.38</v>
      </c>
      <c r="O310" s="236">
        <f>IF(N310&gt;0,1/N310*37.7*68.6,"")</f>
        <v>350.43631436314365</v>
      </c>
      <c r="P310" s="235">
        <v>7.24</v>
      </c>
      <c r="Q310" s="234" t="s">
        <v>834</v>
      </c>
      <c r="R310" s="234" t="s">
        <v>911</v>
      </c>
      <c r="S310" s="234" t="s">
        <v>34</v>
      </c>
      <c r="T310" s="233" t="s">
        <v>751</v>
      </c>
      <c r="U310" s="232"/>
      <c r="V310" s="231">
        <f>IFERROR(IF(N310&lt;P310,"",(ROUNDDOWN(N310/P310*100,0))),"")</f>
        <v>101</v>
      </c>
      <c r="W310" s="230"/>
      <c r="X310" s="230"/>
    </row>
    <row r="311" spans="1:24" s="229" customFormat="1" ht="24" customHeight="1">
      <c r="A311" s="244"/>
      <c r="B311" s="243"/>
      <c r="C311" s="242"/>
      <c r="D311" s="241" t="s">
        <v>918</v>
      </c>
      <c r="E311" s="240" t="s">
        <v>912</v>
      </c>
      <c r="F311" s="240">
        <v>4.0090000000000003</v>
      </c>
      <c r="G311" s="240">
        <v>440</v>
      </c>
      <c r="H311" s="240">
        <v>110</v>
      </c>
      <c r="I311" s="240" t="s">
        <v>790</v>
      </c>
      <c r="J311" s="208">
        <v>3543</v>
      </c>
      <c r="K311" s="208">
        <v>7928</v>
      </c>
      <c r="L311" s="239">
        <v>4275</v>
      </c>
      <c r="M311" s="238" t="s">
        <v>589</v>
      </c>
      <c r="N311" s="237">
        <v>7.45</v>
      </c>
      <c r="O311" s="236">
        <f>IF(N311&gt;0,1/N311*37.7*68.6,"")</f>
        <v>347.14362416107377</v>
      </c>
      <c r="P311" s="235">
        <v>7.24</v>
      </c>
      <c r="Q311" s="234" t="s">
        <v>834</v>
      </c>
      <c r="R311" s="234" t="s">
        <v>911</v>
      </c>
      <c r="S311" s="234" t="s">
        <v>34</v>
      </c>
      <c r="T311" s="233" t="s">
        <v>751</v>
      </c>
      <c r="U311" s="232"/>
      <c r="V311" s="231">
        <f>IFERROR(IF(N311&lt;P311,"",(ROUNDDOWN(N311/P311*100,0))),"")</f>
        <v>102</v>
      </c>
      <c r="W311" s="230"/>
      <c r="X311" s="230"/>
    </row>
    <row r="312" spans="1:24" s="229" customFormat="1" ht="24" customHeight="1">
      <c r="A312" s="244"/>
      <c r="B312" s="243"/>
      <c r="C312" s="242"/>
      <c r="D312" s="241" t="s">
        <v>918</v>
      </c>
      <c r="E312" s="240" t="s">
        <v>912</v>
      </c>
      <c r="F312" s="240">
        <v>4.0090000000000003</v>
      </c>
      <c r="G312" s="240">
        <v>470</v>
      </c>
      <c r="H312" s="240">
        <v>132</v>
      </c>
      <c r="I312" s="240" t="s">
        <v>71</v>
      </c>
      <c r="J312" s="208">
        <v>3543</v>
      </c>
      <c r="K312" s="208">
        <v>7928</v>
      </c>
      <c r="L312" s="239">
        <v>4275</v>
      </c>
      <c r="M312" s="238" t="s">
        <v>589</v>
      </c>
      <c r="N312" s="237">
        <v>7.24</v>
      </c>
      <c r="O312" s="236">
        <f>IF(N312&gt;0,1/N312*37.7*68.6,"")</f>
        <v>357.21270718232046</v>
      </c>
      <c r="P312" s="235">
        <v>7.24</v>
      </c>
      <c r="Q312" s="234" t="s">
        <v>834</v>
      </c>
      <c r="R312" s="234" t="s">
        <v>911</v>
      </c>
      <c r="S312" s="234" t="s">
        <v>34</v>
      </c>
      <c r="T312" s="233" t="s">
        <v>751</v>
      </c>
      <c r="U312" s="232"/>
      <c r="V312" s="231">
        <f>IFERROR(IF(N312&lt;P312,"",(ROUNDDOWN(N312/P312*100,0))),"")</f>
        <v>100</v>
      </c>
      <c r="W312" s="230"/>
      <c r="X312" s="230"/>
    </row>
    <row r="313" spans="1:24" s="229" customFormat="1" ht="24" customHeight="1">
      <c r="A313" s="244"/>
      <c r="B313" s="243"/>
      <c r="C313" s="242"/>
      <c r="D313" s="241" t="s">
        <v>917</v>
      </c>
      <c r="E313" s="240" t="s">
        <v>912</v>
      </c>
      <c r="F313" s="240">
        <v>4.0090000000000003</v>
      </c>
      <c r="G313" s="240">
        <v>440</v>
      </c>
      <c r="H313" s="240">
        <v>110</v>
      </c>
      <c r="I313" s="240" t="s">
        <v>71</v>
      </c>
      <c r="J313" s="208">
        <v>3543</v>
      </c>
      <c r="K313" s="208">
        <v>7928</v>
      </c>
      <c r="L313" s="239">
        <v>4275</v>
      </c>
      <c r="M313" s="238" t="s">
        <v>589</v>
      </c>
      <c r="N313" s="237">
        <v>7.38</v>
      </c>
      <c r="O313" s="236">
        <f>IF(N313&gt;0,1/N313*37.7*68.6,"")</f>
        <v>350.43631436314365</v>
      </c>
      <c r="P313" s="235">
        <v>7.24</v>
      </c>
      <c r="Q313" s="234" t="s">
        <v>834</v>
      </c>
      <c r="R313" s="234" t="s">
        <v>911</v>
      </c>
      <c r="S313" s="234" t="s">
        <v>34</v>
      </c>
      <c r="T313" s="233" t="s">
        <v>751</v>
      </c>
      <c r="U313" s="232"/>
      <c r="V313" s="231">
        <f>IFERROR(IF(N313&lt;P313,"",(ROUNDDOWN(N313/P313*100,0))),"")</f>
        <v>101</v>
      </c>
      <c r="W313" s="230"/>
      <c r="X313" s="230"/>
    </row>
    <row r="314" spans="1:24" s="229" customFormat="1" ht="24" customHeight="1">
      <c r="A314" s="244"/>
      <c r="B314" s="243"/>
      <c r="C314" s="242"/>
      <c r="D314" s="241" t="s">
        <v>916</v>
      </c>
      <c r="E314" s="240" t="s">
        <v>912</v>
      </c>
      <c r="F314" s="240">
        <v>4.0090000000000003</v>
      </c>
      <c r="G314" s="240">
        <v>440</v>
      </c>
      <c r="H314" s="240">
        <v>110</v>
      </c>
      <c r="I314" s="240" t="s">
        <v>71</v>
      </c>
      <c r="J314" s="208">
        <v>3543</v>
      </c>
      <c r="K314" s="208">
        <v>7928</v>
      </c>
      <c r="L314" s="239">
        <v>4275</v>
      </c>
      <c r="M314" s="238" t="s">
        <v>589</v>
      </c>
      <c r="N314" s="237">
        <v>7.38</v>
      </c>
      <c r="O314" s="236">
        <f>IF(N314&gt;0,1/N314*37.7*68.6,"")</f>
        <v>350.43631436314365</v>
      </c>
      <c r="P314" s="235">
        <v>7.24</v>
      </c>
      <c r="Q314" s="234" t="s">
        <v>834</v>
      </c>
      <c r="R314" s="234" t="s">
        <v>911</v>
      </c>
      <c r="S314" s="234" t="s">
        <v>34</v>
      </c>
      <c r="T314" s="233" t="s">
        <v>751</v>
      </c>
      <c r="U314" s="232"/>
      <c r="V314" s="231">
        <f>IFERROR(IF(N314&lt;P314,"",(ROUNDDOWN(N314/P314*100,0))),"")</f>
        <v>101</v>
      </c>
      <c r="W314" s="230"/>
      <c r="X314" s="230"/>
    </row>
    <row r="315" spans="1:24" s="229" customFormat="1" ht="24" customHeight="1">
      <c r="A315" s="244"/>
      <c r="B315" s="243"/>
      <c r="C315" s="242"/>
      <c r="D315" s="241" t="s">
        <v>915</v>
      </c>
      <c r="E315" s="240" t="s">
        <v>912</v>
      </c>
      <c r="F315" s="240">
        <v>4.0090000000000003</v>
      </c>
      <c r="G315" s="240">
        <v>470</v>
      </c>
      <c r="H315" s="240">
        <v>132</v>
      </c>
      <c r="I315" s="240" t="s">
        <v>71</v>
      </c>
      <c r="J315" s="208">
        <v>3543</v>
      </c>
      <c r="K315" s="208">
        <v>7928</v>
      </c>
      <c r="L315" s="239">
        <v>4275</v>
      </c>
      <c r="M315" s="238" t="s">
        <v>589</v>
      </c>
      <c r="N315" s="237">
        <v>7.24</v>
      </c>
      <c r="O315" s="236">
        <f>IF(N315&gt;0,1/N315*37.7*68.6,"")</f>
        <v>357.21270718232046</v>
      </c>
      <c r="P315" s="235">
        <v>7.24</v>
      </c>
      <c r="Q315" s="234" t="s">
        <v>834</v>
      </c>
      <c r="R315" s="234" t="s">
        <v>911</v>
      </c>
      <c r="S315" s="234" t="s">
        <v>34</v>
      </c>
      <c r="T315" s="233" t="s">
        <v>751</v>
      </c>
      <c r="U315" s="232"/>
      <c r="V315" s="231">
        <f>IFERROR(IF(N315&lt;P315,"",(ROUNDDOWN(N315/P315*100,0))),"")</f>
        <v>100</v>
      </c>
      <c r="W315" s="230"/>
      <c r="X315" s="230"/>
    </row>
    <row r="316" spans="1:24" s="229" customFormat="1" ht="24" customHeight="1">
      <c r="A316" s="244"/>
      <c r="B316" s="243"/>
      <c r="C316" s="242"/>
      <c r="D316" s="241" t="s">
        <v>914</v>
      </c>
      <c r="E316" s="240" t="s">
        <v>912</v>
      </c>
      <c r="F316" s="240">
        <v>4.0090000000000003</v>
      </c>
      <c r="G316" s="240">
        <v>470</v>
      </c>
      <c r="H316" s="240">
        <v>132</v>
      </c>
      <c r="I316" s="240" t="s">
        <v>71</v>
      </c>
      <c r="J316" s="208">
        <v>3543</v>
      </c>
      <c r="K316" s="208">
        <v>7928</v>
      </c>
      <c r="L316" s="239">
        <v>4275</v>
      </c>
      <c r="M316" s="238" t="s">
        <v>589</v>
      </c>
      <c r="N316" s="237">
        <v>7.07</v>
      </c>
      <c r="O316" s="236">
        <f>IF(N316&gt;0,1/N316*37.7*68.6,"")</f>
        <v>365.80198019801975</v>
      </c>
      <c r="P316" s="235">
        <v>7.24</v>
      </c>
      <c r="Q316" s="234" t="s">
        <v>831</v>
      </c>
      <c r="R316" s="234" t="s">
        <v>911</v>
      </c>
      <c r="S316" s="234" t="s">
        <v>34</v>
      </c>
      <c r="T316" s="233" t="s">
        <v>751</v>
      </c>
      <c r="U316" s="232"/>
      <c r="V316" s="231" t="str">
        <f>IFERROR(IF(N316&lt;P316,"",(ROUNDDOWN(N316/P316*100,0))),"")</f>
        <v/>
      </c>
      <c r="W316" s="230"/>
      <c r="X316" s="230"/>
    </row>
    <row r="317" spans="1:24" s="229" customFormat="1" ht="24" customHeight="1">
      <c r="A317" s="244"/>
      <c r="B317" s="243"/>
      <c r="C317" s="242"/>
      <c r="D317" s="241" t="s">
        <v>913</v>
      </c>
      <c r="E317" s="240" t="s">
        <v>912</v>
      </c>
      <c r="F317" s="240">
        <v>4.0090000000000003</v>
      </c>
      <c r="G317" s="240">
        <v>470</v>
      </c>
      <c r="H317" s="240">
        <v>132</v>
      </c>
      <c r="I317" s="240" t="s">
        <v>71</v>
      </c>
      <c r="J317" s="208">
        <v>3543</v>
      </c>
      <c r="K317" s="208">
        <v>7928</v>
      </c>
      <c r="L317" s="239">
        <v>4275</v>
      </c>
      <c r="M317" s="238" t="s">
        <v>589</v>
      </c>
      <c r="N317" s="237">
        <v>7.07</v>
      </c>
      <c r="O317" s="236">
        <f>IF(N317&gt;0,1/N317*37.7*68.6,"")</f>
        <v>365.80198019801975</v>
      </c>
      <c r="P317" s="235">
        <v>7.24</v>
      </c>
      <c r="Q317" s="234" t="s">
        <v>831</v>
      </c>
      <c r="R317" s="234" t="s">
        <v>911</v>
      </c>
      <c r="S317" s="234" t="s">
        <v>34</v>
      </c>
      <c r="T317" s="233" t="s">
        <v>751</v>
      </c>
      <c r="U317" s="232"/>
      <c r="V317" s="231" t="str">
        <f>IFERROR(IF(N317&lt;P317,"",(ROUNDDOWN(N317/P317*100,0))),"")</f>
        <v/>
      </c>
      <c r="W317" s="230"/>
      <c r="X317" s="230"/>
    </row>
    <row r="318" spans="1:24" ht="24" customHeight="1">
      <c r="A318" s="219"/>
      <c r="B318" s="223"/>
      <c r="C318" s="228"/>
      <c r="D318" s="211" t="s">
        <v>910</v>
      </c>
      <c r="E318" s="209" t="s">
        <v>906</v>
      </c>
      <c r="F318" s="210">
        <v>2.754</v>
      </c>
      <c r="G318" s="209">
        <v>300</v>
      </c>
      <c r="H318" s="209">
        <v>106</v>
      </c>
      <c r="I318" s="209" t="s">
        <v>70</v>
      </c>
      <c r="J318" s="208">
        <v>1957</v>
      </c>
      <c r="K318" s="208">
        <v>3612</v>
      </c>
      <c r="L318" s="207">
        <v>1490</v>
      </c>
      <c r="M318" s="206" t="s">
        <v>775</v>
      </c>
      <c r="N318" s="216">
        <v>11.4</v>
      </c>
      <c r="O318" s="215">
        <f>IF(N318&gt;0,1/N318*37.7*68.6,"")</f>
        <v>226.8614035087719</v>
      </c>
      <c r="P318" s="203">
        <v>10.83</v>
      </c>
      <c r="Q318" s="202" t="s">
        <v>905</v>
      </c>
      <c r="R318" s="201" t="s">
        <v>904</v>
      </c>
      <c r="S318" s="201" t="s">
        <v>34</v>
      </c>
      <c r="T318" s="200"/>
      <c r="U318" s="199"/>
      <c r="V318" s="198">
        <f>IFERROR(IF(N318&lt;P318,"",(ROUNDDOWN(N318/P318*100,0))),"")</f>
        <v>105</v>
      </c>
    </row>
    <row r="319" spans="1:24" ht="24" customHeight="1">
      <c r="A319" s="219"/>
      <c r="B319" s="223"/>
      <c r="C319" s="228"/>
      <c r="D319" s="211" t="s">
        <v>909</v>
      </c>
      <c r="E319" s="209" t="s">
        <v>906</v>
      </c>
      <c r="F319" s="210">
        <v>2.754</v>
      </c>
      <c r="G319" s="209">
        <v>300</v>
      </c>
      <c r="H319" s="209">
        <v>106</v>
      </c>
      <c r="I319" s="209" t="s">
        <v>70</v>
      </c>
      <c r="J319" s="208">
        <v>1957</v>
      </c>
      <c r="K319" s="208">
        <v>3612</v>
      </c>
      <c r="L319" s="207">
        <v>1490</v>
      </c>
      <c r="M319" s="206" t="s">
        <v>775</v>
      </c>
      <c r="N319" s="216">
        <v>11.4</v>
      </c>
      <c r="O319" s="215">
        <f>IF(N319&gt;0,1/N319*37.7*68.6,"")</f>
        <v>226.8614035087719</v>
      </c>
      <c r="P319" s="203">
        <v>10.83</v>
      </c>
      <c r="Q319" s="202" t="s">
        <v>905</v>
      </c>
      <c r="R319" s="201" t="s">
        <v>904</v>
      </c>
      <c r="S319" s="201" t="s">
        <v>110</v>
      </c>
      <c r="T319" s="200"/>
      <c r="U319" s="199"/>
      <c r="V319" s="198">
        <f>IFERROR(IF(N319&lt;P319,"",(ROUNDDOWN(N319/P319*100,0))),"")</f>
        <v>105</v>
      </c>
    </row>
    <row r="320" spans="1:24" ht="24" customHeight="1">
      <c r="A320" s="219"/>
      <c r="B320" s="223"/>
      <c r="C320" s="228"/>
      <c r="D320" s="211" t="s">
        <v>908</v>
      </c>
      <c r="E320" s="209" t="s">
        <v>906</v>
      </c>
      <c r="F320" s="210">
        <v>2.754</v>
      </c>
      <c r="G320" s="209">
        <v>300</v>
      </c>
      <c r="H320" s="209">
        <v>106</v>
      </c>
      <c r="I320" s="209" t="s">
        <v>790</v>
      </c>
      <c r="J320" s="208">
        <v>1957</v>
      </c>
      <c r="K320" s="208">
        <v>3612</v>
      </c>
      <c r="L320" s="207">
        <v>1490</v>
      </c>
      <c r="M320" s="206" t="s">
        <v>775</v>
      </c>
      <c r="N320" s="216">
        <v>10.8</v>
      </c>
      <c r="O320" s="215">
        <f>IF(N320&gt;0,1/N320*37.7*68.6,"")</f>
        <v>239.46481481481482</v>
      </c>
      <c r="P320" s="203">
        <v>10.83</v>
      </c>
      <c r="Q320" s="202" t="s">
        <v>905</v>
      </c>
      <c r="R320" s="201" t="s">
        <v>904</v>
      </c>
      <c r="S320" s="201" t="s">
        <v>110</v>
      </c>
      <c r="T320" s="200"/>
      <c r="U320" s="199"/>
      <c r="V320" s="198" t="str">
        <f>IFERROR(IF(N320&lt;P320,"",(ROUNDDOWN(N320/P320*100,0))),"")</f>
        <v/>
      </c>
    </row>
    <row r="321" spans="1:22" ht="24" customHeight="1">
      <c r="A321" s="219"/>
      <c r="B321" s="223"/>
      <c r="C321" s="228"/>
      <c r="D321" s="211" t="s">
        <v>907</v>
      </c>
      <c r="E321" s="209" t="s">
        <v>906</v>
      </c>
      <c r="F321" s="210">
        <v>2.754</v>
      </c>
      <c r="G321" s="209">
        <v>300</v>
      </c>
      <c r="H321" s="209">
        <v>106</v>
      </c>
      <c r="I321" s="209" t="s">
        <v>790</v>
      </c>
      <c r="J321" s="208">
        <v>1957</v>
      </c>
      <c r="K321" s="208">
        <v>3612</v>
      </c>
      <c r="L321" s="207">
        <v>1490</v>
      </c>
      <c r="M321" s="206" t="s">
        <v>775</v>
      </c>
      <c r="N321" s="216">
        <v>10.8</v>
      </c>
      <c r="O321" s="215">
        <f>IF(N321&gt;0,1/N321*37.7*68.6,"")</f>
        <v>239.46481481481482</v>
      </c>
      <c r="P321" s="203">
        <v>10.83</v>
      </c>
      <c r="Q321" s="202" t="s">
        <v>905</v>
      </c>
      <c r="R321" s="201" t="s">
        <v>904</v>
      </c>
      <c r="S321" s="201" t="s">
        <v>34</v>
      </c>
      <c r="T321" s="200"/>
      <c r="U321" s="199"/>
      <c r="V321" s="198" t="str">
        <f>IFERROR(IF(N321&lt;P321,"",(ROUNDDOWN(N321/P321*100,0))),"")</f>
        <v/>
      </c>
    </row>
    <row r="322" spans="1:22" ht="24" customHeight="1">
      <c r="A322" s="219"/>
      <c r="B322" s="223"/>
      <c r="C322" s="228"/>
      <c r="D322" s="211" t="s">
        <v>907</v>
      </c>
      <c r="E322" s="209" t="s">
        <v>906</v>
      </c>
      <c r="F322" s="210">
        <v>2.754</v>
      </c>
      <c r="G322" s="209">
        <v>300</v>
      </c>
      <c r="H322" s="209">
        <v>106</v>
      </c>
      <c r="I322" s="209" t="s">
        <v>70</v>
      </c>
      <c r="J322" s="208">
        <v>2356</v>
      </c>
      <c r="K322" s="208">
        <v>4521</v>
      </c>
      <c r="L322" s="207">
        <v>2000</v>
      </c>
      <c r="M322" s="206" t="s">
        <v>775</v>
      </c>
      <c r="N322" s="216">
        <v>10.199999999999999</v>
      </c>
      <c r="O322" s="215">
        <f>IF(N322&gt;0,1/N322*37.7*68.6,"")</f>
        <v>253.55098039215687</v>
      </c>
      <c r="P322" s="203">
        <v>10.35</v>
      </c>
      <c r="Q322" s="202" t="s">
        <v>905</v>
      </c>
      <c r="R322" s="201" t="s">
        <v>904</v>
      </c>
      <c r="S322" s="201" t="s">
        <v>34</v>
      </c>
      <c r="T322" s="200"/>
      <c r="U322" s="199"/>
      <c r="V322" s="198" t="str">
        <f>IFERROR(IF(N322&lt;P322,"",(ROUNDDOWN(N322/P322*100,0))),"")</f>
        <v/>
      </c>
    </row>
    <row r="323" spans="1:22" ht="24" customHeight="1">
      <c r="A323" s="219"/>
      <c r="B323" s="223"/>
      <c r="C323" s="228"/>
      <c r="D323" s="211" t="s">
        <v>907</v>
      </c>
      <c r="E323" s="209" t="s">
        <v>906</v>
      </c>
      <c r="F323" s="210">
        <v>2.754</v>
      </c>
      <c r="G323" s="209">
        <v>300</v>
      </c>
      <c r="H323" s="209">
        <v>106</v>
      </c>
      <c r="I323" s="209" t="s">
        <v>790</v>
      </c>
      <c r="J323" s="208">
        <v>2356</v>
      </c>
      <c r="K323" s="208">
        <v>4521</v>
      </c>
      <c r="L323" s="207">
        <v>2000</v>
      </c>
      <c r="M323" s="206" t="s">
        <v>775</v>
      </c>
      <c r="N323" s="216">
        <v>9.9</v>
      </c>
      <c r="O323" s="215">
        <f>IF(N323&gt;0,1/N323*37.7*68.6,"")</f>
        <v>261.23434343434343</v>
      </c>
      <c r="P323" s="203">
        <v>10.35</v>
      </c>
      <c r="Q323" s="202" t="s">
        <v>905</v>
      </c>
      <c r="R323" s="201" t="s">
        <v>904</v>
      </c>
      <c r="S323" s="201" t="s">
        <v>34</v>
      </c>
      <c r="T323" s="200"/>
      <c r="U323" s="199"/>
      <c r="V323" s="198" t="str">
        <f>IFERROR(IF(N323&lt;P323,"",(ROUNDDOWN(N323/P323*100,0))),"")</f>
        <v/>
      </c>
    </row>
    <row r="324" spans="1:22" ht="24" customHeight="1">
      <c r="A324" s="219"/>
      <c r="B324" s="218"/>
      <c r="C324" s="217" t="s">
        <v>903</v>
      </c>
      <c r="D324" s="227" t="s">
        <v>867</v>
      </c>
      <c r="E324" s="209" t="s">
        <v>869</v>
      </c>
      <c r="F324" s="210">
        <v>5.1230000000000002</v>
      </c>
      <c r="G324" s="209">
        <v>794</v>
      </c>
      <c r="H324" s="209">
        <v>177</v>
      </c>
      <c r="I324" s="209" t="s">
        <v>878</v>
      </c>
      <c r="J324" s="208">
        <v>3543</v>
      </c>
      <c r="K324" s="208">
        <v>7928</v>
      </c>
      <c r="L324" s="207">
        <v>4275</v>
      </c>
      <c r="M324" s="206" t="s">
        <v>775</v>
      </c>
      <c r="N324" s="216">
        <v>7.7</v>
      </c>
      <c r="O324" s="215">
        <f>IF(N324&gt;0,1/N324*37.7*68.6,"")</f>
        <v>335.87272727272722</v>
      </c>
      <c r="P324" s="203">
        <v>7.24</v>
      </c>
      <c r="Q324" s="202" t="s">
        <v>871</v>
      </c>
      <c r="R324" s="201" t="s">
        <v>760</v>
      </c>
      <c r="S324" s="201" t="s">
        <v>34</v>
      </c>
      <c r="T324" s="200"/>
      <c r="U324" s="199"/>
      <c r="V324" s="198">
        <f>IFERROR(IF(N324&lt;P324,"",(ROUNDDOWN(N324/P324*100,0))),"")</f>
        <v>106</v>
      </c>
    </row>
    <row r="325" spans="1:22" ht="24" customHeight="1">
      <c r="A325" s="219"/>
      <c r="B325" s="223"/>
      <c r="C325" s="228"/>
      <c r="D325" s="227" t="s">
        <v>866</v>
      </c>
      <c r="E325" s="209" t="s">
        <v>869</v>
      </c>
      <c r="F325" s="210">
        <v>5.1230000000000002</v>
      </c>
      <c r="G325" s="209">
        <v>794</v>
      </c>
      <c r="H325" s="209">
        <v>177</v>
      </c>
      <c r="I325" s="209" t="s">
        <v>878</v>
      </c>
      <c r="J325" s="208">
        <v>3543</v>
      </c>
      <c r="K325" s="208">
        <v>7928</v>
      </c>
      <c r="L325" s="207">
        <v>4275</v>
      </c>
      <c r="M325" s="206" t="s">
        <v>775</v>
      </c>
      <c r="N325" s="216">
        <v>7.6</v>
      </c>
      <c r="O325" s="215">
        <f>IF(N325&gt;0,1/N325*37.7*68.6,"")</f>
        <v>340.29210526315785</v>
      </c>
      <c r="P325" s="203">
        <v>7.24</v>
      </c>
      <c r="Q325" s="202" t="s">
        <v>761</v>
      </c>
      <c r="R325" s="201" t="s">
        <v>760</v>
      </c>
      <c r="S325" s="201" t="s">
        <v>34</v>
      </c>
      <c r="T325" s="200"/>
      <c r="U325" s="199"/>
      <c r="V325" s="198">
        <f>IFERROR(IF(N325&lt;P325,"",(ROUNDDOWN(N325/P325*100,0))),"")</f>
        <v>104</v>
      </c>
    </row>
    <row r="326" spans="1:22" ht="24" customHeight="1">
      <c r="A326" s="219"/>
      <c r="B326" s="223"/>
      <c r="C326" s="228"/>
      <c r="D326" s="227" t="s">
        <v>865</v>
      </c>
      <c r="E326" s="209" t="s">
        <v>869</v>
      </c>
      <c r="F326" s="210">
        <v>5.1230000000000002</v>
      </c>
      <c r="G326" s="209">
        <v>794</v>
      </c>
      <c r="H326" s="209">
        <v>177</v>
      </c>
      <c r="I326" s="209" t="s">
        <v>878</v>
      </c>
      <c r="J326" s="208">
        <v>3543</v>
      </c>
      <c r="K326" s="208">
        <v>7928</v>
      </c>
      <c r="L326" s="207">
        <v>4275</v>
      </c>
      <c r="M326" s="206" t="s">
        <v>775</v>
      </c>
      <c r="N326" s="216">
        <v>7.7</v>
      </c>
      <c r="O326" s="215">
        <f>IF(N326&gt;0,1/N326*37.7*68.6,"")</f>
        <v>335.87272727272722</v>
      </c>
      <c r="P326" s="203">
        <v>7.24</v>
      </c>
      <c r="Q326" s="202" t="s">
        <v>871</v>
      </c>
      <c r="R326" s="201" t="s">
        <v>760</v>
      </c>
      <c r="S326" s="201" t="s">
        <v>34</v>
      </c>
      <c r="T326" s="200"/>
      <c r="U326" s="199"/>
      <c r="V326" s="198">
        <f>IFERROR(IF(N326&lt;P326,"",(ROUNDDOWN(N326/P326*100,0))),"")</f>
        <v>106</v>
      </c>
    </row>
    <row r="327" spans="1:22" ht="24" customHeight="1">
      <c r="A327" s="219"/>
      <c r="B327" s="223"/>
      <c r="C327" s="228"/>
      <c r="D327" s="227" t="s">
        <v>864</v>
      </c>
      <c r="E327" s="209" t="s">
        <v>869</v>
      </c>
      <c r="F327" s="210">
        <v>5.1230000000000002</v>
      </c>
      <c r="G327" s="209">
        <v>794</v>
      </c>
      <c r="H327" s="209">
        <v>177</v>
      </c>
      <c r="I327" s="209" t="s">
        <v>878</v>
      </c>
      <c r="J327" s="208">
        <v>3543</v>
      </c>
      <c r="K327" s="208">
        <v>7928</v>
      </c>
      <c r="L327" s="207">
        <v>4275</v>
      </c>
      <c r="M327" s="206" t="s">
        <v>775</v>
      </c>
      <c r="N327" s="216">
        <v>7.6</v>
      </c>
      <c r="O327" s="215">
        <f>IF(N327&gt;0,1/N327*37.7*68.6,"")</f>
        <v>340.29210526315785</v>
      </c>
      <c r="P327" s="203">
        <v>7.24</v>
      </c>
      <c r="Q327" s="202" t="s">
        <v>761</v>
      </c>
      <c r="R327" s="201" t="s">
        <v>760</v>
      </c>
      <c r="S327" s="201" t="s">
        <v>34</v>
      </c>
      <c r="T327" s="200"/>
      <c r="U327" s="199"/>
      <c r="V327" s="198">
        <f>IFERROR(IF(N327&lt;P327,"",(ROUNDDOWN(N327/P327*100,0))),"")</f>
        <v>104</v>
      </c>
    </row>
    <row r="328" spans="1:22" ht="24" customHeight="1">
      <c r="A328" s="219"/>
      <c r="B328" s="223"/>
      <c r="C328" s="228"/>
      <c r="D328" s="227" t="s">
        <v>863</v>
      </c>
      <c r="E328" s="209" t="s">
        <v>869</v>
      </c>
      <c r="F328" s="210">
        <v>5.1230000000000002</v>
      </c>
      <c r="G328" s="209">
        <v>794</v>
      </c>
      <c r="H328" s="209">
        <v>177</v>
      </c>
      <c r="I328" s="209" t="s">
        <v>878</v>
      </c>
      <c r="J328" s="208">
        <v>3543</v>
      </c>
      <c r="K328" s="208">
        <v>7928</v>
      </c>
      <c r="L328" s="207">
        <v>4275</v>
      </c>
      <c r="M328" s="206" t="s">
        <v>775</v>
      </c>
      <c r="N328" s="216">
        <v>7.7</v>
      </c>
      <c r="O328" s="215">
        <f>IF(N328&gt;0,1/N328*37.7*68.6,"")</f>
        <v>335.87272727272722</v>
      </c>
      <c r="P328" s="203">
        <v>7.24</v>
      </c>
      <c r="Q328" s="202" t="s">
        <v>871</v>
      </c>
      <c r="R328" s="201" t="s">
        <v>760</v>
      </c>
      <c r="S328" s="201" t="s">
        <v>34</v>
      </c>
      <c r="T328" s="200"/>
      <c r="U328" s="199"/>
      <c r="V328" s="198">
        <f>IFERROR(IF(N328&lt;P328,"",(ROUNDDOWN(N328/P328*100,0))),"")</f>
        <v>106</v>
      </c>
    </row>
    <row r="329" spans="1:22" ht="24" customHeight="1">
      <c r="A329" s="219"/>
      <c r="B329" s="223"/>
      <c r="C329" s="228"/>
      <c r="D329" s="227" t="s">
        <v>862</v>
      </c>
      <c r="E329" s="209" t="s">
        <v>869</v>
      </c>
      <c r="F329" s="210">
        <v>5.1230000000000002</v>
      </c>
      <c r="G329" s="209">
        <v>794</v>
      </c>
      <c r="H329" s="209">
        <v>177</v>
      </c>
      <c r="I329" s="209" t="s">
        <v>878</v>
      </c>
      <c r="J329" s="208">
        <v>3543</v>
      </c>
      <c r="K329" s="208">
        <v>7928</v>
      </c>
      <c r="L329" s="207">
        <v>4275</v>
      </c>
      <c r="M329" s="206" t="s">
        <v>775</v>
      </c>
      <c r="N329" s="216">
        <v>7.6</v>
      </c>
      <c r="O329" s="215">
        <f>IF(N329&gt;0,1/N329*37.7*68.6,"")</f>
        <v>340.29210526315785</v>
      </c>
      <c r="P329" s="203">
        <v>7.24</v>
      </c>
      <c r="Q329" s="202" t="s">
        <v>761</v>
      </c>
      <c r="R329" s="201" t="s">
        <v>760</v>
      </c>
      <c r="S329" s="201" t="s">
        <v>34</v>
      </c>
      <c r="T329" s="200"/>
      <c r="U329" s="199"/>
      <c r="V329" s="198">
        <f>IFERROR(IF(N329&lt;P329,"",(ROUNDDOWN(N329/P329*100,0))),"")</f>
        <v>104</v>
      </c>
    </row>
    <row r="330" spans="1:22" ht="24" customHeight="1">
      <c r="A330" s="219"/>
      <c r="B330" s="223"/>
      <c r="C330" s="228"/>
      <c r="D330" s="227" t="s">
        <v>862</v>
      </c>
      <c r="E330" s="209" t="s">
        <v>869</v>
      </c>
      <c r="F330" s="210">
        <v>5.1230000000000002</v>
      </c>
      <c r="G330" s="209">
        <v>794</v>
      </c>
      <c r="H330" s="209">
        <v>177</v>
      </c>
      <c r="I330" s="209" t="s">
        <v>790</v>
      </c>
      <c r="J330" s="208">
        <v>3543</v>
      </c>
      <c r="K330" s="208">
        <v>7928</v>
      </c>
      <c r="L330" s="207">
        <v>4275</v>
      </c>
      <c r="M330" s="206" t="s">
        <v>775</v>
      </c>
      <c r="N330" s="216">
        <v>7.3</v>
      </c>
      <c r="O330" s="215">
        <f>IF(N330&gt;0,1/N330*37.7*68.6,"")</f>
        <v>354.27671232876708</v>
      </c>
      <c r="P330" s="203">
        <v>7.24</v>
      </c>
      <c r="Q330" s="202" t="s">
        <v>871</v>
      </c>
      <c r="R330" s="201" t="s">
        <v>760</v>
      </c>
      <c r="S330" s="201" t="s">
        <v>34</v>
      </c>
      <c r="T330" s="200"/>
      <c r="U330" s="199"/>
      <c r="V330" s="198">
        <f>IFERROR(IF(N330&lt;P330,"",(ROUNDDOWN(N330/P330*100,0))),"")</f>
        <v>100</v>
      </c>
    </row>
    <row r="331" spans="1:22" ht="24" customHeight="1">
      <c r="A331" s="219"/>
      <c r="B331" s="223"/>
      <c r="C331" s="228"/>
      <c r="D331" s="227" t="s">
        <v>861</v>
      </c>
      <c r="E331" s="209" t="s">
        <v>869</v>
      </c>
      <c r="F331" s="210">
        <v>5.1230000000000002</v>
      </c>
      <c r="G331" s="209">
        <v>794</v>
      </c>
      <c r="H331" s="209">
        <v>177</v>
      </c>
      <c r="I331" s="209" t="s">
        <v>790</v>
      </c>
      <c r="J331" s="208">
        <v>3543</v>
      </c>
      <c r="K331" s="208">
        <v>7928</v>
      </c>
      <c r="L331" s="207">
        <v>4275</v>
      </c>
      <c r="M331" s="206" t="s">
        <v>775</v>
      </c>
      <c r="N331" s="216">
        <v>6.8</v>
      </c>
      <c r="O331" s="215">
        <f>IF(N331&gt;0,1/N331*37.7*68.6,"")</f>
        <v>380.32647058823534</v>
      </c>
      <c r="P331" s="203">
        <v>7.24</v>
      </c>
      <c r="Q331" s="202" t="s">
        <v>761</v>
      </c>
      <c r="R331" s="201" t="s">
        <v>760</v>
      </c>
      <c r="S331" s="201" t="s">
        <v>34</v>
      </c>
      <c r="T331" s="200"/>
      <c r="U331" s="199"/>
      <c r="V331" s="198" t="str">
        <f>IFERROR(IF(N331&lt;P331,"",(ROUNDDOWN(N331/P331*100,0))),"")</f>
        <v/>
      </c>
    </row>
    <row r="332" spans="1:22" ht="24" customHeight="1">
      <c r="A332" s="219"/>
      <c r="B332" s="223"/>
      <c r="C332" s="228"/>
      <c r="D332" s="227" t="s">
        <v>860</v>
      </c>
      <c r="E332" s="209" t="s">
        <v>869</v>
      </c>
      <c r="F332" s="210">
        <v>5.1230000000000002</v>
      </c>
      <c r="G332" s="209">
        <v>794</v>
      </c>
      <c r="H332" s="209">
        <v>177</v>
      </c>
      <c r="I332" s="209" t="s">
        <v>878</v>
      </c>
      <c r="J332" s="208">
        <v>3543</v>
      </c>
      <c r="K332" s="208">
        <v>7928</v>
      </c>
      <c r="L332" s="207">
        <v>4275</v>
      </c>
      <c r="M332" s="206" t="s">
        <v>775</v>
      </c>
      <c r="N332" s="216">
        <v>7.7</v>
      </c>
      <c r="O332" s="215">
        <f>IF(N332&gt;0,1/N332*37.7*68.6,"")</f>
        <v>335.87272727272722</v>
      </c>
      <c r="P332" s="203">
        <v>7.24</v>
      </c>
      <c r="Q332" s="202" t="s">
        <v>871</v>
      </c>
      <c r="R332" s="201" t="s">
        <v>760</v>
      </c>
      <c r="S332" s="201" t="s">
        <v>34</v>
      </c>
      <c r="T332" s="200"/>
      <c r="U332" s="199"/>
      <c r="V332" s="198">
        <f>IFERROR(IF(N332&lt;P332,"",(ROUNDDOWN(N332/P332*100,0))),"")</f>
        <v>106</v>
      </c>
    </row>
    <row r="333" spans="1:22" ht="24" customHeight="1">
      <c r="A333" s="219"/>
      <c r="B333" s="223"/>
      <c r="C333" s="228"/>
      <c r="D333" s="227" t="s">
        <v>859</v>
      </c>
      <c r="E333" s="209" t="s">
        <v>869</v>
      </c>
      <c r="F333" s="210">
        <v>5.1230000000000002</v>
      </c>
      <c r="G333" s="209">
        <v>794</v>
      </c>
      <c r="H333" s="209">
        <v>177</v>
      </c>
      <c r="I333" s="209" t="s">
        <v>878</v>
      </c>
      <c r="J333" s="208">
        <v>3543</v>
      </c>
      <c r="K333" s="208">
        <v>7928</v>
      </c>
      <c r="L333" s="207">
        <v>4275</v>
      </c>
      <c r="M333" s="206" t="s">
        <v>775</v>
      </c>
      <c r="N333" s="216">
        <v>7.6</v>
      </c>
      <c r="O333" s="215">
        <f>IF(N333&gt;0,1/N333*37.7*68.6,"")</f>
        <v>340.29210526315785</v>
      </c>
      <c r="P333" s="203">
        <v>7.24</v>
      </c>
      <c r="Q333" s="202" t="s">
        <v>761</v>
      </c>
      <c r="R333" s="201" t="s">
        <v>760</v>
      </c>
      <c r="S333" s="201" t="s">
        <v>34</v>
      </c>
      <c r="T333" s="200"/>
      <c r="U333" s="199"/>
      <c r="V333" s="198">
        <f>IFERROR(IF(N333&lt;P333,"",(ROUNDDOWN(N333/P333*100,0))),"")</f>
        <v>104</v>
      </c>
    </row>
    <row r="334" spans="1:22" ht="24" customHeight="1">
      <c r="A334" s="219"/>
      <c r="B334" s="223"/>
      <c r="C334" s="228"/>
      <c r="D334" s="227" t="s">
        <v>858</v>
      </c>
      <c r="E334" s="209" t="s">
        <v>869</v>
      </c>
      <c r="F334" s="210">
        <v>5.1230000000000002</v>
      </c>
      <c r="G334" s="209">
        <v>794</v>
      </c>
      <c r="H334" s="209">
        <v>177</v>
      </c>
      <c r="I334" s="209" t="s">
        <v>30</v>
      </c>
      <c r="J334" s="208">
        <v>3543</v>
      </c>
      <c r="K334" s="208">
        <v>7928</v>
      </c>
      <c r="L334" s="207">
        <v>4275</v>
      </c>
      <c r="M334" s="206" t="s">
        <v>775</v>
      </c>
      <c r="N334" s="216">
        <v>7.7</v>
      </c>
      <c r="O334" s="215">
        <f>IF(N334&gt;0,1/N334*37.7*68.6,"")</f>
        <v>335.87272727272722</v>
      </c>
      <c r="P334" s="203">
        <v>7.24</v>
      </c>
      <c r="Q334" s="202" t="s">
        <v>871</v>
      </c>
      <c r="R334" s="201" t="s">
        <v>760</v>
      </c>
      <c r="S334" s="201" t="s">
        <v>34</v>
      </c>
      <c r="T334" s="200"/>
      <c r="U334" s="199"/>
      <c r="V334" s="198">
        <f>IFERROR(IF(N334&lt;P334,"",(ROUNDDOWN(N334/P334*100,0))),"")</f>
        <v>106</v>
      </c>
    </row>
    <row r="335" spans="1:22" ht="24" customHeight="1">
      <c r="A335" s="219"/>
      <c r="B335" s="223"/>
      <c r="C335" s="228"/>
      <c r="D335" s="227" t="s">
        <v>857</v>
      </c>
      <c r="E335" s="209" t="s">
        <v>869</v>
      </c>
      <c r="F335" s="210">
        <v>5.1230000000000002</v>
      </c>
      <c r="G335" s="209">
        <v>794</v>
      </c>
      <c r="H335" s="209">
        <v>177</v>
      </c>
      <c r="I335" s="209" t="s">
        <v>30</v>
      </c>
      <c r="J335" s="208">
        <v>3543</v>
      </c>
      <c r="K335" s="208">
        <v>7928</v>
      </c>
      <c r="L335" s="207">
        <v>4275</v>
      </c>
      <c r="M335" s="206" t="s">
        <v>775</v>
      </c>
      <c r="N335" s="216">
        <v>7.6</v>
      </c>
      <c r="O335" s="215">
        <f>IF(N335&gt;0,1/N335*37.7*68.6,"")</f>
        <v>340.29210526315785</v>
      </c>
      <c r="P335" s="203">
        <v>7.24</v>
      </c>
      <c r="Q335" s="202" t="s">
        <v>761</v>
      </c>
      <c r="R335" s="201" t="s">
        <v>760</v>
      </c>
      <c r="S335" s="201" t="s">
        <v>34</v>
      </c>
      <c r="T335" s="200"/>
      <c r="U335" s="199"/>
      <c r="V335" s="198">
        <f>IFERROR(IF(N335&lt;P335,"",(ROUNDDOWN(N335/P335*100,0))),"")</f>
        <v>104</v>
      </c>
    </row>
    <row r="336" spans="1:22" ht="24" customHeight="1">
      <c r="A336" s="219"/>
      <c r="B336" s="223"/>
      <c r="C336" s="228"/>
      <c r="D336" s="227" t="s">
        <v>856</v>
      </c>
      <c r="E336" s="209" t="s">
        <v>869</v>
      </c>
      <c r="F336" s="210">
        <v>5.1230000000000002</v>
      </c>
      <c r="G336" s="209">
        <v>794</v>
      </c>
      <c r="H336" s="209">
        <v>177</v>
      </c>
      <c r="I336" s="209" t="s">
        <v>71</v>
      </c>
      <c r="J336" s="208">
        <v>3543</v>
      </c>
      <c r="K336" s="208">
        <v>7928</v>
      </c>
      <c r="L336" s="207">
        <v>4275</v>
      </c>
      <c r="M336" s="206" t="s">
        <v>775</v>
      </c>
      <c r="N336" s="216">
        <v>7.6</v>
      </c>
      <c r="O336" s="215">
        <f>IF(N336&gt;0,1/N336*37.7*68.6,"")</f>
        <v>340.29210526315785</v>
      </c>
      <c r="P336" s="203">
        <v>7.24</v>
      </c>
      <c r="Q336" s="202" t="s">
        <v>871</v>
      </c>
      <c r="R336" s="201" t="s">
        <v>760</v>
      </c>
      <c r="S336" s="201" t="s">
        <v>110</v>
      </c>
      <c r="T336" s="200"/>
      <c r="U336" s="199"/>
      <c r="V336" s="198">
        <f>IFERROR(IF(N336&lt;P336,"",(ROUNDDOWN(N336/P336*100,0))),"")</f>
        <v>104</v>
      </c>
    </row>
    <row r="337" spans="1:22" ht="24" customHeight="1">
      <c r="A337" s="219"/>
      <c r="B337" s="223"/>
      <c r="C337" s="228"/>
      <c r="D337" s="227" t="s">
        <v>856</v>
      </c>
      <c r="E337" s="209" t="s">
        <v>869</v>
      </c>
      <c r="F337" s="210">
        <v>5.1230000000000002</v>
      </c>
      <c r="G337" s="209">
        <v>794</v>
      </c>
      <c r="H337" s="209">
        <v>177</v>
      </c>
      <c r="I337" s="209" t="s">
        <v>71</v>
      </c>
      <c r="J337" s="208">
        <v>3543</v>
      </c>
      <c r="K337" s="208">
        <v>7928</v>
      </c>
      <c r="L337" s="207">
        <v>4275</v>
      </c>
      <c r="M337" s="206" t="s">
        <v>775</v>
      </c>
      <c r="N337" s="216">
        <v>7.5</v>
      </c>
      <c r="O337" s="215">
        <f>IF(N337&gt;0,1/N337*37.7*68.6,"")</f>
        <v>344.82933333333335</v>
      </c>
      <c r="P337" s="203">
        <v>7.24</v>
      </c>
      <c r="Q337" s="202" t="s">
        <v>761</v>
      </c>
      <c r="R337" s="201" t="s">
        <v>760</v>
      </c>
      <c r="S337" s="201" t="s">
        <v>110</v>
      </c>
      <c r="T337" s="200"/>
      <c r="U337" s="199"/>
      <c r="V337" s="198">
        <f>IFERROR(IF(N337&lt;P337,"",(ROUNDDOWN(N337/P337*100,0))),"")</f>
        <v>103</v>
      </c>
    </row>
    <row r="338" spans="1:22" ht="24" customHeight="1">
      <c r="A338" s="219"/>
      <c r="B338" s="223"/>
      <c r="C338" s="228"/>
      <c r="D338" s="227" t="s">
        <v>902</v>
      </c>
      <c r="E338" s="209" t="s">
        <v>869</v>
      </c>
      <c r="F338" s="210">
        <v>5.1230000000000002</v>
      </c>
      <c r="G338" s="209">
        <v>794</v>
      </c>
      <c r="H338" s="209">
        <v>177</v>
      </c>
      <c r="I338" s="209" t="s">
        <v>878</v>
      </c>
      <c r="J338" s="208">
        <v>4048</v>
      </c>
      <c r="K338" s="208">
        <v>11641</v>
      </c>
      <c r="L338" s="207">
        <v>7483</v>
      </c>
      <c r="M338" s="206" t="s">
        <v>775</v>
      </c>
      <c r="N338" s="216">
        <v>6.3</v>
      </c>
      <c r="O338" s="215">
        <f>IF(N338&gt;0,1/N338*37.7*68.6,"")</f>
        <v>410.51111111111106</v>
      </c>
      <c r="P338" s="203">
        <v>6</v>
      </c>
      <c r="Q338" s="202" t="s">
        <v>871</v>
      </c>
      <c r="R338" s="201" t="s">
        <v>760</v>
      </c>
      <c r="S338" s="201" t="s">
        <v>34</v>
      </c>
      <c r="T338" s="200"/>
      <c r="U338" s="199"/>
      <c r="V338" s="198">
        <f>IFERROR(IF(N338&lt;P338,"",(ROUNDDOWN(N338/P338*100,0))),"")</f>
        <v>105</v>
      </c>
    </row>
    <row r="339" spans="1:22" ht="24" customHeight="1">
      <c r="A339" s="219"/>
      <c r="B339" s="223"/>
      <c r="C339" s="228"/>
      <c r="D339" s="227" t="s">
        <v>855</v>
      </c>
      <c r="E339" s="209" t="s">
        <v>869</v>
      </c>
      <c r="F339" s="210">
        <v>5.1230000000000002</v>
      </c>
      <c r="G339" s="209">
        <v>794</v>
      </c>
      <c r="H339" s="209">
        <v>177</v>
      </c>
      <c r="I339" s="209" t="s">
        <v>878</v>
      </c>
      <c r="J339" s="208">
        <v>4048</v>
      </c>
      <c r="K339" s="208">
        <v>11641</v>
      </c>
      <c r="L339" s="207">
        <v>7483</v>
      </c>
      <c r="M339" s="206" t="s">
        <v>775</v>
      </c>
      <c r="N339" s="216">
        <v>6.2</v>
      </c>
      <c r="O339" s="215">
        <f>IF(N339&gt;0,1/N339*37.7*68.6,"")</f>
        <v>417.13225806451612</v>
      </c>
      <c r="P339" s="203">
        <v>6</v>
      </c>
      <c r="Q339" s="202" t="s">
        <v>761</v>
      </c>
      <c r="R339" s="201" t="s">
        <v>760</v>
      </c>
      <c r="S339" s="201" t="s">
        <v>34</v>
      </c>
      <c r="T339" s="200"/>
      <c r="U339" s="199"/>
      <c r="V339" s="198">
        <f>IFERROR(IF(N339&lt;P339,"",(ROUNDDOWN(N339/P339*100,0))),"")</f>
        <v>103</v>
      </c>
    </row>
    <row r="340" spans="1:22" ht="24" customHeight="1">
      <c r="A340" s="219"/>
      <c r="B340" s="223"/>
      <c r="C340" s="228"/>
      <c r="D340" s="227" t="s">
        <v>901</v>
      </c>
      <c r="E340" s="209" t="s">
        <v>869</v>
      </c>
      <c r="F340" s="210">
        <v>5.1230000000000002</v>
      </c>
      <c r="G340" s="209">
        <v>794</v>
      </c>
      <c r="H340" s="209">
        <v>177</v>
      </c>
      <c r="I340" s="209" t="s">
        <v>882</v>
      </c>
      <c r="J340" s="208">
        <v>4048</v>
      </c>
      <c r="K340" s="208">
        <v>11641</v>
      </c>
      <c r="L340" s="207">
        <v>7483</v>
      </c>
      <c r="M340" s="206" t="s">
        <v>775</v>
      </c>
      <c r="N340" s="216">
        <v>6.3</v>
      </c>
      <c r="O340" s="215">
        <f>IF(N340&gt;0,1/N340*37.7*68.6,"")</f>
        <v>410.51111111111106</v>
      </c>
      <c r="P340" s="203">
        <v>6</v>
      </c>
      <c r="Q340" s="202" t="s">
        <v>871</v>
      </c>
      <c r="R340" s="201" t="s">
        <v>760</v>
      </c>
      <c r="S340" s="201" t="s">
        <v>34</v>
      </c>
      <c r="T340" s="200"/>
      <c r="U340" s="199"/>
      <c r="V340" s="198">
        <f>IFERROR(IF(N340&lt;P340,"",(ROUNDDOWN(N340/P340*100,0))),"")</f>
        <v>105</v>
      </c>
    </row>
    <row r="341" spans="1:22" ht="24" customHeight="1">
      <c r="A341" s="219"/>
      <c r="B341" s="223"/>
      <c r="C341" s="228"/>
      <c r="D341" s="227" t="s">
        <v>854</v>
      </c>
      <c r="E341" s="209" t="s">
        <v>869</v>
      </c>
      <c r="F341" s="210">
        <v>5.1230000000000002</v>
      </c>
      <c r="G341" s="209">
        <v>794</v>
      </c>
      <c r="H341" s="209">
        <v>177</v>
      </c>
      <c r="I341" s="209" t="s">
        <v>882</v>
      </c>
      <c r="J341" s="208">
        <v>4048</v>
      </c>
      <c r="K341" s="208">
        <v>11641</v>
      </c>
      <c r="L341" s="207">
        <v>7483</v>
      </c>
      <c r="M341" s="206" t="s">
        <v>775</v>
      </c>
      <c r="N341" s="216">
        <v>6.2</v>
      </c>
      <c r="O341" s="215">
        <f>IF(N341&gt;0,1/N341*37.7*68.6,"")</f>
        <v>417.13225806451612</v>
      </c>
      <c r="P341" s="203">
        <v>6</v>
      </c>
      <c r="Q341" s="202" t="s">
        <v>761</v>
      </c>
      <c r="R341" s="201" t="s">
        <v>760</v>
      </c>
      <c r="S341" s="201" t="s">
        <v>34</v>
      </c>
      <c r="T341" s="200"/>
      <c r="U341" s="199"/>
      <c r="V341" s="198">
        <f>IFERROR(IF(N341&lt;P341,"",(ROUNDDOWN(N341/P341*100,0))),"")</f>
        <v>103</v>
      </c>
    </row>
    <row r="342" spans="1:22" ht="24" customHeight="1">
      <c r="A342" s="219"/>
      <c r="B342" s="223"/>
      <c r="C342" s="228"/>
      <c r="D342" s="227" t="s">
        <v>900</v>
      </c>
      <c r="E342" s="209" t="s">
        <v>869</v>
      </c>
      <c r="F342" s="210">
        <v>5.1230000000000002</v>
      </c>
      <c r="G342" s="209">
        <v>794</v>
      </c>
      <c r="H342" s="209">
        <v>177</v>
      </c>
      <c r="I342" s="209" t="s">
        <v>878</v>
      </c>
      <c r="J342" s="208">
        <v>4048</v>
      </c>
      <c r="K342" s="208">
        <v>11641</v>
      </c>
      <c r="L342" s="207">
        <v>7483</v>
      </c>
      <c r="M342" s="206" t="s">
        <v>775</v>
      </c>
      <c r="N342" s="216">
        <v>6.3</v>
      </c>
      <c r="O342" s="215">
        <f>IF(N342&gt;0,1/N342*37.7*68.6,"")</f>
        <v>410.51111111111106</v>
      </c>
      <c r="P342" s="203">
        <v>6</v>
      </c>
      <c r="Q342" s="202" t="s">
        <v>871</v>
      </c>
      <c r="R342" s="201" t="s">
        <v>760</v>
      </c>
      <c r="S342" s="201" t="s">
        <v>34</v>
      </c>
      <c r="T342" s="200"/>
      <c r="U342" s="199"/>
      <c r="V342" s="198">
        <f>IFERROR(IF(N342&lt;P342,"",(ROUNDDOWN(N342/P342*100,0))),"")</f>
        <v>105</v>
      </c>
    </row>
    <row r="343" spans="1:22" ht="24" customHeight="1">
      <c r="A343" s="219"/>
      <c r="B343" s="223"/>
      <c r="C343" s="228"/>
      <c r="D343" s="227" t="s">
        <v>853</v>
      </c>
      <c r="E343" s="209" t="s">
        <v>869</v>
      </c>
      <c r="F343" s="210">
        <v>5.1230000000000002</v>
      </c>
      <c r="G343" s="209">
        <v>794</v>
      </c>
      <c r="H343" s="209">
        <v>177</v>
      </c>
      <c r="I343" s="209" t="s">
        <v>878</v>
      </c>
      <c r="J343" s="208">
        <v>4048</v>
      </c>
      <c r="K343" s="208">
        <v>11641</v>
      </c>
      <c r="L343" s="207">
        <v>7483</v>
      </c>
      <c r="M343" s="206" t="s">
        <v>775</v>
      </c>
      <c r="N343" s="216">
        <v>6.2</v>
      </c>
      <c r="O343" s="215">
        <f>IF(N343&gt;0,1/N343*37.7*68.6,"")</f>
        <v>417.13225806451612</v>
      </c>
      <c r="P343" s="203">
        <v>6</v>
      </c>
      <c r="Q343" s="202" t="s">
        <v>761</v>
      </c>
      <c r="R343" s="201" t="s">
        <v>760</v>
      </c>
      <c r="S343" s="201" t="s">
        <v>34</v>
      </c>
      <c r="T343" s="200"/>
      <c r="U343" s="199"/>
      <c r="V343" s="198">
        <f>IFERROR(IF(N343&lt;P343,"",(ROUNDDOWN(N343/P343*100,0))),"")</f>
        <v>103</v>
      </c>
    </row>
    <row r="344" spans="1:22" ht="24" customHeight="1">
      <c r="A344" s="219"/>
      <c r="B344" s="223"/>
      <c r="C344" s="228"/>
      <c r="D344" s="227" t="s">
        <v>853</v>
      </c>
      <c r="E344" s="209" t="s">
        <v>869</v>
      </c>
      <c r="F344" s="210">
        <v>5.1230000000000002</v>
      </c>
      <c r="G344" s="209">
        <v>794</v>
      </c>
      <c r="H344" s="209">
        <v>177</v>
      </c>
      <c r="I344" s="209" t="s">
        <v>790</v>
      </c>
      <c r="J344" s="208">
        <v>4048</v>
      </c>
      <c r="K344" s="208">
        <v>11641</v>
      </c>
      <c r="L344" s="207">
        <v>7483</v>
      </c>
      <c r="M344" s="206" t="s">
        <v>775</v>
      </c>
      <c r="N344" s="216">
        <v>6.1</v>
      </c>
      <c r="O344" s="215">
        <f>IF(N344&gt;0,1/N344*37.7*68.6,"")</f>
        <v>423.97049180327872</v>
      </c>
      <c r="P344" s="203">
        <v>6</v>
      </c>
      <c r="Q344" s="202" t="s">
        <v>871</v>
      </c>
      <c r="R344" s="201" t="s">
        <v>760</v>
      </c>
      <c r="S344" s="201" t="s">
        <v>34</v>
      </c>
      <c r="T344" s="200"/>
      <c r="U344" s="199"/>
      <c r="V344" s="198">
        <f>IFERROR(IF(N344&lt;P344,"",(ROUNDDOWN(N344/P344*100,0))),"")</f>
        <v>101</v>
      </c>
    </row>
    <row r="345" spans="1:22" ht="24" customHeight="1">
      <c r="A345" s="219"/>
      <c r="B345" s="223"/>
      <c r="C345" s="228"/>
      <c r="D345" s="227" t="s">
        <v>852</v>
      </c>
      <c r="E345" s="209" t="s">
        <v>869</v>
      </c>
      <c r="F345" s="210">
        <v>5.1230000000000002</v>
      </c>
      <c r="G345" s="209">
        <v>794</v>
      </c>
      <c r="H345" s="209">
        <v>177</v>
      </c>
      <c r="I345" s="209" t="s">
        <v>790</v>
      </c>
      <c r="J345" s="208">
        <v>4048</v>
      </c>
      <c r="K345" s="208">
        <v>11641</v>
      </c>
      <c r="L345" s="207">
        <v>7483</v>
      </c>
      <c r="M345" s="206" t="s">
        <v>775</v>
      </c>
      <c r="N345" s="216">
        <v>5.7</v>
      </c>
      <c r="O345" s="215">
        <f>IF(N345&gt;0,1/N345*37.7*68.6,"")</f>
        <v>453.7228070175438</v>
      </c>
      <c r="P345" s="203">
        <v>6</v>
      </c>
      <c r="Q345" s="202" t="s">
        <v>761</v>
      </c>
      <c r="R345" s="201" t="s">
        <v>760</v>
      </c>
      <c r="S345" s="201" t="s">
        <v>34</v>
      </c>
      <c r="T345" s="200"/>
      <c r="U345" s="199"/>
      <c r="V345" s="198" t="str">
        <f>IFERROR(IF(N345&lt;P345,"",(ROUNDDOWN(N345/P345*100,0))),"")</f>
        <v/>
      </c>
    </row>
    <row r="346" spans="1:22" ht="24" customHeight="1">
      <c r="A346" s="219"/>
      <c r="B346" s="223"/>
      <c r="C346" s="228"/>
      <c r="D346" s="227" t="s">
        <v>899</v>
      </c>
      <c r="E346" s="209" t="s">
        <v>869</v>
      </c>
      <c r="F346" s="210">
        <v>5.1230000000000002</v>
      </c>
      <c r="G346" s="209">
        <v>794</v>
      </c>
      <c r="H346" s="209">
        <v>177</v>
      </c>
      <c r="I346" s="209" t="s">
        <v>878</v>
      </c>
      <c r="J346" s="208">
        <v>4048</v>
      </c>
      <c r="K346" s="208">
        <v>11641</v>
      </c>
      <c r="L346" s="207">
        <v>7483</v>
      </c>
      <c r="M346" s="206" t="s">
        <v>775</v>
      </c>
      <c r="N346" s="216">
        <v>6.3</v>
      </c>
      <c r="O346" s="215">
        <f>IF(N346&gt;0,1/N346*37.7*68.6,"")</f>
        <v>410.51111111111106</v>
      </c>
      <c r="P346" s="203">
        <v>6</v>
      </c>
      <c r="Q346" s="202" t="s">
        <v>871</v>
      </c>
      <c r="R346" s="201" t="s">
        <v>760</v>
      </c>
      <c r="S346" s="201" t="s">
        <v>34</v>
      </c>
      <c r="T346" s="200"/>
      <c r="U346" s="199"/>
      <c r="V346" s="198">
        <f>IFERROR(IF(N346&lt;P346,"",(ROUNDDOWN(N346/P346*100,0))),"")</f>
        <v>105</v>
      </c>
    </row>
    <row r="347" spans="1:22" ht="24" customHeight="1">
      <c r="A347" s="219"/>
      <c r="B347" s="223"/>
      <c r="C347" s="228"/>
      <c r="D347" s="227" t="s">
        <v>851</v>
      </c>
      <c r="E347" s="209" t="s">
        <v>869</v>
      </c>
      <c r="F347" s="210">
        <v>5.1230000000000002</v>
      </c>
      <c r="G347" s="209">
        <v>794</v>
      </c>
      <c r="H347" s="209">
        <v>177</v>
      </c>
      <c r="I347" s="209" t="s">
        <v>878</v>
      </c>
      <c r="J347" s="208">
        <v>4048</v>
      </c>
      <c r="K347" s="208">
        <v>11641</v>
      </c>
      <c r="L347" s="207">
        <v>7483</v>
      </c>
      <c r="M347" s="206" t="s">
        <v>775</v>
      </c>
      <c r="N347" s="216">
        <v>6.2</v>
      </c>
      <c r="O347" s="215">
        <f>IF(N347&gt;0,1/N347*37.7*68.6,"")</f>
        <v>417.13225806451612</v>
      </c>
      <c r="P347" s="203">
        <v>6</v>
      </c>
      <c r="Q347" s="202" t="s">
        <v>761</v>
      </c>
      <c r="R347" s="201" t="s">
        <v>760</v>
      </c>
      <c r="S347" s="201" t="s">
        <v>34</v>
      </c>
      <c r="T347" s="200"/>
      <c r="U347" s="199"/>
      <c r="V347" s="198">
        <f>IFERROR(IF(N347&lt;P347,"",(ROUNDDOWN(N347/P347*100,0))),"")</f>
        <v>103</v>
      </c>
    </row>
    <row r="348" spans="1:22" ht="24" customHeight="1">
      <c r="A348" s="219"/>
      <c r="B348" s="223"/>
      <c r="C348" s="228"/>
      <c r="D348" s="227" t="s">
        <v>850</v>
      </c>
      <c r="E348" s="209" t="s">
        <v>869</v>
      </c>
      <c r="F348" s="210">
        <v>5.1230000000000002</v>
      </c>
      <c r="G348" s="209">
        <v>794</v>
      </c>
      <c r="H348" s="209">
        <v>177</v>
      </c>
      <c r="I348" s="209" t="s">
        <v>878</v>
      </c>
      <c r="J348" s="208">
        <v>4048</v>
      </c>
      <c r="K348" s="208">
        <v>11641</v>
      </c>
      <c r="L348" s="207">
        <v>7483</v>
      </c>
      <c r="M348" s="206" t="s">
        <v>775</v>
      </c>
      <c r="N348" s="216">
        <v>6.3</v>
      </c>
      <c r="O348" s="215">
        <f>IF(N348&gt;0,1/N348*37.7*68.6,"")</f>
        <v>410.51111111111106</v>
      </c>
      <c r="P348" s="203">
        <v>6</v>
      </c>
      <c r="Q348" s="202" t="s">
        <v>871</v>
      </c>
      <c r="R348" s="201" t="s">
        <v>760</v>
      </c>
      <c r="S348" s="201" t="s">
        <v>110</v>
      </c>
      <c r="T348" s="200"/>
      <c r="U348" s="199"/>
      <c r="V348" s="198">
        <f>IFERROR(IF(N348&lt;P348,"",(ROUNDDOWN(N348/P348*100,0))),"")</f>
        <v>105</v>
      </c>
    </row>
    <row r="349" spans="1:22" ht="24" customHeight="1">
      <c r="A349" s="219"/>
      <c r="B349" s="223"/>
      <c r="C349" s="228"/>
      <c r="D349" s="227" t="s">
        <v>849</v>
      </c>
      <c r="E349" s="209" t="s">
        <v>869</v>
      </c>
      <c r="F349" s="210">
        <v>5.1230000000000002</v>
      </c>
      <c r="G349" s="209">
        <v>794</v>
      </c>
      <c r="H349" s="209">
        <v>177</v>
      </c>
      <c r="I349" s="209" t="s">
        <v>878</v>
      </c>
      <c r="J349" s="208">
        <v>4048</v>
      </c>
      <c r="K349" s="208">
        <v>11641</v>
      </c>
      <c r="L349" s="207">
        <v>7483</v>
      </c>
      <c r="M349" s="206" t="s">
        <v>775</v>
      </c>
      <c r="N349" s="216">
        <v>6.2</v>
      </c>
      <c r="O349" s="215">
        <f>IF(N349&gt;0,1/N349*37.7*68.6,"")</f>
        <v>417.13225806451612</v>
      </c>
      <c r="P349" s="203">
        <v>6</v>
      </c>
      <c r="Q349" s="202" t="s">
        <v>761</v>
      </c>
      <c r="R349" s="201" t="s">
        <v>760</v>
      </c>
      <c r="S349" s="201" t="s">
        <v>110</v>
      </c>
      <c r="T349" s="200"/>
      <c r="U349" s="199"/>
      <c r="V349" s="198">
        <f>IFERROR(IF(N349&lt;P349,"",(ROUNDDOWN(N349/P349*100,0))),"")</f>
        <v>103</v>
      </c>
    </row>
    <row r="350" spans="1:22" ht="24" customHeight="1">
      <c r="A350" s="219"/>
      <c r="B350" s="223"/>
      <c r="C350" s="228"/>
      <c r="D350" s="227" t="s">
        <v>898</v>
      </c>
      <c r="E350" s="209" t="s">
        <v>869</v>
      </c>
      <c r="F350" s="210">
        <v>5.1230000000000002</v>
      </c>
      <c r="G350" s="209">
        <v>794</v>
      </c>
      <c r="H350" s="209">
        <v>177</v>
      </c>
      <c r="I350" s="209" t="s">
        <v>71</v>
      </c>
      <c r="J350" s="208">
        <v>4516</v>
      </c>
      <c r="K350" s="208">
        <v>12618</v>
      </c>
      <c r="L350" s="207">
        <v>7992</v>
      </c>
      <c r="M350" s="206" t="s">
        <v>775</v>
      </c>
      <c r="N350" s="216">
        <v>6</v>
      </c>
      <c r="O350" s="215">
        <f>IF(N350&gt;0,1/N350*37.7*68.6,"")</f>
        <v>431.03666666666663</v>
      </c>
      <c r="P350" s="203">
        <v>5.69</v>
      </c>
      <c r="Q350" s="202" t="s">
        <v>871</v>
      </c>
      <c r="R350" s="201" t="s">
        <v>760</v>
      </c>
      <c r="S350" s="201" t="s">
        <v>34</v>
      </c>
      <c r="T350" s="200"/>
      <c r="U350" s="199"/>
      <c r="V350" s="198">
        <f>IFERROR(IF(N350&lt;P350,"",(ROUNDDOWN(N350/P350*100,0))),"")</f>
        <v>105</v>
      </c>
    </row>
    <row r="351" spans="1:22" ht="24" customHeight="1">
      <c r="A351" s="219"/>
      <c r="B351" s="223"/>
      <c r="C351" s="228"/>
      <c r="D351" s="227" t="s">
        <v>897</v>
      </c>
      <c r="E351" s="209" t="s">
        <v>869</v>
      </c>
      <c r="F351" s="210">
        <v>5.1230000000000002</v>
      </c>
      <c r="G351" s="209">
        <v>794</v>
      </c>
      <c r="H351" s="209">
        <v>177</v>
      </c>
      <c r="I351" s="209" t="s">
        <v>71</v>
      </c>
      <c r="J351" s="208">
        <v>4516</v>
      </c>
      <c r="K351" s="208">
        <v>12618</v>
      </c>
      <c r="L351" s="207">
        <v>7992</v>
      </c>
      <c r="M351" s="206" t="s">
        <v>775</v>
      </c>
      <c r="N351" s="216">
        <v>6</v>
      </c>
      <c r="O351" s="215">
        <f>IF(N351&gt;0,1/N351*37.7*68.6,"")</f>
        <v>431.03666666666663</v>
      </c>
      <c r="P351" s="203">
        <v>5.69</v>
      </c>
      <c r="Q351" s="202" t="s">
        <v>871</v>
      </c>
      <c r="R351" s="201" t="s">
        <v>760</v>
      </c>
      <c r="S351" s="201" t="s">
        <v>34</v>
      </c>
      <c r="T351" s="200"/>
      <c r="U351" s="199"/>
      <c r="V351" s="198">
        <f>IFERROR(IF(N351&lt;P351,"",(ROUNDDOWN(N351/P351*100,0))),"")</f>
        <v>105</v>
      </c>
    </row>
    <row r="352" spans="1:22" ht="24" customHeight="1">
      <c r="A352" s="219"/>
      <c r="B352" s="223"/>
      <c r="C352" s="228"/>
      <c r="D352" s="227" t="s">
        <v>898</v>
      </c>
      <c r="E352" s="209" t="s">
        <v>869</v>
      </c>
      <c r="F352" s="210">
        <v>5.1230000000000002</v>
      </c>
      <c r="G352" s="209">
        <v>833</v>
      </c>
      <c r="H352" s="209">
        <v>177</v>
      </c>
      <c r="I352" s="209" t="s">
        <v>30</v>
      </c>
      <c r="J352" s="208">
        <v>4516</v>
      </c>
      <c r="K352" s="208">
        <v>12618</v>
      </c>
      <c r="L352" s="207">
        <v>7992</v>
      </c>
      <c r="M352" s="206" t="s">
        <v>775</v>
      </c>
      <c r="N352" s="216">
        <v>6</v>
      </c>
      <c r="O352" s="215">
        <f>IF(N352&gt;0,1/N352*37.7*68.6,"")</f>
        <v>431.03666666666663</v>
      </c>
      <c r="P352" s="203">
        <v>5.69</v>
      </c>
      <c r="Q352" s="202" t="s">
        <v>871</v>
      </c>
      <c r="R352" s="201" t="s">
        <v>760</v>
      </c>
      <c r="S352" s="201" t="s">
        <v>34</v>
      </c>
      <c r="T352" s="200"/>
      <c r="U352" s="199"/>
      <c r="V352" s="198">
        <f>IFERROR(IF(N352&lt;P352,"",(ROUNDDOWN(N352/P352*100,0))),"")</f>
        <v>105</v>
      </c>
    </row>
    <row r="353" spans="1:22" ht="24" customHeight="1">
      <c r="A353" s="219"/>
      <c r="B353" s="223"/>
      <c r="C353" s="228"/>
      <c r="D353" s="227" t="s">
        <v>897</v>
      </c>
      <c r="E353" s="209" t="s">
        <v>869</v>
      </c>
      <c r="F353" s="210">
        <v>5.1230000000000002</v>
      </c>
      <c r="G353" s="209">
        <v>833</v>
      </c>
      <c r="H353" s="209">
        <v>177</v>
      </c>
      <c r="I353" s="209" t="s">
        <v>30</v>
      </c>
      <c r="J353" s="208">
        <v>4516</v>
      </c>
      <c r="K353" s="208">
        <v>12618</v>
      </c>
      <c r="L353" s="207">
        <v>7992</v>
      </c>
      <c r="M353" s="206" t="s">
        <v>775</v>
      </c>
      <c r="N353" s="216">
        <v>6</v>
      </c>
      <c r="O353" s="215">
        <f>IF(N353&gt;0,1/N353*37.7*68.6,"")</f>
        <v>431.03666666666663</v>
      </c>
      <c r="P353" s="203">
        <v>5.69</v>
      </c>
      <c r="Q353" s="202" t="s">
        <v>871</v>
      </c>
      <c r="R353" s="201" t="s">
        <v>760</v>
      </c>
      <c r="S353" s="201" t="s">
        <v>34</v>
      </c>
      <c r="T353" s="200"/>
      <c r="U353" s="199"/>
      <c r="V353" s="198">
        <f>IFERROR(IF(N353&lt;P353,"",(ROUNDDOWN(N353/P353*100,0))),"")</f>
        <v>105</v>
      </c>
    </row>
    <row r="354" spans="1:22" ht="24" customHeight="1">
      <c r="A354" s="219"/>
      <c r="B354" s="223"/>
      <c r="C354" s="228"/>
      <c r="D354" s="227" t="s">
        <v>896</v>
      </c>
      <c r="E354" s="209" t="s">
        <v>869</v>
      </c>
      <c r="F354" s="210">
        <v>5.1230000000000002</v>
      </c>
      <c r="G354" s="209">
        <v>794</v>
      </c>
      <c r="H354" s="209">
        <v>177</v>
      </c>
      <c r="I354" s="209" t="s">
        <v>71</v>
      </c>
      <c r="J354" s="208">
        <v>4516</v>
      </c>
      <c r="K354" s="208">
        <v>12618</v>
      </c>
      <c r="L354" s="207">
        <v>7992</v>
      </c>
      <c r="M354" s="206" t="s">
        <v>775</v>
      </c>
      <c r="N354" s="216">
        <v>5.9</v>
      </c>
      <c r="O354" s="215">
        <f>IF(N354&gt;0,1/N354*37.7*68.6,"")</f>
        <v>438.34237288135591</v>
      </c>
      <c r="P354" s="203">
        <v>5.69</v>
      </c>
      <c r="Q354" s="202" t="s">
        <v>761</v>
      </c>
      <c r="R354" s="201" t="s">
        <v>760</v>
      </c>
      <c r="S354" s="201" t="s">
        <v>34</v>
      </c>
      <c r="T354" s="200"/>
      <c r="U354" s="199"/>
      <c r="V354" s="198">
        <f>IFERROR(IF(N354&lt;P354,"",(ROUNDDOWN(N354/P354*100,0))),"")</f>
        <v>103</v>
      </c>
    </row>
    <row r="355" spans="1:22" ht="24" customHeight="1">
      <c r="A355" s="219"/>
      <c r="B355" s="223"/>
      <c r="C355" s="228"/>
      <c r="D355" s="227" t="s">
        <v>847</v>
      </c>
      <c r="E355" s="209" t="s">
        <v>869</v>
      </c>
      <c r="F355" s="210">
        <v>5.1230000000000002</v>
      </c>
      <c r="G355" s="209">
        <v>794</v>
      </c>
      <c r="H355" s="209">
        <v>177</v>
      </c>
      <c r="I355" s="209" t="s">
        <v>71</v>
      </c>
      <c r="J355" s="208">
        <v>4516</v>
      </c>
      <c r="K355" s="208">
        <v>12618</v>
      </c>
      <c r="L355" s="207">
        <v>7992</v>
      </c>
      <c r="M355" s="206" t="s">
        <v>775</v>
      </c>
      <c r="N355" s="216">
        <v>5.9</v>
      </c>
      <c r="O355" s="215">
        <f>IF(N355&gt;0,1/N355*37.7*68.6,"")</f>
        <v>438.34237288135591</v>
      </c>
      <c r="P355" s="203">
        <v>5.69</v>
      </c>
      <c r="Q355" s="202" t="s">
        <v>761</v>
      </c>
      <c r="R355" s="201" t="s">
        <v>760</v>
      </c>
      <c r="S355" s="201" t="s">
        <v>34</v>
      </c>
      <c r="T355" s="200"/>
      <c r="U355" s="199"/>
      <c r="V355" s="198">
        <f>IFERROR(IF(N355&lt;P355,"",(ROUNDDOWN(N355/P355*100,0))),"")</f>
        <v>103</v>
      </c>
    </row>
    <row r="356" spans="1:22" ht="24" customHeight="1">
      <c r="A356" s="219"/>
      <c r="B356" s="223"/>
      <c r="C356" s="228"/>
      <c r="D356" s="227" t="s">
        <v>896</v>
      </c>
      <c r="E356" s="209" t="s">
        <v>869</v>
      </c>
      <c r="F356" s="210">
        <v>5.1230000000000002</v>
      </c>
      <c r="G356" s="209">
        <v>794</v>
      </c>
      <c r="H356" s="209">
        <v>177</v>
      </c>
      <c r="I356" s="209" t="s">
        <v>790</v>
      </c>
      <c r="J356" s="208">
        <v>4516</v>
      </c>
      <c r="K356" s="208">
        <v>12618</v>
      </c>
      <c r="L356" s="207">
        <v>7992</v>
      </c>
      <c r="M356" s="206" t="s">
        <v>775</v>
      </c>
      <c r="N356" s="216">
        <v>5.8</v>
      </c>
      <c r="O356" s="215">
        <f>IF(N356&gt;0,1/N356*37.7*68.6,"")</f>
        <v>445.90000000000003</v>
      </c>
      <c r="P356" s="203">
        <v>5.69</v>
      </c>
      <c r="Q356" s="202" t="s">
        <v>871</v>
      </c>
      <c r="R356" s="201" t="s">
        <v>760</v>
      </c>
      <c r="S356" s="201" t="s">
        <v>34</v>
      </c>
      <c r="T356" s="200"/>
      <c r="U356" s="199"/>
      <c r="V356" s="198">
        <f>IFERROR(IF(N356&lt;P356,"",(ROUNDDOWN(N356/P356*100,0))),"")</f>
        <v>101</v>
      </c>
    </row>
    <row r="357" spans="1:22" ht="24" customHeight="1">
      <c r="A357" s="219"/>
      <c r="B357" s="223"/>
      <c r="C357" s="228"/>
      <c r="D357" s="227" t="s">
        <v>847</v>
      </c>
      <c r="E357" s="209" t="s">
        <v>869</v>
      </c>
      <c r="F357" s="210">
        <v>5.1230000000000002</v>
      </c>
      <c r="G357" s="209">
        <v>794</v>
      </c>
      <c r="H357" s="209">
        <v>177</v>
      </c>
      <c r="I357" s="209" t="s">
        <v>790</v>
      </c>
      <c r="J357" s="208">
        <v>4516</v>
      </c>
      <c r="K357" s="208">
        <v>12618</v>
      </c>
      <c r="L357" s="207">
        <v>7992</v>
      </c>
      <c r="M357" s="206" t="s">
        <v>775</v>
      </c>
      <c r="N357" s="216">
        <v>5.8</v>
      </c>
      <c r="O357" s="215">
        <f>IF(N357&gt;0,1/N357*37.7*68.6,"")</f>
        <v>445.90000000000003</v>
      </c>
      <c r="P357" s="203">
        <v>5.69</v>
      </c>
      <c r="Q357" s="202" t="s">
        <v>871</v>
      </c>
      <c r="R357" s="201" t="s">
        <v>760</v>
      </c>
      <c r="S357" s="201" t="s">
        <v>34</v>
      </c>
      <c r="T357" s="200"/>
      <c r="U357" s="199"/>
      <c r="V357" s="198">
        <f>IFERROR(IF(N357&lt;P357,"",(ROUNDDOWN(N357/P357*100,0))),"")</f>
        <v>101</v>
      </c>
    </row>
    <row r="358" spans="1:22" ht="24" customHeight="1">
      <c r="A358" s="219"/>
      <c r="B358" s="223"/>
      <c r="C358" s="228"/>
      <c r="D358" s="227" t="s">
        <v>896</v>
      </c>
      <c r="E358" s="209" t="s">
        <v>869</v>
      </c>
      <c r="F358" s="210">
        <v>5.1230000000000002</v>
      </c>
      <c r="G358" s="209">
        <v>833</v>
      </c>
      <c r="H358" s="209">
        <v>177</v>
      </c>
      <c r="I358" s="209" t="s">
        <v>30</v>
      </c>
      <c r="J358" s="208">
        <v>4516</v>
      </c>
      <c r="K358" s="208">
        <v>12618</v>
      </c>
      <c r="L358" s="207">
        <v>7992</v>
      </c>
      <c r="M358" s="206" t="s">
        <v>775</v>
      </c>
      <c r="N358" s="216">
        <v>5.9</v>
      </c>
      <c r="O358" s="215">
        <f>IF(N358&gt;0,1/N358*37.7*68.6,"")</f>
        <v>438.34237288135591</v>
      </c>
      <c r="P358" s="203">
        <v>5.69</v>
      </c>
      <c r="Q358" s="202" t="s">
        <v>761</v>
      </c>
      <c r="R358" s="201" t="s">
        <v>760</v>
      </c>
      <c r="S358" s="201" t="s">
        <v>34</v>
      </c>
      <c r="T358" s="200"/>
      <c r="U358" s="199"/>
      <c r="V358" s="198">
        <f>IFERROR(IF(N358&lt;P358,"",(ROUNDDOWN(N358/P358*100,0))),"")</f>
        <v>103</v>
      </c>
    </row>
    <row r="359" spans="1:22" ht="24" customHeight="1">
      <c r="A359" s="219"/>
      <c r="B359" s="223"/>
      <c r="C359" s="228"/>
      <c r="D359" s="227" t="s">
        <v>895</v>
      </c>
      <c r="E359" s="209" t="s">
        <v>869</v>
      </c>
      <c r="F359" s="210">
        <v>5.1230000000000002</v>
      </c>
      <c r="G359" s="209">
        <v>833</v>
      </c>
      <c r="H359" s="209">
        <v>177</v>
      </c>
      <c r="I359" s="209" t="s">
        <v>30</v>
      </c>
      <c r="J359" s="208">
        <v>4516</v>
      </c>
      <c r="K359" s="208">
        <v>12618</v>
      </c>
      <c r="L359" s="207">
        <v>7992</v>
      </c>
      <c r="M359" s="206" t="s">
        <v>775</v>
      </c>
      <c r="N359" s="216">
        <v>5.9</v>
      </c>
      <c r="O359" s="215">
        <f>IF(N359&gt;0,1/N359*37.7*68.6,"")</f>
        <v>438.34237288135591</v>
      </c>
      <c r="P359" s="203">
        <v>5.69</v>
      </c>
      <c r="Q359" s="202" t="s">
        <v>761</v>
      </c>
      <c r="R359" s="201" t="s">
        <v>760</v>
      </c>
      <c r="S359" s="201" t="s">
        <v>34</v>
      </c>
      <c r="T359" s="200"/>
      <c r="U359" s="199"/>
      <c r="V359" s="198">
        <f>IFERROR(IF(N359&lt;P359,"",(ROUNDDOWN(N359/P359*100,0))),"")</f>
        <v>103</v>
      </c>
    </row>
    <row r="360" spans="1:22" ht="24" customHeight="1">
      <c r="A360" s="219"/>
      <c r="B360" s="223"/>
      <c r="C360" s="228"/>
      <c r="D360" s="227" t="s">
        <v>894</v>
      </c>
      <c r="E360" s="209" t="s">
        <v>869</v>
      </c>
      <c r="F360" s="210">
        <v>5.1230000000000002</v>
      </c>
      <c r="G360" s="209">
        <v>794</v>
      </c>
      <c r="H360" s="209">
        <v>177</v>
      </c>
      <c r="I360" s="209" t="s">
        <v>790</v>
      </c>
      <c r="J360" s="208">
        <v>4516</v>
      </c>
      <c r="K360" s="208">
        <v>12618</v>
      </c>
      <c r="L360" s="207">
        <v>7992</v>
      </c>
      <c r="M360" s="206" t="s">
        <v>775</v>
      </c>
      <c r="N360" s="216">
        <v>5.4</v>
      </c>
      <c r="O360" s="215">
        <f>IF(N360&gt;0,1/N360*37.7*68.6,"")</f>
        <v>478.92962962962963</v>
      </c>
      <c r="P360" s="203">
        <v>5.69</v>
      </c>
      <c r="Q360" s="202" t="s">
        <v>761</v>
      </c>
      <c r="R360" s="201" t="s">
        <v>760</v>
      </c>
      <c r="S360" s="201" t="s">
        <v>34</v>
      </c>
      <c r="T360" s="200"/>
      <c r="U360" s="199"/>
      <c r="V360" s="198" t="str">
        <f>IFERROR(IF(N360&lt;P360,"",(ROUNDDOWN(N360/P360*100,0))),"")</f>
        <v/>
      </c>
    </row>
    <row r="361" spans="1:22" ht="24" customHeight="1">
      <c r="A361" s="219"/>
      <c r="B361" s="223"/>
      <c r="C361" s="228"/>
      <c r="D361" s="227" t="s">
        <v>893</v>
      </c>
      <c r="E361" s="209" t="s">
        <v>869</v>
      </c>
      <c r="F361" s="210">
        <v>5.1230000000000002</v>
      </c>
      <c r="G361" s="209">
        <v>794</v>
      </c>
      <c r="H361" s="209">
        <v>177</v>
      </c>
      <c r="I361" s="209" t="s">
        <v>790</v>
      </c>
      <c r="J361" s="208">
        <v>4516</v>
      </c>
      <c r="K361" s="208">
        <v>12618</v>
      </c>
      <c r="L361" s="207">
        <v>7992</v>
      </c>
      <c r="M361" s="206" t="s">
        <v>775</v>
      </c>
      <c r="N361" s="216">
        <v>5.4</v>
      </c>
      <c r="O361" s="215">
        <f>IF(N361&gt;0,1/N361*37.7*68.6,"")</f>
        <v>478.92962962962963</v>
      </c>
      <c r="P361" s="203">
        <v>5.69</v>
      </c>
      <c r="Q361" s="202" t="s">
        <v>761</v>
      </c>
      <c r="R361" s="201" t="s">
        <v>760</v>
      </c>
      <c r="S361" s="201" t="s">
        <v>34</v>
      </c>
      <c r="T361" s="200"/>
      <c r="U361" s="199"/>
      <c r="V361" s="198" t="str">
        <f>IFERROR(IF(N361&lt;P361,"",(ROUNDDOWN(N361/P361*100,0))),"")</f>
        <v/>
      </c>
    </row>
    <row r="362" spans="1:22" ht="24" customHeight="1">
      <c r="A362" s="219"/>
      <c r="B362" s="223"/>
      <c r="C362" s="228"/>
      <c r="D362" s="227" t="s">
        <v>892</v>
      </c>
      <c r="E362" s="209" t="s">
        <v>869</v>
      </c>
      <c r="F362" s="210">
        <v>5.1230000000000002</v>
      </c>
      <c r="G362" s="209">
        <v>833</v>
      </c>
      <c r="H362" s="209">
        <v>177</v>
      </c>
      <c r="I362" s="209" t="s">
        <v>878</v>
      </c>
      <c r="J362" s="208">
        <v>4516</v>
      </c>
      <c r="K362" s="208">
        <v>12618</v>
      </c>
      <c r="L362" s="207">
        <v>7992</v>
      </c>
      <c r="M362" s="206" t="s">
        <v>775</v>
      </c>
      <c r="N362" s="216">
        <v>6</v>
      </c>
      <c r="O362" s="215">
        <f>IF(N362&gt;0,1/N362*37.7*68.6,"")</f>
        <v>431.03666666666663</v>
      </c>
      <c r="P362" s="203">
        <v>5.69</v>
      </c>
      <c r="Q362" s="202" t="s">
        <v>871</v>
      </c>
      <c r="R362" s="201" t="s">
        <v>760</v>
      </c>
      <c r="S362" s="201" t="s">
        <v>34</v>
      </c>
      <c r="T362" s="200"/>
      <c r="U362" s="199"/>
      <c r="V362" s="198">
        <f>IFERROR(IF(N362&lt;P362,"",(ROUNDDOWN(N362/P362*100,0))),"")</f>
        <v>105</v>
      </c>
    </row>
    <row r="363" spans="1:22" ht="24" customHeight="1">
      <c r="A363" s="219"/>
      <c r="B363" s="223"/>
      <c r="C363" s="228"/>
      <c r="D363" s="227" t="s">
        <v>891</v>
      </c>
      <c r="E363" s="209" t="s">
        <v>869</v>
      </c>
      <c r="F363" s="210">
        <v>5.1230000000000002</v>
      </c>
      <c r="G363" s="209">
        <v>833</v>
      </c>
      <c r="H363" s="209">
        <v>177</v>
      </c>
      <c r="I363" s="209" t="s">
        <v>878</v>
      </c>
      <c r="J363" s="208">
        <v>4516</v>
      </c>
      <c r="K363" s="208">
        <v>12618</v>
      </c>
      <c r="L363" s="207">
        <v>7992</v>
      </c>
      <c r="M363" s="206" t="s">
        <v>775</v>
      </c>
      <c r="N363" s="216">
        <v>6</v>
      </c>
      <c r="O363" s="215">
        <f>IF(N363&gt;0,1/N363*37.7*68.6,"")</f>
        <v>431.03666666666663</v>
      </c>
      <c r="P363" s="203">
        <v>5.69</v>
      </c>
      <c r="Q363" s="202" t="s">
        <v>871</v>
      </c>
      <c r="R363" s="201" t="s">
        <v>760</v>
      </c>
      <c r="S363" s="201" t="s">
        <v>34</v>
      </c>
      <c r="T363" s="200"/>
      <c r="U363" s="199"/>
      <c r="V363" s="198">
        <f>IFERROR(IF(N363&lt;P363,"",(ROUNDDOWN(N363/P363*100,0))),"")</f>
        <v>105</v>
      </c>
    </row>
    <row r="364" spans="1:22" ht="24" customHeight="1">
      <c r="A364" s="219"/>
      <c r="B364" s="223"/>
      <c r="C364" s="228"/>
      <c r="D364" s="227" t="s">
        <v>890</v>
      </c>
      <c r="E364" s="209" t="s">
        <v>869</v>
      </c>
      <c r="F364" s="210">
        <v>5.1230000000000002</v>
      </c>
      <c r="G364" s="209">
        <v>833</v>
      </c>
      <c r="H364" s="209">
        <v>177</v>
      </c>
      <c r="I364" s="209" t="s">
        <v>878</v>
      </c>
      <c r="J364" s="208">
        <v>4516</v>
      </c>
      <c r="K364" s="208">
        <v>12618</v>
      </c>
      <c r="L364" s="207">
        <v>7992</v>
      </c>
      <c r="M364" s="206" t="s">
        <v>775</v>
      </c>
      <c r="N364" s="216">
        <v>5.9</v>
      </c>
      <c r="O364" s="215">
        <f>IF(N364&gt;0,1/N364*37.7*68.6,"")</f>
        <v>438.34237288135591</v>
      </c>
      <c r="P364" s="203">
        <v>5.69</v>
      </c>
      <c r="Q364" s="202" t="s">
        <v>761</v>
      </c>
      <c r="R364" s="201" t="s">
        <v>760</v>
      </c>
      <c r="S364" s="201" t="s">
        <v>34</v>
      </c>
      <c r="T364" s="200"/>
      <c r="U364" s="199"/>
      <c r="V364" s="198">
        <f>IFERROR(IF(N364&lt;P364,"",(ROUNDDOWN(N364/P364*100,0))),"")</f>
        <v>103</v>
      </c>
    </row>
    <row r="365" spans="1:22" ht="24" customHeight="1">
      <c r="A365" s="219"/>
      <c r="B365" s="223"/>
      <c r="C365" s="228"/>
      <c r="D365" s="227" t="s">
        <v>889</v>
      </c>
      <c r="E365" s="209" t="s">
        <v>869</v>
      </c>
      <c r="F365" s="210">
        <v>5.1230000000000002</v>
      </c>
      <c r="G365" s="209">
        <v>833</v>
      </c>
      <c r="H365" s="209">
        <v>177</v>
      </c>
      <c r="I365" s="209" t="s">
        <v>878</v>
      </c>
      <c r="J365" s="208">
        <v>4516</v>
      </c>
      <c r="K365" s="208">
        <v>12618</v>
      </c>
      <c r="L365" s="207">
        <v>7992</v>
      </c>
      <c r="M365" s="206" t="s">
        <v>775</v>
      </c>
      <c r="N365" s="216">
        <v>5.9</v>
      </c>
      <c r="O365" s="215">
        <f>IF(N365&gt;0,1/N365*37.7*68.6,"")</f>
        <v>438.34237288135591</v>
      </c>
      <c r="P365" s="203">
        <v>5.69</v>
      </c>
      <c r="Q365" s="202" t="s">
        <v>761</v>
      </c>
      <c r="R365" s="201" t="s">
        <v>760</v>
      </c>
      <c r="S365" s="201" t="s">
        <v>34</v>
      </c>
      <c r="T365" s="200"/>
      <c r="U365" s="199"/>
      <c r="V365" s="198">
        <f>IFERROR(IF(N365&lt;P365,"",(ROUNDDOWN(N365/P365*100,0))),"")</f>
        <v>103</v>
      </c>
    </row>
    <row r="366" spans="1:22" ht="24" customHeight="1">
      <c r="A366" s="219"/>
      <c r="B366" s="223"/>
      <c r="C366" s="228"/>
      <c r="D366" s="227" t="s">
        <v>887</v>
      </c>
      <c r="E366" s="209" t="s">
        <v>869</v>
      </c>
      <c r="F366" s="210">
        <v>5.1230000000000002</v>
      </c>
      <c r="G366" s="209">
        <v>794</v>
      </c>
      <c r="H366" s="209">
        <v>177</v>
      </c>
      <c r="I366" s="209" t="s">
        <v>30</v>
      </c>
      <c r="J366" s="208">
        <v>4516</v>
      </c>
      <c r="K366" s="208">
        <v>12618</v>
      </c>
      <c r="L366" s="207">
        <v>7992</v>
      </c>
      <c r="M366" s="206" t="s">
        <v>775</v>
      </c>
      <c r="N366" s="216">
        <v>6</v>
      </c>
      <c r="O366" s="215">
        <f>IF(N366&gt;0,1/N366*37.7*68.6,"")</f>
        <v>431.03666666666663</v>
      </c>
      <c r="P366" s="203">
        <v>5.69</v>
      </c>
      <c r="Q366" s="202" t="s">
        <v>871</v>
      </c>
      <c r="R366" s="201" t="s">
        <v>760</v>
      </c>
      <c r="S366" s="201" t="s">
        <v>34</v>
      </c>
      <c r="T366" s="200"/>
      <c r="U366" s="199"/>
      <c r="V366" s="198">
        <f>IFERROR(IF(N366&lt;P366,"",(ROUNDDOWN(N366/P366*100,0))),"")</f>
        <v>105</v>
      </c>
    </row>
    <row r="367" spans="1:22" ht="24" customHeight="1">
      <c r="A367" s="219"/>
      <c r="B367" s="223"/>
      <c r="C367" s="228"/>
      <c r="D367" s="227" t="s">
        <v>844</v>
      </c>
      <c r="E367" s="209" t="s">
        <v>869</v>
      </c>
      <c r="F367" s="210">
        <v>5.1230000000000002</v>
      </c>
      <c r="G367" s="209">
        <v>794</v>
      </c>
      <c r="H367" s="209">
        <v>177</v>
      </c>
      <c r="I367" s="209" t="s">
        <v>30</v>
      </c>
      <c r="J367" s="208">
        <v>4516</v>
      </c>
      <c r="K367" s="208">
        <v>12618</v>
      </c>
      <c r="L367" s="207">
        <v>7992</v>
      </c>
      <c r="M367" s="206" t="s">
        <v>775</v>
      </c>
      <c r="N367" s="216">
        <v>6</v>
      </c>
      <c r="O367" s="215">
        <f>IF(N367&gt;0,1/N367*37.7*68.6,"")</f>
        <v>431.03666666666663</v>
      </c>
      <c r="P367" s="203">
        <v>5.69</v>
      </c>
      <c r="Q367" s="202" t="s">
        <v>871</v>
      </c>
      <c r="R367" s="201" t="s">
        <v>760</v>
      </c>
      <c r="S367" s="201" t="s">
        <v>34</v>
      </c>
      <c r="T367" s="200"/>
      <c r="U367" s="199"/>
      <c r="V367" s="198">
        <f>IFERROR(IF(N367&lt;P367,"",(ROUNDDOWN(N367/P367*100,0))),"")</f>
        <v>105</v>
      </c>
    </row>
    <row r="368" spans="1:22" ht="24" customHeight="1">
      <c r="A368" s="219"/>
      <c r="B368" s="223"/>
      <c r="C368" s="228"/>
      <c r="D368" s="227" t="s">
        <v>887</v>
      </c>
      <c r="E368" s="209" t="s">
        <v>869</v>
      </c>
      <c r="F368" s="210">
        <v>5.1230000000000002</v>
      </c>
      <c r="G368" s="209">
        <v>833</v>
      </c>
      <c r="H368" s="209">
        <v>177</v>
      </c>
      <c r="I368" s="209" t="s">
        <v>882</v>
      </c>
      <c r="J368" s="208">
        <v>4516</v>
      </c>
      <c r="K368" s="208">
        <v>12618</v>
      </c>
      <c r="L368" s="207">
        <v>7992</v>
      </c>
      <c r="M368" s="206" t="s">
        <v>775</v>
      </c>
      <c r="N368" s="216">
        <v>6</v>
      </c>
      <c r="O368" s="215">
        <f>IF(N368&gt;0,1/N368*37.7*68.6,"")</f>
        <v>431.03666666666663</v>
      </c>
      <c r="P368" s="203">
        <v>5.69</v>
      </c>
      <c r="Q368" s="202" t="s">
        <v>871</v>
      </c>
      <c r="R368" s="201" t="s">
        <v>760</v>
      </c>
      <c r="S368" s="201" t="s">
        <v>34</v>
      </c>
      <c r="T368" s="200"/>
      <c r="U368" s="199"/>
      <c r="V368" s="198">
        <f>IFERROR(IF(N368&lt;P368,"",(ROUNDDOWN(N368/P368*100,0))),"")</f>
        <v>105</v>
      </c>
    </row>
    <row r="369" spans="1:22" ht="24" customHeight="1">
      <c r="A369" s="219"/>
      <c r="B369" s="223"/>
      <c r="C369" s="228"/>
      <c r="D369" s="227" t="s">
        <v>844</v>
      </c>
      <c r="E369" s="209" t="s">
        <v>869</v>
      </c>
      <c r="F369" s="210">
        <v>5.1230000000000002</v>
      </c>
      <c r="G369" s="209">
        <v>833</v>
      </c>
      <c r="H369" s="209">
        <v>177</v>
      </c>
      <c r="I369" s="209" t="s">
        <v>882</v>
      </c>
      <c r="J369" s="208">
        <v>4516</v>
      </c>
      <c r="K369" s="208">
        <v>12618</v>
      </c>
      <c r="L369" s="207">
        <v>7992</v>
      </c>
      <c r="M369" s="206" t="s">
        <v>775</v>
      </c>
      <c r="N369" s="216">
        <v>6</v>
      </c>
      <c r="O369" s="215">
        <f>IF(N369&gt;0,1/N369*37.7*68.6,"")</f>
        <v>431.03666666666663</v>
      </c>
      <c r="P369" s="203">
        <v>5.69</v>
      </c>
      <c r="Q369" s="202" t="s">
        <v>871</v>
      </c>
      <c r="R369" s="201" t="s">
        <v>760</v>
      </c>
      <c r="S369" s="201" t="s">
        <v>34</v>
      </c>
      <c r="T369" s="200"/>
      <c r="U369" s="199"/>
      <c r="V369" s="198">
        <f>IFERROR(IF(N369&lt;P369,"",(ROUNDDOWN(N369/P369*100,0))),"")</f>
        <v>105</v>
      </c>
    </row>
    <row r="370" spans="1:22" ht="24" customHeight="1">
      <c r="A370" s="219"/>
      <c r="B370" s="223"/>
      <c r="C370" s="228"/>
      <c r="D370" s="227" t="s">
        <v>887</v>
      </c>
      <c r="E370" s="209" t="s">
        <v>869</v>
      </c>
      <c r="F370" s="210">
        <v>5.1230000000000002</v>
      </c>
      <c r="G370" s="209">
        <v>833</v>
      </c>
      <c r="H370" s="209">
        <v>177</v>
      </c>
      <c r="I370" s="209" t="s">
        <v>879</v>
      </c>
      <c r="J370" s="208">
        <v>4516</v>
      </c>
      <c r="K370" s="208">
        <v>12618</v>
      </c>
      <c r="L370" s="207">
        <v>7992</v>
      </c>
      <c r="M370" s="206" t="s">
        <v>775</v>
      </c>
      <c r="N370" s="216">
        <v>6.1</v>
      </c>
      <c r="O370" s="215">
        <f>IF(N370&gt;0,1/N370*37.7*68.6,"")</f>
        <v>423.97049180327872</v>
      </c>
      <c r="P370" s="203">
        <v>5.69</v>
      </c>
      <c r="Q370" s="202" t="s">
        <v>871</v>
      </c>
      <c r="R370" s="201" t="s">
        <v>760</v>
      </c>
      <c r="S370" s="201" t="s">
        <v>34</v>
      </c>
      <c r="T370" s="200"/>
      <c r="U370" s="199"/>
      <c r="V370" s="198">
        <f>IFERROR(IF(N370&lt;P370,"",(ROUNDDOWN(N370/P370*100,0))),"")</f>
        <v>107</v>
      </c>
    </row>
    <row r="371" spans="1:22" ht="24" customHeight="1">
      <c r="A371" s="219"/>
      <c r="B371" s="223"/>
      <c r="C371" s="228"/>
      <c r="D371" s="227" t="s">
        <v>844</v>
      </c>
      <c r="E371" s="209" t="s">
        <v>869</v>
      </c>
      <c r="F371" s="210">
        <v>5.1230000000000002</v>
      </c>
      <c r="G371" s="209">
        <v>833</v>
      </c>
      <c r="H371" s="209">
        <v>177</v>
      </c>
      <c r="I371" s="209" t="s">
        <v>879</v>
      </c>
      <c r="J371" s="208">
        <v>4516</v>
      </c>
      <c r="K371" s="208">
        <v>12618</v>
      </c>
      <c r="L371" s="207">
        <v>7992</v>
      </c>
      <c r="M371" s="206" t="s">
        <v>775</v>
      </c>
      <c r="N371" s="216">
        <v>6.1</v>
      </c>
      <c r="O371" s="215">
        <f>IF(N371&gt;0,1/N371*37.7*68.6,"")</f>
        <v>423.97049180327872</v>
      </c>
      <c r="P371" s="203">
        <v>5.69</v>
      </c>
      <c r="Q371" s="202" t="s">
        <v>871</v>
      </c>
      <c r="R371" s="201" t="s">
        <v>760</v>
      </c>
      <c r="S371" s="201" t="s">
        <v>34</v>
      </c>
      <c r="T371" s="200"/>
      <c r="U371" s="199"/>
      <c r="V371" s="198">
        <f>IFERROR(IF(N371&lt;P371,"",(ROUNDDOWN(N371/P371*100,0))),"")</f>
        <v>107</v>
      </c>
    </row>
    <row r="372" spans="1:22" ht="24" customHeight="1">
      <c r="A372" s="219"/>
      <c r="B372" s="223"/>
      <c r="C372" s="228"/>
      <c r="D372" s="227" t="s">
        <v>887</v>
      </c>
      <c r="E372" s="209" t="s">
        <v>869</v>
      </c>
      <c r="F372" s="210">
        <v>5.1230000000000002</v>
      </c>
      <c r="G372" s="209">
        <v>833</v>
      </c>
      <c r="H372" s="209">
        <v>177</v>
      </c>
      <c r="I372" s="209" t="s">
        <v>879</v>
      </c>
      <c r="J372" s="208">
        <v>4516</v>
      </c>
      <c r="K372" s="208">
        <v>12618</v>
      </c>
      <c r="L372" s="207">
        <v>7992</v>
      </c>
      <c r="M372" s="206" t="s">
        <v>775</v>
      </c>
      <c r="N372" s="216">
        <v>6</v>
      </c>
      <c r="O372" s="215">
        <f>IF(N372&gt;0,1/N372*37.7*68.6,"")</f>
        <v>431.03666666666663</v>
      </c>
      <c r="P372" s="203">
        <v>5.69</v>
      </c>
      <c r="Q372" s="202" t="s">
        <v>761</v>
      </c>
      <c r="R372" s="201" t="s">
        <v>760</v>
      </c>
      <c r="S372" s="201" t="s">
        <v>34</v>
      </c>
      <c r="T372" s="200"/>
      <c r="U372" s="199"/>
      <c r="V372" s="198">
        <f>IFERROR(IF(N372&lt;P372,"",(ROUNDDOWN(N372/P372*100,0))),"")</f>
        <v>105</v>
      </c>
    </row>
    <row r="373" spans="1:22" ht="24" customHeight="1">
      <c r="A373" s="219"/>
      <c r="B373" s="223"/>
      <c r="C373" s="228"/>
      <c r="D373" s="227" t="s">
        <v>844</v>
      </c>
      <c r="E373" s="209" t="s">
        <v>869</v>
      </c>
      <c r="F373" s="210">
        <v>5.1230000000000002</v>
      </c>
      <c r="G373" s="209">
        <v>833</v>
      </c>
      <c r="H373" s="209">
        <v>177</v>
      </c>
      <c r="I373" s="209" t="s">
        <v>879</v>
      </c>
      <c r="J373" s="208">
        <v>4516</v>
      </c>
      <c r="K373" s="208">
        <v>12618</v>
      </c>
      <c r="L373" s="207">
        <v>7992</v>
      </c>
      <c r="M373" s="206" t="s">
        <v>775</v>
      </c>
      <c r="N373" s="216">
        <v>6</v>
      </c>
      <c r="O373" s="215">
        <f>IF(N373&gt;0,1/N373*37.7*68.6,"")</f>
        <v>431.03666666666663</v>
      </c>
      <c r="P373" s="203">
        <v>5.69</v>
      </c>
      <c r="Q373" s="202" t="s">
        <v>761</v>
      </c>
      <c r="R373" s="201" t="s">
        <v>760</v>
      </c>
      <c r="S373" s="201" t="s">
        <v>34</v>
      </c>
      <c r="T373" s="200"/>
      <c r="U373" s="199"/>
      <c r="V373" s="198">
        <f>IFERROR(IF(N373&lt;P373,"",(ROUNDDOWN(N373/P373*100,0))),"")</f>
        <v>105</v>
      </c>
    </row>
    <row r="374" spans="1:22" ht="24" customHeight="1">
      <c r="A374" s="219"/>
      <c r="B374" s="223"/>
      <c r="C374" s="228"/>
      <c r="D374" s="227" t="s">
        <v>887</v>
      </c>
      <c r="E374" s="209" t="s">
        <v>869</v>
      </c>
      <c r="F374" s="210">
        <v>5.1230000000000002</v>
      </c>
      <c r="G374" s="209">
        <v>882</v>
      </c>
      <c r="H374" s="209">
        <v>191</v>
      </c>
      <c r="I374" s="209" t="s">
        <v>71</v>
      </c>
      <c r="J374" s="208">
        <v>4516</v>
      </c>
      <c r="K374" s="208">
        <v>12618</v>
      </c>
      <c r="L374" s="207">
        <v>7992</v>
      </c>
      <c r="M374" s="206" t="s">
        <v>775</v>
      </c>
      <c r="N374" s="216">
        <v>6</v>
      </c>
      <c r="O374" s="215">
        <f>IF(N374&gt;0,1/N374*37.7*68.6,"")</f>
        <v>431.03666666666663</v>
      </c>
      <c r="P374" s="203">
        <v>5.69</v>
      </c>
      <c r="Q374" s="202" t="s">
        <v>871</v>
      </c>
      <c r="R374" s="201" t="s">
        <v>760</v>
      </c>
      <c r="S374" s="201" t="s">
        <v>34</v>
      </c>
      <c r="T374" s="200"/>
      <c r="U374" s="199"/>
      <c r="V374" s="198">
        <f>IFERROR(IF(N374&lt;P374,"",(ROUNDDOWN(N374/P374*100,0))),"")</f>
        <v>105</v>
      </c>
    </row>
    <row r="375" spans="1:22" ht="24" customHeight="1">
      <c r="A375" s="219"/>
      <c r="B375" s="223"/>
      <c r="C375" s="228"/>
      <c r="D375" s="227" t="s">
        <v>844</v>
      </c>
      <c r="E375" s="209" t="s">
        <v>869</v>
      </c>
      <c r="F375" s="210">
        <v>5.1230000000000002</v>
      </c>
      <c r="G375" s="209">
        <v>882</v>
      </c>
      <c r="H375" s="209">
        <v>191</v>
      </c>
      <c r="I375" s="209" t="s">
        <v>71</v>
      </c>
      <c r="J375" s="208">
        <v>4516</v>
      </c>
      <c r="K375" s="208">
        <v>12618</v>
      </c>
      <c r="L375" s="207">
        <v>7992</v>
      </c>
      <c r="M375" s="206" t="s">
        <v>775</v>
      </c>
      <c r="N375" s="216">
        <v>6</v>
      </c>
      <c r="O375" s="215">
        <f>IF(N375&gt;0,1/N375*37.7*68.6,"")</f>
        <v>431.03666666666663</v>
      </c>
      <c r="P375" s="203">
        <v>5.69</v>
      </c>
      <c r="Q375" s="202" t="s">
        <v>871</v>
      </c>
      <c r="R375" s="201" t="s">
        <v>760</v>
      </c>
      <c r="S375" s="201" t="s">
        <v>34</v>
      </c>
      <c r="T375" s="200"/>
      <c r="U375" s="199"/>
      <c r="V375" s="198">
        <f>IFERROR(IF(N375&lt;P375,"",(ROUNDDOWN(N375/P375*100,0))),"")</f>
        <v>105</v>
      </c>
    </row>
    <row r="376" spans="1:22" ht="24" customHeight="1">
      <c r="A376" s="219"/>
      <c r="B376" s="223"/>
      <c r="C376" s="228"/>
      <c r="D376" s="227" t="s">
        <v>887</v>
      </c>
      <c r="E376" s="209" t="s">
        <v>869</v>
      </c>
      <c r="F376" s="210">
        <v>5.1230000000000002</v>
      </c>
      <c r="G376" s="209">
        <v>882</v>
      </c>
      <c r="H376" s="209">
        <v>191</v>
      </c>
      <c r="I376" s="209" t="s">
        <v>879</v>
      </c>
      <c r="J376" s="208">
        <v>4516</v>
      </c>
      <c r="K376" s="208">
        <v>12618</v>
      </c>
      <c r="L376" s="207">
        <v>7992</v>
      </c>
      <c r="M376" s="206" t="s">
        <v>775</v>
      </c>
      <c r="N376" s="216">
        <v>6.1</v>
      </c>
      <c r="O376" s="215">
        <f>IF(N376&gt;0,1/N376*37.7*68.6,"")</f>
        <v>423.97049180327872</v>
      </c>
      <c r="P376" s="203">
        <v>5.69</v>
      </c>
      <c r="Q376" s="202" t="s">
        <v>871</v>
      </c>
      <c r="R376" s="201" t="s">
        <v>760</v>
      </c>
      <c r="S376" s="201" t="s">
        <v>34</v>
      </c>
      <c r="T376" s="200"/>
      <c r="U376" s="199"/>
      <c r="V376" s="198">
        <f>IFERROR(IF(N376&lt;P376,"",(ROUNDDOWN(N376/P376*100,0))),"")</f>
        <v>107</v>
      </c>
    </row>
    <row r="377" spans="1:22" ht="24" customHeight="1">
      <c r="A377" s="219"/>
      <c r="B377" s="223"/>
      <c r="C377" s="228"/>
      <c r="D377" s="227" t="s">
        <v>888</v>
      </c>
      <c r="E377" s="209" t="s">
        <v>869</v>
      </c>
      <c r="F377" s="210">
        <v>5.1230000000000002</v>
      </c>
      <c r="G377" s="209">
        <v>882</v>
      </c>
      <c r="H377" s="209">
        <v>191</v>
      </c>
      <c r="I377" s="209" t="s">
        <v>879</v>
      </c>
      <c r="J377" s="208">
        <v>4516</v>
      </c>
      <c r="K377" s="208">
        <v>12618</v>
      </c>
      <c r="L377" s="207">
        <v>7992</v>
      </c>
      <c r="M377" s="206" t="s">
        <v>775</v>
      </c>
      <c r="N377" s="216">
        <v>6.1</v>
      </c>
      <c r="O377" s="215">
        <f>IF(N377&gt;0,1/N377*37.7*68.6,"")</f>
        <v>423.97049180327872</v>
      </c>
      <c r="P377" s="203">
        <v>5.69</v>
      </c>
      <c r="Q377" s="202" t="s">
        <v>871</v>
      </c>
      <c r="R377" s="201" t="s">
        <v>760</v>
      </c>
      <c r="S377" s="201" t="s">
        <v>34</v>
      </c>
      <c r="T377" s="200"/>
      <c r="U377" s="199"/>
      <c r="V377" s="198">
        <f>IFERROR(IF(N377&lt;P377,"",(ROUNDDOWN(N377/P377*100,0))),"")</f>
        <v>107</v>
      </c>
    </row>
    <row r="378" spans="1:22" ht="24" customHeight="1">
      <c r="A378" s="219"/>
      <c r="B378" s="223"/>
      <c r="C378" s="228"/>
      <c r="D378" s="227" t="s">
        <v>887</v>
      </c>
      <c r="E378" s="209" t="s">
        <v>869</v>
      </c>
      <c r="F378" s="210">
        <v>5.1230000000000002</v>
      </c>
      <c r="G378" s="209">
        <v>882</v>
      </c>
      <c r="H378" s="209">
        <v>191</v>
      </c>
      <c r="I378" s="209" t="s">
        <v>879</v>
      </c>
      <c r="J378" s="208">
        <v>4516</v>
      </c>
      <c r="K378" s="208">
        <v>12618</v>
      </c>
      <c r="L378" s="207">
        <v>7992</v>
      </c>
      <c r="M378" s="206" t="s">
        <v>775</v>
      </c>
      <c r="N378" s="216">
        <v>6.1</v>
      </c>
      <c r="O378" s="215">
        <f>IF(N378&gt;0,1/N378*37.7*68.6,"")</f>
        <v>423.97049180327872</v>
      </c>
      <c r="P378" s="203">
        <v>5.69</v>
      </c>
      <c r="Q378" s="202" t="s">
        <v>761</v>
      </c>
      <c r="R378" s="201" t="s">
        <v>760</v>
      </c>
      <c r="S378" s="201" t="s">
        <v>34</v>
      </c>
      <c r="T378" s="200"/>
      <c r="U378" s="199"/>
      <c r="V378" s="198">
        <f>IFERROR(IF(N378&lt;P378,"",(ROUNDDOWN(N378/P378*100,0))),"")</f>
        <v>107</v>
      </c>
    </row>
    <row r="379" spans="1:22" ht="24" customHeight="1">
      <c r="A379" s="219"/>
      <c r="B379" s="223"/>
      <c r="C379" s="228"/>
      <c r="D379" s="227" t="s">
        <v>844</v>
      </c>
      <c r="E379" s="209" t="s">
        <v>869</v>
      </c>
      <c r="F379" s="210">
        <v>5.1230000000000002</v>
      </c>
      <c r="G379" s="209">
        <v>882</v>
      </c>
      <c r="H379" s="209">
        <v>191</v>
      </c>
      <c r="I379" s="209" t="s">
        <v>879</v>
      </c>
      <c r="J379" s="208">
        <v>4516</v>
      </c>
      <c r="K379" s="208">
        <v>12618</v>
      </c>
      <c r="L379" s="207">
        <v>7992</v>
      </c>
      <c r="M379" s="206" t="s">
        <v>775</v>
      </c>
      <c r="N379" s="216">
        <v>6.1</v>
      </c>
      <c r="O379" s="215">
        <f>IF(N379&gt;0,1/N379*37.7*68.6,"")</f>
        <v>423.97049180327872</v>
      </c>
      <c r="P379" s="203">
        <v>5.69</v>
      </c>
      <c r="Q379" s="202" t="s">
        <v>761</v>
      </c>
      <c r="R379" s="201" t="s">
        <v>760</v>
      </c>
      <c r="S379" s="201" t="s">
        <v>34</v>
      </c>
      <c r="T379" s="200"/>
      <c r="U379" s="199"/>
      <c r="V379" s="198">
        <f>IFERROR(IF(N379&lt;P379,"",(ROUNDDOWN(N379/P379*100,0))),"")</f>
        <v>107</v>
      </c>
    </row>
    <row r="380" spans="1:22" ht="24" customHeight="1">
      <c r="A380" s="219"/>
      <c r="B380" s="223"/>
      <c r="C380" s="228"/>
      <c r="D380" s="227" t="s">
        <v>886</v>
      </c>
      <c r="E380" s="209" t="s">
        <v>869</v>
      </c>
      <c r="F380" s="210">
        <v>5.1230000000000002</v>
      </c>
      <c r="G380" s="209">
        <v>794</v>
      </c>
      <c r="H380" s="209">
        <v>177</v>
      </c>
      <c r="I380" s="209" t="s">
        <v>71</v>
      </c>
      <c r="J380" s="208">
        <v>4516</v>
      </c>
      <c r="K380" s="208">
        <v>12618</v>
      </c>
      <c r="L380" s="207">
        <v>7992</v>
      </c>
      <c r="M380" s="206" t="s">
        <v>775</v>
      </c>
      <c r="N380" s="216">
        <v>5.9</v>
      </c>
      <c r="O380" s="215">
        <f>IF(N380&gt;0,1/N380*37.7*68.6,"")</f>
        <v>438.34237288135591</v>
      </c>
      <c r="P380" s="203">
        <v>5.69</v>
      </c>
      <c r="Q380" s="202" t="s">
        <v>761</v>
      </c>
      <c r="R380" s="201" t="s">
        <v>760</v>
      </c>
      <c r="S380" s="201" t="s">
        <v>34</v>
      </c>
      <c r="T380" s="200"/>
      <c r="U380" s="199"/>
      <c r="V380" s="198">
        <f>IFERROR(IF(N380&lt;P380,"",(ROUNDDOWN(N380/P380*100,0))),"")</f>
        <v>103</v>
      </c>
    </row>
    <row r="381" spans="1:22" ht="24" customHeight="1">
      <c r="A381" s="219"/>
      <c r="B381" s="223"/>
      <c r="C381" s="228"/>
      <c r="D381" s="227" t="s">
        <v>843</v>
      </c>
      <c r="E381" s="209" t="s">
        <v>869</v>
      </c>
      <c r="F381" s="210">
        <v>5.1230000000000002</v>
      </c>
      <c r="G381" s="209">
        <v>794</v>
      </c>
      <c r="H381" s="209">
        <v>177</v>
      </c>
      <c r="I381" s="209" t="s">
        <v>71</v>
      </c>
      <c r="J381" s="208">
        <v>4516</v>
      </c>
      <c r="K381" s="208">
        <v>12618</v>
      </c>
      <c r="L381" s="207">
        <v>7992</v>
      </c>
      <c r="M381" s="206" t="s">
        <v>775</v>
      </c>
      <c r="N381" s="216">
        <v>5.9</v>
      </c>
      <c r="O381" s="215">
        <f>IF(N381&gt;0,1/N381*37.7*68.6,"")</f>
        <v>438.34237288135591</v>
      </c>
      <c r="P381" s="203">
        <v>5.69</v>
      </c>
      <c r="Q381" s="202" t="s">
        <v>761</v>
      </c>
      <c r="R381" s="201" t="s">
        <v>760</v>
      </c>
      <c r="S381" s="201" t="s">
        <v>34</v>
      </c>
      <c r="T381" s="200"/>
      <c r="U381" s="199"/>
      <c r="V381" s="198">
        <f>IFERROR(IF(N381&lt;P381,"",(ROUNDDOWN(N381/P381*100,0))),"")</f>
        <v>103</v>
      </c>
    </row>
    <row r="382" spans="1:22" ht="24" customHeight="1">
      <c r="A382" s="219"/>
      <c r="B382" s="223"/>
      <c r="C382" s="228"/>
      <c r="D382" s="227" t="s">
        <v>886</v>
      </c>
      <c r="E382" s="209" t="s">
        <v>869</v>
      </c>
      <c r="F382" s="210">
        <v>5.1230000000000002</v>
      </c>
      <c r="G382" s="209">
        <v>794</v>
      </c>
      <c r="H382" s="209">
        <v>177</v>
      </c>
      <c r="I382" s="209" t="s">
        <v>790</v>
      </c>
      <c r="J382" s="208">
        <v>4516</v>
      </c>
      <c r="K382" s="208">
        <v>12618</v>
      </c>
      <c r="L382" s="207">
        <v>7992</v>
      </c>
      <c r="M382" s="206" t="s">
        <v>775</v>
      </c>
      <c r="N382" s="216">
        <v>5.8</v>
      </c>
      <c r="O382" s="215">
        <f>IF(N382&gt;0,1/N382*37.7*68.6,"")</f>
        <v>445.90000000000003</v>
      </c>
      <c r="P382" s="203">
        <v>5.69</v>
      </c>
      <c r="Q382" s="202" t="s">
        <v>871</v>
      </c>
      <c r="R382" s="201" t="s">
        <v>760</v>
      </c>
      <c r="S382" s="201" t="s">
        <v>34</v>
      </c>
      <c r="T382" s="200"/>
      <c r="U382" s="199"/>
      <c r="V382" s="198">
        <f>IFERROR(IF(N382&lt;P382,"",(ROUNDDOWN(N382/P382*100,0))),"")</f>
        <v>101</v>
      </c>
    </row>
    <row r="383" spans="1:22" ht="24" customHeight="1">
      <c r="A383" s="219"/>
      <c r="B383" s="223"/>
      <c r="C383" s="228"/>
      <c r="D383" s="227" t="s">
        <v>843</v>
      </c>
      <c r="E383" s="209" t="s">
        <v>869</v>
      </c>
      <c r="F383" s="210">
        <v>5.1230000000000002</v>
      </c>
      <c r="G383" s="209">
        <v>794</v>
      </c>
      <c r="H383" s="209">
        <v>177</v>
      </c>
      <c r="I383" s="209" t="s">
        <v>790</v>
      </c>
      <c r="J383" s="208">
        <v>4516</v>
      </c>
      <c r="K383" s="208">
        <v>12618</v>
      </c>
      <c r="L383" s="207">
        <v>7992</v>
      </c>
      <c r="M383" s="206" t="s">
        <v>775</v>
      </c>
      <c r="N383" s="216">
        <v>5.8</v>
      </c>
      <c r="O383" s="215">
        <f>IF(N383&gt;0,1/N383*37.7*68.6,"")</f>
        <v>445.90000000000003</v>
      </c>
      <c r="P383" s="203">
        <v>5.69</v>
      </c>
      <c r="Q383" s="202" t="s">
        <v>871</v>
      </c>
      <c r="R383" s="201" t="s">
        <v>760</v>
      </c>
      <c r="S383" s="201" t="s">
        <v>34</v>
      </c>
      <c r="T383" s="200"/>
      <c r="U383" s="199"/>
      <c r="V383" s="198">
        <f>IFERROR(IF(N383&lt;P383,"",(ROUNDDOWN(N383/P383*100,0))),"")</f>
        <v>101</v>
      </c>
    </row>
    <row r="384" spans="1:22" ht="24" customHeight="1">
      <c r="A384" s="219"/>
      <c r="B384" s="223"/>
      <c r="C384" s="228"/>
      <c r="D384" s="227" t="s">
        <v>886</v>
      </c>
      <c r="E384" s="209" t="s">
        <v>869</v>
      </c>
      <c r="F384" s="210">
        <v>5.1230000000000002</v>
      </c>
      <c r="G384" s="209">
        <v>833</v>
      </c>
      <c r="H384" s="209">
        <v>177</v>
      </c>
      <c r="I384" s="209" t="s">
        <v>878</v>
      </c>
      <c r="J384" s="208">
        <v>4516</v>
      </c>
      <c r="K384" s="208">
        <v>12618</v>
      </c>
      <c r="L384" s="207">
        <v>7992</v>
      </c>
      <c r="M384" s="206" t="s">
        <v>775</v>
      </c>
      <c r="N384" s="216">
        <v>5.9</v>
      </c>
      <c r="O384" s="215">
        <f>IF(N384&gt;0,1/N384*37.7*68.6,"")</f>
        <v>438.34237288135591</v>
      </c>
      <c r="P384" s="203">
        <v>5.69</v>
      </c>
      <c r="Q384" s="202" t="s">
        <v>761</v>
      </c>
      <c r="R384" s="201" t="s">
        <v>760</v>
      </c>
      <c r="S384" s="201" t="s">
        <v>34</v>
      </c>
      <c r="T384" s="200"/>
      <c r="U384" s="199"/>
      <c r="V384" s="198">
        <f>IFERROR(IF(N384&lt;P384,"",(ROUNDDOWN(N384/P384*100,0))),"")</f>
        <v>103</v>
      </c>
    </row>
    <row r="385" spans="1:22" ht="24" customHeight="1">
      <c r="A385" s="219"/>
      <c r="B385" s="223"/>
      <c r="C385" s="228"/>
      <c r="D385" s="227" t="s">
        <v>843</v>
      </c>
      <c r="E385" s="209" t="s">
        <v>869</v>
      </c>
      <c r="F385" s="210">
        <v>5.1230000000000002</v>
      </c>
      <c r="G385" s="209">
        <v>833</v>
      </c>
      <c r="H385" s="209">
        <v>177</v>
      </c>
      <c r="I385" s="209" t="s">
        <v>878</v>
      </c>
      <c r="J385" s="208">
        <v>4516</v>
      </c>
      <c r="K385" s="208">
        <v>12618</v>
      </c>
      <c r="L385" s="207">
        <v>7992</v>
      </c>
      <c r="M385" s="206" t="s">
        <v>775</v>
      </c>
      <c r="N385" s="216">
        <v>5.9</v>
      </c>
      <c r="O385" s="215">
        <f>IF(N385&gt;0,1/N385*37.7*68.6,"")</f>
        <v>438.34237288135591</v>
      </c>
      <c r="P385" s="203">
        <v>5.69</v>
      </c>
      <c r="Q385" s="202" t="s">
        <v>761</v>
      </c>
      <c r="R385" s="201" t="s">
        <v>760</v>
      </c>
      <c r="S385" s="201" t="s">
        <v>34</v>
      </c>
      <c r="T385" s="200"/>
      <c r="U385" s="199"/>
      <c r="V385" s="198">
        <f>IFERROR(IF(N385&lt;P385,"",(ROUNDDOWN(N385/P385*100,0))),"")</f>
        <v>103</v>
      </c>
    </row>
    <row r="386" spans="1:22" ht="24" customHeight="1">
      <c r="A386" s="219"/>
      <c r="B386" s="223"/>
      <c r="C386" s="228"/>
      <c r="D386" s="227" t="s">
        <v>886</v>
      </c>
      <c r="E386" s="209" t="s">
        <v>869</v>
      </c>
      <c r="F386" s="210">
        <v>5.1230000000000002</v>
      </c>
      <c r="G386" s="209">
        <v>882</v>
      </c>
      <c r="H386" s="209">
        <v>191</v>
      </c>
      <c r="I386" s="209" t="s">
        <v>71</v>
      </c>
      <c r="J386" s="208">
        <v>4516</v>
      </c>
      <c r="K386" s="208">
        <v>12618</v>
      </c>
      <c r="L386" s="207">
        <v>7992</v>
      </c>
      <c r="M386" s="206" t="s">
        <v>775</v>
      </c>
      <c r="N386" s="216">
        <v>5.9</v>
      </c>
      <c r="O386" s="215">
        <f>IF(N386&gt;0,1/N386*37.7*68.6,"")</f>
        <v>438.34237288135591</v>
      </c>
      <c r="P386" s="203">
        <v>5.69</v>
      </c>
      <c r="Q386" s="202" t="s">
        <v>761</v>
      </c>
      <c r="R386" s="201" t="s">
        <v>760</v>
      </c>
      <c r="S386" s="201" t="s">
        <v>34</v>
      </c>
      <c r="T386" s="200"/>
      <c r="U386" s="199"/>
      <c r="V386" s="198">
        <f>IFERROR(IF(N386&lt;P386,"",(ROUNDDOWN(N386/P386*100,0))),"")</f>
        <v>103</v>
      </c>
    </row>
    <row r="387" spans="1:22" ht="24" customHeight="1">
      <c r="A387" s="219"/>
      <c r="B387" s="223"/>
      <c r="C387" s="228"/>
      <c r="D387" s="227" t="s">
        <v>885</v>
      </c>
      <c r="E387" s="209" t="s">
        <v>869</v>
      </c>
      <c r="F387" s="210">
        <v>5.1230000000000002</v>
      </c>
      <c r="G387" s="209">
        <v>882</v>
      </c>
      <c r="H387" s="209">
        <v>191</v>
      </c>
      <c r="I387" s="209" t="s">
        <v>71</v>
      </c>
      <c r="J387" s="208">
        <v>4516</v>
      </c>
      <c r="K387" s="208">
        <v>12618</v>
      </c>
      <c r="L387" s="207">
        <v>7992</v>
      </c>
      <c r="M387" s="206" t="s">
        <v>775</v>
      </c>
      <c r="N387" s="216">
        <v>5.9</v>
      </c>
      <c r="O387" s="215">
        <f>IF(N387&gt;0,1/N387*37.7*68.6,"")</f>
        <v>438.34237288135591</v>
      </c>
      <c r="P387" s="203">
        <v>5.69</v>
      </c>
      <c r="Q387" s="202" t="s">
        <v>761</v>
      </c>
      <c r="R387" s="201" t="s">
        <v>760</v>
      </c>
      <c r="S387" s="201" t="s">
        <v>34</v>
      </c>
      <c r="T387" s="200"/>
      <c r="U387" s="199"/>
      <c r="V387" s="198">
        <f>IFERROR(IF(N387&lt;P387,"",(ROUNDDOWN(N387/P387*100,0))),"")</f>
        <v>103</v>
      </c>
    </row>
    <row r="388" spans="1:22" ht="24" customHeight="1">
      <c r="A388" s="219"/>
      <c r="B388" s="223"/>
      <c r="C388" s="228"/>
      <c r="D388" s="227" t="s">
        <v>884</v>
      </c>
      <c r="E388" s="209" t="s">
        <v>869</v>
      </c>
      <c r="F388" s="210">
        <v>5.1230000000000002</v>
      </c>
      <c r="G388" s="209">
        <v>794</v>
      </c>
      <c r="H388" s="209">
        <v>177</v>
      </c>
      <c r="I388" s="209" t="s">
        <v>790</v>
      </c>
      <c r="J388" s="208">
        <v>4516</v>
      </c>
      <c r="K388" s="208">
        <v>12618</v>
      </c>
      <c r="L388" s="207">
        <v>7992</v>
      </c>
      <c r="M388" s="206" t="s">
        <v>775</v>
      </c>
      <c r="N388" s="216">
        <v>5.4</v>
      </c>
      <c r="O388" s="215">
        <f>IF(N388&gt;0,1/N388*37.7*68.6,"")</f>
        <v>478.92962962962963</v>
      </c>
      <c r="P388" s="203">
        <v>5.69</v>
      </c>
      <c r="Q388" s="202" t="s">
        <v>761</v>
      </c>
      <c r="R388" s="201" t="s">
        <v>760</v>
      </c>
      <c r="S388" s="201" t="s">
        <v>34</v>
      </c>
      <c r="T388" s="200"/>
      <c r="U388" s="199"/>
      <c r="V388" s="198" t="str">
        <f>IFERROR(IF(N388&lt;P388,"",(ROUNDDOWN(N388/P388*100,0))),"")</f>
        <v/>
      </c>
    </row>
    <row r="389" spans="1:22" ht="24" customHeight="1">
      <c r="A389" s="219"/>
      <c r="B389" s="223"/>
      <c r="C389" s="228"/>
      <c r="D389" s="227" t="s">
        <v>883</v>
      </c>
      <c r="E389" s="209" t="s">
        <v>869</v>
      </c>
      <c r="F389" s="210">
        <v>5.1230000000000002</v>
      </c>
      <c r="G389" s="209">
        <v>794</v>
      </c>
      <c r="H389" s="209">
        <v>177</v>
      </c>
      <c r="I389" s="209" t="s">
        <v>790</v>
      </c>
      <c r="J389" s="208">
        <v>4516</v>
      </c>
      <c r="K389" s="208">
        <v>12618</v>
      </c>
      <c r="L389" s="207">
        <v>7992</v>
      </c>
      <c r="M389" s="206" t="s">
        <v>775</v>
      </c>
      <c r="N389" s="216">
        <v>5.4</v>
      </c>
      <c r="O389" s="215">
        <f>IF(N389&gt;0,1/N389*37.7*68.6,"")</f>
        <v>478.92962962962963</v>
      </c>
      <c r="P389" s="203">
        <v>5.69</v>
      </c>
      <c r="Q389" s="202" t="s">
        <v>761</v>
      </c>
      <c r="R389" s="201" t="s">
        <v>760</v>
      </c>
      <c r="S389" s="201" t="s">
        <v>34</v>
      </c>
      <c r="T389" s="200"/>
      <c r="U389" s="199"/>
      <c r="V389" s="198" t="str">
        <f>IFERROR(IF(N389&lt;P389,"",(ROUNDDOWN(N389/P389*100,0))),"")</f>
        <v/>
      </c>
    </row>
    <row r="390" spans="1:22" ht="24" customHeight="1">
      <c r="A390" s="219"/>
      <c r="B390" s="223"/>
      <c r="C390" s="228"/>
      <c r="D390" s="227" t="s">
        <v>880</v>
      </c>
      <c r="E390" s="209" t="s">
        <v>832</v>
      </c>
      <c r="F390" s="210">
        <v>5.1230000000000002</v>
      </c>
      <c r="G390" s="209">
        <v>833</v>
      </c>
      <c r="H390" s="209">
        <v>177</v>
      </c>
      <c r="I390" s="209" t="s">
        <v>882</v>
      </c>
      <c r="J390" s="208">
        <v>4516</v>
      </c>
      <c r="K390" s="208">
        <v>12618</v>
      </c>
      <c r="L390" s="207">
        <v>7992</v>
      </c>
      <c r="M390" s="206" t="s">
        <v>775</v>
      </c>
      <c r="N390" s="216">
        <v>6</v>
      </c>
      <c r="O390" s="215">
        <f>IF(N390&gt;0,1/N390*37.7*68.6,"")</f>
        <v>431.03666666666663</v>
      </c>
      <c r="P390" s="203">
        <v>5.69</v>
      </c>
      <c r="Q390" s="202" t="s">
        <v>871</v>
      </c>
      <c r="R390" s="201" t="s">
        <v>760</v>
      </c>
      <c r="S390" s="201" t="s">
        <v>34</v>
      </c>
      <c r="T390" s="200"/>
      <c r="U390" s="199"/>
      <c r="V390" s="198">
        <f>IFERROR(IF(N390&lt;P390,"",(ROUNDDOWN(N390/P390*100,0))),"")</f>
        <v>105</v>
      </c>
    </row>
    <row r="391" spans="1:22" ht="24" customHeight="1">
      <c r="A391" s="219"/>
      <c r="B391" s="223"/>
      <c r="C391" s="228"/>
      <c r="D391" s="227" t="s">
        <v>841</v>
      </c>
      <c r="E391" s="209" t="s">
        <v>832</v>
      </c>
      <c r="F391" s="210">
        <v>5.1230000000000002</v>
      </c>
      <c r="G391" s="209">
        <v>833</v>
      </c>
      <c r="H391" s="209">
        <v>177</v>
      </c>
      <c r="I391" s="209" t="s">
        <v>882</v>
      </c>
      <c r="J391" s="208">
        <v>4516</v>
      </c>
      <c r="K391" s="208">
        <v>12618</v>
      </c>
      <c r="L391" s="207">
        <v>7992</v>
      </c>
      <c r="M391" s="206" t="s">
        <v>775</v>
      </c>
      <c r="N391" s="216">
        <v>6</v>
      </c>
      <c r="O391" s="215">
        <f>IF(N391&gt;0,1/N391*37.7*68.6,"")</f>
        <v>431.03666666666663</v>
      </c>
      <c r="P391" s="203">
        <v>5.69</v>
      </c>
      <c r="Q391" s="202" t="s">
        <v>871</v>
      </c>
      <c r="R391" s="201" t="s">
        <v>760</v>
      </c>
      <c r="S391" s="201" t="s">
        <v>34</v>
      </c>
      <c r="T391" s="200"/>
      <c r="U391" s="199"/>
      <c r="V391" s="198">
        <f>IFERROR(IF(N391&lt;P391,"",(ROUNDDOWN(N391/P391*100,0))),"")</f>
        <v>105</v>
      </c>
    </row>
    <row r="392" spans="1:22" ht="24" customHeight="1">
      <c r="A392" s="219"/>
      <c r="B392" s="223"/>
      <c r="C392" s="228"/>
      <c r="D392" s="227" t="s">
        <v>880</v>
      </c>
      <c r="E392" s="209" t="s">
        <v>869</v>
      </c>
      <c r="F392" s="210">
        <v>5.1230000000000002</v>
      </c>
      <c r="G392" s="209">
        <v>833</v>
      </c>
      <c r="H392" s="209">
        <v>177</v>
      </c>
      <c r="I392" s="209" t="s">
        <v>879</v>
      </c>
      <c r="J392" s="208">
        <v>4516</v>
      </c>
      <c r="K392" s="208">
        <v>12618</v>
      </c>
      <c r="L392" s="207">
        <v>7992</v>
      </c>
      <c r="M392" s="206" t="s">
        <v>775</v>
      </c>
      <c r="N392" s="216">
        <v>6.1</v>
      </c>
      <c r="O392" s="215">
        <f>IF(N392&gt;0,1/N392*37.7*68.6,"")</f>
        <v>423.97049180327872</v>
      </c>
      <c r="P392" s="203">
        <v>5.69</v>
      </c>
      <c r="Q392" s="202" t="s">
        <v>871</v>
      </c>
      <c r="R392" s="201" t="s">
        <v>760</v>
      </c>
      <c r="S392" s="201" t="s">
        <v>34</v>
      </c>
      <c r="T392" s="200"/>
      <c r="U392" s="199"/>
      <c r="V392" s="198">
        <f>IFERROR(IF(N392&lt;P392,"",(ROUNDDOWN(N392/P392*100,0))),"")</f>
        <v>107</v>
      </c>
    </row>
    <row r="393" spans="1:22" ht="24" customHeight="1">
      <c r="A393" s="219"/>
      <c r="B393" s="223"/>
      <c r="C393" s="228"/>
      <c r="D393" s="227" t="s">
        <v>841</v>
      </c>
      <c r="E393" s="209" t="s">
        <v>869</v>
      </c>
      <c r="F393" s="210">
        <v>5.1230000000000002</v>
      </c>
      <c r="G393" s="209">
        <v>833</v>
      </c>
      <c r="H393" s="209">
        <v>177</v>
      </c>
      <c r="I393" s="209" t="s">
        <v>879</v>
      </c>
      <c r="J393" s="208">
        <v>4516</v>
      </c>
      <c r="K393" s="208">
        <v>12618</v>
      </c>
      <c r="L393" s="207">
        <v>7992</v>
      </c>
      <c r="M393" s="206" t="s">
        <v>775</v>
      </c>
      <c r="N393" s="216">
        <v>6.1</v>
      </c>
      <c r="O393" s="215">
        <f>IF(N393&gt;0,1/N393*37.7*68.6,"")</f>
        <v>423.97049180327872</v>
      </c>
      <c r="P393" s="203">
        <v>5.69</v>
      </c>
      <c r="Q393" s="202" t="s">
        <v>871</v>
      </c>
      <c r="R393" s="201" t="s">
        <v>760</v>
      </c>
      <c r="S393" s="201" t="s">
        <v>34</v>
      </c>
      <c r="T393" s="200"/>
      <c r="U393" s="199"/>
      <c r="V393" s="198">
        <f>IFERROR(IF(N393&lt;P393,"",(ROUNDDOWN(N393/P393*100,0))),"")</f>
        <v>107</v>
      </c>
    </row>
    <row r="394" spans="1:22" ht="24" customHeight="1">
      <c r="A394" s="219"/>
      <c r="B394" s="223"/>
      <c r="C394" s="228"/>
      <c r="D394" s="227" t="s">
        <v>880</v>
      </c>
      <c r="E394" s="209" t="s">
        <v>869</v>
      </c>
      <c r="F394" s="210">
        <v>5.1230000000000002</v>
      </c>
      <c r="G394" s="209">
        <v>833</v>
      </c>
      <c r="H394" s="209">
        <v>177</v>
      </c>
      <c r="I394" s="209" t="s">
        <v>879</v>
      </c>
      <c r="J394" s="208">
        <v>4516</v>
      </c>
      <c r="K394" s="208">
        <v>12618</v>
      </c>
      <c r="L394" s="207">
        <v>7992</v>
      </c>
      <c r="M394" s="206" t="s">
        <v>775</v>
      </c>
      <c r="N394" s="216">
        <v>6</v>
      </c>
      <c r="O394" s="215">
        <f>IF(N394&gt;0,1/N394*37.7*68.6,"")</f>
        <v>431.03666666666663</v>
      </c>
      <c r="P394" s="203">
        <v>5.69</v>
      </c>
      <c r="Q394" s="202" t="s">
        <v>761</v>
      </c>
      <c r="R394" s="201" t="s">
        <v>760</v>
      </c>
      <c r="S394" s="201" t="s">
        <v>34</v>
      </c>
      <c r="T394" s="200"/>
      <c r="U394" s="199"/>
      <c r="V394" s="198">
        <f>IFERROR(IF(N394&lt;P394,"",(ROUNDDOWN(N394/P394*100,0))),"")</f>
        <v>105</v>
      </c>
    </row>
    <row r="395" spans="1:22" ht="24" customHeight="1">
      <c r="A395" s="219"/>
      <c r="B395" s="223"/>
      <c r="C395" s="228"/>
      <c r="D395" s="227" t="s">
        <v>841</v>
      </c>
      <c r="E395" s="209" t="s">
        <v>869</v>
      </c>
      <c r="F395" s="210">
        <v>5.1230000000000002</v>
      </c>
      <c r="G395" s="209">
        <v>833</v>
      </c>
      <c r="H395" s="209">
        <v>177</v>
      </c>
      <c r="I395" s="209" t="s">
        <v>879</v>
      </c>
      <c r="J395" s="208">
        <v>4516</v>
      </c>
      <c r="K395" s="208">
        <v>12618</v>
      </c>
      <c r="L395" s="207">
        <v>7992</v>
      </c>
      <c r="M395" s="206" t="s">
        <v>775</v>
      </c>
      <c r="N395" s="216">
        <v>6</v>
      </c>
      <c r="O395" s="215">
        <f>IF(N395&gt;0,1/N395*37.7*68.6,"")</f>
        <v>431.03666666666663</v>
      </c>
      <c r="P395" s="203">
        <v>5.69</v>
      </c>
      <c r="Q395" s="202" t="s">
        <v>761</v>
      </c>
      <c r="R395" s="201" t="s">
        <v>760</v>
      </c>
      <c r="S395" s="201" t="s">
        <v>34</v>
      </c>
      <c r="T395" s="200"/>
      <c r="U395" s="199"/>
      <c r="V395" s="198">
        <f>IFERROR(IF(N395&lt;P395,"",(ROUNDDOWN(N395/P395*100,0))),"")</f>
        <v>105</v>
      </c>
    </row>
    <row r="396" spans="1:22" ht="24" customHeight="1">
      <c r="A396" s="219"/>
      <c r="B396" s="223"/>
      <c r="C396" s="228"/>
      <c r="D396" s="227" t="s">
        <v>880</v>
      </c>
      <c r="E396" s="209" t="s">
        <v>832</v>
      </c>
      <c r="F396" s="210">
        <v>5.1230000000000002</v>
      </c>
      <c r="G396" s="209">
        <v>882</v>
      </c>
      <c r="H396" s="209">
        <v>191</v>
      </c>
      <c r="I396" s="209" t="s">
        <v>71</v>
      </c>
      <c r="J396" s="208">
        <v>4516</v>
      </c>
      <c r="K396" s="208">
        <v>12618</v>
      </c>
      <c r="L396" s="207">
        <v>7992</v>
      </c>
      <c r="M396" s="206" t="s">
        <v>775</v>
      </c>
      <c r="N396" s="216">
        <v>6</v>
      </c>
      <c r="O396" s="215">
        <f>IF(N396&gt;0,1/N396*37.7*68.6,"")</f>
        <v>431.03666666666663</v>
      </c>
      <c r="P396" s="203">
        <v>5.69</v>
      </c>
      <c r="Q396" s="202" t="s">
        <v>871</v>
      </c>
      <c r="R396" s="201" t="s">
        <v>760</v>
      </c>
      <c r="S396" s="201" t="s">
        <v>34</v>
      </c>
      <c r="T396" s="200"/>
      <c r="U396" s="199"/>
      <c r="V396" s="198">
        <f>IFERROR(IF(N396&lt;P396,"",(ROUNDDOWN(N396/P396*100,0))),"")</f>
        <v>105</v>
      </c>
    </row>
    <row r="397" spans="1:22" ht="24" customHeight="1">
      <c r="A397" s="219"/>
      <c r="B397" s="223"/>
      <c r="C397" s="228"/>
      <c r="D397" s="227" t="s">
        <v>841</v>
      </c>
      <c r="E397" s="209" t="s">
        <v>832</v>
      </c>
      <c r="F397" s="210">
        <v>5.1230000000000002</v>
      </c>
      <c r="G397" s="209">
        <v>882</v>
      </c>
      <c r="H397" s="209">
        <v>191</v>
      </c>
      <c r="I397" s="209" t="s">
        <v>71</v>
      </c>
      <c r="J397" s="208">
        <v>4516</v>
      </c>
      <c r="K397" s="208">
        <v>12618</v>
      </c>
      <c r="L397" s="207">
        <v>7992</v>
      </c>
      <c r="M397" s="206" t="s">
        <v>775</v>
      </c>
      <c r="N397" s="216">
        <v>6</v>
      </c>
      <c r="O397" s="215">
        <f>IF(N397&gt;0,1/N397*37.7*68.6,"")</f>
        <v>431.03666666666663</v>
      </c>
      <c r="P397" s="203">
        <v>5.69</v>
      </c>
      <c r="Q397" s="202" t="s">
        <v>871</v>
      </c>
      <c r="R397" s="201" t="s">
        <v>760</v>
      </c>
      <c r="S397" s="201" t="s">
        <v>34</v>
      </c>
      <c r="T397" s="200"/>
      <c r="U397" s="199"/>
      <c r="V397" s="198">
        <f>IFERROR(IF(N397&lt;P397,"",(ROUNDDOWN(N397/P397*100,0))),"")</f>
        <v>105</v>
      </c>
    </row>
    <row r="398" spans="1:22" ht="24" customHeight="1">
      <c r="A398" s="219"/>
      <c r="B398" s="223"/>
      <c r="C398" s="228"/>
      <c r="D398" s="227" t="s">
        <v>880</v>
      </c>
      <c r="E398" s="209" t="s">
        <v>869</v>
      </c>
      <c r="F398" s="210">
        <v>5.1230000000000002</v>
      </c>
      <c r="G398" s="209">
        <v>882</v>
      </c>
      <c r="H398" s="209">
        <v>191</v>
      </c>
      <c r="I398" s="209" t="s">
        <v>879</v>
      </c>
      <c r="J398" s="208">
        <v>4516</v>
      </c>
      <c r="K398" s="208">
        <v>12618</v>
      </c>
      <c r="L398" s="207">
        <v>7992</v>
      </c>
      <c r="M398" s="206" t="s">
        <v>775</v>
      </c>
      <c r="N398" s="216">
        <v>6.1</v>
      </c>
      <c r="O398" s="215">
        <f>IF(N398&gt;0,1/N398*37.7*68.6,"")</f>
        <v>423.97049180327872</v>
      </c>
      <c r="P398" s="203">
        <v>5.69</v>
      </c>
      <c r="Q398" s="202" t="s">
        <v>871</v>
      </c>
      <c r="R398" s="201" t="s">
        <v>760</v>
      </c>
      <c r="S398" s="201" t="s">
        <v>34</v>
      </c>
      <c r="T398" s="200"/>
      <c r="U398" s="199"/>
      <c r="V398" s="198">
        <f>IFERROR(IF(N398&lt;P398,"",(ROUNDDOWN(N398/P398*100,0))),"")</f>
        <v>107</v>
      </c>
    </row>
    <row r="399" spans="1:22" ht="24" customHeight="1">
      <c r="A399" s="219"/>
      <c r="B399" s="223"/>
      <c r="C399" s="228"/>
      <c r="D399" s="227" t="s">
        <v>881</v>
      </c>
      <c r="E399" s="209" t="s">
        <v>869</v>
      </c>
      <c r="F399" s="210">
        <v>5.1230000000000002</v>
      </c>
      <c r="G399" s="209">
        <v>882</v>
      </c>
      <c r="H399" s="209">
        <v>191</v>
      </c>
      <c r="I399" s="209" t="s">
        <v>879</v>
      </c>
      <c r="J399" s="208">
        <v>4516</v>
      </c>
      <c r="K399" s="208">
        <v>12618</v>
      </c>
      <c r="L399" s="207">
        <v>7992</v>
      </c>
      <c r="M399" s="206" t="s">
        <v>775</v>
      </c>
      <c r="N399" s="216">
        <v>6.1</v>
      </c>
      <c r="O399" s="215">
        <f>IF(N399&gt;0,1/N399*37.7*68.6,"")</f>
        <v>423.97049180327872</v>
      </c>
      <c r="P399" s="203">
        <v>5.69</v>
      </c>
      <c r="Q399" s="202" t="s">
        <v>871</v>
      </c>
      <c r="R399" s="201" t="s">
        <v>760</v>
      </c>
      <c r="S399" s="201" t="s">
        <v>34</v>
      </c>
      <c r="T399" s="200"/>
      <c r="U399" s="199"/>
      <c r="V399" s="198">
        <f>IFERROR(IF(N399&lt;P399,"",(ROUNDDOWN(N399/P399*100,0))),"")</f>
        <v>107</v>
      </c>
    </row>
    <row r="400" spans="1:22" ht="24" customHeight="1">
      <c r="A400" s="219"/>
      <c r="B400" s="223"/>
      <c r="C400" s="228"/>
      <c r="D400" s="227" t="s">
        <v>880</v>
      </c>
      <c r="E400" s="209" t="s">
        <v>869</v>
      </c>
      <c r="F400" s="210">
        <v>5.1230000000000002</v>
      </c>
      <c r="G400" s="209">
        <v>882</v>
      </c>
      <c r="H400" s="209">
        <v>191</v>
      </c>
      <c r="I400" s="209" t="s">
        <v>879</v>
      </c>
      <c r="J400" s="208">
        <v>4516</v>
      </c>
      <c r="K400" s="208">
        <v>12618</v>
      </c>
      <c r="L400" s="207">
        <v>7992</v>
      </c>
      <c r="M400" s="206" t="s">
        <v>775</v>
      </c>
      <c r="N400" s="216">
        <v>6.1</v>
      </c>
      <c r="O400" s="215">
        <f>IF(N400&gt;0,1/N400*37.7*68.6,"")</f>
        <v>423.97049180327872</v>
      </c>
      <c r="P400" s="203">
        <v>5.69</v>
      </c>
      <c r="Q400" s="202" t="s">
        <v>761</v>
      </c>
      <c r="R400" s="201" t="s">
        <v>760</v>
      </c>
      <c r="S400" s="201" t="s">
        <v>34</v>
      </c>
      <c r="T400" s="200"/>
      <c r="U400" s="199"/>
      <c r="V400" s="198">
        <f>IFERROR(IF(N400&lt;P400,"",(ROUNDDOWN(N400/P400*100,0))),"")</f>
        <v>107</v>
      </c>
    </row>
    <row r="401" spans="1:22" ht="24" customHeight="1">
      <c r="A401" s="219"/>
      <c r="B401" s="223"/>
      <c r="C401" s="228"/>
      <c r="D401" s="227" t="s">
        <v>841</v>
      </c>
      <c r="E401" s="209" t="s">
        <v>869</v>
      </c>
      <c r="F401" s="210">
        <v>5.1230000000000002</v>
      </c>
      <c r="G401" s="209">
        <v>882</v>
      </c>
      <c r="H401" s="209">
        <v>191</v>
      </c>
      <c r="I401" s="209" t="s">
        <v>879</v>
      </c>
      <c r="J401" s="208">
        <v>4516</v>
      </c>
      <c r="K401" s="208">
        <v>12618</v>
      </c>
      <c r="L401" s="207">
        <v>7992</v>
      </c>
      <c r="M401" s="206" t="s">
        <v>775</v>
      </c>
      <c r="N401" s="216">
        <v>6.1</v>
      </c>
      <c r="O401" s="215">
        <f>IF(N401&gt;0,1/N401*37.7*68.6,"")</f>
        <v>423.97049180327872</v>
      </c>
      <c r="P401" s="203">
        <v>5.69</v>
      </c>
      <c r="Q401" s="202" t="s">
        <v>761</v>
      </c>
      <c r="R401" s="201" t="s">
        <v>760</v>
      </c>
      <c r="S401" s="201" t="s">
        <v>34</v>
      </c>
      <c r="T401" s="200"/>
      <c r="U401" s="199"/>
      <c r="V401" s="198">
        <f>IFERROR(IF(N401&lt;P401,"",(ROUNDDOWN(N401/P401*100,0))),"")</f>
        <v>107</v>
      </c>
    </row>
    <row r="402" spans="1:22" ht="24" customHeight="1">
      <c r="A402" s="219"/>
      <c r="B402" s="223"/>
      <c r="C402" s="228"/>
      <c r="D402" s="227" t="s">
        <v>877</v>
      </c>
      <c r="E402" s="209" t="s">
        <v>869</v>
      </c>
      <c r="F402" s="210">
        <v>5.1230000000000002</v>
      </c>
      <c r="G402" s="209">
        <v>833</v>
      </c>
      <c r="H402" s="209">
        <v>177</v>
      </c>
      <c r="I402" s="209" t="s">
        <v>878</v>
      </c>
      <c r="J402" s="208">
        <v>4516</v>
      </c>
      <c r="K402" s="208">
        <v>12618</v>
      </c>
      <c r="L402" s="207">
        <v>7992</v>
      </c>
      <c r="M402" s="206" t="s">
        <v>775</v>
      </c>
      <c r="N402" s="216">
        <v>5.9</v>
      </c>
      <c r="O402" s="215">
        <f>IF(N402&gt;0,1/N402*37.7*68.6,"")</f>
        <v>438.34237288135591</v>
      </c>
      <c r="P402" s="203">
        <v>5.69</v>
      </c>
      <c r="Q402" s="202" t="s">
        <v>761</v>
      </c>
      <c r="R402" s="201" t="s">
        <v>760</v>
      </c>
      <c r="S402" s="201" t="s">
        <v>34</v>
      </c>
      <c r="T402" s="200"/>
      <c r="U402" s="199"/>
      <c r="V402" s="198">
        <f>IFERROR(IF(N402&lt;P402,"",(ROUNDDOWN(N402/P402*100,0))),"")</f>
        <v>103</v>
      </c>
    </row>
    <row r="403" spans="1:22" ht="24" customHeight="1">
      <c r="A403" s="219"/>
      <c r="B403" s="223"/>
      <c r="C403" s="228"/>
      <c r="D403" s="227" t="s">
        <v>876</v>
      </c>
      <c r="E403" s="209" t="s">
        <v>869</v>
      </c>
      <c r="F403" s="210">
        <v>5.1230000000000002</v>
      </c>
      <c r="G403" s="209">
        <v>833</v>
      </c>
      <c r="H403" s="209">
        <v>177</v>
      </c>
      <c r="I403" s="209" t="s">
        <v>878</v>
      </c>
      <c r="J403" s="208">
        <v>4516</v>
      </c>
      <c r="K403" s="208">
        <v>12618</v>
      </c>
      <c r="L403" s="207">
        <v>7992</v>
      </c>
      <c r="M403" s="206" t="s">
        <v>775</v>
      </c>
      <c r="N403" s="216">
        <v>5.9</v>
      </c>
      <c r="O403" s="215">
        <f>IF(N403&gt;0,1/N403*37.7*68.6,"")</f>
        <v>438.34237288135591</v>
      </c>
      <c r="P403" s="203">
        <v>5.69</v>
      </c>
      <c r="Q403" s="202" t="s">
        <v>761</v>
      </c>
      <c r="R403" s="201" t="s">
        <v>760</v>
      </c>
      <c r="S403" s="201" t="s">
        <v>34</v>
      </c>
      <c r="T403" s="200"/>
      <c r="U403" s="199"/>
      <c r="V403" s="198">
        <f>IFERROR(IF(N403&lt;P403,"",(ROUNDDOWN(N403/P403*100,0))),"")</f>
        <v>103</v>
      </c>
    </row>
    <row r="404" spans="1:22" ht="24" customHeight="1">
      <c r="A404" s="219"/>
      <c r="B404" s="223"/>
      <c r="C404" s="228"/>
      <c r="D404" s="227" t="s">
        <v>877</v>
      </c>
      <c r="E404" s="209" t="s">
        <v>832</v>
      </c>
      <c r="F404" s="210">
        <v>5.1230000000000002</v>
      </c>
      <c r="G404" s="209">
        <v>882</v>
      </c>
      <c r="H404" s="209">
        <v>191</v>
      </c>
      <c r="I404" s="209" t="s">
        <v>71</v>
      </c>
      <c r="J404" s="208">
        <v>4516</v>
      </c>
      <c r="K404" s="208">
        <v>12618</v>
      </c>
      <c r="L404" s="207">
        <v>7992</v>
      </c>
      <c r="M404" s="206" t="s">
        <v>775</v>
      </c>
      <c r="N404" s="216">
        <v>5.9</v>
      </c>
      <c r="O404" s="215">
        <f>IF(N404&gt;0,1/N404*37.7*68.6,"")</f>
        <v>438.34237288135591</v>
      </c>
      <c r="P404" s="203">
        <v>5.69</v>
      </c>
      <c r="Q404" s="202" t="s">
        <v>761</v>
      </c>
      <c r="R404" s="201" t="s">
        <v>760</v>
      </c>
      <c r="S404" s="201" t="s">
        <v>34</v>
      </c>
      <c r="T404" s="200"/>
      <c r="U404" s="199"/>
      <c r="V404" s="198">
        <f>IFERROR(IF(N404&lt;P404,"",(ROUNDDOWN(N404/P404*100,0))),"")</f>
        <v>103</v>
      </c>
    </row>
    <row r="405" spans="1:22" ht="24" customHeight="1">
      <c r="A405" s="219"/>
      <c r="B405" s="223"/>
      <c r="C405" s="228"/>
      <c r="D405" s="227" t="s">
        <v>876</v>
      </c>
      <c r="E405" s="209" t="s">
        <v>832</v>
      </c>
      <c r="F405" s="210">
        <v>5.1230000000000002</v>
      </c>
      <c r="G405" s="209">
        <v>882</v>
      </c>
      <c r="H405" s="209">
        <v>191</v>
      </c>
      <c r="I405" s="209" t="s">
        <v>71</v>
      </c>
      <c r="J405" s="208">
        <v>4516</v>
      </c>
      <c r="K405" s="208">
        <v>12618</v>
      </c>
      <c r="L405" s="207">
        <v>7992</v>
      </c>
      <c r="M405" s="206" t="s">
        <v>775</v>
      </c>
      <c r="N405" s="216">
        <v>5.9</v>
      </c>
      <c r="O405" s="215">
        <f>IF(N405&gt;0,1/N405*37.7*68.6,"")</f>
        <v>438.34237288135591</v>
      </c>
      <c r="P405" s="203">
        <v>5.69</v>
      </c>
      <c r="Q405" s="202" t="s">
        <v>761</v>
      </c>
      <c r="R405" s="201" t="s">
        <v>760</v>
      </c>
      <c r="S405" s="201" t="s">
        <v>34</v>
      </c>
      <c r="T405" s="200"/>
      <c r="U405" s="199"/>
      <c r="V405" s="198">
        <f>IFERROR(IF(N405&lt;P405,"",(ROUNDDOWN(N405/P405*100,0))),"")</f>
        <v>103</v>
      </c>
    </row>
    <row r="406" spans="1:22" ht="24" customHeight="1">
      <c r="A406" s="219"/>
      <c r="B406" s="223"/>
      <c r="C406" s="228"/>
      <c r="D406" s="227" t="s">
        <v>875</v>
      </c>
      <c r="E406" s="209" t="s">
        <v>869</v>
      </c>
      <c r="F406" s="210">
        <v>5.1230000000000002</v>
      </c>
      <c r="G406" s="209">
        <v>882</v>
      </c>
      <c r="H406" s="209">
        <v>191</v>
      </c>
      <c r="I406" s="209" t="s">
        <v>261</v>
      </c>
      <c r="J406" s="208">
        <v>5533</v>
      </c>
      <c r="K406" s="208">
        <v>14543</v>
      </c>
      <c r="L406" s="207">
        <v>8900</v>
      </c>
      <c r="M406" s="206" t="s">
        <v>775</v>
      </c>
      <c r="N406" s="216">
        <v>5.4</v>
      </c>
      <c r="O406" s="215">
        <f>IF(N406&gt;0,1/N406*37.7*68.6,"")</f>
        <v>478.92962962962963</v>
      </c>
      <c r="P406" s="203">
        <v>4.97</v>
      </c>
      <c r="Q406" s="202" t="s">
        <v>871</v>
      </c>
      <c r="R406" s="201" t="s">
        <v>760</v>
      </c>
      <c r="S406" s="201" t="s">
        <v>34</v>
      </c>
      <c r="T406" s="200"/>
      <c r="U406" s="199"/>
      <c r="V406" s="198">
        <f>IFERROR(IF(N406&lt;P406,"",(ROUNDDOWN(N406/P406*100,0))),"")</f>
        <v>108</v>
      </c>
    </row>
    <row r="407" spans="1:22" ht="24" customHeight="1">
      <c r="A407" s="219"/>
      <c r="B407" s="223"/>
      <c r="C407" s="228"/>
      <c r="D407" s="227" t="s">
        <v>875</v>
      </c>
      <c r="E407" s="209" t="s">
        <v>869</v>
      </c>
      <c r="F407" s="210">
        <v>5.1230000000000002</v>
      </c>
      <c r="G407" s="209">
        <v>882</v>
      </c>
      <c r="H407" s="209">
        <v>191</v>
      </c>
      <c r="I407" s="209" t="s">
        <v>261</v>
      </c>
      <c r="J407" s="208">
        <v>5533</v>
      </c>
      <c r="K407" s="208">
        <v>14543</v>
      </c>
      <c r="L407" s="207">
        <v>8900</v>
      </c>
      <c r="M407" s="206" t="s">
        <v>775</v>
      </c>
      <c r="N407" s="216">
        <v>5.3</v>
      </c>
      <c r="O407" s="215">
        <f>IF(N407&gt;0,1/N407*37.7*68.6,"")</f>
        <v>487.96603773584911</v>
      </c>
      <c r="P407" s="203">
        <v>4.97</v>
      </c>
      <c r="Q407" s="202" t="s">
        <v>761</v>
      </c>
      <c r="R407" s="201" t="s">
        <v>760</v>
      </c>
      <c r="S407" s="201" t="s">
        <v>34</v>
      </c>
      <c r="T407" s="200"/>
      <c r="U407" s="199"/>
      <c r="V407" s="198">
        <f>IFERROR(IF(N407&lt;P407,"",(ROUNDDOWN(N407/P407*100,0))),"")</f>
        <v>106</v>
      </c>
    </row>
    <row r="408" spans="1:22" ht="24" customHeight="1">
      <c r="A408" s="219"/>
      <c r="B408" s="223"/>
      <c r="C408" s="228"/>
      <c r="D408" s="227" t="s">
        <v>874</v>
      </c>
      <c r="E408" s="209" t="s">
        <v>869</v>
      </c>
      <c r="F408" s="210">
        <v>5.1230000000000002</v>
      </c>
      <c r="G408" s="209">
        <v>794</v>
      </c>
      <c r="H408" s="209">
        <v>177</v>
      </c>
      <c r="I408" s="209" t="s">
        <v>390</v>
      </c>
      <c r="J408" s="208">
        <v>5533</v>
      </c>
      <c r="K408" s="208">
        <v>14543</v>
      </c>
      <c r="L408" s="207">
        <v>8900</v>
      </c>
      <c r="M408" s="206" t="s">
        <v>775</v>
      </c>
      <c r="N408" s="216">
        <v>5.0999999999999996</v>
      </c>
      <c r="O408" s="215">
        <f>IF(N408&gt;0,1/N408*37.7*68.6,"")</f>
        <v>507.10196078431375</v>
      </c>
      <c r="P408" s="203">
        <v>4.97</v>
      </c>
      <c r="Q408" s="202" t="s">
        <v>871</v>
      </c>
      <c r="R408" s="201" t="s">
        <v>760</v>
      </c>
      <c r="S408" s="201" t="s">
        <v>34</v>
      </c>
      <c r="T408" s="200"/>
      <c r="U408" s="199"/>
      <c r="V408" s="198">
        <f>IFERROR(IF(N408&lt;P408,"",(ROUNDDOWN(N408/P408*100,0))),"")</f>
        <v>102</v>
      </c>
    </row>
    <row r="409" spans="1:22" ht="24" customHeight="1">
      <c r="A409" s="219"/>
      <c r="B409" s="223"/>
      <c r="C409" s="228"/>
      <c r="D409" s="227" t="s">
        <v>873</v>
      </c>
      <c r="E409" s="209" t="s">
        <v>869</v>
      </c>
      <c r="F409" s="210">
        <v>5.1230000000000002</v>
      </c>
      <c r="G409" s="209">
        <v>794</v>
      </c>
      <c r="H409" s="209">
        <v>177</v>
      </c>
      <c r="I409" s="209" t="s">
        <v>390</v>
      </c>
      <c r="J409" s="208">
        <v>5533</v>
      </c>
      <c r="K409" s="208">
        <v>14543</v>
      </c>
      <c r="L409" s="207">
        <v>8900</v>
      </c>
      <c r="M409" s="206" t="s">
        <v>775</v>
      </c>
      <c r="N409" s="216">
        <v>4.8499999999999996</v>
      </c>
      <c r="O409" s="215">
        <f>IF(N409&gt;0,1/N409*37.7*68.6,"")</f>
        <v>533.24123711340212</v>
      </c>
      <c r="P409" s="203">
        <v>4.97</v>
      </c>
      <c r="Q409" s="202" t="s">
        <v>761</v>
      </c>
      <c r="R409" s="201" t="s">
        <v>760</v>
      </c>
      <c r="S409" s="201" t="s">
        <v>34</v>
      </c>
      <c r="T409" s="200"/>
      <c r="U409" s="199"/>
      <c r="V409" s="198" t="str">
        <f>IFERROR(IF(N409&lt;P409,"",(ROUNDDOWN(N409/P409*100,0))),"")</f>
        <v/>
      </c>
    </row>
    <row r="410" spans="1:22" ht="24" customHeight="1">
      <c r="A410" s="219"/>
      <c r="B410" s="223"/>
      <c r="C410" s="228"/>
      <c r="D410" s="227" t="s">
        <v>872</v>
      </c>
      <c r="E410" s="209" t="s">
        <v>869</v>
      </c>
      <c r="F410" s="210">
        <v>5.1230000000000002</v>
      </c>
      <c r="G410" s="209">
        <v>882</v>
      </c>
      <c r="H410" s="209">
        <v>191</v>
      </c>
      <c r="I410" s="209" t="s">
        <v>261</v>
      </c>
      <c r="J410" s="208">
        <v>8688</v>
      </c>
      <c r="K410" s="208">
        <v>19887</v>
      </c>
      <c r="L410" s="207">
        <v>11089</v>
      </c>
      <c r="M410" s="206" t="s">
        <v>775</v>
      </c>
      <c r="N410" s="216">
        <v>4.1500000000000004</v>
      </c>
      <c r="O410" s="215">
        <f>IF(N410&gt;0,1/N410*37.7*68.6,"")</f>
        <v>623.1855421686746</v>
      </c>
      <c r="P410" s="203">
        <v>4.1500000000000004</v>
      </c>
      <c r="Q410" s="202" t="s">
        <v>871</v>
      </c>
      <c r="R410" s="201" t="s">
        <v>760</v>
      </c>
      <c r="S410" s="201" t="s">
        <v>868</v>
      </c>
      <c r="T410" s="200"/>
      <c r="U410" s="199"/>
      <c r="V410" s="198">
        <f>IFERROR(IF(N410&lt;P410,"",(ROUNDDOWN(N410/P410*100,0))),"")</f>
        <v>100</v>
      </c>
    </row>
    <row r="411" spans="1:22" ht="24" customHeight="1">
      <c r="A411" s="219"/>
      <c r="B411" s="223"/>
      <c r="C411" s="228"/>
      <c r="D411" s="227" t="s">
        <v>870</v>
      </c>
      <c r="E411" s="209" t="s">
        <v>869</v>
      </c>
      <c r="F411" s="210">
        <v>5.1230000000000002</v>
      </c>
      <c r="G411" s="209">
        <v>882</v>
      </c>
      <c r="H411" s="209">
        <v>191</v>
      </c>
      <c r="I411" s="209" t="s">
        <v>261</v>
      </c>
      <c r="J411" s="208">
        <v>8688</v>
      </c>
      <c r="K411" s="208">
        <v>19887</v>
      </c>
      <c r="L411" s="207">
        <v>11089</v>
      </c>
      <c r="M411" s="206" t="s">
        <v>775</v>
      </c>
      <c r="N411" s="216">
        <v>4.05</v>
      </c>
      <c r="O411" s="215">
        <f>IF(N411&gt;0,1/N411*37.7*68.6,"")</f>
        <v>638.57283950617284</v>
      </c>
      <c r="P411" s="203">
        <v>4.1500000000000004</v>
      </c>
      <c r="Q411" s="202" t="s">
        <v>761</v>
      </c>
      <c r="R411" s="201" t="s">
        <v>760</v>
      </c>
      <c r="S411" s="201" t="s">
        <v>868</v>
      </c>
      <c r="T411" s="200"/>
      <c r="U411" s="199"/>
      <c r="V411" s="198" t="str">
        <f>IFERROR(IF(N411&lt;P411,"",(ROUNDDOWN(N411/P411*100,0))),"")</f>
        <v/>
      </c>
    </row>
    <row r="412" spans="1:22" ht="24" customHeight="1">
      <c r="A412" s="219"/>
      <c r="B412" s="223"/>
      <c r="C412" s="228"/>
      <c r="D412" s="227" t="s">
        <v>870</v>
      </c>
      <c r="E412" s="209" t="s">
        <v>869</v>
      </c>
      <c r="F412" s="210">
        <v>5.1230000000000002</v>
      </c>
      <c r="G412" s="209">
        <v>882</v>
      </c>
      <c r="H412" s="209">
        <v>191</v>
      </c>
      <c r="I412" s="209" t="s">
        <v>30</v>
      </c>
      <c r="J412" s="208">
        <v>8688</v>
      </c>
      <c r="K412" s="208">
        <v>19887</v>
      </c>
      <c r="L412" s="207">
        <v>11089</v>
      </c>
      <c r="M412" s="206" t="s">
        <v>775</v>
      </c>
      <c r="N412" s="216">
        <v>3.95</v>
      </c>
      <c r="O412" s="215">
        <f>IF(N412&gt;0,1/N412*37.7*68.6,"")</f>
        <v>654.739240506329</v>
      </c>
      <c r="P412" s="203">
        <v>4.1500000000000004</v>
      </c>
      <c r="Q412" s="202" t="s">
        <v>761</v>
      </c>
      <c r="R412" s="201" t="s">
        <v>760</v>
      </c>
      <c r="S412" s="201" t="s">
        <v>868</v>
      </c>
      <c r="T412" s="200"/>
      <c r="U412" s="199"/>
      <c r="V412" s="198" t="str">
        <f>IFERROR(IF(N412&lt;P412,"",(ROUNDDOWN(N412/P412*100,0))),"")</f>
        <v/>
      </c>
    </row>
    <row r="413" spans="1:22" ht="24" customHeight="1">
      <c r="A413" s="219"/>
      <c r="B413" s="223"/>
      <c r="C413" s="228"/>
      <c r="D413" s="227" t="s">
        <v>870</v>
      </c>
      <c r="E413" s="209" t="s">
        <v>869</v>
      </c>
      <c r="F413" s="210">
        <v>5.1230000000000002</v>
      </c>
      <c r="G413" s="209">
        <v>882</v>
      </c>
      <c r="H413" s="209">
        <v>191</v>
      </c>
      <c r="I413" s="209" t="s">
        <v>390</v>
      </c>
      <c r="J413" s="208">
        <v>8688</v>
      </c>
      <c r="K413" s="208">
        <v>19887</v>
      </c>
      <c r="L413" s="207">
        <v>11089</v>
      </c>
      <c r="M413" s="206" t="s">
        <v>775</v>
      </c>
      <c r="N413" s="216">
        <v>3.8</v>
      </c>
      <c r="O413" s="215">
        <f>IF(N413&gt;0,1/N413*37.7*68.6,"")</f>
        <v>680.5842105263157</v>
      </c>
      <c r="P413" s="203">
        <v>4.1500000000000004</v>
      </c>
      <c r="Q413" s="202" t="s">
        <v>761</v>
      </c>
      <c r="R413" s="201" t="s">
        <v>760</v>
      </c>
      <c r="S413" s="201" t="s">
        <v>868</v>
      </c>
      <c r="T413" s="200"/>
      <c r="U413" s="199"/>
      <c r="V413" s="198" t="str">
        <f>IFERROR(IF(N413&lt;P413,"",(ROUNDDOWN(N413/P413*100,0))),"")</f>
        <v/>
      </c>
    </row>
    <row r="414" spans="1:22" ht="24" customHeight="1">
      <c r="A414" s="219"/>
      <c r="B414" s="223"/>
      <c r="C414" s="228"/>
      <c r="D414" s="227" t="s">
        <v>867</v>
      </c>
      <c r="E414" s="209" t="s">
        <v>832</v>
      </c>
      <c r="F414" s="210">
        <v>5.1230000000000002</v>
      </c>
      <c r="G414" s="209">
        <v>794</v>
      </c>
      <c r="H414" s="209">
        <v>177</v>
      </c>
      <c r="I414" s="209" t="s">
        <v>71</v>
      </c>
      <c r="J414" s="208">
        <v>3543</v>
      </c>
      <c r="K414" s="208">
        <v>7928</v>
      </c>
      <c r="L414" s="207">
        <v>4275</v>
      </c>
      <c r="M414" s="206" t="s">
        <v>589</v>
      </c>
      <c r="N414" s="216">
        <v>7.67</v>
      </c>
      <c r="O414" s="215">
        <f>IF(N414&gt;0,1/N414*37.7*68.6,"")</f>
        <v>337.18644067796606</v>
      </c>
      <c r="P414" s="203">
        <v>7.24</v>
      </c>
      <c r="Q414" s="202" t="s">
        <v>834</v>
      </c>
      <c r="R414" s="201" t="s">
        <v>33</v>
      </c>
      <c r="S414" s="201" t="s">
        <v>34</v>
      </c>
      <c r="T414" s="220" t="s">
        <v>830</v>
      </c>
      <c r="U414" s="199"/>
      <c r="V414" s="198">
        <f>IFERROR(IF(N414&lt;P414,"",(ROUNDDOWN(N414/P414*100,0))),"")</f>
        <v>105</v>
      </c>
    </row>
    <row r="415" spans="1:22" ht="24" customHeight="1">
      <c r="A415" s="219"/>
      <c r="B415" s="223"/>
      <c r="C415" s="228"/>
      <c r="D415" s="227" t="s">
        <v>867</v>
      </c>
      <c r="E415" s="209" t="s">
        <v>832</v>
      </c>
      <c r="F415" s="210">
        <v>5.1230000000000002</v>
      </c>
      <c r="G415" s="209">
        <v>794</v>
      </c>
      <c r="H415" s="209">
        <v>177</v>
      </c>
      <c r="I415" s="209" t="s">
        <v>839</v>
      </c>
      <c r="J415" s="208">
        <v>3543</v>
      </c>
      <c r="K415" s="208">
        <v>7928</v>
      </c>
      <c r="L415" s="207">
        <v>4275</v>
      </c>
      <c r="M415" s="206" t="s">
        <v>589</v>
      </c>
      <c r="N415" s="216">
        <v>7.67</v>
      </c>
      <c r="O415" s="215">
        <f>IF(N415&gt;0,1/N415*37.7*68.6,"")</f>
        <v>337.18644067796606</v>
      </c>
      <c r="P415" s="203">
        <v>7.24</v>
      </c>
      <c r="Q415" s="202" t="s">
        <v>834</v>
      </c>
      <c r="R415" s="201" t="s">
        <v>33</v>
      </c>
      <c r="S415" s="201" t="s">
        <v>34</v>
      </c>
      <c r="T415" s="220" t="s">
        <v>830</v>
      </c>
      <c r="U415" s="199"/>
      <c r="V415" s="198">
        <f>IFERROR(IF(N415&lt;P415,"",(ROUNDDOWN(N415/P415*100,0))),"")</f>
        <v>105</v>
      </c>
    </row>
    <row r="416" spans="1:22" ht="24" customHeight="1">
      <c r="A416" s="219"/>
      <c r="B416" s="223"/>
      <c r="C416" s="228"/>
      <c r="D416" s="227" t="s">
        <v>866</v>
      </c>
      <c r="E416" s="209" t="s">
        <v>832</v>
      </c>
      <c r="F416" s="210">
        <v>5.1230000000000002</v>
      </c>
      <c r="G416" s="209">
        <v>794</v>
      </c>
      <c r="H416" s="209">
        <v>177</v>
      </c>
      <c r="I416" s="209" t="s">
        <v>71</v>
      </c>
      <c r="J416" s="208">
        <v>3543</v>
      </c>
      <c r="K416" s="208">
        <v>7928</v>
      </c>
      <c r="L416" s="207">
        <v>4275</v>
      </c>
      <c r="M416" s="206" t="s">
        <v>589</v>
      </c>
      <c r="N416" s="216">
        <v>7.45</v>
      </c>
      <c r="O416" s="215">
        <f>IF(N416&gt;0,1/N416*37.7*68.6,"")</f>
        <v>347.14362416107377</v>
      </c>
      <c r="P416" s="203">
        <v>7.24</v>
      </c>
      <c r="Q416" s="202" t="s">
        <v>831</v>
      </c>
      <c r="R416" s="201" t="s">
        <v>33</v>
      </c>
      <c r="S416" s="201" t="s">
        <v>34</v>
      </c>
      <c r="T416" s="220" t="s">
        <v>830</v>
      </c>
      <c r="U416" s="199"/>
      <c r="V416" s="198">
        <f>IFERROR(IF(N416&lt;P416,"",(ROUNDDOWN(N416/P416*100,0))),"")</f>
        <v>102</v>
      </c>
    </row>
    <row r="417" spans="1:22" ht="24" customHeight="1">
      <c r="A417" s="219"/>
      <c r="B417" s="223"/>
      <c r="C417" s="228"/>
      <c r="D417" s="227" t="s">
        <v>866</v>
      </c>
      <c r="E417" s="209" t="s">
        <v>832</v>
      </c>
      <c r="F417" s="210">
        <v>5.1230000000000002</v>
      </c>
      <c r="G417" s="209">
        <v>794</v>
      </c>
      <c r="H417" s="209">
        <v>177</v>
      </c>
      <c r="I417" s="209" t="s">
        <v>839</v>
      </c>
      <c r="J417" s="208">
        <v>3543</v>
      </c>
      <c r="K417" s="208">
        <v>7928</v>
      </c>
      <c r="L417" s="207">
        <v>4275</v>
      </c>
      <c r="M417" s="206" t="s">
        <v>589</v>
      </c>
      <c r="N417" s="216">
        <v>7.45</v>
      </c>
      <c r="O417" s="215">
        <f>IF(N417&gt;0,1/N417*37.7*68.6,"")</f>
        <v>347.14362416107377</v>
      </c>
      <c r="P417" s="203">
        <v>7.24</v>
      </c>
      <c r="Q417" s="202" t="s">
        <v>831</v>
      </c>
      <c r="R417" s="201" t="s">
        <v>33</v>
      </c>
      <c r="S417" s="201" t="s">
        <v>34</v>
      </c>
      <c r="T417" s="220" t="s">
        <v>830</v>
      </c>
      <c r="U417" s="199"/>
      <c r="V417" s="198">
        <f>IFERROR(IF(N417&lt;P417,"",(ROUNDDOWN(N417/P417*100,0))),"")</f>
        <v>102</v>
      </c>
    </row>
    <row r="418" spans="1:22" ht="24" customHeight="1">
      <c r="A418" s="219"/>
      <c r="B418" s="223"/>
      <c r="C418" s="228"/>
      <c r="D418" s="227" t="s">
        <v>865</v>
      </c>
      <c r="E418" s="209" t="s">
        <v>832</v>
      </c>
      <c r="F418" s="210">
        <v>5.1230000000000002</v>
      </c>
      <c r="G418" s="209">
        <v>794</v>
      </c>
      <c r="H418" s="209">
        <v>177</v>
      </c>
      <c r="I418" s="209" t="s">
        <v>71</v>
      </c>
      <c r="J418" s="208">
        <v>3543</v>
      </c>
      <c r="K418" s="208">
        <v>7928</v>
      </c>
      <c r="L418" s="207">
        <v>4275</v>
      </c>
      <c r="M418" s="206" t="s">
        <v>589</v>
      </c>
      <c r="N418" s="216">
        <v>7.67</v>
      </c>
      <c r="O418" s="215">
        <f>IF(N418&gt;0,1/N418*37.7*68.6,"")</f>
        <v>337.18644067796606</v>
      </c>
      <c r="P418" s="203">
        <v>7.24</v>
      </c>
      <c r="Q418" s="202" t="s">
        <v>834</v>
      </c>
      <c r="R418" s="201" t="s">
        <v>33</v>
      </c>
      <c r="S418" s="201" t="s">
        <v>34</v>
      </c>
      <c r="T418" s="220" t="s">
        <v>830</v>
      </c>
      <c r="U418" s="199"/>
      <c r="V418" s="198">
        <f>IFERROR(IF(N418&lt;P418,"",(ROUNDDOWN(N418/P418*100,0))),"")</f>
        <v>105</v>
      </c>
    </row>
    <row r="419" spans="1:22" ht="24" customHeight="1">
      <c r="A419" s="219"/>
      <c r="B419" s="223"/>
      <c r="C419" s="228"/>
      <c r="D419" s="227" t="s">
        <v>865</v>
      </c>
      <c r="E419" s="209" t="s">
        <v>832</v>
      </c>
      <c r="F419" s="210">
        <v>5.1230000000000002</v>
      </c>
      <c r="G419" s="209">
        <v>794</v>
      </c>
      <c r="H419" s="209">
        <v>177</v>
      </c>
      <c r="I419" s="209" t="s">
        <v>839</v>
      </c>
      <c r="J419" s="208">
        <v>3543</v>
      </c>
      <c r="K419" s="208">
        <v>7928</v>
      </c>
      <c r="L419" s="207">
        <v>4275</v>
      </c>
      <c r="M419" s="206" t="s">
        <v>589</v>
      </c>
      <c r="N419" s="216">
        <v>7.67</v>
      </c>
      <c r="O419" s="215">
        <f>IF(N419&gt;0,1/N419*37.7*68.6,"")</f>
        <v>337.18644067796606</v>
      </c>
      <c r="P419" s="203">
        <v>7.24</v>
      </c>
      <c r="Q419" s="202" t="s">
        <v>834</v>
      </c>
      <c r="R419" s="201" t="s">
        <v>33</v>
      </c>
      <c r="S419" s="201" t="s">
        <v>34</v>
      </c>
      <c r="T419" s="220" t="s">
        <v>830</v>
      </c>
      <c r="U419" s="199"/>
      <c r="V419" s="198">
        <f>IFERROR(IF(N419&lt;P419,"",(ROUNDDOWN(N419/P419*100,0))),"")</f>
        <v>105</v>
      </c>
    </row>
    <row r="420" spans="1:22" ht="24" customHeight="1">
      <c r="A420" s="219"/>
      <c r="B420" s="223"/>
      <c r="C420" s="228"/>
      <c r="D420" s="227" t="s">
        <v>864</v>
      </c>
      <c r="E420" s="209" t="s">
        <v>832</v>
      </c>
      <c r="F420" s="210">
        <v>5.1230000000000002</v>
      </c>
      <c r="G420" s="209">
        <v>794</v>
      </c>
      <c r="H420" s="209">
        <v>177</v>
      </c>
      <c r="I420" s="209" t="s">
        <v>71</v>
      </c>
      <c r="J420" s="208">
        <v>3543</v>
      </c>
      <c r="K420" s="208">
        <v>7928</v>
      </c>
      <c r="L420" s="207">
        <v>4275</v>
      </c>
      <c r="M420" s="206" t="s">
        <v>589</v>
      </c>
      <c r="N420" s="216">
        <v>7.45</v>
      </c>
      <c r="O420" s="215">
        <f>IF(N420&gt;0,1/N420*37.7*68.6,"")</f>
        <v>347.14362416107377</v>
      </c>
      <c r="P420" s="203">
        <v>7.24</v>
      </c>
      <c r="Q420" s="202" t="s">
        <v>831</v>
      </c>
      <c r="R420" s="201" t="s">
        <v>33</v>
      </c>
      <c r="S420" s="201" t="s">
        <v>34</v>
      </c>
      <c r="T420" s="220" t="s">
        <v>830</v>
      </c>
      <c r="U420" s="199"/>
      <c r="V420" s="198">
        <f>IFERROR(IF(N420&lt;P420,"",(ROUNDDOWN(N420/P420*100,0))),"")</f>
        <v>102</v>
      </c>
    </row>
    <row r="421" spans="1:22" ht="24" customHeight="1">
      <c r="A421" s="219"/>
      <c r="B421" s="223"/>
      <c r="C421" s="228"/>
      <c r="D421" s="227" t="s">
        <v>864</v>
      </c>
      <c r="E421" s="209" t="s">
        <v>832</v>
      </c>
      <c r="F421" s="210">
        <v>5.1230000000000002</v>
      </c>
      <c r="G421" s="209">
        <v>794</v>
      </c>
      <c r="H421" s="209">
        <v>177</v>
      </c>
      <c r="I421" s="209" t="s">
        <v>839</v>
      </c>
      <c r="J421" s="208">
        <v>3543</v>
      </c>
      <c r="K421" s="208">
        <v>7928</v>
      </c>
      <c r="L421" s="207">
        <v>4275</v>
      </c>
      <c r="M421" s="206" t="s">
        <v>589</v>
      </c>
      <c r="N421" s="216">
        <v>7.45</v>
      </c>
      <c r="O421" s="215">
        <f>IF(N421&gt;0,1/N421*37.7*68.6,"")</f>
        <v>347.14362416107377</v>
      </c>
      <c r="P421" s="203">
        <v>7.24</v>
      </c>
      <c r="Q421" s="202" t="s">
        <v>831</v>
      </c>
      <c r="R421" s="201" t="s">
        <v>33</v>
      </c>
      <c r="S421" s="201" t="s">
        <v>34</v>
      </c>
      <c r="T421" s="220" t="s">
        <v>830</v>
      </c>
      <c r="U421" s="199"/>
      <c r="V421" s="198">
        <f>IFERROR(IF(N421&lt;P421,"",(ROUNDDOWN(N421/P421*100,0))),"")</f>
        <v>102</v>
      </c>
    </row>
    <row r="422" spans="1:22" ht="24" customHeight="1">
      <c r="A422" s="219"/>
      <c r="B422" s="223"/>
      <c r="C422" s="228"/>
      <c r="D422" s="227" t="s">
        <v>863</v>
      </c>
      <c r="E422" s="209" t="s">
        <v>832</v>
      </c>
      <c r="F422" s="210">
        <v>5.1230000000000002</v>
      </c>
      <c r="G422" s="209">
        <v>794</v>
      </c>
      <c r="H422" s="209">
        <v>177</v>
      </c>
      <c r="I422" s="209" t="s">
        <v>71</v>
      </c>
      <c r="J422" s="208">
        <v>3543</v>
      </c>
      <c r="K422" s="208">
        <v>7928</v>
      </c>
      <c r="L422" s="207">
        <v>4275</v>
      </c>
      <c r="M422" s="206" t="s">
        <v>589</v>
      </c>
      <c r="N422" s="216">
        <v>7.67</v>
      </c>
      <c r="O422" s="215">
        <f>IF(N422&gt;0,1/N422*37.7*68.6,"")</f>
        <v>337.18644067796606</v>
      </c>
      <c r="P422" s="203">
        <v>7.24</v>
      </c>
      <c r="Q422" s="202" t="s">
        <v>834</v>
      </c>
      <c r="R422" s="201" t="s">
        <v>33</v>
      </c>
      <c r="S422" s="201" t="s">
        <v>34</v>
      </c>
      <c r="T422" s="220" t="s">
        <v>830</v>
      </c>
      <c r="U422" s="199"/>
      <c r="V422" s="198">
        <f>IFERROR(IF(N422&lt;P422,"",(ROUNDDOWN(N422/P422*100,0))),"")</f>
        <v>105</v>
      </c>
    </row>
    <row r="423" spans="1:22" ht="24" customHeight="1">
      <c r="A423" s="219"/>
      <c r="B423" s="223"/>
      <c r="C423" s="228"/>
      <c r="D423" s="227" t="s">
        <v>863</v>
      </c>
      <c r="E423" s="209" t="s">
        <v>832</v>
      </c>
      <c r="F423" s="210">
        <v>5.1230000000000002</v>
      </c>
      <c r="G423" s="209">
        <v>794</v>
      </c>
      <c r="H423" s="209">
        <v>177</v>
      </c>
      <c r="I423" s="209" t="s">
        <v>839</v>
      </c>
      <c r="J423" s="208">
        <v>3543</v>
      </c>
      <c r="K423" s="208">
        <v>7928</v>
      </c>
      <c r="L423" s="207">
        <v>4275</v>
      </c>
      <c r="M423" s="206" t="s">
        <v>589</v>
      </c>
      <c r="N423" s="216">
        <v>7.67</v>
      </c>
      <c r="O423" s="215">
        <f>IF(N423&gt;0,1/N423*37.7*68.6,"")</f>
        <v>337.18644067796606</v>
      </c>
      <c r="P423" s="203">
        <v>7.24</v>
      </c>
      <c r="Q423" s="202" t="s">
        <v>834</v>
      </c>
      <c r="R423" s="201" t="s">
        <v>33</v>
      </c>
      <c r="S423" s="201" t="s">
        <v>34</v>
      </c>
      <c r="T423" s="220" t="s">
        <v>830</v>
      </c>
      <c r="U423" s="199"/>
      <c r="V423" s="198">
        <f>IFERROR(IF(N423&lt;P423,"",(ROUNDDOWN(N423/P423*100,0))),"")</f>
        <v>105</v>
      </c>
    </row>
    <row r="424" spans="1:22" ht="24" customHeight="1">
      <c r="A424" s="219"/>
      <c r="B424" s="223"/>
      <c r="C424" s="228"/>
      <c r="D424" s="227" t="s">
        <v>862</v>
      </c>
      <c r="E424" s="209" t="s">
        <v>832</v>
      </c>
      <c r="F424" s="210">
        <v>5.1230000000000002</v>
      </c>
      <c r="G424" s="209">
        <v>794</v>
      </c>
      <c r="H424" s="209">
        <v>177</v>
      </c>
      <c r="I424" s="209" t="s">
        <v>71</v>
      </c>
      <c r="J424" s="208">
        <v>3543</v>
      </c>
      <c r="K424" s="208">
        <v>7928</v>
      </c>
      <c r="L424" s="207">
        <v>4275</v>
      </c>
      <c r="M424" s="206" t="s">
        <v>589</v>
      </c>
      <c r="N424" s="216">
        <v>7.45</v>
      </c>
      <c r="O424" s="215">
        <f>IF(N424&gt;0,1/N424*37.7*68.6,"")</f>
        <v>347.14362416107377</v>
      </c>
      <c r="P424" s="203">
        <v>7.24</v>
      </c>
      <c r="Q424" s="202" t="s">
        <v>831</v>
      </c>
      <c r="R424" s="201" t="s">
        <v>33</v>
      </c>
      <c r="S424" s="201" t="s">
        <v>34</v>
      </c>
      <c r="T424" s="220" t="s">
        <v>830</v>
      </c>
      <c r="U424" s="199"/>
      <c r="V424" s="198">
        <f>IFERROR(IF(N424&lt;P424,"",(ROUNDDOWN(N424/P424*100,0))),"")</f>
        <v>102</v>
      </c>
    </row>
    <row r="425" spans="1:22" ht="24" customHeight="1">
      <c r="A425" s="219"/>
      <c r="B425" s="223"/>
      <c r="C425" s="228"/>
      <c r="D425" s="227" t="s">
        <v>862</v>
      </c>
      <c r="E425" s="209" t="s">
        <v>832</v>
      </c>
      <c r="F425" s="210">
        <v>5.1230000000000002</v>
      </c>
      <c r="G425" s="209">
        <v>794</v>
      </c>
      <c r="H425" s="209">
        <v>177</v>
      </c>
      <c r="I425" s="209" t="s">
        <v>839</v>
      </c>
      <c r="J425" s="208">
        <v>3543</v>
      </c>
      <c r="K425" s="208">
        <v>7928</v>
      </c>
      <c r="L425" s="207">
        <v>4275</v>
      </c>
      <c r="M425" s="206" t="s">
        <v>589</v>
      </c>
      <c r="N425" s="216">
        <v>7.45</v>
      </c>
      <c r="O425" s="215">
        <f>IF(N425&gt;0,1/N425*37.7*68.6,"")</f>
        <v>347.14362416107377</v>
      </c>
      <c r="P425" s="203">
        <v>7.24</v>
      </c>
      <c r="Q425" s="202" t="s">
        <v>831</v>
      </c>
      <c r="R425" s="201" t="s">
        <v>33</v>
      </c>
      <c r="S425" s="201" t="s">
        <v>34</v>
      </c>
      <c r="T425" s="220" t="s">
        <v>830</v>
      </c>
      <c r="U425" s="199"/>
      <c r="V425" s="198">
        <f>IFERROR(IF(N425&lt;P425,"",(ROUNDDOWN(N425/P425*100,0))),"")</f>
        <v>102</v>
      </c>
    </row>
    <row r="426" spans="1:22" ht="24" customHeight="1">
      <c r="A426" s="219"/>
      <c r="B426" s="223"/>
      <c r="C426" s="228"/>
      <c r="D426" s="227" t="s">
        <v>862</v>
      </c>
      <c r="E426" s="209" t="s">
        <v>832</v>
      </c>
      <c r="F426" s="210">
        <v>5.1230000000000002</v>
      </c>
      <c r="G426" s="209">
        <v>794</v>
      </c>
      <c r="H426" s="209">
        <v>177</v>
      </c>
      <c r="I426" s="209" t="s">
        <v>790</v>
      </c>
      <c r="J426" s="208">
        <v>3543</v>
      </c>
      <c r="K426" s="208">
        <v>7928</v>
      </c>
      <c r="L426" s="207">
        <v>4275</v>
      </c>
      <c r="M426" s="206" t="s">
        <v>589</v>
      </c>
      <c r="N426" s="216">
        <v>7.28</v>
      </c>
      <c r="O426" s="215">
        <f>IF(N426&gt;0,1/N426*37.7*68.6,"")</f>
        <v>355.24999999999994</v>
      </c>
      <c r="P426" s="203">
        <v>7.24</v>
      </c>
      <c r="Q426" s="202" t="s">
        <v>834</v>
      </c>
      <c r="R426" s="201" t="s">
        <v>33</v>
      </c>
      <c r="S426" s="201" t="s">
        <v>34</v>
      </c>
      <c r="T426" s="220" t="s">
        <v>830</v>
      </c>
      <c r="U426" s="199"/>
      <c r="V426" s="198">
        <f>IFERROR(IF(N426&lt;P426,"",(ROUNDDOWN(N426/P426*100,0))),"")</f>
        <v>100</v>
      </c>
    </row>
    <row r="427" spans="1:22" ht="24" customHeight="1">
      <c r="A427" s="219"/>
      <c r="B427" s="223"/>
      <c r="C427" s="228"/>
      <c r="D427" s="227" t="s">
        <v>861</v>
      </c>
      <c r="E427" s="209" t="s">
        <v>832</v>
      </c>
      <c r="F427" s="210">
        <v>5.1230000000000002</v>
      </c>
      <c r="G427" s="209">
        <v>794</v>
      </c>
      <c r="H427" s="209">
        <v>177</v>
      </c>
      <c r="I427" s="209" t="s">
        <v>790</v>
      </c>
      <c r="J427" s="208">
        <v>3543</v>
      </c>
      <c r="K427" s="208">
        <v>7928</v>
      </c>
      <c r="L427" s="207">
        <v>4275</v>
      </c>
      <c r="M427" s="206" t="s">
        <v>589</v>
      </c>
      <c r="N427" s="216">
        <v>6.78</v>
      </c>
      <c r="O427" s="215">
        <f>IF(N427&gt;0,1/N427*37.7*68.6,"")</f>
        <v>381.44837758112089</v>
      </c>
      <c r="P427" s="203">
        <v>7.24</v>
      </c>
      <c r="Q427" s="202" t="s">
        <v>831</v>
      </c>
      <c r="R427" s="201" t="s">
        <v>33</v>
      </c>
      <c r="S427" s="201" t="s">
        <v>34</v>
      </c>
      <c r="T427" s="220" t="s">
        <v>830</v>
      </c>
      <c r="U427" s="199"/>
      <c r="V427" s="198" t="str">
        <f>IFERROR(IF(N427&lt;P427,"",(ROUNDDOWN(N427/P427*100,0))),"")</f>
        <v/>
      </c>
    </row>
    <row r="428" spans="1:22" ht="24" customHeight="1">
      <c r="A428" s="219"/>
      <c r="B428" s="223"/>
      <c r="C428" s="228"/>
      <c r="D428" s="227" t="s">
        <v>860</v>
      </c>
      <c r="E428" s="209" t="s">
        <v>832</v>
      </c>
      <c r="F428" s="210">
        <v>5.1230000000000002</v>
      </c>
      <c r="G428" s="209">
        <v>794</v>
      </c>
      <c r="H428" s="209">
        <v>177</v>
      </c>
      <c r="I428" s="209" t="s">
        <v>71</v>
      </c>
      <c r="J428" s="208">
        <v>3543</v>
      </c>
      <c r="K428" s="208">
        <v>7928</v>
      </c>
      <c r="L428" s="207">
        <v>4275</v>
      </c>
      <c r="M428" s="206" t="s">
        <v>589</v>
      </c>
      <c r="N428" s="216">
        <v>7.67</v>
      </c>
      <c r="O428" s="215">
        <f>IF(N428&gt;0,1/N428*37.7*68.6,"")</f>
        <v>337.18644067796606</v>
      </c>
      <c r="P428" s="203">
        <v>7.24</v>
      </c>
      <c r="Q428" s="202" t="s">
        <v>834</v>
      </c>
      <c r="R428" s="201" t="s">
        <v>33</v>
      </c>
      <c r="S428" s="201" t="s">
        <v>34</v>
      </c>
      <c r="T428" s="220" t="s">
        <v>830</v>
      </c>
      <c r="U428" s="199"/>
      <c r="V428" s="198">
        <f>IFERROR(IF(N428&lt;P428,"",(ROUNDDOWN(N428/P428*100,0))),"")</f>
        <v>105</v>
      </c>
    </row>
    <row r="429" spans="1:22" ht="24" customHeight="1">
      <c r="A429" s="219"/>
      <c r="B429" s="223"/>
      <c r="C429" s="228"/>
      <c r="D429" s="227" t="s">
        <v>860</v>
      </c>
      <c r="E429" s="209" t="s">
        <v>832</v>
      </c>
      <c r="F429" s="210">
        <v>5.1230000000000002</v>
      </c>
      <c r="G429" s="209">
        <v>794</v>
      </c>
      <c r="H429" s="209">
        <v>177</v>
      </c>
      <c r="I429" s="209" t="s">
        <v>839</v>
      </c>
      <c r="J429" s="208">
        <v>3543</v>
      </c>
      <c r="K429" s="208">
        <v>7928</v>
      </c>
      <c r="L429" s="207">
        <v>4275</v>
      </c>
      <c r="M429" s="206" t="s">
        <v>589</v>
      </c>
      <c r="N429" s="216">
        <v>7.67</v>
      </c>
      <c r="O429" s="215">
        <f>IF(N429&gt;0,1/N429*37.7*68.6,"")</f>
        <v>337.18644067796606</v>
      </c>
      <c r="P429" s="203">
        <v>7.24</v>
      </c>
      <c r="Q429" s="202" t="s">
        <v>834</v>
      </c>
      <c r="R429" s="201" t="s">
        <v>33</v>
      </c>
      <c r="S429" s="201" t="s">
        <v>34</v>
      </c>
      <c r="T429" s="220" t="s">
        <v>830</v>
      </c>
      <c r="U429" s="199"/>
      <c r="V429" s="198">
        <f>IFERROR(IF(N429&lt;P429,"",(ROUNDDOWN(N429/P429*100,0))),"")</f>
        <v>105</v>
      </c>
    </row>
    <row r="430" spans="1:22" ht="24" customHeight="1">
      <c r="A430" s="219"/>
      <c r="B430" s="223"/>
      <c r="C430" s="228"/>
      <c r="D430" s="227" t="s">
        <v>859</v>
      </c>
      <c r="E430" s="209" t="s">
        <v>832</v>
      </c>
      <c r="F430" s="210">
        <v>5.1230000000000002</v>
      </c>
      <c r="G430" s="209">
        <v>794</v>
      </c>
      <c r="H430" s="209">
        <v>177</v>
      </c>
      <c r="I430" s="209" t="s">
        <v>71</v>
      </c>
      <c r="J430" s="208">
        <v>3543</v>
      </c>
      <c r="K430" s="208">
        <v>7928</v>
      </c>
      <c r="L430" s="207">
        <v>4275</v>
      </c>
      <c r="M430" s="206" t="s">
        <v>589</v>
      </c>
      <c r="N430" s="216">
        <v>7.45</v>
      </c>
      <c r="O430" s="215">
        <f>IF(N430&gt;0,1/N430*37.7*68.6,"")</f>
        <v>347.14362416107377</v>
      </c>
      <c r="P430" s="203">
        <v>7.24</v>
      </c>
      <c r="Q430" s="202" t="s">
        <v>831</v>
      </c>
      <c r="R430" s="201" t="s">
        <v>33</v>
      </c>
      <c r="S430" s="201" t="s">
        <v>34</v>
      </c>
      <c r="T430" s="220" t="s">
        <v>830</v>
      </c>
      <c r="U430" s="199"/>
      <c r="V430" s="198">
        <f>IFERROR(IF(N430&lt;P430,"",(ROUNDDOWN(N430/P430*100,0))),"")</f>
        <v>102</v>
      </c>
    </row>
    <row r="431" spans="1:22" ht="24" customHeight="1">
      <c r="A431" s="219"/>
      <c r="B431" s="223"/>
      <c r="C431" s="228"/>
      <c r="D431" s="227" t="s">
        <v>859</v>
      </c>
      <c r="E431" s="209" t="s">
        <v>832</v>
      </c>
      <c r="F431" s="210">
        <v>5.1230000000000002</v>
      </c>
      <c r="G431" s="209">
        <v>794</v>
      </c>
      <c r="H431" s="209">
        <v>177</v>
      </c>
      <c r="I431" s="209" t="s">
        <v>839</v>
      </c>
      <c r="J431" s="208">
        <v>3543</v>
      </c>
      <c r="K431" s="208">
        <v>7928</v>
      </c>
      <c r="L431" s="207">
        <v>4275</v>
      </c>
      <c r="M431" s="206" t="s">
        <v>589</v>
      </c>
      <c r="N431" s="216">
        <v>7.45</v>
      </c>
      <c r="O431" s="215">
        <f>IF(N431&gt;0,1/N431*37.7*68.6,"")</f>
        <v>347.14362416107377</v>
      </c>
      <c r="P431" s="203">
        <v>7.24</v>
      </c>
      <c r="Q431" s="202" t="s">
        <v>831</v>
      </c>
      <c r="R431" s="201" t="s">
        <v>33</v>
      </c>
      <c r="S431" s="201" t="s">
        <v>34</v>
      </c>
      <c r="T431" s="220" t="s">
        <v>830</v>
      </c>
      <c r="U431" s="199"/>
      <c r="V431" s="198">
        <f>IFERROR(IF(N431&lt;P431,"",(ROUNDDOWN(N431/P431*100,0))),"")</f>
        <v>102</v>
      </c>
    </row>
    <row r="432" spans="1:22" ht="24" customHeight="1">
      <c r="A432" s="219"/>
      <c r="B432" s="223"/>
      <c r="C432" s="228"/>
      <c r="D432" s="227" t="s">
        <v>858</v>
      </c>
      <c r="E432" s="209" t="s">
        <v>832</v>
      </c>
      <c r="F432" s="210">
        <v>5.1230000000000002</v>
      </c>
      <c r="G432" s="209">
        <v>794</v>
      </c>
      <c r="H432" s="209">
        <v>177</v>
      </c>
      <c r="I432" s="209" t="s">
        <v>71</v>
      </c>
      <c r="J432" s="208">
        <v>3543</v>
      </c>
      <c r="K432" s="208">
        <v>7928</v>
      </c>
      <c r="L432" s="207">
        <v>4275</v>
      </c>
      <c r="M432" s="206" t="s">
        <v>589</v>
      </c>
      <c r="N432" s="216">
        <v>7.67</v>
      </c>
      <c r="O432" s="215">
        <f>IF(N432&gt;0,1/N432*37.7*68.6,"")</f>
        <v>337.18644067796606</v>
      </c>
      <c r="P432" s="203">
        <v>7.24</v>
      </c>
      <c r="Q432" s="202" t="s">
        <v>834</v>
      </c>
      <c r="R432" s="201" t="s">
        <v>33</v>
      </c>
      <c r="S432" s="201" t="s">
        <v>34</v>
      </c>
      <c r="T432" s="220" t="s">
        <v>830</v>
      </c>
      <c r="U432" s="199"/>
      <c r="V432" s="198">
        <f>IFERROR(IF(N432&lt;P432,"",(ROUNDDOWN(N432/P432*100,0))),"")</f>
        <v>105</v>
      </c>
    </row>
    <row r="433" spans="1:22" ht="24" customHeight="1">
      <c r="A433" s="219"/>
      <c r="B433" s="223"/>
      <c r="C433" s="228"/>
      <c r="D433" s="227" t="s">
        <v>857</v>
      </c>
      <c r="E433" s="209" t="s">
        <v>832</v>
      </c>
      <c r="F433" s="210">
        <v>5.1230000000000002</v>
      </c>
      <c r="G433" s="209">
        <v>794</v>
      </c>
      <c r="H433" s="209">
        <v>177</v>
      </c>
      <c r="I433" s="209" t="s">
        <v>71</v>
      </c>
      <c r="J433" s="208">
        <v>3543</v>
      </c>
      <c r="K433" s="208">
        <v>7928</v>
      </c>
      <c r="L433" s="207">
        <v>4275</v>
      </c>
      <c r="M433" s="206" t="s">
        <v>589</v>
      </c>
      <c r="N433" s="216">
        <v>7.45</v>
      </c>
      <c r="O433" s="215">
        <f>IF(N433&gt;0,1/N433*37.7*68.6,"")</f>
        <v>347.14362416107377</v>
      </c>
      <c r="P433" s="203">
        <v>7.24</v>
      </c>
      <c r="Q433" s="202" t="s">
        <v>831</v>
      </c>
      <c r="R433" s="201" t="s">
        <v>33</v>
      </c>
      <c r="S433" s="201" t="s">
        <v>34</v>
      </c>
      <c r="T433" s="220" t="s">
        <v>830</v>
      </c>
      <c r="U433" s="199"/>
      <c r="V433" s="198">
        <f>IFERROR(IF(N433&lt;P433,"",(ROUNDDOWN(N433/P433*100,0))),"")</f>
        <v>102</v>
      </c>
    </row>
    <row r="434" spans="1:22" ht="24" customHeight="1">
      <c r="A434" s="219"/>
      <c r="B434" s="223"/>
      <c r="C434" s="228"/>
      <c r="D434" s="227" t="s">
        <v>856</v>
      </c>
      <c r="E434" s="209" t="s">
        <v>832</v>
      </c>
      <c r="F434" s="210">
        <v>5.1230000000000002</v>
      </c>
      <c r="G434" s="209">
        <v>794</v>
      </c>
      <c r="H434" s="209">
        <v>177</v>
      </c>
      <c r="I434" s="209" t="s">
        <v>71</v>
      </c>
      <c r="J434" s="208">
        <v>3543</v>
      </c>
      <c r="K434" s="208">
        <v>7928</v>
      </c>
      <c r="L434" s="207">
        <v>4275</v>
      </c>
      <c r="M434" s="206" t="s">
        <v>589</v>
      </c>
      <c r="N434" s="216">
        <v>7.56</v>
      </c>
      <c r="O434" s="215">
        <f>IF(N434&gt;0,1/N434*37.7*68.6,"")</f>
        <v>342.09259259259267</v>
      </c>
      <c r="P434" s="203">
        <v>7.24</v>
      </c>
      <c r="Q434" s="202" t="s">
        <v>834</v>
      </c>
      <c r="R434" s="201" t="s">
        <v>33</v>
      </c>
      <c r="S434" s="201" t="s">
        <v>110</v>
      </c>
      <c r="T434" s="220" t="s">
        <v>830</v>
      </c>
      <c r="U434" s="199"/>
      <c r="V434" s="198">
        <f>IFERROR(IF(N434&lt;P434,"",(ROUNDDOWN(N434/P434*100,0))),"")</f>
        <v>104</v>
      </c>
    </row>
    <row r="435" spans="1:22" ht="24" customHeight="1">
      <c r="A435" s="219"/>
      <c r="B435" s="223"/>
      <c r="C435" s="228"/>
      <c r="D435" s="227" t="s">
        <v>856</v>
      </c>
      <c r="E435" s="209" t="s">
        <v>832</v>
      </c>
      <c r="F435" s="210">
        <v>5.1230000000000002</v>
      </c>
      <c r="G435" s="209">
        <v>794</v>
      </c>
      <c r="H435" s="209">
        <v>177</v>
      </c>
      <c r="I435" s="209" t="s">
        <v>71</v>
      </c>
      <c r="J435" s="208">
        <v>3543</v>
      </c>
      <c r="K435" s="208">
        <v>7928</v>
      </c>
      <c r="L435" s="207">
        <v>4275</v>
      </c>
      <c r="M435" s="206" t="s">
        <v>589</v>
      </c>
      <c r="N435" s="216">
        <v>7.36</v>
      </c>
      <c r="O435" s="215">
        <f>IF(N435&gt;0,1/N435*37.7*68.6,"")</f>
        <v>351.38858695652175</v>
      </c>
      <c r="P435" s="203">
        <v>7.24</v>
      </c>
      <c r="Q435" s="202" t="s">
        <v>831</v>
      </c>
      <c r="R435" s="201" t="s">
        <v>33</v>
      </c>
      <c r="S435" s="201" t="s">
        <v>110</v>
      </c>
      <c r="T435" s="220" t="s">
        <v>830</v>
      </c>
      <c r="U435" s="199"/>
      <c r="V435" s="198">
        <f>IFERROR(IF(N435&lt;P435,"",(ROUNDDOWN(N435/P435*100,0))),"")</f>
        <v>101</v>
      </c>
    </row>
    <row r="436" spans="1:22" ht="24" customHeight="1">
      <c r="A436" s="219"/>
      <c r="B436" s="223"/>
      <c r="C436" s="228"/>
      <c r="D436" s="227" t="s">
        <v>855</v>
      </c>
      <c r="E436" s="209" t="s">
        <v>832</v>
      </c>
      <c r="F436" s="210">
        <v>5.1230000000000002</v>
      </c>
      <c r="G436" s="209">
        <v>794</v>
      </c>
      <c r="H436" s="209">
        <v>177</v>
      </c>
      <c r="I436" s="209" t="s">
        <v>71</v>
      </c>
      <c r="J436" s="208">
        <v>4048</v>
      </c>
      <c r="K436" s="208">
        <v>11641</v>
      </c>
      <c r="L436" s="207">
        <v>7483</v>
      </c>
      <c r="M436" s="206" t="s">
        <v>589</v>
      </c>
      <c r="N436" s="216">
        <v>6.25</v>
      </c>
      <c r="O436" s="215">
        <f>IF(N436&gt;0,1/N436*37.7*68.6,"")</f>
        <v>413.79520000000002</v>
      </c>
      <c r="P436" s="203">
        <v>6</v>
      </c>
      <c r="Q436" s="202" t="s">
        <v>834</v>
      </c>
      <c r="R436" s="201" t="s">
        <v>33</v>
      </c>
      <c r="S436" s="201" t="s">
        <v>34</v>
      </c>
      <c r="T436" s="220" t="s">
        <v>830</v>
      </c>
      <c r="U436" s="199"/>
      <c r="V436" s="198">
        <f>IFERROR(IF(N436&lt;P436,"",(ROUNDDOWN(N436/P436*100,0))),"")</f>
        <v>104</v>
      </c>
    </row>
    <row r="437" spans="1:22" ht="24" customHeight="1">
      <c r="A437" s="219"/>
      <c r="B437" s="223"/>
      <c r="C437" s="228"/>
      <c r="D437" s="227" t="s">
        <v>855</v>
      </c>
      <c r="E437" s="209" t="s">
        <v>832</v>
      </c>
      <c r="F437" s="210">
        <v>5.1230000000000002</v>
      </c>
      <c r="G437" s="209">
        <v>794</v>
      </c>
      <c r="H437" s="209">
        <v>177</v>
      </c>
      <c r="I437" s="209" t="s">
        <v>839</v>
      </c>
      <c r="J437" s="208">
        <v>4048</v>
      </c>
      <c r="K437" s="208">
        <v>11641</v>
      </c>
      <c r="L437" s="207">
        <v>7483</v>
      </c>
      <c r="M437" s="206" t="s">
        <v>589</v>
      </c>
      <c r="N437" s="216">
        <v>6.25</v>
      </c>
      <c r="O437" s="215">
        <f>IF(N437&gt;0,1/N437*37.7*68.6,"")</f>
        <v>413.79520000000002</v>
      </c>
      <c r="P437" s="203">
        <v>6</v>
      </c>
      <c r="Q437" s="202" t="s">
        <v>834</v>
      </c>
      <c r="R437" s="201" t="s">
        <v>33</v>
      </c>
      <c r="S437" s="201" t="s">
        <v>34</v>
      </c>
      <c r="T437" s="220" t="s">
        <v>830</v>
      </c>
      <c r="U437" s="199"/>
      <c r="V437" s="198">
        <f>IFERROR(IF(N437&lt;P437,"",(ROUNDDOWN(N437/P437*100,0))),"")</f>
        <v>104</v>
      </c>
    </row>
    <row r="438" spans="1:22" ht="24" customHeight="1">
      <c r="A438" s="219"/>
      <c r="B438" s="223"/>
      <c r="C438" s="228"/>
      <c r="D438" s="227" t="s">
        <v>855</v>
      </c>
      <c r="E438" s="209" t="s">
        <v>832</v>
      </c>
      <c r="F438" s="210">
        <v>5.1230000000000002</v>
      </c>
      <c r="G438" s="209">
        <v>794</v>
      </c>
      <c r="H438" s="209">
        <v>177</v>
      </c>
      <c r="I438" s="209" t="s">
        <v>71</v>
      </c>
      <c r="J438" s="208">
        <v>4048</v>
      </c>
      <c r="K438" s="208">
        <v>11641</v>
      </c>
      <c r="L438" s="207">
        <v>7483</v>
      </c>
      <c r="M438" s="206" t="s">
        <v>589</v>
      </c>
      <c r="N438" s="216">
        <v>6.11</v>
      </c>
      <c r="O438" s="215">
        <f>IF(N438&gt;0,1/N438*37.7*68.6,"")</f>
        <v>423.27659574468083</v>
      </c>
      <c r="P438" s="203">
        <v>6</v>
      </c>
      <c r="Q438" s="202" t="s">
        <v>831</v>
      </c>
      <c r="R438" s="201" t="s">
        <v>33</v>
      </c>
      <c r="S438" s="201" t="s">
        <v>34</v>
      </c>
      <c r="T438" s="220" t="s">
        <v>830</v>
      </c>
      <c r="U438" s="199"/>
      <c r="V438" s="198">
        <f>IFERROR(IF(N438&lt;P438,"",(ROUNDDOWN(N438/P438*100,0))),"")</f>
        <v>101</v>
      </c>
    </row>
    <row r="439" spans="1:22" ht="24" customHeight="1">
      <c r="A439" s="219"/>
      <c r="B439" s="223"/>
      <c r="C439" s="228"/>
      <c r="D439" s="227" t="s">
        <v>855</v>
      </c>
      <c r="E439" s="209" t="s">
        <v>832</v>
      </c>
      <c r="F439" s="210">
        <v>5.1230000000000002</v>
      </c>
      <c r="G439" s="209">
        <v>794</v>
      </c>
      <c r="H439" s="209">
        <v>177</v>
      </c>
      <c r="I439" s="209" t="s">
        <v>839</v>
      </c>
      <c r="J439" s="208">
        <v>4048</v>
      </c>
      <c r="K439" s="208">
        <v>11641</v>
      </c>
      <c r="L439" s="207">
        <v>7483</v>
      </c>
      <c r="M439" s="206" t="s">
        <v>589</v>
      </c>
      <c r="N439" s="216">
        <v>6.11</v>
      </c>
      <c r="O439" s="215">
        <f>IF(N439&gt;0,1/N439*37.7*68.6,"")</f>
        <v>423.27659574468083</v>
      </c>
      <c r="P439" s="203">
        <v>6</v>
      </c>
      <c r="Q439" s="202" t="s">
        <v>831</v>
      </c>
      <c r="R439" s="201" t="s">
        <v>33</v>
      </c>
      <c r="S439" s="201" t="s">
        <v>34</v>
      </c>
      <c r="T439" s="220" t="s">
        <v>830</v>
      </c>
      <c r="U439" s="199"/>
      <c r="V439" s="198">
        <f>IFERROR(IF(N439&lt;P439,"",(ROUNDDOWN(N439/P439*100,0))),"")</f>
        <v>101</v>
      </c>
    </row>
    <row r="440" spans="1:22" ht="24" customHeight="1">
      <c r="A440" s="219"/>
      <c r="B440" s="223"/>
      <c r="C440" s="228"/>
      <c r="D440" s="227" t="s">
        <v>854</v>
      </c>
      <c r="E440" s="209" t="s">
        <v>832</v>
      </c>
      <c r="F440" s="210">
        <v>5.1230000000000002</v>
      </c>
      <c r="G440" s="209">
        <v>794</v>
      </c>
      <c r="H440" s="209">
        <v>177</v>
      </c>
      <c r="I440" s="209" t="s">
        <v>71</v>
      </c>
      <c r="J440" s="208">
        <v>4048</v>
      </c>
      <c r="K440" s="208">
        <v>11641</v>
      </c>
      <c r="L440" s="207">
        <v>7483</v>
      </c>
      <c r="M440" s="206" t="s">
        <v>589</v>
      </c>
      <c r="N440" s="216">
        <v>6.25</v>
      </c>
      <c r="O440" s="215">
        <f>IF(N440&gt;0,1/N440*37.7*68.6,"")</f>
        <v>413.79520000000002</v>
      </c>
      <c r="P440" s="203">
        <v>6</v>
      </c>
      <c r="Q440" s="202" t="s">
        <v>834</v>
      </c>
      <c r="R440" s="201" t="s">
        <v>33</v>
      </c>
      <c r="S440" s="201" t="s">
        <v>34</v>
      </c>
      <c r="T440" s="220" t="s">
        <v>830</v>
      </c>
      <c r="U440" s="199"/>
      <c r="V440" s="198">
        <f>IFERROR(IF(N440&lt;P440,"",(ROUNDDOWN(N440/P440*100,0))),"")</f>
        <v>104</v>
      </c>
    </row>
    <row r="441" spans="1:22" ht="24" customHeight="1">
      <c r="A441" s="219"/>
      <c r="B441" s="223"/>
      <c r="C441" s="228"/>
      <c r="D441" s="227" t="s">
        <v>854</v>
      </c>
      <c r="E441" s="209" t="s">
        <v>832</v>
      </c>
      <c r="F441" s="210">
        <v>5.1230000000000002</v>
      </c>
      <c r="G441" s="209">
        <v>794</v>
      </c>
      <c r="H441" s="209">
        <v>177</v>
      </c>
      <c r="I441" s="209" t="s">
        <v>839</v>
      </c>
      <c r="J441" s="208">
        <v>4048</v>
      </c>
      <c r="K441" s="208">
        <v>11641</v>
      </c>
      <c r="L441" s="207">
        <v>7483</v>
      </c>
      <c r="M441" s="206" t="s">
        <v>589</v>
      </c>
      <c r="N441" s="216">
        <v>6.25</v>
      </c>
      <c r="O441" s="215">
        <f>IF(N441&gt;0,1/N441*37.7*68.6,"")</f>
        <v>413.79520000000002</v>
      </c>
      <c r="P441" s="203">
        <v>6</v>
      </c>
      <c r="Q441" s="202" t="s">
        <v>834</v>
      </c>
      <c r="R441" s="201" t="s">
        <v>33</v>
      </c>
      <c r="S441" s="201" t="s">
        <v>34</v>
      </c>
      <c r="T441" s="220" t="s">
        <v>830</v>
      </c>
      <c r="U441" s="199"/>
      <c r="V441" s="198">
        <f>IFERROR(IF(N441&lt;P441,"",(ROUNDDOWN(N441/P441*100,0))),"")</f>
        <v>104</v>
      </c>
    </row>
    <row r="442" spans="1:22" ht="24" customHeight="1">
      <c r="A442" s="219"/>
      <c r="B442" s="223"/>
      <c r="C442" s="228"/>
      <c r="D442" s="227" t="s">
        <v>854</v>
      </c>
      <c r="E442" s="209" t="s">
        <v>832</v>
      </c>
      <c r="F442" s="210">
        <v>5.1230000000000002</v>
      </c>
      <c r="G442" s="209">
        <v>794</v>
      </c>
      <c r="H442" s="209">
        <v>177</v>
      </c>
      <c r="I442" s="209" t="s">
        <v>71</v>
      </c>
      <c r="J442" s="208">
        <v>4048</v>
      </c>
      <c r="K442" s="208">
        <v>11641</v>
      </c>
      <c r="L442" s="207">
        <v>7483</v>
      </c>
      <c r="M442" s="206" t="s">
        <v>589</v>
      </c>
      <c r="N442" s="216">
        <v>6.11</v>
      </c>
      <c r="O442" s="215">
        <f>IF(N442&gt;0,1/N442*37.7*68.6,"")</f>
        <v>423.27659574468083</v>
      </c>
      <c r="P442" s="203">
        <v>6</v>
      </c>
      <c r="Q442" s="202" t="s">
        <v>831</v>
      </c>
      <c r="R442" s="201" t="s">
        <v>33</v>
      </c>
      <c r="S442" s="201" t="s">
        <v>34</v>
      </c>
      <c r="T442" s="220" t="s">
        <v>830</v>
      </c>
      <c r="U442" s="199"/>
      <c r="V442" s="198">
        <f>IFERROR(IF(N442&lt;P442,"",(ROUNDDOWN(N442/P442*100,0))),"")</f>
        <v>101</v>
      </c>
    </row>
    <row r="443" spans="1:22" ht="24" customHeight="1">
      <c r="A443" s="219"/>
      <c r="B443" s="223"/>
      <c r="C443" s="228"/>
      <c r="D443" s="227" t="s">
        <v>854</v>
      </c>
      <c r="E443" s="209" t="s">
        <v>832</v>
      </c>
      <c r="F443" s="210">
        <v>5.1230000000000002</v>
      </c>
      <c r="G443" s="209">
        <v>794</v>
      </c>
      <c r="H443" s="209">
        <v>177</v>
      </c>
      <c r="I443" s="209" t="s">
        <v>839</v>
      </c>
      <c r="J443" s="208">
        <v>4048</v>
      </c>
      <c r="K443" s="208">
        <v>11641</v>
      </c>
      <c r="L443" s="207">
        <v>7483</v>
      </c>
      <c r="M443" s="206" t="s">
        <v>589</v>
      </c>
      <c r="N443" s="216">
        <v>6.11</v>
      </c>
      <c r="O443" s="215">
        <f>IF(N443&gt;0,1/N443*37.7*68.6,"")</f>
        <v>423.27659574468083</v>
      </c>
      <c r="P443" s="203">
        <v>6</v>
      </c>
      <c r="Q443" s="202" t="s">
        <v>831</v>
      </c>
      <c r="R443" s="201" t="s">
        <v>33</v>
      </c>
      <c r="S443" s="201" t="s">
        <v>34</v>
      </c>
      <c r="T443" s="220" t="s">
        <v>830</v>
      </c>
      <c r="U443" s="199"/>
      <c r="V443" s="198">
        <f>IFERROR(IF(N443&lt;P443,"",(ROUNDDOWN(N443/P443*100,0))),"")</f>
        <v>101</v>
      </c>
    </row>
    <row r="444" spans="1:22" ht="24" customHeight="1">
      <c r="A444" s="219"/>
      <c r="B444" s="223"/>
      <c r="C444" s="228"/>
      <c r="D444" s="227" t="s">
        <v>853</v>
      </c>
      <c r="E444" s="209" t="s">
        <v>832</v>
      </c>
      <c r="F444" s="210">
        <v>5.1230000000000002</v>
      </c>
      <c r="G444" s="209">
        <v>794</v>
      </c>
      <c r="H444" s="209">
        <v>177</v>
      </c>
      <c r="I444" s="209" t="s">
        <v>71</v>
      </c>
      <c r="J444" s="208">
        <v>4048</v>
      </c>
      <c r="K444" s="208">
        <v>11641</v>
      </c>
      <c r="L444" s="207">
        <v>7483</v>
      </c>
      <c r="M444" s="206" t="s">
        <v>589</v>
      </c>
      <c r="N444" s="216">
        <v>6.25</v>
      </c>
      <c r="O444" s="215">
        <f>IF(N444&gt;0,1/N444*37.7*68.6,"")</f>
        <v>413.79520000000002</v>
      </c>
      <c r="P444" s="203">
        <v>6</v>
      </c>
      <c r="Q444" s="202" t="s">
        <v>834</v>
      </c>
      <c r="R444" s="201" t="s">
        <v>33</v>
      </c>
      <c r="S444" s="201" t="s">
        <v>34</v>
      </c>
      <c r="T444" s="220" t="s">
        <v>830</v>
      </c>
      <c r="U444" s="199"/>
      <c r="V444" s="198">
        <f>IFERROR(IF(N444&lt;P444,"",(ROUNDDOWN(N444/P444*100,0))),"")</f>
        <v>104</v>
      </c>
    </row>
    <row r="445" spans="1:22" ht="24" customHeight="1">
      <c r="A445" s="219"/>
      <c r="B445" s="223"/>
      <c r="C445" s="228"/>
      <c r="D445" s="227" t="s">
        <v>853</v>
      </c>
      <c r="E445" s="209" t="s">
        <v>832</v>
      </c>
      <c r="F445" s="210">
        <v>5.1230000000000002</v>
      </c>
      <c r="G445" s="209">
        <v>794</v>
      </c>
      <c r="H445" s="209">
        <v>177</v>
      </c>
      <c r="I445" s="209" t="s">
        <v>839</v>
      </c>
      <c r="J445" s="208">
        <v>4048</v>
      </c>
      <c r="K445" s="208">
        <v>11641</v>
      </c>
      <c r="L445" s="207">
        <v>7483</v>
      </c>
      <c r="M445" s="206" t="s">
        <v>589</v>
      </c>
      <c r="N445" s="216">
        <v>6.25</v>
      </c>
      <c r="O445" s="215">
        <f>IF(N445&gt;0,1/N445*37.7*68.6,"")</f>
        <v>413.79520000000002</v>
      </c>
      <c r="P445" s="203">
        <v>6</v>
      </c>
      <c r="Q445" s="202" t="s">
        <v>834</v>
      </c>
      <c r="R445" s="201" t="s">
        <v>33</v>
      </c>
      <c r="S445" s="201" t="s">
        <v>34</v>
      </c>
      <c r="T445" s="220" t="s">
        <v>830</v>
      </c>
      <c r="U445" s="199"/>
      <c r="V445" s="198">
        <f>IFERROR(IF(N445&lt;P445,"",(ROUNDDOWN(N445/P445*100,0))),"")</f>
        <v>104</v>
      </c>
    </row>
    <row r="446" spans="1:22" ht="24" customHeight="1">
      <c r="A446" s="219"/>
      <c r="B446" s="223"/>
      <c r="C446" s="228"/>
      <c r="D446" s="227" t="s">
        <v>853</v>
      </c>
      <c r="E446" s="209" t="s">
        <v>832</v>
      </c>
      <c r="F446" s="210">
        <v>5.1230000000000002</v>
      </c>
      <c r="G446" s="209">
        <v>794</v>
      </c>
      <c r="H446" s="209">
        <v>177</v>
      </c>
      <c r="I446" s="209" t="s">
        <v>790</v>
      </c>
      <c r="J446" s="208">
        <v>4048</v>
      </c>
      <c r="K446" s="208">
        <v>11641</v>
      </c>
      <c r="L446" s="207">
        <v>7483</v>
      </c>
      <c r="M446" s="206" t="s">
        <v>589</v>
      </c>
      <c r="N446" s="216">
        <v>6.12</v>
      </c>
      <c r="O446" s="215">
        <f>IF(N446&gt;0,1/N446*37.7*68.6,"")</f>
        <v>422.5849673202614</v>
      </c>
      <c r="P446" s="203">
        <v>6</v>
      </c>
      <c r="Q446" s="202" t="s">
        <v>834</v>
      </c>
      <c r="R446" s="201" t="s">
        <v>33</v>
      </c>
      <c r="S446" s="201" t="s">
        <v>34</v>
      </c>
      <c r="T446" s="220" t="s">
        <v>830</v>
      </c>
      <c r="U446" s="199"/>
      <c r="V446" s="198">
        <f>IFERROR(IF(N446&lt;P446,"",(ROUNDDOWN(N446/P446*100,0))),"")</f>
        <v>102</v>
      </c>
    </row>
    <row r="447" spans="1:22" ht="24" customHeight="1">
      <c r="A447" s="219"/>
      <c r="B447" s="223"/>
      <c r="C447" s="228"/>
      <c r="D447" s="227" t="s">
        <v>853</v>
      </c>
      <c r="E447" s="209" t="s">
        <v>832</v>
      </c>
      <c r="F447" s="210">
        <v>5.1230000000000002</v>
      </c>
      <c r="G447" s="209">
        <v>794</v>
      </c>
      <c r="H447" s="209">
        <v>177</v>
      </c>
      <c r="I447" s="209" t="s">
        <v>71</v>
      </c>
      <c r="J447" s="208">
        <v>4048</v>
      </c>
      <c r="K447" s="208">
        <v>11641</v>
      </c>
      <c r="L447" s="207">
        <v>7483</v>
      </c>
      <c r="M447" s="206" t="s">
        <v>589</v>
      </c>
      <c r="N447" s="216">
        <v>6.11</v>
      </c>
      <c r="O447" s="215">
        <f>IF(N447&gt;0,1/N447*37.7*68.6,"")</f>
        <v>423.27659574468083</v>
      </c>
      <c r="P447" s="203">
        <v>6</v>
      </c>
      <c r="Q447" s="202" t="s">
        <v>831</v>
      </c>
      <c r="R447" s="201" t="s">
        <v>33</v>
      </c>
      <c r="S447" s="201" t="s">
        <v>34</v>
      </c>
      <c r="T447" s="220" t="s">
        <v>830</v>
      </c>
      <c r="U447" s="199"/>
      <c r="V447" s="198">
        <f>IFERROR(IF(N447&lt;P447,"",(ROUNDDOWN(N447/P447*100,0))),"")</f>
        <v>101</v>
      </c>
    </row>
    <row r="448" spans="1:22" ht="24" customHeight="1">
      <c r="A448" s="219"/>
      <c r="B448" s="223"/>
      <c r="C448" s="228"/>
      <c r="D448" s="227" t="s">
        <v>853</v>
      </c>
      <c r="E448" s="209" t="s">
        <v>832</v>
      </c>
      <c r="F448" s="210">
        <v>5.1230000000000002</v>
      </c>
      <c r="G448" s="209">
        <v>794</v>
      </c>
      <c r="H448" s="209">
        <v>177</v>
      </c>
      <c r="I448" s="209" t="s">
        <v>839</v>
      </c>
      <c r="J448" s="208">
        <v>4048</v>
      </c>
      <c r="K448" s="208">
        <v>11641</v>
      </c>
      <c r="L448" s="207">
        <v>7483</v>
      </c>
      <c r="M448" s="206" t="s">
        <v>589</v>
      </c>
      <c r="N448" s="216">
        <v>6.11</v>
      </c>
      <c r="O448" s="215">
        <f>IF(N448&gt;0,1/N448*37.7*68.6,"")</f>
        <v>423.27659574468083</v>
      </c>
      <c r="P448" s="203">
        <v>6</v>
      </c>
      <c r="Q448" s="202" t="s">
        <v>831</v>
      </c>
      <c r="R448" s="201" t="s">
        <v>33</v>
      </c>
      <c r="S448" s="201" t="s">
        <v>34</v>
      </c>
      <c r="T448" s="220" t="s">
        <v>830</v>
      </c>
      <c r="U448" s="199"/>
      <c r="V448" s="198">
        <f>IFERROR(IF(N448&lt;P448,"",(ROUNDDOWN(N448/P448*100,0))),"")</f>
        <v>101</v>
      </c>
    </row>
    <row r="449" spans="1:22" ht="24" customHeight="1">
      <c r="A449" s="219"/>
      <c r="B449" s="223"/>
      <c r="C449" s="228"/>
      <c r="D449" s="227" t="s">
        <v>852</v>
      </c>
      <c r="E449" s="209" t="s">
        <v>832</v>
      </c>
      <c r="F449" s="210">
        <v>5.1230000000000002</v>
      </c>
      <c r="G449" s="209">
        <v>794</v>
      </c>
      <c r="H449" s="209">
        <v>177</v>
      </c>
      <c r="I449" s="209" t="s">
        <v>790</v>
      </c>
      <c r="J449" s="208">
        <v>4048</v>
      </c>
      <c r="K449" s="208">
        <v>11641</v>
      </c>
      <c r="L449" s="207">
        <v>7483</v>
      </c>
      <c r="M449" s="206" t="s">
        <v>589</v>
      </c>
      <c r="N449" s="216">
        <v>5.76</v>
      </c>
      <c r="O449" s="215">
        <f>IF(N449&gt;0,1/N449*37.7*68.6,"")</f>
        <v>448.99652777777777</v>
      </c>
      <c r="P449" s="203">
        <v>6</v>
      </c>
      <c r="Q449" s="202" t="s">
        <v>831</v>
      </c>
      <c r="R449" s="201" t="s">
        <v>33</v>
      </c>
      <c r="S449" s="201" t="s">
        <v>34</v>
      </c>
      <c r="T449" s="220" t="s">
        <v>830</v>
      </c>
      <c r="U449" s="199"/>
      <c r="V449" s="198" t="str">
        <f>IFERROR(IF(N449&lt;P449,"",(ROUNDDOWN(N449/P449*100,0))),"")</f>
        <v/>
      </c>
    </row>
    <row r="450" spans="1:22" ht="24" customHeight="1">
      <c r="A450" s="219"/>
      <c r="B450" s="223"/>
      <c r="C450" s="228"/>
      <c r="D450" s="227" t="s">
        <v>851</v>
      </c>
      <c r="E450" s="209" t="s">
        <v>832</v>
      </c>
      <c r="F450" s="210">
        <v>5.1230000000000002</v>
      </c>
      <c r="G450" s="209">
        <v>794</v>
      </c>
      <c r="H450" s="209">
        <v>177</v>
      </c>
      <c r="I450" s="209" t="s">
        <v>71</v>
      </c>
      <c r="J450" s="208">
        <v>4048</v>
      </c>
      <c r="K450" s="208">
        <v>11641</v>
      </c>
      <c r="L450" s="207">
        <v>7483</v>
      </c>
      <c r="M450" s="206" t="s">
        <v>589</v>
      </c>
      <c r="N450" s="216">
        <v>6.25</v>
      </c>
      <c r="O450" s="215">
        <f>IF(N450&gt;0,1/N450*37.7*68.6,"")</f>
        <v>413.79520000000002</v>
      </c>
      <c r="P450" s="203">
        <v>6</v>
      </c>
      <c r="Q450" s="202" t="s">
        <v>834</v>
      </c>
      <c r="R450" s="201" t="s">
        <v>33</v>
      </c>
      <c r="S450" s="201" t="s">
        <v>34</v>
      </c>
      <c r="T450" s="220" t="s">
        <v>830</v>
      </c>
      <c r="U450" s="199"/>
      <c r="V450" s="198">
        <f>IFERROR(IF(N450&lt;P450,"",(ROUNDDOWN(N450/P450*100,0))),"")</f>
        <v>104</v>
      </c>
    </row>
    <row r="451" spans="1:22" ht="24" customHeight="1">
      <c r="A451" s="219"/>
      <c r="B451" s="223"/>
      <c r="C451" s="228"/>
      <c r="D451" s="227" t="s">
        <v>851</v>
      </c>
      <c r="E451" s="209" t="s">
        <v>832</v>
      </c>
      <c r="F451" s="210">
        <v>5.1230000000000002</v>
      </c>
      <c r="G451" s="209">
        <v>794</v>
      </c>
      <c r="H451" s="209">
        <v>177</v>
      </c>
      <c r="I451" s="209" t="s">
        <v>839</v>
      </c>
      <c r="J451" s="208">
        <v>4048</v>
      </c>
      <c r="K451" s="208">
        <v>11641</v>
      </c>
      <c r="L451" s="207">
        <v>7483</v>
      </c>
      <c r="M451" s="206" t="s">
        <v>589</v>
      </c>
      <c r="N451" s="216">
        <v>6.25</v>
      </c>
      <c r="O451" s="215">
        <f>IF(N451&gt;0,1/N451*37.7*68.6,"")</f>
        <v>413.79520000000002</v>
      </c>
      <c r="P451" s="203">
        <v>6</v>
      </c>
      <c r="Q451" s="202" t="s">
        <v>834</v>
      </c>
      <c r="R451" s="201" t="s">
        <v>33</v>
      </c>
      <c r="S451" s="201" t="s">
        <v>34</v>
      </c>
      <c r="T451" s="220" t="s">
        <v>830</v>
      </c>
      <c r="U451" s="199"/>
      <c r="V451" s="198">
        <f>IFERROR(IF(N451&lt;P451,"",(ROUNDDOWN(N451/P451*100,0))),"")</f>
        <v>104</v>
      </c>
    </row>
    <row r="452" spans="1:22" ht="24" customHeight="1">
      <c r="A452" s="219"/>
      <c r="B452" s="223"/>
      <c r="C452" s="228"/>
      <c r="D452" s="227" t="s">
        <v>851</v>
      </c>
      <c r="E452" s="209" t="s">
        <v>832</v>
      </c>
      <c r="F452" s="210">
        <v>5.1230000000000002</v>
      </c>
      <c r="G452" s="209">
        <v>794</v>
      </c>
      <c r="H452" s="209">
        <v>177</v>
      </c>
      <c r="I452" s="209" t="s">
        <v>71</v>
      </c>
      <c r="J452" s="208">
        <v>4048</v>
      </c>
      <c r="K452" s="208">
        <v>11641</v>
      </c>
      <c r="L452" s="207">
        <v>7483</v>
      </c>
      <c r="M452" s="206" t="s">
        <v>589</v>
      </c>
      <c r="N452" s="216">
        <v>6.11</v>
      </c>
      <c r="O452" s="215">
        <f>IF(N452&gt;0,1/N452*37.7*68.6,"")</f>
        <v>423.27659574468083</v>
      </c>
      <c r="P452" s="203">
        <v>6</v>
      </c>
      <c r="Q452" s="202" t="s">
        <v>831</v>
      </c>
      <c r="R452" s="201" t="s">
        <v>33</v>
      </c>
      <c r="S452" s="201" t="s">
        <v>34</v>
      </c>
      <c r="T452" s="220" t="s">
        <v>830</v>
      </c>
      <c r="U452" s="199"/>
      <c r="V452" s="198">
        <f>IFERROR(IF(N452&lt;P452,"",(ROUNDDOWN(N452/P452*100,0))),"")</f>
        <v>101</v>
      </c>
    </row>
    <row r="453" spans="1:22" ht="24" customHeight="1">
      <c r="A453" s="219"/>
      <c r="B453" s="223"/>
      <c r="C453" s="228"/>
      <c r="D453" s="227" t="s">
        <v>851</v>
      </c>
      <c r="E453" s="209" t="s">
        <v>832</v>
      </c>
      <c r="F453" s="210">
        <v>5.1230000000000002</v>
      </c>
      <c r="G453" s="209">
        <v>794</v>
      </c>
      <c r="H453" s="209">
        <v>177</v>
      </c>
      <c r="I453" s="209" t="s">
        <v>839</v>
      </c>
      <c r="J453" s="208">
        <v>4048</v>
      </c>
      <c r="K453" s="208">
        <v>11641</v>
      </c>
      <c r="L453" s="207">
        <v>7483</v>
      </c>
      <c r="M453" s="206" t="s">
        <v>589</v>
      </c>
      <c r="N453" s="216">
        <v>6.11</v>
      </c>
      <c r="O453" s="215">
        <f>IF(N453&gt;0,1/N453*37.7*68.6,"")</f>
        <v>423.27659574468083</v>
      </c>
      <c r="P453" s="203">
        <v>6</v>
      </c>
      <c r="Q453" s="202" t="s">
        <v>831</v>
      </c>
      <c r="R453" s="201" t="s">
        <v>33</v>
      </c>
      <c r="S453" s="201" t="s">
        <v>34</v>
      </c>
      <c r="T453" s="220" t="s">
        <v>830</v>
      </c>
      <c r="U453" s="199"/>
      <c r="V453" s="198">
        <f>IFERROR(IF(N453&lt;P453,"",(ROUNDDOWN(N453/P453*100,0))),"")</f>
        <v>101</v>
      </c>
    </row>
    <row r="454" spans="1:22" ht="24" customHeight="1">
      <c r="A454" s="219"/>
      <c r="B454" s="223"/>
      <c r="C454" s="228"/>
      <c r="D454" s="227" t="s">
        <v>850</v>
      </c>
      <c r="E454" s="209" t="s">
        <v>832</v>
      </c>
      <c r="F454" s="210">
        <v>5.1230000000000002</v>
      </c>
      <c r="G454" s="209">
        <v>794</v>
      </c>
      <c r="H454" s="209">
        <v>177</v>
      </c>
      <c r="I454" s="209" t="s">
        <v>71</v>
      </c>
      <c r="J454" s="208">
        <v>4048</v>
      </c>
      <c r="K454" s="208">
        <v>11641</v>
      </c>
      <c r="L454" s="207">
        <v>7483</v>
      </c>
      <c r="M454" s="206" t="s">
        <v>589</v>
      </c>
      <c r="N454" s="216">
        <v>6.36</v>
      </c>
      <c r="O454" s="215">
        <f>IF(N454&gt;0,1/N454*37.7*68.6,"")</f>
        <v>406.63836477987417</v>
      </c>
      <c r="P454" s="203">
        <v>6</v>
      </c>
      <c r="Q454" s="202" t="s">
        <v>834</v>
      </c>
      <c r="R454" s="201" t="s">
        <v>33</v>
      </c>
      <c r="S454" s="201" t="s">
        <v>110</v>
      </c>
      <c r="T454" s="220" t="s">
        <v>830</v>
      </c>
      <c r="U454" s="199"/>
      <c r="V454" s="198">
        <f>IFERROR(IF(N454&lt;P454,"",(ROUNDDOWN(N454/P454*100,0))),"")</f>
        <v>106</v>
      </c>
    </row>
    <row r="455" spans="1:22" ht="24" customHeight="1">
      <c r="A455" s="219"/>
      <c r="B455" s="223"/>
      <c r="C455" s="228"/>
      <c r="D455" s="227" t="s">
        <v>850</v>
      </c>
      <c r="E455" s="209" t="s">
        <v>832</v>
      </c>
      <c r="F455" s="210">
        <v>5.1230000000000002</v>
      </c>
      <c r="G455" s="209">
        <v>794</v>
      </c>
      <c r="H455" s="209">
        <v>177</v>
      </c>
      <c r="I455" s="209" t="s">
        <v>839</v>
      </c>
      <c r="J455" s="208">
        <v>4048</v>
      </c>
      <c r="K455" s="208">
        <v>11641</v>
      </c>
      <c r="L455" s="207">
        <v>7483</v>
      </c>
      <c r="M455" s="206" t="s">
        <v>589</v>
      </c>
      <c r="N455" s="216">
        <v>6.36</v>
      </c>
      <c r="O455" s="215">
        <f>IF(N455&gt;0,1/N455*37.7*68.6,"")</f>
        <v>406.63836477987417</v>
      </c>
      <c r="P455" s="203">
        <v>6</v>
      </c>
      <c r="Q455" s="202" t="s">
        <v>834</v>
      </c>
      <c r="R455" s="201" t="s">
        <v>33</v>
      </c>
      <c r="S455" s="201" t="s">
        <v>110</v>
      </c>
      <c r="T455" s="220" t="s">
        <v>830</v>
      </c>
      <c r="U455" s="199"/>
      <c r="V455" s="198">
        <f>IFERROR(IF(N455&lt;P455,"",(ROUNDDOWN(N455/P455*100,0))),"")</f>
        <v>106</v>
      </c>
    </row>
    <row r="456" spans="1:22" ht="24" customHeight="1">
      <c r="A456" s="219"/>
      <c r="B456" s="223"/>
      <c r="C456" s="228"/>
      <c r="D456" s="227" t="s">
        <v>849</v>
      </c>
      <c r="E456" s="209" t="s">
        <v>832</v>
      </c>
      <c r="F456" s="210">
        <v>5.1230000000000002</v>
      </c>
      <c r="G456" s="209">
        <v>794</v>
      </c>
      <c r="H456" s="209">
        <v>177</v>
      </c>
      <c r="I456" s="209" t="s">
        <v>71</v>
      </c>
      <c r="J456" s="208">
        <v>4048</v>
      </c>
      <c r="K456" s="208">
        <v>11641</v>
      </c>
      <c r="L456" s="207">
        <v>7483</v>
      </c>
      <c r="M456" s="206" t="s">
        <v>589</v>
      </c>
      <c r="N456" s="216">
        <v>6.21</v>
      </c>
      <c r="O456" s="215">
        <f>IF(N456&gt;0,1/N456*37.7*68.6,"")</f>
        <v>416.46054750402573</v>
      </c>
      <c r="P456" s="203">
        <v>6</v>
      </c>
      <c r="Q456" s="202" t="s">
        <v>831</v>
      </c>
      <c r="R456" s="201" t="s">
        <v>33</v>
      </c>
      <c r="S456" s="201" t="s">
        <v>110</v>
      </c>
      <c r="T456" s="220" t="s">
        <v>830</v>
      </c>
      <c r="U456" s="199"/>
      <c r="V456" s="198">
        <f>IFERROR(IF(N456&lt;P456,"",(ROUNDDOWN(N456/P456*100,0))),"")</f>
        <v>103</v>
      </c>
    </row>
    <row r="457" spans="1:22" ht="24" customHeight="1">
      <c r="A457" s="219"/>
      <c r="B457" s="223"/>
      <c r="C457" s="228"/>
      <c r="D457" s="227" t="s">
        <v>849</v>
      </c>
      <c r="E457" s="209" t="s">
        <v>832</v>
      </c>
      <c r="F457" s="210">
        <v>5.1230000000000002</v>
      </c>
      <c r="G457" s="209">
        <v>794</v>
      </c>
      <c r="H457" s="209">
        <v>177</v>
      </c>
      <c r="I457" s="209" t="s">
        <v>839</v>
      </c>
      <c r="J457" s="208">
        <v>4048</v>
      </c>
      <c r="K457" s="208">
        <v>11641</v>
      </c>
      <c r="L457" s="207">
        <v>7483</v>
      </c>
      <c r="M457" s="206" t="s">
        <v>589</v>
      </c>
      <c r="N457" s="216">
        <v>6.21</v>
      </c>
      <c r="O457" s="215">
        <f>IF(N457&gt;0,1/N457*37.7*68.6,"")</f>
        <v>416.46054750402573</v>
      </c>
      <c r="P457" s="203">
        <v>6</v>
      </c>
      <c r="Q457" s="202" t="s">
        <v>831</v>
      </c>
      <c r="R457" s="201" t="s">
        <v>33</v>
      </c>
      <c r="S457" s="201" t="s">
        <v>110</v>
      </c>
      <c r="T457" s="220" t="s">
        <v>830</v>
      </c>
      <c r="U457" s="199"/>
      <c r="V457" s="198">
        <f>IFERROR(IF(N457&lt;P457,"",(ROUNDDOWN(N457/P457*100,0))),"")</f>
        <v>103</v>
      </c>
    </row>
    <row r="458" spans="1:22" ht="24" customHeight="1">
      <c r="A458" s="219"/>
      <c r="B458" s="223"/>
      <c r="C458" s="228"/>
      <c r="D458" s="227" t="s">
        <v>848</v>
      </c>
      <c r="E458" s="209" t="s">
        <v>832</v>
      </c>
      <c r="F458" s="210">
        <v>5.1230000000000002</v>
      </c>
      <c r="G458" s="209">
        <v>794</v>
      </c>
      <c r="H458" s="209">
        <v>177</v>
      </c>
      <c r="I458" s="209" t="s">
        <v>71</v>
      </c>
      <c r="J458" s="208">
        <v>4516</v>
      </c>
      <c r="K458" s="208">
        <v>12618</v>
      </c>
      <c r="L458" s="207">
        <v>7992</v>
      </c>
      <c r="M458" s="206" t="s">
        <v>589</v>
      </c>
      <c r="N458" s="216">
        <v>6.01</v>
      </c>
      <c r="O458" s="215">
        <f>IF(N458&gt;0,1/N458*37.7*68.6,"")</f>
        <v>430.3194675540766</v>
      </c>
      <c r="P458" s="203">
        <v>5.69</v>
      </c>
      <c r="Q458" s="202" t="s">
        <v>834</v>
      </c>
      <c r="R458" s="201" t="s">
        <v>33</v>
      </c>
      <c r="S458" s="201" t="s">
        <v>34</v>
      </c>
      <c r="T458" s="220" t="s">
        <v>830</v>
      </c>
      <c r="U458" s="199"/>
      <c r="V458" s="198">
        <f>IFERROR(IF(N458&lt;P458,"",(ROUNDDOWN(N458/P458*100,0))),"")</f>
        <v>105</v>
      </c>
    </row>
    <row r="459" spans="1:22" ht="24" customHeight="1">
      <c r="A459" s="219"/>
      <c r="B459" s="223"/>
      <c r="C459" s="228"/>
      <c r="D459" s="227" t="s">
        <v>847</v>
      </c>
      <c r="E459" s="209" t="s">
        <v>832</v>
      </c>
      <c r="F459" s="210">
        <v>5.1230000000000002</v>
      </c>
      <c r="G459" s="209">
        <v>833</v>
      </c>
      <c r="H459" s="209">
        <v>177</v>
      </c>
      <c r="I459" s="209" t="s">
        <v>71</v>
      </c>
      <c r="J459" s="208">
        <v>4516</v>
      </c>
      <c r="K459" s="208">
        <v>12618</v>
      </c>
      <c r="L459" s="207">
        <v>7992</v>
      </c>
      <c r="M459" s="206" t="s">
        <v>589</v>
      </c>
      <c r="N459" s="216">
        <v>5.94</v>
      </c>
      <c r="O459" s="215">
        <f>IF(N459&gt;0,1/N459*37.7*68.6,"")</f>
        <v>435.39057239057234</v>
      </c>
      <c r="P459" s="203">
        <v>5.69</v>
      </c>
      <c r="Q459" s="202" t="s">
        <v>834</v>
      </c>
      <c r="R459" s="201" t="s">
        <v>33</v>
      </c>
      <c r="S459" s="201" t="s">
        <v>34</v>
      </c>
      <c r="T459" s="220" t="s">
        <v>830</v>
      </c>
      <c r="U459" s="199"/>
      <c r="V459" s="198">
        <f>IFERROR(IF(N459&lt;P459,"",(ROUNDDOWN(N459/P459*100,0))),"")</f>
        <v>104</v>
      </c>
    </row>
    <row r="460" spans="1:22" ht="24" customHeight="1">
      <c r="A460" s="219"/>
      <c r="B460" s="223"/>
      <c r="C460" s="228"/>
      <c r="D460" s="227" t="s">
        <v>847</v>
      </c>
      <c r="E460" s="209" t="s">
        <v>832</v>
      </c>
      <c r="F460" s="210">
        <v>5.1230000000000002</v>
      </c>
      <c r="G460" s="209">
        <v>794</v>
      </c>
      <c r="H460" s="209">
        <v>177</v>
      </c>
      <c r="I460" s="209" t="s">
        <v>71</v>
      </c>
      <c r="J460" s="208">
        <v>4516</v>
      </c>
      <c r="K460" s="208">
        <v>12618</v>
      </c>
      <c r="L460" s="207">
        <v>7992</v>
      </c>
      <c r="M460" s="206" t="s">
        <v>589</v>
      </c>
      <c r="N460" s="216">
        <v>5.88</v>
      </c>
      <c r="O460" s="215">
        <f>IF(N460&gt;0,1/N460*37.7*68.6,"")</f>
        <v>439.83333333333331</v>
      </c>
      <c r="P460" s="203">
        <v>5.69</v>
      </c>
      <c r="Q460" s="202" t="s">
        <v>831</v>
      </c>
      <c r="R460" s="201" t="s">
        <v>33</v>
      </c>
      <c r="S460" s="201" t="s">
        <v>34</v>
      </c>
      <c r="T460" s="220" t="s">
        <v>830</v>
      </c>
      <c r="U460" s="199"/>
      <c r="V460" s="198">
        <f>IFERROR(IF(N460&lt;P460,"",(ROUNDDOWN(N460/P460*100,0))),"")</f>
        <v>103</v>
      </c>
    </row>
    <row r="461" spans="1:22" ht="24" customHeight="1">
      <c r="A461" s="219"/>
      <c r="B461" s="223"/>
      <c r="C461" s="228"/>
      <c r="D461" s="227" t="s">
        <v>847</v>
      </c>
      <c r="E461" s="209" t="s">
        <v>832</v>
      </c>
      <c r="F461" s="210">
        <v>5.1230000000000002</v>
      </c>
      <c r="G461" s="209">
        <v>833</v>
      </c>
      <c r="H461" s="209">
        <v>177</v>
      </c>
      <c r="I461" s="209" t="s">
        <v>71</v>
      </c>
      <c r="J461" s="208">
        <v>4516</v>
      </c>
      <c r="K461" s="208">
        <v>12618</v>
      </c>
      <c r="L461" s="207">
        <v>7992</v>
      </c>
      <c r="M461" s="206" t="s">
        <v>589</v>
      </c>
      <c r="N461" s="216">
        <v>5.82</v>
      </c>
      <c r="O461" s="215">
        <f>IF(N461&gt;0,1/N461*37.7*68.6,"")</f>
        <v>444.36769759450169</v>
      </c>
      <c r="P461" s="203">
        <v>5.69</v>
      </c>
      <c r="Q461" s="202" t="s">
        <v>831</v>
      </c>
      <c r="R461" s="201" t="s">
        <v>33</v>
      </c>
      <c r="S461" s="201" t="s">
        <v>34</v>
      </c>
      <c r="T461" s="220" t="s">
        <v>830</v>
      </c>
      <c r="U461" s="199"/>
      <c r="V461" s="198">
        <f>IFERROR(IF(N461&lt;P461,"",(ROUNDDOWN(N461/P461*100,0))),"")</f>
        <v>102</v>
      </c>
    </row>
    <row r="462" spans="1:22" ht="24" customHeight="1">
      <c r="A462" s="219"/>
      <c r="B462" s="223"/>
      <c r="C462" s="228"/>
      <c r="D462" s="227" t="s">
        <v>847</v>
      </c>
      <c r="E462" s="209" t="s">
        <v>832</v>
      </c>
      <c r="F462" s="210">
        <v>5.1230000000000002</v>
      </c>
      <c r="G462" s="209">
        <v>794</v>
      </c>
      <c r="H462" s="209">
        <v>177</v>
      </c>
      <c r="I462" s="209" t="s">
        <v>790</v>
      </c>
      <c r="J462" s="208">
        <v>4516</v>
      </c>
      <c r="K462" s="208">
        <v>12618</v>
      </c>
      <c r="L462" s="207">
        <v>7992</v>
      </c>
      <c r="M462" s="206" t="s">
        <v>589</v>
      </c>
      <c r="N462" s="216">
        <v>5.78</v>
      </c>
      <c r="O462" s="215">
        <f>IF(N462&gt;0,1/N462*37.7*68.6,"")</f>
        <v>447.44290657439444</v>
      </c>
      <c r="P462" s="203">
        <v>5.69</v>
      </c>
      <c r="Q462" s="202" t="s">
        <v>834</v>
      </c>
      <c r="R462" s="201" t="s">
        <v>33</v>
      </c>
      <c r="S462" s="201" t="s">
        <v>34</v>
      </c>
      <c r="T462" s="220" t="s">
        <v>830</v>
      </c>
      <c r="U462" s="199"/>
      <c r="V462" s="198">
        <f>IFERROR(IF(N462&lt;P462,"",(ROUNDDOWN(N462/P462*100,0))),"")</f>
        <v>101</v>
      </c>
    </row>
    <row r="463" spans="1:22" ht="24" customHeight="1">
      <c r="A463" s="219"/>
      <c r="B463" s="223"/>
      <c r="C463" s="228"/>
      <c r="D463" s="227" t="s">
        <v>846</v>
      </c>
      <c r="E463" s="209" t="s">
        <v>832</v>
      </c>
      <c r="F463" s="210">
        <v>5.1230000000000002</v>
      </c>
      <c r="G463" s="209">
        <v>794</v>
      </c>
      <c r="H463" s="209">
        <v>177</v>
      </c>
      <c r="I463" s="209" t="s">
        <v>790</v>
      </c>
      <c r="J463" s="208">
        <v>4516</v>
      </c>
      <c r="K463" s="208">
        <v>12618</v>
      </c>
      <c r="L463" s="207">
        <v>7992</v>
      </c>
      <c r="M463" s="206" t="s">
        <v>589</v>
      </c>
      <c r="N463" s="216">
        <v>5.45</v>
      </c>
      <c r="O463" s="215">
        <f>IF(N463&gt;0,1/N463*37.7*68.6,"")</f>
        <v>474.5357798165137</v>
      </c>
      <c r="P463" s="203">
        <v>5.69</v>
      </c>
      <c r="Q463" s="202" t="s">
        <v>831</v>
      </c>
      <c r="R463" s="201" t="s">
        <v>33</v>
      </c>
      <c r="S463" s="201" t="s">
        <v>34</v>
      </c>
      <c r="T463" s="220" t="s">
        <v>830</v>
      </c>
      <c r="U463" s="199"/>
      <c r="V463" s="198" t="str">
        <f>IFERROR(IF(N463&lt;P463,"",(ROUNDDOWN(N463/P463*100,0))),"")</f>
        <v/>
      </c>
    </row>
    <row r="464" spans="1:22" ht="24" customHeight="1">
      <c r="A464" s="219"/>
      <c r="B464" s="223"/>
      <c r="C464" s="228"/>
      <c r="D464" s="227" t="s">
        <v>845</v>
      </c>
      <c r="E464" s="209" t="s">
        <v>832</v>
      </c>
      <c r="F464" s="210">
        <v>5.1230000000000002</v>
      </c>
      <c r="G464" s="209">
        <v>833</v>
      </c>
      <c r="H464" s="209">
        <v>177</v>
      </c>
      <c r="I464" s="209" t="s">
        <v>71</v>
      </c>
      <c r="J464" s="208">
        <v>4516</v>
      </c>
      <c r="K464" s="208">
        <v>12618</v>
      </c>
      <c r="L464" s="207">
        <v>7992</v>
      </c>
      <c r="M464" s="206" t="s">
        <v>589</v>
      </c>
      <c r="N464" s="216">
        <v>5.94</v>
      </c>
      <c r="O464" s="215">
        <f>IF(N464&gt;0,1/N464*37.7*68.6,"")</f>
        <v>435.39057239057234</v>
      </c>
      <c r="P464" s="203">
        <v>5.69</v>
      </c>
      <c r="Q464" s="202" t="s">
        <v>834</v>
      </c>
      <c r="R464" s="201" t="s">
        <v>33</v>
      </c>
      <c r="S464" s="201" t="s">
        <v>34</v>
      </c>
      <c r="T464" s="220" t="s">
        <v>830</v>
      </c>
      <c r="U464" s="199"/>
      <c r="V464" s="198">
        <f>IFERROR(IF(N464&lt;P464,"",(ROUNDDOWN(N464/P464*100,0))),"")</f>
        <v>104</v>
      </c>
    </row>
    <row r="465" spans="1:22" ht="24" customHeight="1">
      <c r="A465" s="219"/>
      <c r="B465" s="223"/>
      <c r="C465" s="228"/>
      <c r="D465" s="227" t="s">
        <v>845</v>
      </c>
      <c r="E465" s="209" t="s">
        <v>832</v>
      </c>
      <c r="F465" s="210">
        <v>5.1230000000000002</v>
      </c>
      <c r="G465" s="209">
        <v>833</v>
      </c>
      <c r="H465" s="209">
        <v>177</v>
      </c>
      <c r="I465" s="209" t="s">
        <v>839</v>
      </c>
      <c r="J465" s="208">
        <v>4516</v>
      </c>
      <c r="K465" s="208">
        <v>12618</v>
      </c>
      <c r="L465" s="207">
        <v>7992</v>
      </c>
      <c r="M465" s="206" t="s">
        <v>589</v>
      </c>
      <c r="N465" s="216">
        <v>5.94</v>
      </c>
      <c r="O465" s="215">
        <f>IF(N465&gt;0,1/N465*37.7*68.6,"")</f>
        <v>435.39057239057234</v>
      </c>
      <c r="P465" s="203">
        <v>5.69</v>
      </c>
      <c r="Q465" s="202" t="s">
        <v>834</v>
      </c>
      <c r="R465" s="201" t="s">
        <v>33</v>
      </c>
      <c r="S465" s="201" t="s">
        <v>34</v>
      </c>
      <c r="T465" s="220" t="s">
        <v>830</v>
      </c>
      <c r="U465" s="199"/>
      <c r="V465" s="198">
        <f>IFERROR(IF(N465&lt;P465,"",(ROUNDDOWN(N465/P465*100,0))),"")</f>
        <v>104</v>
      </c>
    </row>
    <row r="466" spans="1:22" ht="24" customHeight="1">
      <c r="A466" s="219"/>
      <c r="B466" s="223"/>
      <c r="C466" s="228"/>
      <c r="D466" s="227" t="s">
        <v>845</v>
      </c>
      <c r="E466" s="209" t="s">
        <v>832</v>
      </c>
      <c r="F466" s="210">
        <v>5.1230000000000002</v>
      </c>
      <c r="G466" s="209">
        <v>833</v>
      </c>
      <c r="H466" s="209">
        <v>177</v>
      </c>
      <c r="I466" s="209" t="s">
        <v>71</v>
      </c>
      <c r="J466" s="208">
        <v>4516</v>
      </c>
      <c r="K466" s="208">
        <v>12618</v>
      </c>
      <c r="L466" s="207">
        <v>7992</v>
      </c>
      <c r="M466" s="206" t="s">
        <v>589</v>
      </c>
      <c r="N466" s="216">
        <v>5.82</v>
      </c>
      <c r="O466" s="215">
        <f>IF(N466&gt;0,1/N466*37.7*68.6,"")</f>
        <v>444.36769759450169</v>
      </c>
      <c r="P466" s="203">
        <v>5.69</v>
      </c>
      <c r="Q466" s="202" t="s">
        <v>831</v>
      </c>
      <c r="R466" s="201" t="s">
        <v>33</v>
      </c>
      <c r="S466" s="201" t="s">
        <v>34</v>
      </c>
      <c r="T466" s="220" t="s">
        <v>830</v>
      </c>
      <c r="U466" s="199"/>
      <c r="V466" s="198">
        <f>IFERROR(IF(N466&lt;P466,"",(ROUNDDOWN(N466/P466*100,0))),"")</f>
        <v>102</v>
      </c>
    </row>
    <row r="467" spans="1:22" ht="24" customHeight="1">
      <c r="A467" s="219"/>
      <c r="B467" s="223"/>
      <c r="C467" s="228"/>
      <c r="D467" s="227" t="s">
        <v>845</v>
      </c>
      <c r="E467" s="209" t="s">
        <v>832</v>
      </c>
      <c r="F467" s="210">
        <v>5.1230000000000002</v>
      </c>
      <c r="G467" s="209">
        <v>833</v>
      </c>
      <c r="H467" s="209">
        <v>177</v>
      </c>
      <c r="I467" s="209" t="s">
        <v>839</v>
      </c>
      <c r="J467" s="208">
        <v>4516</v>
      </c>
      <c r="K467" s="208">
        <v>12618</v>
      </c>
      <c r="L467" s="207">
        <v>7992</v>
      </c>
      <c r="M467" s="206" t="s">
        <v>589</v>
      </c>
      <c r="N467" s="216">
        <v>5.82</v>
      </c>
      <c r="O467" s="215">
        <f>IF(N467&gt;0,1/N467*37.7*68.6,"")</f>
        <v>444.36769759450169</v>
      </c>
      <c r="P467" s="203">
        <v>5.69</v>
      </c>
      <c r="Q467" s="202" t="s">
        <v>831</v>
      </c>
      <c r="R467" s="201" t="s">
        <v>33</v>
      </c>
      <c r="S467" s="201" t="s">
        <v>34</v>
      </c>
      <c r="T467" s="220" t="s">
        <v>830</v>
      </c>
      <c r="U467" s="199"/>
      <c r="V467" s="198">
        <f>IFERROR(IF(N467&lt;P467,"",(ROUNDDOWN(N467/P467*100,0))),"")</f>
        <v>102</v>
      </c>
    </row>
    <row r="468" spans="1:22" ht="24" customHeight="1">
      <c r="A468" s="219"/>
      <c r="B468" s="223"/>
      <c r="C468" s="228"/>
      <c r="D468" s="227" t="s">
        <v>844</v>
      </c>
      <c r="E468" s="209" t="s">
        <v>832</v>
      </c>
      <c r="F468" s="210">
        <v>5.1230000000000002</v>
      </c>
      <c r="G468" s="209">
        <v>833</v>
      </c>
      <c r="H468" s="209">
        <v>177</v>
      </c>
      <c r="I468" s="209" t="s">
        <v>243</v>
      </c>
      <c r="J468" s="208">
        <v>4516</v>
      </c>
      <c r="K468" s="208">
        <v>12618</v>
      </c>
      <c r="L468" s="207">
        <v>7992</v>
      </c>
      <c r="M468" s="206" t="s">
        <v>589</v>
      </c>
      <c r="N468" s="216">
        <v>6.08</v>
      </c>
      <c r="O468" s="215">
        <f>IF(N468&gt;0,1/N468*37.7*68.6,"")</f>
        <v>425.3651315789474</v>
      </c>
      <c r="P468" s="203">
        <v>5.69</v>
      </c>
      <c r="Q468" s="202" t="s">
        <v>834</v>
      </c>
      <c r="R468" s="201" t="s">
        <v>33</v>
      </c>
      <c r="S468" s="201" t="s">
        <v>34</v>
      </c>
      <c r="T468" s="220" t="s">
        <v>830</v>
      </c>
      <c r="U468" s="199"/>
      <c r="V468" s="198">
        <f>IFERROR(IF(N468&lt;P468,"",(ROUNDDOWN(N468/P468*100,0))),"")</f>
        <v>106</v>
      </c>
    </row>
    <row r="469" spans="1:22" ht="24" customHeight="1">
      <c r="A469" s="219"/>
      <c r="B469" s="223"/>
      <c r="C469" s="228"/>
      <c r="D469" s="227" t="s">
        <v>844</v>
      </c>
      <c r="E469" s="209" t="s">
        <v>832</v>
      </c>
      <c r="F469" s="210">
        <v>5.1230000000000002</v>
      </c>
      <c r="G469" s="209">
        <v>833</v>
      </c>
      <c r="H469" s="209">
        <v>177</v>
      </c>
      <c r="I469" s="209" t="s">
        <v>840</v>
      </c>
      <c r="J469" s="208">
        <v>4516</v>
      </c>
      <c r="K469" s="208">
        <v>12618</v>
      </c>
      <c r="L469" s="207">
        <v>7992</v>
      </c>
      <c r="M469" s="206" t="s">
        <v>589</v>
      </c>
      <c r="N469" s="216">
        <v>6.08</v>
      </c>
      <c r="O469" s="215">
        <f>IF(N469&gt;0,1/N469*37.7*68.6,"")</f>
        <v>425.3651315789474</v>
      </c>
      <c r="P469" s="203">
        <v>5.69</v>
      </c>
      <c r="Q469" s="202" t="s">
        <v>834</v>
      </c>
      <c r="R469" s="201" t="s">
        <v>33</v>
      </c>
      <c r="S469" s="201" t="s">
        <v>34</v>
      </c>
      <c r="T469" s="220" t="s">
        <v>830</v>
      </c>
      <c r="U469" s="199"/>
      <c r="V469" s="198">
        <f>IFERROR(IF(N469&lt;P469,"",(ROUNDDOWN(N469/P469*100,0))),"")</f>
        <v>106</v>
      </c>
    </row>
    <row r="470" spans="1:22" ht="24" customHeight="1">
      <c r="A470" s="219"/>
      <c r="B470" s="223"/>
      <c r="C470" s="228"/>
      <c r="D470" s="227" t="s">
        <v>844</v>
      </c>
      <c r="E470" s="209" t="s">
        <v>832</v>
      </c>
      <c r="F470" s="210">
        <v>5.1230000000000002</v>
      </c>
      <c r="G470" s="209">
        <v>882</v>
      </c>
      <c r="H470" s="209">
        <v>191</v>
      </c>
      <c r="I470" s="209" t="s">
        <v>243</v>
      </c>
      <c r="J470" s="208">
        <v>4516</v>
      </c>
      <c r="K470" s="208">
        <v>12618</v>
      </c>
      <c r="L470" s="207">
        <v>7992</v>
      </c>
      <c r="M470" s="206" t="s">
        <v>589</v>
      </c>
      <c r="N470" s="216">
        <v>6.05</v>
      </c>
      <c r="O470" s="215">
        <f>IF(N470&gt;0,1/N470*37.7*68.6,"")</f>
        <v>427.47438016528929</v>
      </c>
      <c r="P470" s="203">
        <v>5.69</v>
      </c>
      <c r="Q470" s="202" t="s">
        <v>834</v>
      </c>
      <c r="R470" s="201" t="s">
        <v>33</v>
      </c>
      <c r="S470" s="201" t="s">
        <v>34</v>
      </c>
      <c r="T470" s="220" t="s">
        <v>830</v>
      </c>
      <c r="U470" s="199"/>
      <c r="V470" s="198">
        <f>IFERROR(IF(N470&lt;P470,"",(ROUNDDOWN(N470/P470*100,0))),"")</f>
        <v>106</v>
      </c>
    </row>
    <row r="471" spans="1:22" ht="24" customHeight="1">
      <c r="A471" s="219"/>
      <c r="B471" s="223"/>
      <c r="C471" s="228"/>
      <c r="D471" s="227" t="s">
        <v>844</v>
      </c>
      <c r="E471" s="209" t="s">
        <v>832</v>
      </c>
      <c r="F471" s="210">
        <v>5.1230000000000002</v>
      </c>
      <c r="G471" s="209">
        <v>882</v>
      </c>
      <c r="H471" s="209">
        <v>191</v>
      </c>
      <c r="I471" s="209" t="s">
        <v>840</v>
      </c>
      <c r="J471" s="208">
        <v>4516</v>
      </c>
      <c r="K471" s="208">
        <v>12618</v>
      </c>
      <c r="L471" s="207">
        <v>7992</v>
      </c>
      <c r="M471" s="206" t="s">
        <v>589</v>
      </c>
      <c r="N471" s="216">
        <v>6.05</v>
      </c>
      <c r="O471" s="215">
        <f>IF(N471&gt;0,1/N471*37.7*68.6,"")</f>
        <v>427.47438016528929</v>
      </c>
      <c r="P471" s="203">
        <v>5.69</v>
      </c>
      <c r="Q471" s="202" t="s">
        <v>834</v>
      </c>
      <c r="R471" s="201" t="s">
        <v>33</v>
      </c>
      <c r="S471" s="201" t="s">
        <v>34</v>
      </c>
      <c r="T471" s="220" t="s">
        <v>830</v>
      </c>
      <c r="U471" s="199"/>
      <c r="V471" s="198">
        <f>IFERROR(IF(N471&lt;P471,"",(ROUNDDOWN(N471/P471*100,0))),"")</f>
        <v>106</v>
      </c>
    </row>
    <row r="472" spans="1:22" ht="24" customHeight="1">
      <c r="A472" s="219"/>
      <c r="B472" s="223"/>
      <c r="C472" s="228"/>
      <c r="D472" s="227" t="s">
        <v>844</v>
      </c>
      <c r="E472" s="209" t="s">
        <v>832</v>
      </c>
      <c r="F472" s="210">
        <v>5.1230000000000002</v>
      </c>
      <c r="G472" s="209">
        <v>794</v>
      </c>
      <c r="H472" s="209">
        <v>177</v>
      </c>
      <c r="I472" s="209" t="s">
        <v>71</v>
      </c>
      <c r="J472" s="208">
        <v>4516</v>
      </c>
      <c r="K472" s="208">
        <v>12618</v>
      </c>
      <c r="L472" s="207">
        <v>7992</v>
      </c>
      <c r="M472" s="206" t="s">
        <v>589</v>
      </c>
      <c r="N472" s="216">
        <v>6.01</v>
      </c>
      <c r="O472" s="215">
        <f>IF(N472&gt;0,1/N472*37.7*68.6,"")</f>
        <v>430.3194675540766</v>
      </c>
      <c r="P472" s="203">
        <v>5.69</v>
      </c>
      <c r="Q472" s="202" t="s">
        <v>834</v>
      </c>
      <c r="R472" s="201" t="s">
        <v>33</v>
      </c>
      <c r="S472" s="201" t="s">
        <v>34</v>
      </c>
      <c r="T472" s="220" t="s">
        <v>830</v>
      </c>
      <c r="U472" s="199"/>
      <c r="V472" s="198">
        <f>IFERROR(IF(N472&lt;P472,"",(ROUNDDOWN(N472/P472*100,0))),"")</f>
        <v>105</v>
      </c>
    </row>
    <row r="473" spans="1:22" ht="24" customHeight="1">
      <c r="A473" s="219"/>
      <c r="B473" s="223"/>
      <c r="C473" s="228"/>
      <c r="D473" s="227" t="s">
        <v>843</v>
      </c>
      <c r="E473" s="209" t="s">
        <v>832</v>
      </c>
      <c r="F473" s="210">
        <v>5.1230000000000002</v>
      </c>
      <c r="G473" s="209">
        <v>833</v>
      </c>
      <c r="H473" s="209">
        <v>177</v>
      </c>
      <c r="I473" s="209" t="s">
        <v>243</v>
      </c>
      <c r="J473" s="208">
        <v>4516</v>
      </c>
      <c r="K473" s="208">
        <v>12618</v>
      </c>
      <c r="L473" s="207">
        <v>7992</v>
      </c>
      <c r="M473" s="206" t="s">
        <v>589</v>
      </c>
      <c r="N473" s="216">
        <v>5.95</v>
      </c>
      <c r="O473" s="215">
        <f>IF(N473&gt;0,1/N473*37.7*68.6,"")</f>
        <v>434.65882352941173</v>
      </c>
      <c r="P473" s="203">
        <v>5.69</v>
      </c>
      <c r="Q473" s="202" t="s">
        <v>831</v>
      </c>
      <c r="R473" s="201" t="s">
        <v>33</v>
      </c>
      <c r="S473" s="201" t="s">
        <v>34</v>
      </c>
      <c r="T473" s="220" t="s">
        <v>830</v>
      </c>
      <c r="U473" s="199"/>
      <c r="V473" s="198">
        <f>IFERROR(IF(N473&lt;P473,"",(ROUNDDOWN(N473/P473*100,0))),"")</f>
        <v>104</v>
      </c>
    </row>
    <row r="474" spans="1:22" ht="24" customHeight="1">
      <c r="A474" s="219"/>
      <c r="B474" s="223"/>
      <c r="C474" s="228"/>
      <c r="D474" s="227" t="s">
        <v>843</v>
      </c>
      <c r="E474" s="209" t="s">
        <v>832</v>
      </c>
      <c r="F474" s="210">
        <v>5.1230000000000002</v>
      </c>
      <c r="G474" s="209">
        <v>833</v>
      </c>
      <c r="H474" s="209">
        <v>177</v>
      </c>
      <c r="I474" s="209" t="s">
        <v>840</v>
      </c>
      <c r="J474" s="208">
        <v>4516</v>
      </c>
      <c r="K474" s="208">
        <v>12618</v>
      </c>
      <c r="L474" s="207">
        <v>7992</v>
      </c>
      <c r="M474" s="206" t="s">
        <v>589</v>
      </c>
      <c r="N474" s="216">
        <v>5.95</v>
      </c>
      <c r="O474" s="215">
        <f>IF(N474&gt;0,1/N474*37.7*68.6,"")</f>
        <v>434.65882352941173</v>
      </c>
      <c r="P474" s="203">
        <v>5.69</v>
      </c>
      <c r="Q474" s="202" t="s">
        <v>831</v>
      </c>
      <c r="R474" s="201" t="s">
        <v>33</v>
      </c>
      <c r="S474" s="201" t="s">
        <v>34</v>
      </c>
      <c r="T474" s="220" t="s">
        <v>830</v>
      </c>
      <c r="U474" s="199"/>
      <c r="V474" s="198">
        <f>IFERROR(IF(N474&lt;P474,"",(ROUNDDOWN(N474/P474*100,0))),"")</f>
        <v>104</v>
      </c>
    </row>
    <row r="475" spans="1:22" ht="24" customHeight="1">
      <c r="A475" s="219"/>
      <c r="B475" s="223"/>
      <c r="C475" s="228"/>
      <c r="D475" s="227" t="s">
        <v>843</v>
      </c>
      <c r="E475" s="209" t="s">
        <v>832</v>
      </c>
      <c r="F475" s="210">
        <v>5.1230000000000002</v>
      </c>
      <c r="G475" s="209">
        <v>833</v>
      </c>
      <c r="H475" s="209">
        <v>177</v>
      </c>
      <c r="I475" s="209" t="s">
        <v>71</v>
      </c>
      <c r="J475" s="208">
        <v>4516</v>
      </c>
      <c r="K475" s="208">
        <v>12618</v>
      </c>
      <c r="L475" s="207">
        <v>7992</v>
      </c>
      <c r="M475" s="206" t="s">
        <v>589</v>
      </c>
      <c r="N475" s="216">
        <v>5.94</v>
      </c>
      <c r="O475" s="215">
        <f>IF(N475&gt;0,1/N475*37.7*68.6,"")</f>
        <v>435.39057239057234</v>
      </c>
      <c r="P475" s="203">
        <v>5.69</v>
      </c>
      <c r="Q475" s="202" t="s">
        <v>834</v>
      </c>
      <c r="R475" s="201" t="s">
        <v>33</v>
      </c>
      <c r="S475" s="201" t="s">
        <v>34</v>
      </c>
      <c r="T475" s="220" t="s">
        <v>830</v>
      </c>
      <c r="U475" s="199"/>
      <c r="V475" s="198">
        <f>IFERROR(IF(N475&lt;P475,"",(ROUNDDOWN(N475/P475*100,0))),"")</f>
        <v>104</v>
      </c>
    </row>
    <row r="476" spans="1:22" ht="24" customHeight="1">
      <c r="A476" s="219"/>
      <c r="B476" s="223"/>
      <c r="C476" s="228"/>
      <c r="D476" s="227" t="s">
        <v>843</v>
      </c>
      <c r="E476" s="209" t="s">
        <v>832</v>
      </c>
      <c r="F476" s="210">
        <v>5.1230000000000002</v>
      </c>
      <c r="G476" s="209">
        <v>833</v>
      </c>
      <c r="H476" s="209">
        <v>177</v>
      </c>
      <c r="I476" s="209" t="s">
        <v>839</v>
      </c>
      <c r="J476" s="208">
        <v>4516</v>
      </c>
      <c r="K476" s="208">
        <v>12618</v>
      </c>
      <c r="L476" s="207">
        <v>7992</v>
      </c>
      <c r="M476" s="206" t="s">
        <v>589</v>
      </c>
      <c r="N476" s="216">
        <v>5.94</v>
      </c>
      <c r="O476" s="215">
        <f>IF(N476&gt;0,1/N476*37.7*68.6,"")</f>
        <v>435.39057239057234</v>
      </c>
      <c r="P476" s="203">
        <v>5.69</v>
      </c>
      <c r="Q476" s="202" t="s">
        <v>834</v>
      </c>
      <c r="R476" s="201" t="s">
        <v>33</v>
      </c>
      <c r="S476" s="201" t="s">
        <v>34</v>
      </c>
      <c r="T476" s="220" t="s">
        <v>830</v>
      </c>
      <c r="U476" s="199"/>
      <c r="V476" s="198">
        <f>IFERROR(IF(N476&lt;P476,"",(ROUNDDOWN(N476/P476*100,0))),"")</f>
        <v>104</v>
      </c>
    </row>
    <row r="477" spans="1:22" ht="24" customHeight="1">
      <c r="A477" s="219"/>
      <c r="B477" s="223"/>
      <c r="C477" s="228"/>
      <c r="D477" s="227" t="s">
        <v>843</v>
      </c>
      <c r="E477" s="209" t="s">
        <v>832</v>
      </c>
      <c r="F477" s="210">
        <v>5.1230000000000002</v>
      </c>
      <c r="G477" s="209">
        <v>882</v>
      </c>
      <c r="H477" s="209">
        <v>191</v>
      </c>
      <c r="I477" s="209" t="s">
        <v>243</v>
      </c>
      <c r="J477" s="208">
        <v>4516</v>
      </c>
      <c r="K477" s="208">
        <v>12618</v>
      </c>
      <c r="L477" s="207">
        <v>7992</v>
      </c>
      <c r="M477" s="206" t="s">
        <v>589</v>
      </c>
      <c r="N477" s="216">
        <v>5.9</v>
      </c>
      <c r="O477" s="215">
        <f>IF(N477&gt;0,1/N477*37.7*68.6,"")</f>
        <v>438.34237288135591</v>
      </c>
      <c r="P477" s="203">
        <v>5.69</v>
      </c>
      <c r="Q477" s="202" t="s">
        <v>831</v>
      </c>
      <c r="R477" s="201" t="s">
        <v>33</v>
      </c>
      <c r="S477" s="201" t="s">
        <v>34</v>
      </c>
      <c r="T477" s="220" t="s">
        <v>830</v>
      </c>
      <c r="U477" s="199"/>
      <c r="V477" s="198">
        <f>IFERROR(IF(N477&lt;P477,"",(ROUNDDOWN(N477/P477*100,0))),"")</f>
        <v>103</v>
      </c>
    </row>
    <row r="478" spans="1:22" ht="24" customHeight="1">
      <c r="A478" s="219"/>
      <c r="B478" s="223"/>
      <c r="C478" s="228"/>
      <c r="D478" s="227" t="s">
        <v>843</v>
      </c>
      <c r="E478" s="209" t="s">
        <v>832</v>
      </c>
      <c r="F478" s="210">
        <v>5.1230000000000002</v>
      </c>
      <c r="G478" s="209">
        <v>882</v>
      </c>
      <c r="H478" s="209">
        <v>191</v>
      </c>
      <c r="I478" s="209" t="s">
        <v>840</v>
      </c>
      <c r="J478" s="208">
        <v>4516</v>
      </c>
      <c r="K478" s="208">
        <v>12618</v>
      </c>
      <c r="L478" s="207">
        <v>7992</v>
      </c>
      <c r="M478" s="206" t="s">
        <v>589</v>
      </c>
      <c r="N478" s="216">
        <v>5.9</v>
      </c>
      <c r="O478" s="215">
        <f>IF(N478&gt;0,1/N478*37.7*68.6,"")</f>
        <v>438.34237288135591</v>
      </c>
      <c r="P478" s="203">
        <v>5.69</v>
      </c>
      <c r="Q478" s="202" t="s">
        <v>831</v>
      </c>
      <c r="R478" s="201" t="s">
        <v>33</v>
      </c>
      <c r="S478" s="201" t="s">
        <v>34</v>
      </c>
      <c r="T478" s="220" t="s">
        <v>830</v>
      </c>
      <c r="U478" s="199"/>
      <c r="V478" s="198">
        <f>IFERROR(IF(N478&lt;P478,"",(ROUNDDOWN(N478/P478*100,0))),"")</f>
        <v>103</v>
      </c>
    </row>
    <row r="479" spans="1:22" ht="24" customHeight="1">
      <c r="A479" s="219"/>
      <c r="B479" s="223"/>
      <c r="C479" s="228"/>
      <c r="D479" s="227" t="s">
        <v>843</v>
      </c>
      <c r="E479" s="209" t="s">
        <v>832</v>
      </c>
      <c r="F479" s="210">
        <v>5.1230000000000002</v>
      </c>
      <c r="G479" s="209">
        <v>882</v>
      </c>
      <c r="H479" s="209">
        <v>191</v>
      </c>
      <c r="I479" s="209" t="s">
        <v>71</v>
      </c>
      <c r="J479" s="208">
        <v>4516</v>
      </c>
      <c r="K479" s="208">
        <v>12618</v>
      </c>
      <c r="L479" s="207">
        <v>7992</v>
      </c>
      <c r="M479" s="206" t="s">
        <v>589</v>
      </c>
      <c r="N479" s="216">
        <v>5.89</v>
      </c>
      <c r="O479" s="215">
        <f>IF(N479&gt;0,1/N479*37.7*68.6,"")</f>
        <v>439.08658743633282</v>
      </c>
      <c r="P479" s="203">
        <v>5.69</v>
      </c>
      <c r="Q479" s="202" t="s">
        <v>834</v>
      </c>
      <c r="R479" s="201" t="s">
        <v>33</v>
      </c>
      <c r="S479" s="201" t="s">
        <v>34</v>
      </c>
      <c r="T479" s="220" t="s">
        <v>830</v>
      </c>
      <c r="U479" s="199"/>
      <c r="V479" s="198">
        <f>IFERROR(IF(N479&lt;P479,"",(ROUNDDOWN(N479/P479*100,0))),"")</f>
        <v>103</v>
      </c>
    </row>
    <row r="480" spans="1:22" ht="24" customHeight="1">
      <c r="A480" s="219"/>
      <c r="B480" s="223"/>
      <c r="C480" s="228"/>
      <c r="D480" s="227" t="s">
        <v>843</v>
      </c>
      <c r="E480" s="209" t="s">
        <v>832</v>
      </c>
      <c r="F480" s="210">
        <v>5.1230000000000002</v>
      </c>
      <c r="G480" s="209">
        <v>794</v>
      </c>
      <c r="H480" s="209">
        <v>177</v>
      </c>
      <c r="I480" s="209" t="s">
        <v>71</v>
      </c>
      <c r="J480" s="208">
        <v>4516</v>
      </c>
      <c r="K480" s="208">
        <v>12618</v>
      </c>
      <c r="L480" s="207">
        <v>7992</v>
      </c>
      <c r="M480" s="206" t="s">
        <v>589</v>
      </c>
      <c r="N480" s="216">
        <v>5.88</v>
      </c>
      <c r="O480" s="215">
        <f>IF(N480&gt;0,1/N480*37.7*68.6,"")</f>
        <v>439.83333333333331</v>
      </c>
      <c r="P480" s="203">
        <v>5.69</v>
      </c>
      <c r="Q480" s="202" t="s">
        <v>831</v>
      </c>
      <c r="R480" s="201" t="s">
        <v>33</v>
      </c>
      <c r="S480" s="201" t="s">
        <v>34</v>
      </c>
      <c r="T480" s="220" t="s">
        <v>830</v>
      </c>
      <c r="U480" s="199"/>
      <c r="V480" s="198">
        <f>IFERROR(IF(N480&lt;P480,"",(ROUNDDOWN(N480/P480*100,0))),"")</f>
        <v>103</v>
      </c>
    </row>
    <row r="481" spans="1:22" ht="24" customHeight="1">
      <c r="A481" s="219"/>
      <c r="B481" s="223"/>
      <c r="C481" s="228"/>
      <c r="D481" s="227" t="s">
        <v>843</v>
      </c>
      <c r="E481" s="209" t="s">
        <v>832</v>
      </c>
      <c r="F481" s="210">
        <v>5.1230000000000002</v>
      </c>
      <c r="G481" s="209">
        <v>833</v>
      </c>
      <c r="H481" s="209">
        <v>177</v>
      </c>
      <c r="I481" s="209" t="s">
        <v>71</v>
      </c>
      <c r="J481" s="208">
        <v>4516</v>
      </c>
      <c r="K481" s="208">
        <v>12618</v>
      </c>
      <c r="L481" s="207">
        <v>7992</v>
      </c>
      <c r="M481" s="206" t="s">
        <v>589</v>
      </c>
      <c r="N481" s="216">
        <v>5.82</v>
      </c>
      <c r="O481" s="215">
        <f>IF(N481&gt;0,1/N481*37.7*68.6,"")</f>
        <v>444.36769759450169</v>
      </c>
      <c r="P481" s="203">
        <v>5.69</v>
      </c>
      <c r="Q481" s="202" t="s">
        <v>831</v>
      </c>
      <c r="R481" s="201" t="s">
        <v>33</v>
      </c>
      <c r="S481" s="201" t="s">
        <v>34</v>
      </c>
      <c r="T481" s="220" t="s">
        <v>830</v>
      </c>
      <c r="U481" s="199"/>
      <c r="V481" s="198">
        <f>IFERROR(IF(N481&lt;P481,"",(ROUNDDOWN(N481/P481*100,0))),"")</f>
        <v>102</v>
      </c>
    </row>
    <row r="482" spans="1:22" ht="24" customHeight="1">
      <c r="A482" s="219"/>
      <c r="B482" s="223"/>
      <c r="C482" s="228"/>
      <c r="D482" s="227" t="s">
        <v>843</v>
      </c>
      <c r="E482" s="209" t="s">
        <v>832</v>
      </c>
      <c r="F482" s="210">
        <v>5.1230000000000002</v>
      </c>
      <c r="G482" s="209">
        <v>833</v>
      </c>
      <c r="H482" s="209">
        <v>177</v>
      </c>
      <c r="I482" s="209" t="s">
        <v>839</v>
      </c>
      <c r="J482" s="208">
        <v>4516</v>
      </c>
      <c r="K482" s="208">
        <v>12618</v>
      </c>
      <c r="L482" s="207">
        <v>7992</v>
      </c>
      <c r="M482" s="206" t="s">
        <v>589</v>
      </c>
      <c r="N482" s="216">
        <v>5.82</v>
      </c>
      <c r="O482" s="215">
        <f>IF(N482&gt;0,1/N482*37.7*68.6,"")</f>
        <v>444.36769759450169</v>
      </c>
      <c r="P482" s="203">
        <v>5.69</v>
      </c>
      <c r="Q482" s="202" t="s">
        <v>831</v>
      </c>
      <c r="R482" s="201" t="s">
        <v>33</v>
      </c>
      <c r="S482" s="201" t="s">
        <v>34</v>
      </c>
      <c r="T482" s="220" t="s">
        <v>830</v>
      </c>
      <c r="U482" s="199"/>
      <c r="V482" s="198">
        <f>IFERROR(IF(N482&lt;P482,"",(ROUNDDOWN(N482/P482*100,0))),"")</f>
        <v>102</v>
      </c>
    </row>
    <row r="483" spans="1:22" ht="24" customHeight="1">
      <c r="A483" s="219"/>
      <c r="B483" s="223"/>
      <c r="C483" s="228"/>
      <c r="D483" s="227" t="s">
        <v>843</v>
      </c>
      <c r="E483" s="209" t="s">
        <v>832</v>
      </c>
      <c r="F483" s="210">
        <v>5.1230000000000002</v>
      </c>
      <c r="G483" s="209">
        <v>794</v>
      </c>
      <c r="H483" s="209">
        <v>177</v>
      </c>
      <c r="I483" s="209" t="s">
        <v>790</v>
      </c>
      <c r="J483" s="208">
        <v>4516</v>
      </c>
      <c r="K483" s="208">
        <v>12618</v>
      </c>
      <c r="L483" s="207">
        <v>7992</v>
      </c>
      <c r="M483" s="206" t="s">
        <v>589</v>
      </c>
      <c r="N483" s="216">
        <v>5.78</v>
      </c>
      <c r="O483" s="215">
        <f>IF(N483&gt;0,1/N483*37.7*68.6,"")</f>
        <v>447.44290657439444</v>
      </c>
      <c r="P483" s="203">
        <v>5.69</v>
      </c>
      <c r="Q483" s="202" t="s">
        <v>834</v>
      </c>
      <c r="R483" s="201" t="s">
        <v>33</v>
      </c>
      <c r="S483" s="201" t="s">
        <v>34</v>
      </c>
      <c r="T483" s="220" t="s">
        <v>830</v>
      </c>
      <c r="U483" s="199"/>
      <c r="V483" s="198">
        <f>IFERROR(IF(N483&lt;P483,"",(ROUNDDOWN(N483/P483*100,0))),"")</f>
        <v>101</v>
      </c>
    </row>
    <row r="484" spans="1:22" ht="24" customHeight="1">
      <c r="A484" s="219"/>
      <c r="B484" s="223"/>
      <c r="C484" s="228"/>
      <c r="D484" s="227" t="s">
        <v>843</v>
      </c>
      <c r="E484" s="209" t="s">
        <v>832</v>
      </c>
      <c r="F484" s="210">
        <v>5.1230000000000002</v>
      </c>
      <c r="G484" s="209">
        <v>882</v>
      </c>
      <c r="H484" s="209">
        <v>191</v>
      </c>
      <c r="I484" s="209" t="s">
        <v>71</v>
      </c>
      <c r="J484" s="208">
        <v>4516</v>
      </c>
      <c r="K484" s="208">
        <v>12618</v>
      </c>
      <c r="L484" s="207">
        <v>7992</v>
      </c>
      <c r="M484" s="206" t="s">
        <v>589</v>
      </c>
      <c r="N484" s="216">
        <v>5.75</v>
      </c>
      <c r="O484" s="215">
        <f>IF(N484&gt;0,1/N484*37.7*68.6,"")</f>
        <v>449.77739130434782</v>
      </c>
      <c r="P484" s="203">
        <v>5.69</v>
      </c>
      <c r="Q484" s="202" t="s">
        <v>831</v>
      </c>
      <c r="R484" s="201" t="s">
        <v>33</v>
      </c>
      <c r="S484" s="201" t="s">
        <v>34</v>
      </c>
      <c r="T484" s="220" t="s">
        <v>830</v>
      </c>
      <c r="U484" s="199"/>
      <c r="V484" s="198">
        <f>IFERROR(IF(N484&lt;P484,"",(ROUNDDOWN(N484/P484*100,0))),"")</f>
        <v>101</v>
      </c>
    </row>
    <row r="485" spans="1:22" ht="24" customHeight="1">
      <c r="A485" s="219"/>
      <c r="B485" s="223"/>
      <c r="C485" s="228"/>
      <c r="D485" s="227" t="s">
        <v>842</v>
      </c>
      <c r="E485" s="209" t="s">
        <v>832</v>
      </c>
      <c r="F485" s="210">
        <v>5.1230000000000002</v>
      </c>
      <c r="G485" s="209">
        <v>794</v>
      </c>
      <c r="H485" s="209">
        <v>177</v>
      </c>
      <c r="I485" s="209" t="s">
        <v>790</v>
      </c>
      <c r="J485" s="208">
        <v>4516</v>
      </c>
      <c r="K485" s="208">
        <v>12618</v>
      </c>
      <c r="L485" s="207">
        <v>7992</v>
      </c>
      <c r="M485" s="206" t="s">
        <v>589</v>
      </c>
      <c r="N485" s="216">
        <v>5.45</v>
      </c>
      <c r="O485" s="215">
        <f>IF(N485&gt;0,1/N485*37.7*68.6,"")</f>
        <v>474.5357798165137</v>
      </c>
      <c r="P485" s="203">
        <v>5.69</v>
      </c>
      <c r="Q485" s="202" t="s">
        <v>831</v>
      </c>
      <c r="R485" s="201" t="s">
        <v>33</v>
      </c>
      <c r="S485" s="201" t="s">
        <v>34</v>
      </c>
      <c r="T485" s="220" t="s">
        <v>830</v>
      </c>
      <c r="U485" s="199"/>
      <c r="V485" s="198" t="str">
        <f>IFERROR(IF(N485&lt;P485,"",(ROUNDDOWN(N485/P485*100,0))),"")</f>
        <v/>
      </c>
    </row>
    <row r="486" spans="1:22" ht="24" customHeight="1">
      <c r="A486" s="219"/>
      <c r="B486" s="223"/>
      <c r="C486" s="228"/>
      <c r="D486" s="227" t="s">
        <v>841</v>
      </c>
      <c r="E486" s="209" t="s">
        <v>832</v>
      </c>
      <c r="F486" s="210">
        <v>5.1230000000000002</v>
      </c>
      <c r="G486" s="209">
        <v>833</v>
      </c>
      <c r="H486" s="209">
        <v>177</v>
      </c>
      <c r="I486" s="209" t="s">
        <v>243</v>
      </c>
      <c r="J486" s="208">
        <v>4516</v>
      </c>
      <c r="K486" s="208">
        <v>12618</v>
      </c>
      <c r="L486" s="207">
        <v>7992</v>
      </c>
      <c r="M486" s="206" t="s">
        <v>589</v>
      </c>
      <c r="N486" s="216">
        <v>6.08</v>
      </c>
      <c r="O486" s="215">
        <f>IF(N486&gt;0,1/N486*37.7*68.6,"")</f>
        <v>425.3651315789474</v>
      </c>
      <c r="P486" s="203">
        <v>5.69</v>
      </c>
      <c r="Q486" s="202" t="s">
        <v>834</v>
      </c>
      <c r="R486" s="201" t="s">
        <v>33</v>
      </c>
      <c r="S486" s="201" t="s">
        <v>34</v>
      </c>
      <c r="T486" s="220" t="s">
        <v>830</v>
      </c>
      <c r="U486" s="199"/>
      <c r="V486" s="198">
        <f>IFERROR(IF(N486&lt;P486,"",(ROUNDDOWN(N486/P486*100,0))),"")</f>
        <v>106</v>
      </c>
    </row>
    <row r="487" spans="1:22" ht="24" customHeight="1">
      <c r="A487" s="219"/>
      <c r="B487" s="223"/>
      <c r="C487" s="228"/>
      <c r="D487" s="227" t="s">
        <v>841</v>
      </c>
      <c r="E487" s="209" t="s">
        <v>832</v>
      </c>
      <c r="F487" s="210">
        <v>5.1230000000000002</v>
      </c>
      <c r="G487" s="209">
        <v>833</v>
      </c>
      <c r="H487" s="209">
        <v>177</v>
      </c>
      <c r="I487" s="209" t="s">
        <v>840</v>
      </c>
      <c r="J487" s="208">
        <v>4516</v>
      </c>
      <c r="K487" s="208">
        <v>12618</v>
      </c>
      <c r="L487" s="207">
        <v>7992</v>
      </c>
      <c r="M487" s="206" t="s">
        <v>589</v>
      </c>
      <c r="N487" s="216">
        <v>6.08</v>
      </c>
      <c r="O487" s="215">
        <f>IF(N487&gt;0,1/N487*37.7*68.6,"")</f>
        <v>425.3651315789474</v>
      </c>
      <c r="P487" s="203">
        <v>5.69</v>
      </c>
      <c r="Q487" s="202" t="s">
        <v>834</v>
      </c>
      <c r="R487" s="201" t="s">
        <v>33</v>
      </c>
      <c r="S487" s="201" t="s">
        <v>34</v>
      </c>
      <c r="T487" s="220" t="s">
        <v>830</v>
      </c>
      <c r="U487" s="199"/>
      <c r="V487" s="198">
        <f>IFERROR(IF(N487&lt;P487,"",(ROUNDDOWN(N487/P487*100,0))),"")</f>
        <v>106</v>
      </c>
    </row>
    <row r="488" spans="1:22" ht="24" customHeight="1">
      <c r="A488" s="219"/>
      <c r="B488" s="223"/>
      <c r="C488" s="228"/>
      <c r="D488" s="227" t="s">
        <v>841</v>
      </c>
      <c r="E488" s="209" t="s">
        <v>832</v>
      </c>
      <c r="F488" s="210">
        <v>5.1230000000000002</v>
      </c>
      <c r="G488" s="209">
        <v>882</v>
      </c>
      <c r="H488" s="209">
        <v>191</v>
      </c>
      <c r="I488" s="209" t="s">
        <v>243</v>
      </c>
      <c r="J488" s="208">
        <v>4516</v>
      </c>
      <c r="K488" s="208">
        <v>12618</v>
      </c>
      <c r="L488" s="207">
        <v>7992</v>
      </c>
      <c r="M488" s="206" t="s">
        <v>589</v>
      </c>
      <c r="N488" s="216">
        <v>6.05</v>
      </c>
      <c r="O488" s="215">
        <f>IF(N488&gt;0,1/N488*37.7*68.6,"")</f>
        <v>427.47438016528929</v>
      </c>
      <c r="P488" s="203">
        <v>5.69</v>
      </c>
      <c r="Q488" s="202" t="s">
        <v>834</v>
      </c>
      <c r="R488" s="201" t="s">
        <v>33</v>
      </c>
      <c r="S488" s="201" t="s">
        <v>34</v>
      </c>
      <c r="T488" s="220" t="s">
        <v>830</v>
      </c>
      <c r="U488" s="199"/>
      <c r="V488" s="198">
        <f>IFERROR(IF(N488&lt;P488,"",(ROUNDDOWN(N488/P488*100,0))),"")</f>
        <v>106</v>
      </c>
    </row>
    <row r="489" spans="1:22" ht="24" customHeight="1">
      <c r="A489" s="219"/>
      <c r="B489" s="223"/>
      <c r="C489" s="228"/>
      <c r="D489" s="227" t="s">
        <v>841</v>
      </c>
      <c r="E489" s="209" t="s">
        <v>832</v>
      </c>
      <c r="F489" s="210">
        <v>5.1230000000000002</v>
      </c>
      <c r="G489" s="209">
        <v>882</v>
      </c>
      <c r="H489" s="209">
        <v>191</v>
      </c>
      <c r="I489" s="209" t="s">
        <v>840</v>
      </c>
      <c r="J489" s="208">
        <v>4516</v>
      </c>
      <c r="K489" s="208">
        <v>12618</v>
      </c>
      <c r="L489" s="207">
        <v>7992</v>
      </c>
      <c r="M489" s="206" t="s">
        <v>589</v>
      </c>
      <c r="N489" s="216">
        <v>6.05</v>
      </c>
      <c r="O489" s="215">
        <f>IF(N489&gt;0,1/N489*37.7*68.6,"")</f>
        <v>427.47438016528929</v>
      </c>
      <c r="P489" s="203">
        <v>5.69</v>
      </c>
      <c r="Q489" s="202" t="s">
        <v>834</v>
      </c>
      <c r="R489" s="201" t="s">
        <v>33</v>
      </c>
      <c r="S489" s="201" t="s">
        <v>34</v>
      </c>
      <c r="T489" s="220" t="s">
        <v>830</v>
      </c>
      <c r="U489" s="199"/>
      <c r="V489" s="198">
        <f>IFERROR(IF(N489&lt;P489,"",(ROUNDDOWN(N489/P489*100,0))),"")</f>
        <v>106</v>
      </c>
    </row>
    <row r="490" spans="1:22" ht="24" customHeight="1">
      <c r="A490" s="219"/>
      <c r="B490" s="223"/>
      <c r="C490" s="228"/>
      <c r="D490" s="227" t="s">
        <v>838</v>
      </c>
      <c r="E490" s="209" t="s">
        <v>832</v>
      </c>
      <c r="F490" s="210">
        <v>5.1230000000000002</v>
      </c>
      <c r="G490" s="209">
        <v>833</v>
      </c>
      <c r="H490" s="209">
        <v>177</v>
      </c>
      <c r="I490" s="209" t="s">
        <v>243</v>
      </c>
      <c r="J490" s="208">
        <v>4516</v>
      </c>
      <c r="K490" s="208">
        <v>12618</v>
      </c>
      <c r="L490" s="207">
        <v>7992</v>
      </c>
      <c r="M490" s="206" t="s">
        <v>589</v>
      </c>
      <c r="N490" s="216">
        <v>5.95</v>
      </c>
      <c r="O490" s="215">
        <f>IF(N490&gt;0,1/N490*37.7*68.6,"")</f>
        <v>434.65882352941173</v>
      </c>
      <c r="P490" s="203">
        <v>5.69</v>
      </c>
      <c r="Q490" s="202" t="s">
        <v>831</v>
      </c>
      <c r="R490" s="201" t="s">
        <v>33</v>
      </c>
      <c r="S490" s="201" t="s">
        <v>34</v>
      </c>
      <c r="T490" s="220" t="s">
        <v>830</v>
      </c>
      <c r="U490" s="199"/>
      <c r="V490" s="198">
        <f>IFERROR(IF(N490&lt;P490,"",(ROUNDDOWN(N490/P490*100,0))),"")</f>
        <v>104</v>
      </c>
    </row>
    <row r="491" spans="1:22" ht="24" customHeight="1">
      <c r="A491" s="219"/>
      <c r="B491" s="223"/>
      <c r="C491" s="228"/>
      <c r="D491" s="227" t="s">
        <v>838</v>
      </c>
      <c r="E491" s="209" t="s">
        <v>832</v>
      </c>
      <c r="F491" s="210">
        <v>5.1230000000000002</v>
      </c>
      <c r="G491" s="209">
        <v>833</v>
      </c>
      <c r="H491" s="209">
        <v>177</v>
      </c>
      <c r="I491" s="209" t="s">
        <v>840</v>
      </c>
      <c r="J491" s="208">
        <v>4516</v>
      </c>
      <c r="K491" s="208">
        <v>12618</v>
      </c>
      <c r="L491" s="207">
        <v>7992</v>
      </c>
      <c r="M491" s="206" t="s">
        <v>589</v>
      </c>
      <c r="N491" s="216">
        <v>5.95</v>
      </c>
      <c r="O491" s="215">
        <f>IF(N491&gt;0,1/N491*37.7*68.6,"")</f>
        <v>434.65882352941173</v>
      </c>
      <c r="P491" s="203">
        <v>5.69</v>
      </c>
      <c r="Q491" s="202" t="s">
        <v>831</v>
      </c>
      <c r="R491" s="201" t="s">
        <v>33</v>
      </c>
      <c r="S491" s="201" t="s">
        <v>34</v>
      </c>
      <c r="T491" s="220" t="s">
        <v>830</v>
      </c>
      <c r="U491" s="199"/>
      <c r="V491" s="198">
        <f>IFERROR(IF(N491&lt;P491,"",(ROUNDDOWN(N491/P491*100,0))),"")</f>
        <v>104</v>
      </c>
    </row>
    <row r="492" spans="1:22" ht="24" customHeight="1">
      <c r="A492" s="219"/>
      <c r="B492" s="223"/>
      <c r="C492" s="228"/>
      <c r="D492" s="227" t="s">
        <v>838</v>
      </c>
      <c r="E492" s="209" t="s">
        <v>832</v>
      </c>
      <c r="F492" s="210">
        <v>5.1230000000000002</v>
      </c>
      <c r="G492" s="209">
        <v>833</v>
      </c>
      <c r="H492" s="209">
        <v>177</v>
      </c>
      <c r="I492" s="209" t="s">
        <v>71</v>
      </c>
      <c r="J492" s="208">
        <v>4516</v>
      </c>
      <c r="K492" s="208">
        <v>12618</v>
      </c>
      <c r="L492" s="207">
        <v>7992</v>
      </c>
      <c r="M492" s="206" t="s">
        <v>589</v>
      </c>
      <c r="N492" s="216">
        <v>5.94</v>
      </c>
      <c r="O492" s="215">
        <f>IF(N492&gt;0,1/N492*37.7*68.6,"")</f>
        <v>435.39057239057234</v>
      </c>
      <c r="P492" s="203">
        <v>5.69</v>
      </c>
      <c r="Q492" s="202" t="s">
        <v>834</v>
      </c>
      <c r="R492" s="201" t="s">
        <v>33</v>
      </c>
      <c r="S492" s="201" t="s">
        <v>34</v>
      </c>
      <c r="T492" s="220" t="s">
        <v>830</v>
      </c>
      <c r="U492" s="199"/>
      <c r="V492" s="198">
        <f>IFERROR(IF(N492&lt;P492,"",(ROUNDDOWN(N492/P492*100,0))),"")</f>
        <v>104</v>
      </c>
    </row>
    <row r="493" spans="1:22" ht="24" customHeight="1">
      <c r="A493" s="219"/>
      <c r="B493" s="223"/>
      <c r="C493" s="228"/>
      <c r="D493" s="227" t="s">
        <v>838</v>
      </c>
      <c r="E493" s="209" t="s">
        <v>832</v>
      </c>
      <c r="F493" s="210">
        <v>5.1230000000000002</v>
      </c>
      <c r="G493" s="209">
        <v>833</v>
      </c>
      <c r="H493" s="209">
        <v>177</v>
      </c>
      <c r="I493" s="209" t="s">
        <v>839</v>
      </c>
      <c r="J493" s="208">
        <v>4516</v>
      </c>
      <c r="K493" s="208">
        <v>12618</v>
      </c>
      <c r="L493" s="207">
        <v>7992</v>
      </c>
      <c r="M493" s="206" t="s">
        <v>589</v>
      </c>
      <c r="N493" s="216">
        <v>5.94</v>
      </c>
      <c r="O493" s="215">
        <f>IF(N493&gt;0,1/N493*37.7*68.6,"")</f>
        <v>435.39057239057234</v>
      </c>
      <c r="P493" s="203">
        <v>5.69</v>
      </c>
      <c r="Q493" s="202" t="s">
        <v>834</v>
      </c>
      <c r="R493" s="201" t="s">
        <v>33</v>
      </c>
      <c r="S493" s="201" t="s">
        <v>34</v>
      </c>
      <c r="T493" s="220" t="s">
        <v>830</v>
      </c>
      <c r="U493" s="199"/>
      <c r="V493" s="198">
        <f>IFERROR(IF(N493&lt;P493,"",(ROUNDDOWN(N493/P493*100,0))),"")</f>
        <v>104</v>
      </c>
    </row>
    <row r="494" spans="1:22" ht="24" customHeight="1">
      <c r="A494" s="219"/>
      <c r="B494" s="223"/>
      <c r="C494" s="228"/>
      <c r="D494" s="227" t="s">
        <v>838</v>
      </c>
      <c r="E494" s="209" t="s">
        <v>832</v>
      </c>
      <c r="F494" s="210">
        <v>5.1230000000000002</v>
      </c>
      <c r="G494" s="209">
        <v>882</v>
      </c>
      <c r="H494" s="209">
        <v>191</v>
      </c>
      <c r="I494" s="209" t="s">
        <v>243</v>
      </c>
      <c r="J494" s="208">
        <v>4516</v>
      </c>
      <c r="K494" s="208">
        <v>12618</v>
      </c>
      <c r="L494" s="207">
        <v>7992</v>
      </c>
      <c r="M494" s="206" t="s">
        <v>589</v>
      </c>
      <c r="N494" s="216">
        <v>5.9</v>
      </c>
      <c r="O494" s="215">
        <f>IF(N494&gt;0,1/N494*37.7*68.6,"")</f>
        <v>438.34237288135591</v>
      </c>
      <c r="P494" s="203">
        <v>5.69</v>
      </c>
      <c r="Q494" s="202" t="s">
        <v>831</v>
      </c>
      <c r="R494" s="201" t="s">
        <v>33</v>
      </c>
      <c r="S494" s="201" t="s">
        <v>34</v>
      </c>
      <c r="T494" s="220" t="s">
        <v>830</v>
      </c>
      <c r="U494" s="199"/>
      <c r="V494" s="198">
        <f>IFERROR(IF(N494&lt;P494,"",(ROUNDDOWN(N494/P494*100,0))),"")</f>
        <v>103</v>
      </c>
    </row>
    <row r="495" spans="1:22" ht="24" customHeight="1">
      <c r="A495" s="219"/>
      <c r="B495" s="223"/>
      <c r="C495" s="228"/>
      <c r="D495" s="227" t="s">
        <v>838</v>
      </c>
      <c r="E495" s="209" t="s">
        <v>832</v>
      </c>
      <c r="F495" s="210">
        <v>5.1230000000000002</v>
      </c>
      <c r="G495" s="209">
        <v>882</v>
      </c>
      <c r="H495" s="209">
        <v>191</v>
      </c>
      <c r="I495" s="209" t="s">
        <v>840</v>
      </c>
      <c r="J495" s="208">
        <v>4516</v>
      </c>
      <c r="K495" s="208">
        <v>12618</v>
      </c>
      <c r="L495" s="207">
        <v>7992</v>
      </c>
      <c r="M495" s="206" t="s">
        <v>589</v>
      </c>
      <c r="N495" s="216">
        <v>5.9</v>
      </c>
      <c r="O495" s="215">
        <f>IF(N495&gt;0,1/N495*37.7*68.6,"")</f>
        <v>438.34237288135591</v>
      </c>
      <c r="P495" s="203">
        <v>5.69</v>
      </c>
      <c r="Q495" s="202" t="s">
        <v>831</v>
      </c>
      <c r="R495" s="201" t="s">
        <v>33</v>
      </c>
      <c r="S495" s="201" t="s">
        <v>34</v>
      </c>
      <c r="T495" s="220" t="s">
        <v>830</v>
      </c>
      <c r="U495" s="199"/>
      <c r="V495" s="198">
        <f>IFERROR(IF(N495&lt;P495,"",(ROUNDDOWN(N495/P495*100,0))),"")</f>
        <v>103</v>
      </c>
    </row>
    <row r="496" spans="1:22" ht="24" customHeight="1">
      <c r="A496" s="219"/>
      <c r="B496" s="223"/>
      <c r="C496" s="228"/>
      <c r="D496" s="227" t="s">
        <v>838</v>
      </c>
      <c r="E496" s="209" t="s">
        <v>832</v>
      </c>
      <c r="F496" s="210">
        <v>5.1230000000000002</v>
      </c>
      <c r="G496" s="209">
        <v>882</v>
      </c>
      <c r="H496" s="209">
        <v>191</v>
      </c>
      <c r="I496" s="209" t="s">
        <v>71</v>
      </c>
      <c r="J496" s="208">
        <v>4516</v>
      </c>
      <c r="K496" s="208">
        <v>12618</v>
      </c>
      <c r="L496" s="207">
        <v>7992</v>
      </c>
      <c r="M496" s="206" t="s">
        <v>589</v>
      </c>
      <c r="N496" s="216">
        <v>5.89</v>
      </c>
      <c r="O496" s="215">
        <f>IF(N496&gt;0,1/N496*37.7*68.6,"")</f>
        <v>439.08658743633282</v>
      </c>
      <c r="P496" s="203">
        <v>5.69</v>
      </c>
      <c r="Q496" s="202" t="s">
        <v>834</v>
      </c>
      <c r="R496" s="201" t="s">
        <v>33</v>
      </c>
      <c r="S496" s="201" t="s">
        <v>34</v>
      </c>
      <c r="T496" s="220" t="s">
        <v>830</v>
      </c>
      <c r="U496" s="199"/>
      <c r="V496" s="198">
        <f>IFERROR(IF(N496&lt;P496,"",(ROUNDDOWN(N496/P496*100,0))),"")</f>
        <v>103</v>
      </c>
    </row>
    <row r="497" spans="1:22" ht="24" customHeight="1">
      <c r="A497" s="219"/>
      <c r="B497" s="223"/>
      <c r="C497" s="228"/>
      <c r="D497" s="227" t="s">
        <v>838</v>
      </c>
      <c r="E497" s="209" t="s">
        <v>832</v>
      </c>
      <c r="F497" s="210">
        <v>5.1230000000000002</v>
      </c>
      <c r="G497" s="209">
        <v>833</v>
      </c>
      <c r="H497" s="209">
        <v>177</v>
      </c>
      <c r="I497" s="209" t="s">
        <v>71</v>
      </c>
      <c r="J497" s="208">
        <v>4516</v>
      </c>
      <c r="K497" s="208">
        <v>12618</v>
      </c>
      <c r="L497" s="207">
        <v>7992</v>
      </c>
      <c r="M497" s="206" t="s">
        <v>589</v>
      </c>
      <c r="N497" s="216">
        <v>5.82</v>
      </c>
      <c r="O497" s="215">
        <f>IF(N497&gt;0,1/N497*37.7*68.6,"")</f>
        <v>444.36769759450169</v>
      </c>
      <c r="P497" s="203">
        <v>5.69</v>
      </c>
      <c r="Q497" s="202" t="s">
        <v>831</v>
      </c>
      <c r="R497" s="201" t="s">
        <v>33</v>
      </c>
      <c r="S497" s="201" t="s">
        <v>34</v>
      </c>
      <c r="T497" s="220" t="s">
        <v>830</v>
      </c>
      <c r="U497" s="199"/>
      <c r="V497" s="198">
        <f>IFERROR(IF(N497&lt;P497,"",(ROUNDDOWN(N497/P497*100,0))),"")</f>
        <v>102</v>
      </c>
    </row>
    <row r="498" spans="1:22" ht="24" customHeight="1">
      <c r="A498" s="219"/>
      <c r="B498" s="223"/>
      <c r="C498" s="228"/>
      <c r="D498" s="227" t="s">
        <v>838</v>
      </c>
      <c r="E498" s="209" t="s">
        <v>832</v>
      </c>
      <c r="F498" s="210">
        <v>5.1230000000000002</v>
      </c>
      <c r="G498" s="209">
        <v>833</v>
      </c>
      <c r="H498" s="209">
        <v>177</v>
      </c>
      <c r="I498" s="209" t="s">
        <v>839</v>
      </c>
      <c r="J498" s="208">
        <v>4516</v>
      </c>
      <c r="K498" s="208">
        <v>12618</v>
      </c>
      <c r="L498" s="207">
        <v>7992</v>
      </c>
      <c r="M498" s="206" t="s">
        <v>589</v>
      </c>
      <c r="N498" s="216">
        <v>5.82</v>
      </c>
      <c r="O498" s="215">
        <f>IF(N498&gt;0,1/N498*37.7*68.6,"")</f>
        <v>444.36769759450169</v>
      </c>
      <c r="P498" s="203">
        <v>5.69</v>
      </c>
      <c r="Q498" s="202" t="s">
        <v>831</v>
      </c>
      <c r="R498" s="201" t="s">
        <v>33</v>
      </c>
      <c r="S498" s="201" t="s">
        <v>34</v>
      </c>
      <c r="T498" s="220" t="s">
        <v>830</v>
      </c>
      <c r="U498" s="199"/>
      <c r="V498" s="198">
        <f>IFERROR(IF(N498&lt;P498,"",(ROUNDDOWN(N498/P498*100,0))),"")</f>
        <v>102</v>
      </c>
    </row>
    <row r="499" spans="1:22" ht="24" customHeight="1">
      <c r="A499" s="219"/>
      <c r="B499" s="223"/>
      <c r="C499" s="228"/>
      <c r="D499" s="227" t="s">
        <v>838</v>
      </c>
      <c r="E499" s="209" t="s">
        <v>832</v>
      </c>
      <c r="F499" s="210">
        <v>5.1230000000000002</v>
      </c>
      <c r="G499" s="209">
        <v>882</v>
      </c>
      <c r="H499" s="209">
        <v>191</v>
      </c>
      <c r="I499" s="209" t="s">
        <v>71</v>
      </c>
      <c r="J499" s="208">
        <v>4516</v>
      </c>
      <c r="K499" s="208">
        <v>12618</v>
      </c>
      <c r="L499" s="207">
        <v>7992</v>
      </c>
      <c r="M499" s="206" t="s">
        <v>589</v>
      </c>
      <c r="N499" s="216">
        <v>5.75</v>
      </c>
      <c r="O499" s="215">
        <f>IF(N499&gt;0,1/N499*37.7*68.6,"")</f>
        <v>449.77739130434782</v>
      </c>
      <c r="P499" s="203">
        <v>5.69</v>
      </c>
      <c r="Q499" s="202" t="s">
        <v>831</v>
      </c>
      <c r="R499" s="201" t="s">
        <v>33</v>
      </c>
      <c r="S499" s="201" t="s">
        <v>34</v>
      </c>
      <c r="T499" s="220" t="s">
        <v>830</v>
      </c>
      <c r="U499" s="199"/>
      <c r="V499" s="198">
        <f>IFERROR(IF(N499&lt;P499,"",(ROUNDDOWN(N499/P499*100,0))),"")</f>
        <v>101</v>
      </c>
    </row>
    <row r="500" spans="1:22" ht="24" customHeight="1">
      <c r="A500" s="219"/>
      <c r="B500" s="223"/>
      <c r="C500" s="228"/>
      <c r="D500" s="227" t="s">
        <v>837</v>
      </c>
      <c r="E500" s="209" t="s">
        <v>832</v>
      </c>
      <c r="F500" s="210">
        <v>5.1230000000000002</v>
      </c>
      <c r="G500" s="209">
        <v>882</v>
      </c>
      <c r="H500" s="209">
        <v>191</v>
      </c>
      <c r="I500" s="209" t="s">
        <v>243</v>
      </c>
      <c r="J500" s="208">
        <v>5533</v>
      </c>
      <c r="K500" s="208">
        <v>14543</v>
      </c>
      <c r="L500" s="207">
        <v>8900</v>
      </c>
      <c r="M500" s="206" t="s">
        <v>589</v>
      </c>
      <c r="N500" s="216">
        <v>5.22</v>
      </c>
      <c r="O500" s="215">
        <f>IF(N500&gt;0,1/N500*37.7*68.6,"")</f>
        <v>495.44444444444446</v>
      </c>
      <c r="P500" s="203">
        <v>4.97</v>
      </c>
      <c r="Q500" s="202" t="s">
        <v>834</v>
      </c>
      <c r="R500" s="201" t="s">
        <v>33</v>
      </c>
      <c r="S500" s="201" t="s">
        <v>34</v>
      </c>
      <c r="T500" s="220" t="s">
        <v>830</v>
      </c>
      <c r="U500" s="199"/>
      <c r="V500" s="198">
        <f>IFERROR(IF(N500&lt;P500,"",(ROUNDDOWN(N500/P500*100,0))),"")</f>
        <v>105</v>
      </c>
    </row>
    <row r="501" spans="1:22" ht="24" customHeight="1">
      <c r="A501" s="219"/>
      <c r="B501" s="223"/>
      <c r="C501" s="228"/>
      <c r="D501" s="227" t="s">
        <v>836</v>
      </c>
      <c r="E501" s="209" t="s">
        <v>832</v>
      </c>
      <c r="F501" s="210">
        <v>5.1230000000000002</v>
      </c>
      <c r="G501" s="209">
        <v>794</v>
      </c>
      <c r="H501" s="209">
        <v>177</v>
      </c>
      <c r="I501" s="209" t="s">
        <v>790</v>
      </c>
      <c r="J501" s="208">
        <v>5533</v>
      </c>
      <c r="K501" s="208">
        <v>14543</v>
      </c>
      <c r="L501" s="207">
        <v>8900</v>
      </c>
      <c r="M501" s="206" t="s">
        <v>589</v>
      </c>
      <c r="N501" s="216">
        <v>5.14</v>
      </c>
      <c r="O501" s="215">
        <f>IF(N501&gt;0,1/N501*37.7*68.6,"")</f>
        <v>503.15564202334627</v>
      </c>
      <c r="P501" s="203">
        <v>4.97</v>
      </c>
      <c r="Q501" s="202" t="s">
        <v>834</v>
      </c>
      <c r="R501" s="201" t="s">
        <v>33</v>
      </c>
      <c r="S501" s="201" t="s">
        <v>34</v>
      </c>
      <c r="T501" s="220" t="s">
        <v>830</v>
      </c>
      <c r="U501" s="199"/>
      <c r="V501" s="198">
        <f>IFERROR(IF(N501&lt;P501,"",(ROUNDDOWN(N501/P501*100,0))),"")</f>
        <v>103</v>
      </c>
    </row>
    <row r="502" spans="1:22" ht="24" customHeight="1">
      <c r="A502" s="219"/>
      <c r="B502" s="223"/>
      <c r="C502" s="228"/>
      <c r="D502" s="227" t="s">
        <v>836</v>
      </c>
      <c r="E502" s="209" t="s">
        <v>832</v>
      </c>
      <c r="F502" s="210">
        <v>5.1230000000000002</v>
      </c>
      <c r="G502" s="209">
        <v>882</v>
      </c>
      <c r="H502" s="209">
        <v>191</v>
      </c>
      <c r="I502" s="209" t="s">
        <v>243</v>
      </c>
      <c r="J502" s="208">
        <v>5533</v>
      </c>
      <c r="K502" s="208">
        <v>14543</v>
      </c>
      <c r="L502" s="207">
        <v>8900</v>
      </c>
      <c r="M502" s="206" t="s">
        <v>589</v>
      </c>
      <c r="N502" s="216">
        <v>5.1100000000000003</v>
      </c>
      <c r="O502" s="215">
        <f>IF(N502&gt;0,1/N502*37.7*68.6,"")</f>
        <v>506.10958904109583</v>
      </c>
      <c r="P502" s="203">
        <v>4.97</v>
      </c>
      <c r="Q502" s="202" t="s">
        <v>831</v>
      </c>
      <c r="R502" s="201" t="s">
        <v>33</v>
      </c>
      <c r="S502" s="201" t="s">
        <v>34</v>
      </c>
      <c r="T502" s="220" t="s">
        <v>830</v>
      </c>
      <c r="U502" s="199"/>
      <c r="V502" s="198">
        <f>IFERROR(IF(N502&lt;P502,"",(ROUNDDOWN(N502/P502*100,0))),"")</f>
        <v>102</v>
      </c>
    </row>
    <row r="503" spans="1:22" ht="24" customHeight="1">
      <c r="A503" s="219"/>
      <c r="B503" s="223"/>
      <c r="C503" s="228"/>
      <c r="D503" s="227" t="s">
        <v>835</v>
      </c>
      <c r="E503" s="209" t="s">
        <v>832</v>
      </c>
      <c r="F503" s="210">
        <v>5.1230000000000002</v>
      </c>
      <c r="G503" s="209">
        <v>794</v>
      </c>
      <c r="H503" s="209">
        <v>177</v>
      </c>
      <c r="I503" s="209" t="s">
        <v>790</v>
      </c>
      <c r="J503" s="208">
        <v>5533</v>
      </c>
      <c r="K503" s="208">
        <v>14543</v>
      </c>
      <c r="L503" s="207">
        <v>8900</v>
      </c>
      <c r="M503" s="206" t="s">
        <v>589</v>
      </c>
      <c r="N503" s="216">
        <v>4.88</v>
      </c>
      <c r="O503" s="215">
        <f>IF(N503&gt;0,1/N503*37.7*68.6,"")</f>
        <v>529.96311475409834</v>
      </c>
      <c r="P503" s="203">
        <v>4.97</v>
      </c>
      <c r="Q503" s="202" t="s">
        <v>831</v>
      </c>
      <c r="R503" s="201" t="s">
        <v>33</v>
      </c>
      <c r="S503" s="201" t="s">
        <v>34</v>
      </c>
      <c r="T503" s="220" t="s">
        <v>830</v>
      </c>
      <c r="U503" s="199"/>
      <c r="V503" s="198" t="str">
        <f>IFERROR(IF(N503&lt;P503,"",(ROUNDDOWN(N503/P503*100,0))),"")</f>
        <v/>
      </c>
    </row>
    <row r="504" spans="1:22" ht="24" customHeight="1">
      <c r="A504" s="219"/>
      <c r="B504" s="223"/>
      <c r="C504" s="228"/>
      <c r="D504" s="227" t="s">
        <v>833</v>
      </c>
      <c r="E504" s="209" t="s">
        <v>832</v>
      </c>
      <c r="F504" s="210">
        <v>5.1230000000000002</v>
      </c>
      <c r="G504" s="209">
        <v>882</v>
      </c>
      <c r="H504" s="209">
        <v>191</v>
      </c>
      <c r="I504" s="209" t="s">
        <v>243</v>
      </c>
      <c r="J504" s="208">
        <v>8688</v>
      </c>
      <c r="K504" s="208">
        <v>19887</v>
      </c>
      <c r="L504" s="207">
        <v>11089</v>
      </c>
      <c r="M504" s="206" t="s">
        <v>589</v>
      </c>
      <c r="N504" s="216">
        <v>4.03</v>
      </c>
      <c r="O504" s="215">
        <f>IF(N504&gt;0,1/N504*37.7*68.6,"")</f>
        <v>641.74193548387098</v>
      </c>
      <c r="P504" s="203">
        <v>4.1500000000000004</v>
      </c>
      <c r="Q504" s="202" t="s">
        <v>834</v>
      </c>
      <c r="R504" s="201" t="s">
        <v>33</v>
      </c>
      <c r="S504" s="201" t="s">
        <v>236</v>
      </c>
      <c r="T504" s="220" t="s">
        <v>830</v>
      </c>
      <c r="U504" s="199"/>
      <c r="V504" s="198" t="str">
        <f>IFERROR(IF(N504&lt;P504,"",(ROUNDDOWN(N504/P504*100,0))),"")</f>
        <v/>
      </c>
    </row>
    <row r="505" spans="1:22" ht="24" customHeight="1">
      <c r="A505" s="219"/>
      <c r="B505" s="223"/>
      <c r="C505" s="228"/>
      <c r="D505" s="227" t="s">
        <v>833</v>
      </c>
      <c r="E505" s="209" t="s">
        <v>832</v>
      </c>
      <c r="F505" s="210">
        <v>5.1230000000000002</v>
      </c>
      <c r="G505" s="209">
        <v>882</v>
      </c>
      <c r="H505" s="209">
        <v>191</v>
      </c>
      <c r="I505" s="209" t="s">
        <v>243</v>
      </c>
      <c r="J505" s="208">
        <v>8688</v>
      </c>
      <c r="K505" s="208">
        <v>19887</v>
      </c>
      <c r="L505" s="207">
        <v>11089</v>
      </c>
      <c r="M505" s="206" t="s">
        <v>589</v>
      </c>
      <c r="N505" s="216">
        <v>3.96</v>
      </c>
      <c r="O505" s="215">
        <f>IF(N505&gt;0,1/N505*37.7*68.6,"")</f>
        <v>653.08585858585855</v>
      </c>
      <c r="P505" s="203">
        <v>4.1500000000000004</v>
      </c>
      <c r="Q505" s="202" t="s">
        <v>831</v>
      </c>
      <c r="R505" s="201" t="s">
        <v>33</v>
      </c>
      <c r="S505" s="201" t="s">
        <v>236</v>
      </c>
      <c r="T505" s="220" t="s">
        <v>830</v>
      </c>
      <c r="U505" s="199"/>
      <c r="V505" s="198" t="str">
        <f>IFERROR(IF(N505&lt;P505,"",(ROUNDDOWN(N505/P505*100,0))),"")</f>
        <v/>
      </c>
    </row>
    <row r="506" spans="1:22" ht="24" customHeight="1">
      <c r="A506" s="219"/>
      <c r="B506" s="223"/>
      <c r="C506" s="228"/>
      <c r="D506" s="227" t="s">
        <v>833</v>
      </c>
      <c r="E506" s="209" t="s">
        <v>832</v>
      </c>
      <c r="F506" s="210">
        <v>5.1230000000000002</v>
      </c>
      <c r="G506" s="209">
        <v>882</v>
      </c>
      <c r="H506" s="209">
        <v>191</v>
      </c>
      <c r="I506" s="209" t="s">
        <v>71</v>
      </c>
      <c r="J506" s="208">
        <v>8688</v>
      </c>
      <c r="K506" s="208">
        <v>19887</v>
      </c>
      <c r="L506" s="207">
        <v>11089</v>
      </c>
      <c r="M506" s="206" t="s">
        <v>589</v>
      </c>
      <c r="N506" s="216">
        <v>3.87</v>
      </c>
      <c r="O506" s="215">
        <f>IF(N506&gt;0,1/N506*37.7*68.6,"")</f>
        <v>668.27390180878547</v>
      </c>
      <c r="P506" s="203">
        <v>4.1500000000000004</v>
      </c>
      <c r="Q506" s="202" t="s">
        <v>831</v>
      </c>
      <c r="R506" s="201" t="s">
        <v>33</v>
      </c>
      <c r="S506" s="201" t="s">
        <v>236</v>
      </c>
      <c r="T506" s="220" t="s">
        <v>830</v>
      </c>
      <c r="U506" s="199"/>
      <c r="V506" s="198" t="str">
        <f>IFERROR(IF(N506&lt;P506,"",(ROUNDDOWN(N506/P506*100,0))),"")</f>
        <v/>
      </c>
    </row>
    <row r="507" spans="1:22" ht="24" customHeight="1">
      <c r="A507" s="219"/>
      <c r="B507" s="223"/>
      <c r="C507" s="228"/>
      <c r="D507" s="227" t="s">
        <v>833</v>
      </c>
      <c r="E507" s="209" t="s">
        <v>832</v>
      </c>
      <c r="F507" s="210">
        <v>5.1230000000000002</v>
      </c>
      <c r="G507" s="209">
        <v>882</v>
      </c>
      <c r="H507" s="209">
        <v>191</v>
      </c>
      <c r="I507" s="209" t="s">
        <v>790</v>
      </c>
      <c r="J507" s="208">
        <v>8688</v>
      </c>
      <c r="K507" s="208">
        <v>19887</v>
      </c>
      <c r="L507" s="207">
        <v>11089</v>
      </c>
      <c r="M507" s="206" t="s">
        <v>589</v>
      </c>
      <c r="N507" s="216">
        <v>3.68</v>
      </c>
      <c r="O507" s="215">
        <f>IF(N507&gt;0,1/N507*37.7*68.6,"")</f>
        <v>702.7771739130435</v>
      </c>
      <c r="P507" s="203">
        <v>4.1500000000000004</v>
      </c>
      <c r="Q507" s="202" t="s">
        <v>831</v>
      </c>
      <c r="R507" s="201" t="s">
        <v>33</v>
      </c>
      <c r="S507" s="201" t="s">
        <v>236</v>
      </c>
      <c r="T507" s="220" t="s">
        <v>830</v>
      </c>
      <c r="U507" s="199"/>
      <c r="V507" s="198" t="str">
        <f>IFERROR(IF(N507&lt;P507,"",(ROUNDDOWN(N507/P507*100,0))),"")</f>
        <v/>
      </c>
    </row>
    <row r="508" spans="1:22" ht="24" customHeight="1">
      <c r="A508" s="219"/>
      <c r="B508" s="218"/>
      <c r="C508" s="217" t="s">
        <v>829</v>
      </c>
      <c r="D508" s="211" t="s">
        <v>828</v>
      </c>
      <c r="E508" s="209" t="s">
        <v>763</v>
      </c>
      <c r="F508" s="209">
        <v>8.8659999999999997</v>
      </c>
      <c r="G508" s="209">
        <v>1569</v>
      </c>
      <c r="H508" s="209">
        <v>265</v>
      </c>
      <c r="I508" s="209" t="s">
        <v>243</v>
      </c>
      <c r="J508" s="208">
        <v>8688</v>
      </c>
      <c r="K508" s="208">
        <v>19887</v>
      </c>
      <c r="L508" s="208">
        <v>11089</v>
      </c>
      <c r="M508" s="206" t="s">
        <v>775</v>
      </c>
      <c r="N508" s="216">
        <v>4</v>
      </c>
      <c r="O508" s="215">
        <f>IF(N508&gt;0,1/N508*37.7*68.6,"")</f>
        <v>646.55499999999995</v>
      </c>
      <c r="P508" s="203">
        <v>4.1500000000000004</v>
      </c>
      <c r="Q508" s="202" t="s">
        <v>761</v>
      </c>
      <c r="R508" s="201" t="s">
        <v>760</v>
      </c>
      <c r="S508" s="201" t="s">
        <v>794</v>
      </c>
      <c r="T508" s="200"/>
      <c r="U508" s="199"/>
      <c r="V508" s="198" t="str">
        <f>IFERROR(IF(N508&lt;P508,"",(ROUNDDOWN(N508/P508*100,0))),"")</f>
        <v/>
      </c>
    </row>
    <row r="509" spans="1:22" ht="24" customHeight="1">
      <c r="A509" s="219"/>
      <c r="B509" s="223"/>
      <c r="C509" s="222"/>
      <c r="D509" s="211" t="s">
        <v>828</v>
      </c>
      <c r="E509" s="209" t="s">
        <v>763</v>
      </c>
      <c r="F509" s="209">
        <v>8.8659999999999997</v>
      </c>
      <c r="G509" s="209">
        <v>1765</v>
      </c>
      <c r="H509" s="209">
        <v>279</v>
      </c>
      <c r="I509" s="209" t="s">
        <v>243</v>
      </c>
      <c r="J509" s="208">
        <v>8688</v>
      </c>
      <c r="K509" s="208">
        <v>19887</v>
      </c>
      <c r="L509" s="208">
        <v>11089</v>
      </c>
      <c r="M509" s="206" t="s">
        <v>775</v>
      </c>
      <c r="N509" s="216">
        <v>4</v>
      </c>
      <c r="O509" s="215">
        <f>IF(N509&gt;0,1/N509*37.7*68.6,"")</f>
        <v>646.55499999999995</v>
      </c>
      <c r="P509" s="203">
        <v>4.1500000000000004</v>
      </c>
      <c r="Q509" s="202" t="s">
        <v>761</v>
      </c>
      <c r="R509" s="201" t="s">
        <v>760</v>
      </c>
      <c r="S509" s="201" t="s">
        <v>794</v>
      </c>
      <c r="T509" s="200"/>
      <c r="U509" s="199"/>
      <c r="V509" s="198" t="str">
        <f>IFERROR(IF(N509&lt;P509,"",(ROUNDDOWN(N509/P509*100,0))),"")</f>
        <v/>
      </c>
    </row>
    <row r="510" spans="1:22" ht="24" customHeight="1">
      <c r="A510" s="219"/>
      <c r="B510" s="223"/>
      <c r="C510" s="222"/>
      <c r="D510" s="211" t="s">
        <v>827</v>
      </c>
      <c r="E510" s="209" t="s">
        <v>763</v>
      </c>
      <c r="F510" s="209">
        <v>8.8659999999999997</v>
      </c>
      <c r="G510" s="209">
        <v>1569</v>
      </c>
      <c r="H510" s="209">
        <v>265</v>
      </c>
      <c r="I510" s="209" t="s">
        <v>71</v>
      </c>
      <c r="J510" s="208">
        <v>8765</v>
      </c>
      <c r="K510" s="208">
        <v>24405</v>
      </c>
      <c r="L510" s="208">
        <v>15530</v>
      </c>
      <c r="M510" s="206" t="s">
        <v>775</v>
      </c>
      <c r="N510" s="216">
        <v>3.75</v>
      </c>
      <c r="O510" s="215">
        <f>IF(N510&gt;0,1/N510*37.7*68.6,"")</f>
        <v>689.6586666666667</v>
      </c>
      <c r="P510" s="203">
        <v>4.04</v>
      </c>
      <c r="Q510" s="202" t="s">
        <v>761</v>
      </c>
      <c r="R510" s="201" t="s">
        <v>760</v>
      </c>
      <c r="S510" s="201" t="s">
        <v>794</v>
      </c>
      <c r="T510" s="200"/>
      <c r="U510" s="199"/>
      <c r="V510" s="198" t="str">
        <f>IFERROR(IF(N510&lt;P510,"",(ROUNDDOWN(N510/P510*100,0))),"")</f>
        <v/>
      </c>
    </row>
    <row r="511" spans="1:22" ht="24" customHeight="1">
      <c r="A511" s="219"/>
      <c r="B511" s="223"/>
      <c r="C511" s="222"/>
      <c r="D511" s="211" t="s">
        <v>827</v>
      </c>
      <c r="E511" s="209" t="s">
        <v>763</v>
      </c>
      <c r="F511" s="209">
        <v>8.8659999999999997</v>
      </c>
      <c r="G511" s="209">
        <v>1569</v>
      </c>
      <c r="H511" s="209">
        <v>265</v>
      </c>
      <c r="I511" s="209" t="s">
        <v>243</v>
      </c>
      <c r="J511" s="208">
        <v>8765</v>
      </c>
      <c r="K511" s="208">
        <v>24405</v>
      </c>
      <c r="L511" s="208">
        <v>15530</v>
      </c>
      <c r="M511" s="206" t="s">
        <v>775</v>
      </c>
      <c r="N511" s="216">
        <v>3.85</v>
      </c>
      <c r="O511" s="215">
        <f>IF(N511&gt;0,1/N511*37.7*68.6,"")</f>
        <v>671.74545454545444</v>
      </c>
      <c r="P511" s="203">
        <v>4.04</v>
      </c>
      <c r="Q511" s="202" t="s">
        <v>761</v>
      </c>
      <c r="R511" s="201" t="s">
        <v>760</v>
      </c>
      <c r="S511" s="201" t="s">
        <v>794</v>
      </c>
      <c r="T511" s="200"/>
      <c r="U511" s="199"/>
      <c r="V511" s="198" t="str">
        <f>IFERROR(IF(N511&lt;P511,"",(ROUNDDOWN(N511/P511*100,0))),"")</f>
        <v/>
      </c>
    </row>
    <row r="512" spans="1:22" ht="24" customHeight="1">
      <c r="A512" s="219"/>
      <c r="B512" s="223"/>
      <c r="C512" s="222"/>
      <c r="D512" s="211" t="s">
        <v>827</v>
      </c>
      <c r="E512" s="209" t="s">
        <v>763</v>
      </c>
      <c r="F512" s="209">
        <v>8.8659999999999997</v>
      </c>
      <c r="G512" s="209">
        <v>1765</v>
      </c>
      <c r="H512" s="209">
        <v>279</v>
      </c>
      <c r="I512" s="209" t="s">
        <v>71</v>
      </c>
      <c r="J512" s="208">
        <v>8765</v>
      </c>
      <c r="K512" s="208">
        <v>24405</v>
      </c>
      <c r="L512" s="208">
        <v>15530</v>
      </c>
      <c r="M512" s="206" t="s">
        <v>775</v>
      </c>
      <c r="N512" s="216">
        <v>3.75</v>
      </c>
      <c r="O512" s="215">
        <f>IF(N512&gt;0,1/N512*37.7*68.6,"")</f>
        <v>689.6586666666667</v>
      </c>
      <c r="P512" s="203">
        <v>4.04</v>
      </c>
      <c r="Q512" s="202" t="s">
        <v>761</v>
      </c>
      <c r="R512" s="201" t="s">
        <v>760</v>
      </c>
      <c r="S512" s="201" t="s">
        <v>794</v>
      </c>
      <c r="T512" s="200"/>
      <c r="U512" s="199"/>
      <c r="V512" s="198" t="str">
        <f>IFERROR(IF(N512&lt;P512,"",(ROUNDDOWN(N512/P512*100,0))),"")</f>
        <v/>
      </c>
    </row>
    <row r="513" spans="1:22" ht="24" customHeight="1">
      <c r="A513" s="219"/>
      <c r="B513" s="223"/>
      <c r="C513" s="222"/>
      <c r="D513" s="211" t="s">
        <v>827</v>
      </c>
      <c r="E513" s="209" t="s">
        <v>763</v>
      </c>
      <c r="F513" s="209">
        <v>8.8659999999999997</v>
      </c>
      <c r="G513" s="209">
        <v>1765</v>
      </c>
      <c r="H513" s="209">
        <v>279</v>
      </c>
      <c r="I513" s="209" t="s">
        <v>243</v>
      </c>
      <c r="J513" s="208">
        <v>8765</v>
      </c>
      <c r="K513" s="208">
        <v>24405</v>
      </c>
      <c r="L513" s="208">
        <v>15530</v>
      </c>
      <c r="M513" s="206" t="s">
        <v>775</v>
      </c>
      <c r="N513" s="216">
        <v>3.95</v>
      </c>
      <c r="O513" s="215">
        <f>IF(N513&gt;0,1/N513*37.7*68.6,"")</f>
        <v>654.739240506329</v>
      </c>
      <c r="P513" s="203">
        <v>4.04</v>
      </c>
      <c r="Q513" s="202" t="s">
        <v>761</v>
      </c>
      <c r="R513" s="201" t="s">
        <v>760</v>
      </c>
      <c r="S513" s="201" t="s">
        <v>794</v>
      </c>
      <c r="T513" s="200"/>
      <c r="U513" s="199"/>
      <c r="V513" s="198" t="str">
        <f>IFERROR(IF(N513&lt;P513,"",(ROUNDDOWN(N513/P513*100,0))),"")</f>
        <v/>
      </c>
    </row>
    <row r="514" spans="1:22" ht="24" customHeight="1">
      <c r="A514" s="219"/>
      <c r="B514" s="223"/>
      <c r="C514" s="222"/>
      <c r="D514" s="211" t="s">
        <v>826</v>
      </c>
      <c r="E514" s="209" t="s">
        <v>763</v>
      </c>
      <c r="F514" s="209">
        <v>8.8659999999999997</v>
      </c>
      <c r="G514" s="209">
        <v>1569</v>
      </c>
      <c r="H514" s="209">
        <v>265</v>
      </c>
      <c r="I514" s="209" t="s">
        <v>71</v>
      </c>
      <c r="J514" s="208">
        <v>8765</v>
      </c>
      <c r="K514" s="208">
        <v>24405</v>
      </c>
      <c r="L514" s="208">
        <v>15530</v>
      </c>
      <c r="M514" s="206" t="s">
        <v>775</v>
      </c>
      <c r="N514" s="216">
        <v>3.75</v>
      </c>
      <c r="O514" s="215">
        <f>IF(N514&gt;0,1/N514*37.7*68.6,"")</f>
        <v>689.6586666666667</v>
      </c>
      <c r="P514" s="203">
        <v>4.04</v>
      </c>
      <c r="Q514" s="202" t="s">
        <v>761</v>
      </c>
      <c r="R514" s="201" t="s">
        <v>760</v>
      </c>
      <c r="S514" s="201" t="s">
        <v>794</v>
      </c>
      <c r="T514" s="200"/>
      <c r="U514" s="199"/>
      <c r="V514" s="198" t="str">
        <f>IFERROR(IF(N514&lt;P514,"",(ROUNDDOWN(N514/P514*100,0))),"")</f>
        <v/>
      </c>
    </row>
    <row r="515" spans="1:22" ht="24" customHeight="1">
      <c r="A515" s="219"/>
      <c r="B515" s="223"/>
      <c r="C515" s="222"/>
      <c r="D515" s="211" t="s">
        <v>826</v>
      </c>
      <c r="E515" s="209" t="s">
        <v>763</v>
      </c>
      <c r="F515" s="209">
        <v>8.8659999999999997</v>
      </c>
      <c r="G515" s="209">
        <v>1569</v>
      </c>
      <c r="H515" s="209">
        <v>265</v>
      </c>
      <c r="I515" s="209" t="s">
        <v>243</v>
      </c>
      <c r="J515" s="208">
        <v>8765</v>
      </c>
      <c r="K515" s="208">
        <v>24405</v>
      </c>
      <c r="L515" s="208">
        <v>15530</v>
      </c>
      <c r="M515" s="206" t="s">
        <v>775</v>
      </c>
      <c r="N515" s="216">
        <v>3.85</v>
      </c>
      <c r="O515" s="215">
        <f>IF(N515&gt;0,1/N515*37.7*68.6,"")</f>
        <v>671.74545454545444</v>
      </c>
      <c r="P515" s="203">
        <v>4.04</v>
      </c>
      <c r="Q515" s="202" t="s">
        <v>761</v>
      </c>
      <c r="R515" s="201" t="s">
        <v>760</v>
      </c>
      <c r="S515" s="201" t="s">
        <v>794</v>
      </c>
      <c r="T515" s="200"/>
      <c r="U515" s="199"/>
      <c r="V515" s="198" t="str">
        <f>IFERROR(IF(N515&lt;P515,"",(ROUNDDOWN(N515/P515*100,0))),"")</f>
        <v/>
      </c>
    </row>
    <row r="516" spans="1:22" ht="24" customHeight="1">
      <c r="A516" s="219"/>
      <c r="B516" s="223"/>
      <c r="C516" s="222"/>
      <c r="D516" s="211" t="s">
        <v>826</v>
      </c>
      <c r="E516" s="209" t="s">
        <v>763</v>
      </c>
      <c r="F516" s="209">
        <v>8.8659999999999997</v>
      </c>
      <c r="G516" s="209">
        <v>1569</v>
      </c>
      <c r="H516" s="209">
        <v>265</v>
      </c>
      <c r="I516" s="209" t="s">
        <v>235</v>
      </c>
      <c r="J516" s="208">
        <v>8765</v>
      </c>
      <c r="K516" s="208">
        <v>24405</v>
      </c>
      <c r="L516" s="208">
        <v>15530</v>
      </c>
      <c r="M516" s="206" t="s">
        <v>775</v>
      </c>
      <c r="N516" s="216">
        <v>3.8</v>
      </c>
      <c r="O516" s="215">
        <f>IF(N516&gt;0,1/N516*37.7*68.6,"")</f>
        <v>680.5842105263157</v>
      </c>
      <c r="P516" s="203">
        <v>4.04</v>
      </c>
      <c r="Q516" s="202" t="s">
        <v>761</v>
      </c>
      <c r="R516" s="201" t="s">
        <v>760</v>
      </c>
      <c r="S516" s="201" t="s">
        <v>794</v>
      </c>
      <c r="T516" s="200"/>
      <c r="U516" s="199"/>
      <c r="V516" s="198" t="str">
        <f>IFERROR(IF(N516&lt;P516,"",(ROUNDDOWN(N516/P516*100,0))),"")</f>
        <v/>
      </c>
    </row>
    <row r="517" spans="1:22" ht="24" customHeight="1">
      <c r="A517" s="219"/>
      <c r="B517" s="223"/>
      <c r="C517" s="222"/>
      <c r="D517" s="211" t="s">
        <v>826</v>
      </c>
      <c r="E517" s="209" t="s">
        <v>763</v>
      </c>
      <c r="F517" s="209">
        <v>8.8659999999999997</v>
      </c>
      <c r="G517" s="209">
        <v>1569</v>
      </c>
      <c r="H517" s="209">
        <v>265</v>
      </c>
      <c r="I517" s="209" t="s">
        <v>753</v>
      </c>
      <c r="J517" s="208">
        <v>8765</v>
      </c>
      <c r="K517" s="208">
        <v>24405</v>
      </c>
      <c r="L517" s="208">
        <v>15530</v>
      </c>
      <c r="M517" s="206" t="s">
        <v>775</v>
      </c>
      <c r="N517" s="216">
        <v>3.8</v>
      </c>
      <c r="O517" s="215">
        <f>IF(N517&gt;0,1/N517*37.7*68.6,"")</f>
        <v>680.5842105263157</v>
      </c>
      <c r="P517" s="203">
        <v>4.04</v>
      </c>
      <c r="Q517" s="202" t="s">
        <v>761</v>
      </c>
      <c r="R517" s="201" t="s">
        <v>760</v>
      </c>
      <c r="S517" s="201" t="s">
        <v>794</v>
      </c>
      <c r="T517" s="200"/>
      <c r="U517" s="199"/>
      <c r="V517" s="198" t="str">
        <f>IFERROR(IF(N517&lt;P517,"",(ROUNDDOWN(N517/P517*100,0))),"")</f>
        <v/>
      </c>
    </row>
    <row r="518" spans="1:22" ht="24" customHeight="1">
      <c r="A518" s="219"/>
      <c r="B518" s="223"/>
      <c r="C518" s="222"/>
      <c r="D518" s="211" t="s">
        <v>826</v>
      </c>
      <c r="E518" s="209" t="s">
        <v>763</v>
      </c>
      <c r="F518" s="209">
        <v>8.8659999999999997</v>
      </c>
      <c r="G518" s="209">
        <v>1765</v>
      </c>
      <c r="H518" s="209">
        <v>279</v>
      </c>
      <c r="I518" s="209" t="s">
        <v>71</v>
      </c>
      <c r="J518" s="208">
        <v>8765</v>
      </c>
      <c r="K518" s="208">
        <v>24405</v>
      </c>
      <c r="L518" s="208">
        <v>15530</v>
      </c>
      <c r="M518" s="206" t="s">
        <v>775</v>
      </c>
      <c r="N518" s="216">
        <v>3.75</v>
      </c>
      <c r="O518" s="215">
        <f>IF(N518&gt;0,1/N518*37.7*68.6,"")</f>
        <v>689.6586666666667</v>
      </c>
      <c r="P518" s="203">
        <v>4.04</v>
      </c>
      <c r="Q518" s="202" t="s">
        <v>761</v>
      </c>
      <c r="R518" s="201" t="s">
        <v>760</v>
      </c>
      <c r="S518" s="201" t="s">
        <v>794</v>
      </c>
      <c r="T518" s="200"/>
      <c r="U518" s="199"/>
      <c r="V518" s="198" t="str">
        <f>IFERROR(IF(N518&lt;P518,"",(ROUNDDOWN(N518/P518*100,0))),"")</f>
        <v/>
      </c>
    </row>
    <row r="519" spans="1:22" ht="24" customHeight="1">
      <c r="A519" s="219"/>
      <c r="B519" s="223"/>
      <c r="C519" s="222"/>
      <c r="D519" s="211" t="s">
        <v>826</v>
      </c>
      <c r="E519" s="209" t="s">
        <v>763</v>
      </c>
      <c r="F519" s="209">
        <v>8.8659999999999997</v>
      </c>
      <c r="G519" s="209">
        <v>1765</v>
      </c>
      <c r="H519" s="209">
        <v>279</v>
      </c>
      <c r="I519" s="209" t="s">
        <v>243</v>
      </c>
      <c r="J519" s="208">
        <v>8765</v>
      </c>
      <c r="K519" s="208">
        <v>24405</v>
      </c>
      <c r="L519" s="208">
        <v>15530</v>
      </c>
      <c r="M519" s="206" t="s">
        <v>775</v>
      </c>
      <c r="N519" s="216">
        <v>3.95</v>
      </c>
      <c r="O519" s="215">
        <f>IF(N519&gt;0,1/N519*37.7*68.6,"")</f>
        <v>654.739240506329</v>
      </c>
      <c r="P519" s="203">
        <v>4.04</v>
      </c>
      <c r="Q519" s="202" t="s">
        <v>761</v>
      </c>
      <c r="R519" s="201" t="s">
        <v>760</v>
      </c>
      <c r="S519" s="201" t="s">
        <v>794</v>
      </c>
      <c r="T519" s="200"/>
      <c r="U519" s="199"/>
      <c r="V519" s="198" t="str">
        <f>IFERROR(IF(N519&lt;P519,"",(ROUNDDOWN(N519/P519*100,0))),"")</f>
        <v/>
      </c>
    </row>
    <row r="520" spans="1:22" ht="24" customHeight="1">
      <c r="A520" s="219"/>
      <c r="B520" s="223"/>
      <c r="C520" s="222"/>
      <c r="D520" s="211" t="s">
        <v>826</v>
      </c>
      <c r="E520" s="209" t="s">
        <v>763</v>
      </c>
      <c r="F520" s="209">
        <v>8.8659999999999997</v>
      </c>
      <c r="G520" s="209">
        <v>1765</v>
      </c>
      <c r="H520" s="209">
        <v>279</v>
      </c>
      <c r="I520" s="209" t="s">
        <v>762</v>
      </c>
      <c r="J520" s="208">
        <v>8765</v>
      </c>
      <c r="K520" s="208">
        <v>24405</v>
      </c>
      <c r="L520" s="208">
        <v>15530</v>
      </c>
      <c r="M520" s="206" t="s">
        <v>775</v>
      </c>
      <c r="N520" s="216">
        <v>3.95</v>
      </c>
      <c r="O520" s="215">
        <f>IF(N520&gt;0,1/N520*37.7*68.6,"")</f>
        <v>654.739240506329</v>
      </c>
      <c r="P520" s="203">
        <v>4.04</v>
      </c>
      <c r="Q520" s="202" t="s">
        <v>761</v>
      </c>
      <c r="R520" s="201" t="s">
        <v>760</v>
      </c>
      <c r="S520" s="201" t="s">
        <v>794</v>
      </c>
      <c r="T520" s="200"/>
      <c r="U520" s="199"/>
      <c r="V520" s="198" t="str">
        <f>IFERROR(IF(N520&lt;P520,"",(ROUNDDOWN(N520/P520*100,0))),"")</f>
        <v/>
      </c>
    </row>
    <row r="521" spans="1:22" ht="24" customHeight="1">
      <c r="A521" s="219"/>
      <c r="B521" s="223"/>
      <c r="C521" s="222"/>
      <c r="D521" s="211" t="s">
        <v>825</v>
      </c>
      <c r="E521" s="209" t="s">
        <v>763</v>
      </c>
      <c r="F521" s="209">
        <v>8.8659999999999997</v>
      </c>
      <c r="G521" s="209">
        <v>1569</v>
      </c>
      <c r="H521" s="209">
        <v>265</v>
      </c>
      <c r="I521" s="209" t="s">
        <v>235</v>
      </c>
      <c r="J521" s="208">
        <v>8765</v>
      </c>
      <c r="K521" s="208">
        <v>24405</v>
      </c>
      <c r="L521" s="208">
        <v>15530</v>
      </c>
      <c r="M521" s="206" t="s">
        <v>775</v>
      </c>
      <c r="N521" s="216">
        <v>3.8</v>
      </c>
      <c r="O521" s="215">
        <f>IF(N521&gt;0,1/N521*37.7*68.6,"")</f>
        <v>680.5842105263157</v>
      </c>
      <c r="P521" s="203">
        <v>4.04</v>
      </c>
      <c r="Q521" s="202" t="s">
        <v>761</v>
      </c>
      <c r="R521" s="201" t="s">
        <v>760</v>
      </c>
      <c r="S521" s="201" t="s">
        <v>794</v>
      </c>
      <c r="T521" s="200"/>
      <c r="U521" s="199"/>
      <c r="V521" s="198" t="str">
        <f>IFERROR(IF(N521&lt;P521,"",(ROUNDDOWN(N521/P521*100,0))),"")</f>
        <v/>
      </c>
    </row>
    <row r="522" spans="1:22" ht="24" customHeight="1">
      <c r="A522" s="219"/>
      <c r="B522" s="223"/>
      <c r="C522" s="222"/>
      <c r="D522" s="211" t="s">
        <v>825</v>
      </c>
      <c r="E522" s="209" t="s">
        <v>763</v>
      </c>
      <c r="F522" s="209">
        <v>8.8659999999999997</v>
      </c>
      <c r="G522" s="209">
        <v>1569</v>
      </c>
      <c r="H522" s="209">
        <v>265</v>
      </c>
      <c r="I522" s="209" t="s">
        <v>753</v>
      </c>
      <c r="J522" s="208">
        <v>8765</v>
      </c>
      <c r="K522" s="208">
        <v>24405</v>
      </c>
      <c r="L522" s="208">
        <v>15530</v>
      </c>
      <c r="M522" s="206" t="s">
        <v>775</v>
      </c>
      <c r="N522" s="216">
        <v>3.8</v>
      </c>
      <c r="O522" s="215">
        <f>IF(N522&gt;0,1/N522*37.7*68.6,"")</f>
        <v>680.5842105263157</v>
      </c>
      <c r="P522" s="203">
        <v>4.04</v>
      </c>
      <c r="Q522" s="202" t="s">
        <v>761</v>
      </c>
      <c r="R522" s="201" t="s">
        <v>760</v>
      </c>
      <c r="S522" s="201" t="s">
        <v>794</v>
      </c>
      <c r="T522" s="200"/>
      <c r="U522" s="199"/>
      <c r="V522" s="198" t="str">
        <f>IFERROR(IF(N522&lt;P522,"",(ROUNDDOWN(N522/P522*100,0))),"")</f>
        <v/>
      </c>
    </row>
    <row r="523" spans="1:22" ht="24" customHeight="1">
      <c r="A523" s="219"/>
      <c r="B523" s="223"/>
      <c r="C523" s="222"/>
      <c r="D523" s="211" t="s">
        <v>825</v>
      </c>
      <c r="E523" s="209" t="s">
        <v>763</v>
      </c>
      <c r="F523" s="209">
        <v>8.8659999999999997</v>
      </c>
      <c r="G523" s="209">
        <v>1765</v>
      </c>
      <c r="H523" s="209">
        <v>279</v>
      </c>
      <c r="I523" s="209" t="s">
        <v>243</v>
      </c>
      <c r="J523" s="208">
        <v>8765</v>
      </c>
      <c r="K523" s="208">
        <v>24405</v>
      </c>
      <c r="L523" s="208">
        <v>15530</v>
      </c>
      <c r="M523" s="206" t="s">
        <v>775</v>
      </c>
      <c r="N523" s="216">
        <v>3.95</v>
      </c>
      <c r="O523" s="215">
        <f>IF(N523&gt;0,1/N523*37.7*68.6,"")</f>
        <v>654.739240506329</v>
      </c>
      <c r="P523" s="203">
        <v>4.04</v>
      </c>
      <c r="Q523" s="202" t="s">
        <v>761</v>
      </c>
      <c r="R523" s="201" t="s">
        <v>760</v>
      </c>
      <c r="S523" s="201" t="s">
        <v>794</v>
      </c>
      <c r="T523" s="200"/>
      <c r="U523" s="199"/>
      <c r="V523" s="198" t="str">
        <f>IFERROR(IF(N523&lt;P523,"",(ROUNDDOWN(N523/P523*100,0))),"")</f>
        <v/>
      </c>
    </row>
    <row r="524" spans="1:22" ht="24" customHeight="1">
      <c r="A524" s="219"/>
      <c r="B524" s="223"/>
      <c r="C524" s="222"/>
      <c r="D524" s="211" t="s">
        <v>825</v>
      </c>
      <c r="E524" s="209" t="s">
        <v>763</v>
      </c>
      <c r="F524" s="209">
        <v>8.8659999999999997</v>
      </c>
      <c r="G524" s="209">
        <v>1765</v>
      </c>
      <c r="H524" s="209">
        <v>279</v>
      </c>
      <c r="I524" s="209" t="s">
        <v>753</v>
      </c>
      <c r="J524" s="208">
        <v>8765</v>
      </c>
      <c r="K524" s="208">
        <v>24405</v>
      </c>
      <c r="L524" s="208">
        <v>15530</v>
      </c>
      <c r="M524" s="206" t="s">
        <v>775</v>
      </c>
      <c r="N524" s="216">
        <v>3.95</v>
      </c>
      <c r="O524" s="215">
        <f>IF(N524&gt;0,1/N524*37.7*68.6,"")</f>
        <v>654.739240506329</v>
      </c>
      <c r="P524" s="203">
        <v>4.04</v>
      </c>
      <c r="Q524" s="202" t="s">
        <v>761</v>
      </c>
      <c r="R524" s="201" t="s">
        <v>760</v>
      </c>
      <c r="S524" s="201" t="s">
        <v>794</v>
      </c>
      <c r="T524" s="200"/>
      <c r="U524" s="199"/>
      <c r="V524" s="198" t="str">
        <f>IFERROR(IF(N524&lt;P524,"",(ROUNDDOWN(N524/P524*100,0))),"")</f>
        <v/>
      </c>
    </row>
    <row r="525" spans="1:22" ht="24" customHeight="1">
      <c r="A525" s="219"/>
      <c r="B525" s="223"/>
      <c r="C525" s="222"/>
      <c r="D525" s="211" t="s">
        <v>824</v>
      </c>
      <c r="E525" s="209" t="s">
        <v>763</v>
      </c>
      <c r="F525" s="209">
        <v>8.8659999999999997</v>
      </c>
      <c r="G525" s="209">
        <v>1765</v>
      </c>
      <c r="H525" s="209">
        <v>279</v>
      </c>
      <c r="I525" s="209" t="s">
        <v>243</v>
      </c>
      <c r="J525" s="208">
        <v>8765</v>
      </c>
      <c r="K525" s="208">
        <v>24405</v>
      </c>
      <c r="L525" s="208">
        <v>15530</v>
      </c>
      <c r="M525" s="206" t="s">
        <v>775</v>
      </c>
      <c r="N525" s="216">
        <v>3.95</v>
      </c>
      <c r="O525" s="215">
        <f>IF(N525&gt;0,1/N525*37.7*68.6,"")</f>
        <v>654.739240506329</v>
      </c>
      <c r="P525" s="203">
        <v>4.04</v>
      </c>
      <c r="Q525" s="202" t="s">
        <v>761</v>
      </c>
      <c r="R525" s="201" t="s">
        <v>760</v>
      </c>
      <c r="S525" s="201" t="s">
        <v>794</v>
      </c>
      <c r="T525" s="200"/>
      <c r="U525" s="199"/>
      <c r="V525" s="198" t="str">
        <f>IFERROR(IF(N525&lt;P525,"",(ROUNDDOWN(N525/P525*100,0))),"")</f>
        <v/>
      </c>
    </row>
    <row r="526" spans="1:22" ht="24" customHeight="1">
      <c r="A526" s="219"/>
      <c r="B526" s="223"/>
      <c r="C526" s="222"/>
      <c r="D526" s="211" t="s">
        <v>824</v>
      </c>
      <c r="E526" s="209" t="s">
        <v>763</v>
      </c>
      <c r="F526" s="209">
        <v>8.8659999999999997</v>
      </c>
      <c r="G526" s="209">
        <v>1765</v>
      </c>
      <c r="H526" s="209">
        <v>279</v>
      </c>
      <c r="I526" s="209" t="s">
        <v>753</v>
      </c>
      <c r="J526" s="208">
        <v>8765</v>
      </c>
      <c r="K526" s="208">
        <v>24405</v>
      </c>
      <c r="L526" s="208">
        <v>15530</v>
      </c>
      <c r="M526" s="206" t="s">
        <v>775</v>
      </c>
      <c r="N526" s="216">
        <v>3.95</v>
      </c>
      <c r="O526" s="215">
        <f>IF(N526&gt;0,1/N526*37.7*68.6,"")</f>
        <v>654.739240506329</v>
      </c>
      <c r="P526" s="203">
        <v>4.04</v>
      </c>
      <c r="Q526" s="202" t="s">
        <v>761</v>
      </c>
      <c r="R526" s="201" t="s">
        <v>760</v>
      </c>
      <c r="S526" s="201" t="s">
        <v>794</v>
      </c>
      <c r="T526" s="200"/>
      <c r="U526" s="199"/>
      <c r="V526" s="198" t="str">
        <f>IFERROR(IF(N526&lt;P526,"",(ROUNDDOWN(N526/P526*100,0))),"")</f>
        <v/>
      </c>
    </row>
    <row r="527" spans="1:22" ht="24" customHeight="1">
      <c r="A527" s="219"/>
      <c r="B527" s="223"/>
      <c r="C527" s="222"/>
      <c r="D527" s="211" t="s">
        <v>823</v>
      </c>
      <c r="E527" s="209" t="s">
        <v>763</v>
      </c>
      <c r="F527" s="209">
        <v>8.8659999999999997</v>
      </c>
      <c r="G527" s="209">
        <v>1569</v>
      </c>
      <c r="H527" s="209">
        <v>265</v>
      </c>
      <c r="I527" s="209" t="s">
        <v>243</v>
      </c>
      <c r="J527" s="208">
        <v>8765</v>
      </c>
      <c r="K527" s="208">
        <v>24405</v>
      </c>
      <c r="L527" s="208">
        <v>15530</v>
      </c>
      <c r="M527" s="206" t="s">
        <v>775</v>
      </c>
      <c r="N527" s="216">
        <v>3.85</v>
      </c>
      <c r="O527" s="215">
        <f>IF(N527&gt;0,1/N527*37.7*68.6,"")</f>
        <v>671.74545454545444</v>
      </c>
      <c r="P527" s="203">
        <v>4.04</v>
      </c>
      <c r="Q527" s="202" t="s">
        <v>761</v>
      </c>
      <c r="R527" s="201" t="s">
        <v>760</v>
      </c>
      <c r="S527" s="201" t="s">
        <v>236</v>
      </c>
      <c r="T527" s="200"/>
      <c r="U527" s="199"/>
      <c r="V527" s="198" t="str">
        <f>IFERROR(IF(N527&lt;P527,"",(ROUNDDOWN(N527/P527*100,0))),"")</f>
        <v/>
      </c>
    </row>
    <row r="528" spans="1:22" ht="24" customHeight="1">
      <c r="A528" s="219"/>
      <c r="B528" s="223"/>
      <c r="C528" s="222"/>
      <c r="D528" s="211" t="s">
        <v>823</v>
      </c>
      <c r="E528" s="209" t="s">
        <v>763</v>
      </c>
      <c r="F528" s="209">
        <v>8.8659999999999997</v>
      </c>
      <c r="G528" s="209">
        <v>1569</v>
      </c>
      <c r="H528" s="209">
        <v>265</v>
      </c>
      <c r="I528" s="209" t="s">
        <v>753</v>
      </c>
      <c r="J528" s="208">
        <v>8765</v>
      </c>
      <c r="K528" s="208">
        <v>24405</v>
      </c>
      <c r="L528" s="208">
        <v>15530</v>
      </c>
      <c r="M528" s="206" t="s">
        <v>775</v>
      </c>
      <c r="N528" s="216">
        <v>3.8</v>
      </c>
      <c r="O528" s="215">
        <f>IF(N528&gt;0,1/N528*37.7*68.6,"")</f>
        <v>680.5842105263157</v>
      </c>
      <c r="P528" s="203">
        <v>4.04</v>
      </c>
      <c r="Q528" s="202" t="s">
        <v>761</v>
      </c>
      <c r="R528" s="201" t="s">
        <v>760</v>
      </c>
      <c r="S528" s="201" t="s">
        <v>236</v>
      </c>
      <c r="T528" s="200"/>
      <c r="U528" s="199"/>
      <c r="V528" s="198" t="str">
        <f>IFERROR(IF(N528&lt;P528,"",(ROUNDDOWN(N528/P528*100,0))),"")</f>
        <v/>
      </c>
    </row>
    <row r="529" spans="1:22" ht="24" customHeight="1">
      <c r="A529" s="219"/>
      <c r="B529" s="223"/>
      <c r="C529" s="222"/>
      <c r="D529" s="211" t="s">
        <v>823</v>
      </c>
      <c r="E529" s="209" t="s">
        <v>763</v>
      </c>
      <c r="F529" s="209">
        <v>8.8659999999999997</v>
      </c>
      <c r="G529" s="209">
        <v>1569</v>
      </c>
      <c r="H529" s="209">
        <v>279</v>
      </c>
      <c r="I529" s="209" t="s">
        <v>753</v>
      </c>
      <c r="J529" s="208">
        <v>8765</v>
      </c>
      <c r="K529" s="208">
        <v>24405</v>
      </c>
      <c r="L529" s="208">
        <v>15530</v>
      </c>
      <c r="M529" s="206" t="s">
        <v>775</v>
      </c>
      <c r="N529" s="216">
        <v>3.75</v>
      </c>
      <c r="O529" s="215">
        <f>IF(N529&gt;0,1/N529*37.7*68.6,"")</f>
        <v>689.6586666666667</v>
      </c>
      <c r="P529" s="203">
        <v>4.04</v>
      </c>
      <c r="Q529" s="202" t="s">
        <v>761</v>
      </c>
      <c r="R529" s="201" t="s">
        <v>760</v>
      </c>
      <c r="S529" s="201" t="s">
        <v>236</v>
      </c>
      <c r="T529" s="200"/>
      <c r="U529" s="199"/>
      <c r="V529" s="198" t="str">
        <f>IFERROR(IF(N529&lt;P529,"",(ROUNDDOWN(N529/P529*100,0))),"")</f>
        <v/>
      </c>
    </row>
    <row r="530" spans="1:22" ht="24" customHeight="1">
      <c r="A530" s="219"/>
      <c r="B530" s="223"/>
      <c r="C530" s="222"/>
      <c r="D530" s="211" t="s">
        <v>822</v>
      </c>
      <c r="E530" s="209" t="s">
        <v>763</v>
      </c>
      <c r="F530" s="209">
        <v>8.8659999999999997</v>
      </c>
      <c r="G530" s="209">
        <v>1569</v>
      </c>
      <c r="H530" s="209">
        <v>265</v>
      </c>
      <c r="I530" s="209" t="s">
        <v>243</v>
      </c>
      <c r="J530" s="208">
        <v>8765</v>
      </c>
      <c r="K530" s="208">
        <v>24405</v>
      </c>
      <c r="L530" s="208">
        <v>15530</v>
      </c>
      <c r="M530" s="206" t="s">
        <v>775</v>
      </c>
      <c r="N530" s="216">
        <v>3.85</v>
      </c>
      <c r="O530" s="215">
        <f>IF(N530&gt;0,1/N530*37.7*68.6,"")</f>
        <v>671.74545454545444</v>
      </c>
      <c r="P530" s="203">
        <v>4.04</v>
      </c>
      <c r="Q530" s="202" t="s">
        <v>761</v>
      </c>
      <c r="R530" s="201" t="s">
        <v>760</v>
      </c>
      <c r="S530" s="201" t="s">
        <v>236</v>
      </c>
      <c r="T530" s="200"/>
      <c r="U530" s="199"/>
      <c r="V530" s="198" t="str">
        <f>IFERROR(IF(N530&lt;P530,"",(ROUNDDOWN(N530/P530*100,0))),"")</f>
        <v/>
      </c>
    </row>
    <row r="531" spans="1:22" ht="24" customHeight="1">
      <c r="A531" s="219"/>
      <c r="B531" s="223"/>
      <c r="C531" s="222"/>
      <c r="D531" s="211" t="s">
        <v>822</v>
      </c>
      <c r="E531" s="209" t="s">
        <v>763</v>
      </c>
      <c r="F531" s="209">
        <v>8.8659999999999997</v>
      </c>
      <c r="G531" s="209">
        <v>1569</v>
      </c>
      <c r="H531" s="209">
        <v>265</v>
      </c>
      <c r="I531" s="209" t="s">
        <v>753</v>
      </c>
      <c r="J531" s="208">
        <v>8765</v>
      </c>
      <c r="K531" s="208">
        <v>24405</v>
      </c>
      <c r="L531" s="208">
        <v>15530</v>
      </c>
      <c r="M531" s="206" t="s">
        <v>775</v>
      </c>
      <c r="N531" s="216">
        <v>3.8</v>
      </c>
      <c r="O531" s="215">
        <f>IF(N531&gt;0,1/N531*37.7*68.6,"")</f>
        <v>680.5842105263157</v>
      </c>
      <c r="P531" s="203">
        <v>4.04</v>
      </c>
      <c r="Q531" s="202" t="s">
        <v>761</v>
      </c>
      <c r="R531" s="201" t="s">
        <v>760</v>
      </c>
      <c r="S531" s="201" t="s">
        <v>236</v>
      </c>
      <c r="T531" s="200"/>
      <c r="U531" s="199"/>
      <c r="V531" s="198" t="str">
        <f>IFERROR(IF(N531&lt;P531,"",(ROUNDDOWN(N531/P531*100,0))),"")</f>
        <v/>
      </c>
    </row>
    <row r="532" spans="1:22" ht="24" customHeight="1">
      <c r="A532" s="219"/>
      <c r="B532" s="223"/>
      <c r="C532" s="222"/>
      <c r="D532" s="211" t="s">
        <v>821</v>
      </c>
      <c r="E532" s="209" t="s">
        <v>763</v>
      </c>
      <c r="F532" s="209">
        <v>8.8659999999999997</v>
      </c>
      <c r="G532" s="209">
        <v>1569</v>
      </c>
      <c r="H532" s="209">
        <v>265</v>
      </c>
      <c r="I532" s="209" t="s">
        <v>243</v>
      </c>
      <c r="J532" s="208">
        <v>8688</v>
      </c>
      <c r="K532" s="208">
        <v>19887</v>
      </c>
      <c r="L532" s="208">
        <v>11089</v>
      </c>
      <c r="M532" s="206" t="s">
        <v>775</v>
      </c>
      <c r="N532" s="216">
        <v>4</v>
      </c>
      <c r="O532" s="215">
        <f>IF(N532&gt;0,1/N532*37.7*68.6,"")</f>
        <v>646.55499999999995</v>
      </c>
      <c r="P532" s="203">
        <v>4.1500000000000004</v>
      </c>
      <c r="Q532" s="202" t="s">
        <v>761</v>
      </c>
      <c r="R532" s="201" t="s">
        <v>760</v>
      </c>
      <c r="S532" s="201" t="s">
        <v>784</v>
      </c>
      <c r="T532" s="200"/>
      <c r="U532" s="199"/>
      <c r="V532" s="198" t="str">
        <f>IFERROR(IF(N532&lt;P532,"",(ROUNDDOWN(N532/P532*100,0))),"")</f>
        <v/>
      </c>
    </row>
    <row r="533" spans="1:22" ht="24" customHeight="1">
      <c r="A533" s="219"/>
      <c r="B533" s="223"/>
      <c r="C533" s="222"/>
      <c r="D533" s="211" t="s">
        <v>820</v>
      </c>
      <c r="E533" s="209" t="s">
        <v>763</v>
      </c>
      <c r="F533" s="209">
        <v>8.8659999999999997</v>
      </c>
      <c r="G533" s="209">
        <v>1569</v>
      </c>
      <c r="H533" s="209">
        <v>265</v>
      </c>
      <c r="I533" s="209" t="s">
        <v>71</v>
      </c>
      <c r="J533" s="208">
        <v>8765</v>
      </c>
      <c r="K533" s="208">
        <v>24405</v>
      </c>
      <c r="L533" s="208">
        <v>15530</v>
      </c>
      <c r="M533" s="206" t="s">
        <v>775</v>
      </c>
      <c r="N533" s="216">
        <v>3.75</v>
      </c>
      <c r="O533" s="215">
        <f>IF(N533&gt;0,1/N533*37.7*68.6,"")</f>
        <v>689.6586666666667</v>
      </c>
      <c r="P533" s="203">
        <v>4.04</v>
      </c>
      <c r="Q533" s="202" t="s">
        <v>761</v>
      </c>
      <c r="R533" s="201" t="s">
        <v>760</v>
      </c>
      <c r="S533" s="201" t="s">
        <v>784</v>
      </c>
      <c r="T533" s="200"/>
      <c r="U533" s="199"/>
      <c r="V533" s="198" t="str">
        <f>IFERROR(IF(N533&lt;P533,"",(ROUNDDOWN(N533/P533*100,0))),"")</f>
        <v/>
      </c>
    </row>
    <row r="534" spans="1:22" ht="24" customHeight="1">
      <c r="A534" s="219"/>
      <c r="B534" s="223"/>
      <c r="C534" s="222"/>
      <c r="D534" s="211" t="s">
        <v>820</v>
      </c>
      <c r="E534" s="209" t="s">
        <v>763</v>
      </c>
      <c r="F534" s="209">
        <v>8.8659999999999997</v>
      </c>
      <c r="G534" s="209">
        <v>1569</v>
      </c>
      <c r="H534" s="209">
        <v>265</v>
      </c>
      <c r="I534" s="209" t="s">
        <v>243</v>
      </c>
      <c r="J534" s="208">
        <v>8765</v>
      </c>
      <c r="K534" s="208">
        <v>24405</v>
      </c>
      <c r="L534" s="208">
        <v>15530</v>
      </c>
      <c r="M534" s="206" t="s">
        <v>775</v>
      </c>
      <c r="N534" s="216">
        <v>3.85</v>
      </c>
      <c r="O534" s="215">
        <f>IF(N534&gt;0,1/N534*37.7*68.6,"")</f>
        <v>671.74545454545444</v>
      </c>
      <c r="P534" s="203">
        <v>4.04</v>
      </c>
      <c r="Q534" s="202" t="s">
        <v>761</v>
      </c>
      <c r="R534" s="201" t="s">
        <v>760</v>
      </c>
      <c r="S534" s="201" t="s">
        <v>784</v>
      </c>
      <c r="T534" s="200"/>
      <c r="U534" s="199"/>
      <c r="V534" s="198" t="str">
        <f>IFERROR(IF(N534&lt;P534,"",(ROUNDDOWN(N534/P534*100,0))),"")</f>
        <v/>
      </c>
    </row>
    <row r="535" spans="1:22" ht="24" customHeight="1">
      <c r="A535" s="219"/>
      <c r="B535" s="223"/>
      <c r="C535" s="222"/>
      <c r="D535" s="211" t="s">
        <v>820</v>
      </c>
      <c r="E535" s="209" t="s">
        <v>763</v>
      </c>
      <c r="F535" s="209">
        <v>8.8659999999999997</v>
      </c>
      <c r="G535" s="209">
        <v>1569</v>
      </c>
      <c r="H535" s="209">
        <v>265</v>
      </c>
      <c r="I535" s="209" t="s">
        <v>235</v>
      </c>
      <c r="J535" s="208">
        <v>8765</v>
      </c>
      <c r="K535" s="208">
        <v>24405</v>
      </c>
      <c r="L535" s="208">
        <v>15530</v>
      </c>
      <c r="M535" s="206" t="s">
        <v>775</v>
      </c>
      <c r="N535" s="216">
        <v>3.8</v>
      </c>
      <c r="O535" s="215">
        <f>IF(N535&gt;0,1/N535*37.7*68.6,"")</f>
        <v>680.5842105263157</v>
      </c>
      <c r="P535" s="203">
        <v>4.04</v>
      </c>
      <c r="Q535" s="202" t="s">
        <v>761</v>
      </c>
      <c r="R535" s="201" t="s">
        <v>760</v>
      </c>
      <c r="S535" s="201" t="s">
        <v>784</v>
      </c>
      <c r="T535" s="200"/>
      <c r="U535" s="199"/>
      <c r="V535" s="198" t="str">
        <f>IFERROR(IF(N535&lt;P535,"",(ROUNDDOWN(N535/P535*100,0))),"")</f>
        <v/>
      </c>
    </row>
    <row r="536" spans="1:22" ht="24" customHeight="1">
      <c r="A536" s="219"/>
      <c r="B536" s="223"/>
      <c r="C536" s="222"/>
      <c r="D536" s="211" t="s">
        <v>820</v>
      </c>
      <c r="E536" s="209" t="s">
        <v>763</v>
      </c>
      <c r="F536" s="209">
        <v>8.8659999999999997</v>
      </c>
      <c r="G536" s="209">
        <v>1765</v>
      </c>
      <c r="H536" s="209">
        <v>279</v>
      </c>
      <c r="I536" s="209" t="s">
        <v>71</v>
      </c>
      <c r="J536" s="208">
        <v>8765</v>
      </c>
      <c r="K536" s="208">
        <v>24405</v>
      </c>
      <c r="L536" s="208">
        <v>15530</v>
      </c>
      <c r="M536" s="206" t="s">
        <v>775</v>
      </c>
      <c r="N536" s="216">
        <v>3.75</v>
      </c>
      <c r="O536" s="215">
        <f>IF(N536&gt;0,1/N536*37.7*68.6,"")</f>
        <v>689.6586666666667</v>
      </c>
      <c r="P536" s="203">
        <v>4.04</v>
      </c>
      <c r="Q536" s="202" t="s">
        <v>761</v>
      </c>
      <c r="R536" s="201" t="s">
        <v>760</v>
      </c>
      <c r="S536" s="201" t="s">
        <v>784</v>
      </c>
      <c r="T536" s="200"/>
      <c r="U536" s="199"/>
      <c r="V536" s="198" t="str">
        <f>IFERROR(IF(N536&lt;P536,"",(ROUNDDOWN(N536/P536*100,0))),"")</f>
        <v/>
      </c>
    </row>
    <row r="537" spans="1:22" ht="24" customHeight="1">
      <c r="A537" s="219"/>
      <c r="B537" s="223"/>
      <c r="C537" s="222"/>
      <c r="D537" s="211" t="s">
        <v>820</v>
      </c>
      <c r="E537" s="209" t="s">
        <v>763</v>
      </c>
      <c r="F537" s="209">
        <v>8.8659999999999997</v>
      </c>
      <c r="G537" s="209">
        <v>1765</v>
      </c>
      <c r="H537" s="209">
        <v>279</v>
      </c>
      <c r="I537" s="209" t="s">
        <v>243</v>
      </c>
      <c r="J537" s="208">
        <v>8765</v>
      </c>
      <c r="K537" s="208">
        <v>24405</v>
      </c>
      <c r="L537" s="208">
        <v>15530</v>
      </c>
      <c r="M537" s="206" t="s">
        <v>775</v>
      </c>
      <c r="N537" s="216">
        <v>3.95</v>
      </c>
      <c r="O537" s="215">
        <f>IF(N537&gt;0,1/N537*37.7*68.6,"")</f>
        <v>654.739240506329</v>
      </c>
      <c r="P537" s="203">
        <v>4.04</v>
      </c>
      <c r="Q537" s="202" t="s">
        <v>761</v>
      </c>
      <c r="R537" s="201" t="s">
        <v>760</v>
      </c>
      <c r="S537" s="201" t="s">
        <v>784</v>
      </c>
      <c r="T537" s="200"/>
      <c r="U537" s="199"/>
      <c r="V537" s="198" t="str">
        <f>IFERROR(IF(N537&lt;P537,"",(ROUNDDOWN(N537/P537*100,0))),"")</f>
        <v/>
      </c>
    </row>
    <row r="538" spans="1:22" ht="24" customHeight="1">
      <c r="A538" s="219"/>
      <c r="B538" s="223"/>
      <c r="C538" s="222"/>
      <c r="D538" s="211" t="s">
        <v>820</v>
      </c>
      <c r="E538" s="209" t="s">
        <v>763</v>
      </c>
      <c r="F538" s="209">
        <v>8.8659999999999997</v>
      </c>
      <c r="G538" s="209">
        <v>1569</v>
      </c>
      <c r="H538" s="209">
        <v>279</v>
      </c>
      <c r="I538" s="209" t="s">
        <v>790</v>
      </c>
      <c r="J538" s="208">
        <v>8765</v>
      </c>
      <c r="K538" s="208">
        <v>24405</v>
      </c>
      <c r="L538" s="208">
        <v>15530</v>
      </c>
      <c r="M538" s="206" t="s">
        <v>775</v>
      </c>
      <c r="N538" s="216">
        <v>3.45</v>
      </c>
      <c r="O538" s="215">
        <f>IF(N538&gt;0,1/N538*37.7*68.6,"")</f>
        <v>749.6289855072464</v>
      </c>
      <c r="P538" s="203">
        <v>4.04</v>
      </c>
      <c r="Q538" s="202" t="s">
        <v>761</v>
      </c>
      <c r="R538" s="201" t="s">
        <v>760</v>
      </c>
      <c r="S538" s="201" t="s">
        <v>784</v>
      </c>
      <c r="T538" s="200"/>
      <c r="U538" s="199"/>
      <c r="V538" s="198" t="str">
        <f>IFERROR(IF(N538&lt;P538,"",(ROUNDDOWN(N538/P538*100,0))),"")</f>
        <v/>
      </c>
    </row>
    <row r="539" spans="1:22" ht="24" customHeight="1">
      <c r="A539" s="219"/>
      <c r="B539" s="223"/>
      <c r="C539" s="222"/>
      <c r="D539" s="211" t="s">
        <v>819</v>
      </c>
      <c r="E539" s="209" t="s">
        <v>763</v>
      </c>
      <c r="F539" s="209">
        <v>8.8659999999999997</v>
      </c>
      <c r="G539" s="209">
        <v>1569</v>
      </c>
      <c r="H539" s="209">
        <v>265</v>
      </c>
      <c r="I539" s="209" t="s">
        <v>243</v>
      </c>
      <c r="J539" s="208">
        <v>8765</v>
      </c>
      <c r="K539" s="208">
        <v>24405</v>
      </c>
      <c r="L539" s="208">
        <v>15530</v>
      </c>
      <c r="M539" s="206" t="s">
        <v>775</v>
      </c>
      <c r="N539" s="216">
        <v>3.85</v>
      </c>
      <c r="O539" s="215">
        <f>IF(N539&gt;0,1/N539*37.7*68.6,"")</f>
        <v>671.74545454545444</v>
      </c>
      <c r="P539" s="203">
        <v>4.04</v>
      </c>
      <c r="Q539" s="202" t="s">
        <v>761</v>
      </c>
      <c r="R539" s="201" t="s">
        <v>760</v>
      </c>
      <c r="S539" s="201" t="s">
        <v>784</v>
      </c>
      <c r="T539" s="200"/>
      <c r="U539" s="199"/>
      <c r="V539" s="198" t="str">
        <f>IFERROR(IF(N539&lt;P539,"",(ROUNDDOWN(N539/P539*100,0))),"")</f>
        <v/>
      </c>
    </row>
    <row r="540" spans="1:22" ht="24" customHeight="1">
      <c r="A540" s="219"/>
      <c r="B540" s="223"/>
      <c r="C540" s="222"/>
      <c r="D540" s="211" t="s">
        <v>819</v>
      </c>
      <c r="E540" s="209" t="s">
        <v>763</v>
      </c>
      <c r="F540" s="209">
        <v>8.8659999999999997</v>
      </c>
      <c r="G540" s="209">
        <v>1765</v>
      </c>
      <c r="H540" s="209">
        <v>279</v>
      </c>
      <c r="I540" s="209" t="s">
        <v>762</v>
      </c>
      <c r="J540" s="208">
        <v>8765</v>
      </c>
      <c r="K540" s="208">
        <v>24405</v>
      </c>
      <c r="L540" s="208">
        <v>15530</v>
      </c>
      <c r="M540" s="206" t="s">
        <v>775</v>
      </c>
      <c r="N540" s="216">
        <v>3.95</v>
      </c>
      <c r="O540" s="215">
        <f>IF(N540&gt;0,1/N540*37.7*68.6,"")</f>
        <v>654.739240506329</v>
      </c>
      <c r="P540" s="203">
        <v>4.04</v>
      </c>
      <c r="Q540" s="202" t="s">
        <v>761</v>
      </c>
      <c r="R540" s="201" t="s">
        <v>760</v>
      </c>
      <c r="S540" s="201" t="s">
        <v>784</v>
      </c>
      <c r="T540" s="200"/>
      <c r="U540" s="199"/>
      <c r="V540" s="198" t="str">
        <f>IFERROR(IF(N540&lt;P540,"",(ROUNDDOWN(N540/P540*100,0))),"")</f>
        <v/>
      </c>
    </row>
    <row r="541" spans="1:22" ht="24" customHeight="1">
      <c r="A541" s="219"/>
      <c r="B541" s="223"/>
      <c r="C541" s="222"/>
      <c r="D541" s="211" t="s">
        <v>818</v>
      </c>
      <c r="E541" s="209" t="s">
        <v>763</v>
      </c>
      <c r="F541" s="209">
        <v>8.8659999999999997</v>
      </c>
      <c r="G541" s="209">
        <v>1569</v>
      </c>
      <c r="H541" s="209">
        <v>265</v>
      </c>
      <c r="I541" s="209" t="s">
        <v>235</v>
      </c>
      <c r="J541" s="208">
        <v>8765</v>
      </c>
      <c r="K541" s="208">
        <v>24405</v>
      </c>
      <c r="L541" s="208">
        <v>15530</v>
      </c>
      <c r="M541" s="206" t="s">
        <v>775</v>
      </c>
      <c r="N541" s="216">
        <v>3.8</v>
      </c>
      <c r="O541" s="215">
        <f>IF(N541&gt;0,1/N541*37.7*68.6,"")</f>
        <v>680.5842105263157</v>
      </c>
      <c r="P541" s="203">
        <v>4.04</v>
      </c>
      <c r="Q541" s="202" t="s">
        <v>761</v>
      </c>
      <c r="R541" s="201" t="s">
        <v>760</v>
      </c>
      <c r="S541" s="201" t="s">
        <v>784</v>
      </c>
      <c r="T541" s="200"/>
      <c r="U541" s="199"/>
      <c r="V541" s="198" t="str">
        <f>IFERROR(IF(N541&lt;P541,"",(ROUNDDOWN(N541/P541*100,0))),"")</f>
        <v/>
      </c>
    </row>
    <row r="542" spans="1:22" ht="24" customHeight="1">
      <c r="A542" s="219"/>
      <c r="B542" s="223"/>
      <c r="C542" s="222"/>
      <c r="D542" s="211" t="s">
        <v>818</v>
      </c>
      <c r="E542" s="209" t="s">
        <v>763</v>
      </c>
      <c r="F542" s="209">
        <v>8.8659999999999997</v>
      </c>
      <c r="G542" s="209">
        <v>1765</v>
      </c>
      <c r="H542" s="209">
        <v>279</v>
      </c>
      <c r="I542" s="209" t="s">
        <v>243</v>
      </c>
      <c r="J542" s="208">
        <v>8765</v>
      </c>
      <c r="K542" s="208">
        <v>24405</v>
      </c>
      <c r="L542" s="208">
        <v>15530</v>
      </c>
      <c r="M542" s="206" t="s">
        <v>775</v>
      </c>
      <c r="N542" s="216">
        <v>3.95</v>
      </c>
      <c r="O542" s="215">
        <f>IF(N542&gt;0,1/N542*37.7*68.6,"")</f>
        <v>654.739240506329</v>
      </c>
      <c r="P542" s="203">
        <v>4.04</v>
      </c>
      <c r="Q542" s="202" t="s">
        <v>761</v>
      </c>
      <c r="R542" s="201" t="s">
        <v>760</v>
      </c>
      <c r="S542" s="201" t="s">
        <v>784</v>
      </c>
      <c r="T542" s="200"/>
      <c r="U542" s="199"/>
      <c r="V542" s="198" t="str">
        <f>IFERROR(IF(N542&lt;P542,"",(ROUNDDOWN(N542/P542*100,0))),"")</f>
        <v/>
      </c>
    </row>
    <row r="543" spans="1:22" ht="24" customHeight="1">
      <c r="A543" s="219"/>
      <c r="B543" s="223"/>
      <c r="C543" s="222"/>
      <c r="D543" s="211" t="s">
        <v>818</v>
      </c>
      <c r="E543" s="209" t="s">
        <v>763</v>
      </c>
      <c r="F543" s="209">
        <v>8.8659999999999997</v>
      </c>
      <c r="G543" s="209">
        <v>1765</v>
      </c>
      <c r="H543" s="209">
        <v>279</v>
      </c>
      <c r="I543" s="209" t="s">
        <v>753</v>
      </c>
      <c r="J543" s="208">
        <v>8765</v>
      </c>
      <c r="K543" s="208">
        <v>24405</v>
      </c>
      <c r="L543" s="208">
        <v>15530</v>
      </c>
      <c r="M543" s="206" t="s">
        <v>775</v>
      </c>
      <c r="N543" s="216">
        <v>3.95</v>
      </c>
      <c r="O543" s="215">
        <f>IF(N543&gt;0,1/N543*37.7*68.6,"")</f>
        <v>654.739240506329</v>
      </c>
      <c r="P543" s="203">
        <v>4.04</v>
      </c>
      <c r="Q543" s="202" t="s">
        <v>761</v>
      </c>
      <c r="R543" s="201" t="s">
        <v>760</v>
      </c>
      <c r="S543" s="201" t="s">
        <v>784</v>
      </c>
      <c r="T543" s="200"/>
      <c r="U543" s="199"/>
      <c r="V543" s="198" t="str">
        <f>IFERROR(IF(N543&lt;P543,"",(ROUNDDOWN(N543/P543*100,0))),"")</f>
        <v/>
      </c>
    </row>
    <row r="544" spans="1:22" ht="24" customHeight="1">
      <c r="A544" s="219"/>
      <c r="B544" s="223"/>
      <c r="C544" s="222"/>
      <c r="D544" s="211" t="s">
        <v>817</v>
      </c>
      <c r="E544" s="209" t="s">
        <v>763</v>
      </c>
      <c r="F544" s="209">
        <v>8.8659999999999997</v>
      </c>
      <c r="G544" s="209">
        <v>1569</v>
      </c>
      <c r="H544" s="209">
        <v>265</v>
      </c>
      <c r="I544" s="209" t="s">
        <v>243</v>
      </c>
      <c r="J544" s="208">
        <v>8765</v>
      </c>
      <c r="K544" s="208">
        <v>24405</v>
      </c>
      <c r="L544" s="208">
        <v>15530</v>
      </c>
      <c r="M544" s="206" t="s">
        <v>775</v>
      </c>
      <c r="N544" s="216">
        <v>3.85</v>
      </c>
      <c r="O544" s="215">
        <f>IF(N544&gt;0,1/N544*37.7*68.6,"")</f>
        <v>671.74545454545444</v>
      </c>
      <c r="P544" s="203">
        <v>4.04</v>
      </c>
      <c r="Q544" s="202" t="s">
        <v>761</v>
      </c>
      <c r="R544" s="201" t="s">
        <v>760</v>
      </c>
      <c r="S544" s="201" t="s">
        <v>784</v>
      </c>
      <c r="T544" s="200"/>
      <c r="U544" s="199"/>
      <c r="V544" s="198" t="str">
        <f>IFERROR(IF(N544&lt;P544,"",(ROUNDDOWN(N544/P544*100,0))),"")</f>
        <v/>
      </c>
    </row>
    <row r="545" spans="1:22" ht="24" customHeight="1">
      <c r="A545" s="219"/>
      <c r="B545" s="223"/>
      <c r="C545" s="222"/>
      <c r="D545" s="211" t="s">
        <v>817</v>
      </c>
      <c r="E545" s="209" t="s">
        <v>763</v>
      </c>
      <c r="F545" s="209">
        <v>8.8659999999999997</v>
      </c>
      <c r="G545" s="209">
        <v>1569</v>
      </c>
      <c r="H545" s="209">
        <v>265</v>
      </c>
      <c r="I545" s="209" t="s">
        <v>235</v>
      </c>
      <c r="J545" s="208">
        <v>8765</v>
      </c>
      <c r="K545" s="208">
        <v>24405</v>
      </c>
      <c r="L545" s="208">
        <v>15530</v>
      </c>
      <c r="M545" s="206" t="s">
        <v>775</v>
      </c>
      <c r="N545" s="216">
        <v>3.8</v>
      </c>
      <c r="O545" s="215">
        <f>IF(N545&gt;0,1/N545*37.7*68.6,"")</f>
        <v>680.5842105263157</v>
      </c>
      <c r="P545" s="203">
        <v>4.04</v>
      </c>
      <c r="Q545" s="202" t="s">
        <v>761</v>
      </c>
      <c r="R545" s="201" t="s">
        <v>760</v>
      </c>
      <c r="S545" s="201" t="s">
        <v>784</v>
      </c>
      <c r="T545" s="200"/>
      <c r="U545" s="199"/>
      <c r="V545" s="198" t="str">
        <f>IFERROR(IF(N545&lt;P545,"",(ROUNDDOWN(N545/P545*100,0))),"")</f>
        <v/>
      </c>
    </row>
    <row r="546" spans="1:22" ht="24" customHeight="1">
      <c r="A546" s="219"/>
      <c r="B546" s="223"/>
      <c r="C546" s="222"/>
      <c r="D546" s="211" t="s">
        <v>817</v>
      </c>
      <c r="E546" s="209" t="s">
        <v>763</v>
      </c>
      <c r="F546" s="209">
        <v>8.8659999999999997</v>
      </c>
      <c r="G546" s="209">
        <v>1569</v>
      </c>
      <c r="H546" s="209">
        <v>265</v>
      </c>
      <c r="I546" s="209" t="s">
        <v>753</v>
      </c>
      <c r="J546" s="208">
        <v>8765</v>
      </c>
      <c r="K546" s="208">
        <v>24405</v>
      </c>
      <c r="L546" s="208">
        <v>15530</v>
      </c>
      <c r="M546" s="206" t="s">
        <v>775</v>
      </c>
      <c r="N546" s="216">
        <v>3.8</v>
      </c>
      <c r="O546" s="215">
        <f>IF(N546&gt;0,1/N546*37.7*68.6,"")</f>
        <v>680.5842105263157</v>
      </c>
      <c r="P546" s="203">
        <v>4.04</v>
      </c>
      <c r="Q546" s="202" t="s">
        <v>761</v>
      </c>
      <c r="R546" s="201" t="s">
        <v>760</v>
      </c>
      <c r="S546" s="201" t="s">
        <v>784</v>
      </c>
      <c r="T546" s="200"/>
      <c r="U546" s="199"/>
      <c r="V546" s="198" t="str">
        <f>IFERROR(IF(N546&lt;P546,"",(ROUNDDOWN(N546/P546*100,0))),"")</f>
        <v/>
      </c>
    </row>
    <row r="547" spans="1:22" ht="24" customHeight="1">
      <c r="A547" s="219"/>
      <c r="B547" s="223"/>
      <c r="C547" s="222"/>
      <c r="D547" s="211" t="s">
        <v>817</v>
      </c>
      <c r="E547" s="209" t="s">
        <v>763</v>
      </c>
      <c r="F547" s="209">
        <v>8.8659999999999997</v>
      </c>
      <c r="G547" s="209">
        <v>1765</v>
      </c>
      <c r="H547" s="209">
        <v>279</v>
      </c>
      <c r="I547" s="209" t="s">
        <v>243</v>
      </c>
      <c r="J547" s="208">
        <v>8765</v>
      </c>
      <c r="K547" s="208">
        <v>24405</v>
      </c>
      <c r="L547" s="208">
        <v>15530</v>
      </c>
      <c r="M547" s="206" t="s">
        <v>775</v>
      </c>
      <c r="N547" s="216">
        <v>3.95</v>
      </c>
      <c r="O547" s="215">
        <f>IF(N547&gt;0,1/N547*37.7*68.6,"")</f>
        <v>654.739240506329</v>
      </c>
      <c r="P547" s="203">
        <v>4.04</v>
      </c>
      <c r="Q547" s="202" t="s">
        <v>761</v>
      </c>
      <c r="R547" s="201" t="s">
        <v>760</v>
      </c>
      <c r="S547" s="201" t="s">
        <v>784</v>
      </c>
      <c r="T547" s="200"/>
      <c r="U547" s="199"/>
      <c r="V547" s="198" t="str">
        <f>IFERROR(IF(N547&lt;P547,"",(ROUNDDOWN(N547/P547*100,0))),"")</f>
        <v/>
      </c>
    </row>
    <row r="548" spans="1:22" ht="24" customHeight="1">
      <c r="A548" s="219"/>
      <c r="B548" s="223"/>
      <c r="C548" s="222"/>
      <c r="D548" s="211" t="s">
        <v>817</v>
      </c>
      <c r="E548" s="209" t="s">
        <v>763</v>
      </c>
      <c r="F548" s="209">
        <v>8.8659999999999997</v>
      </c>
      <c r="G548" s="209">
        <v>1765</v>
      </c>
      <c r="H548" s="209">
        <v>279</v>
      </c>
      <c r="I548" s="209" t="s">
        <v>753</v>
      </c>
      <c r="J548" s="208">
        <v>8765</v>
      </c>
      <c r="K548" s="208">
        <v>24405</v>
      </c>
      <c r="L548" s="208">
        <v>15530</v>
      </c>
      <c r="M548" s="206" t="s">
        <v>775</v>
      </c>
      <c r="N548" s="216">
        <v>3.95</v>
      </c>
      <c r="O548" s="215">
        <f>IF(N548&gt;0,1/N548*37.7*68.6,"")</f>
        <v>654.739240506329</v>
      </c>
      <c r="P548" s="203">
        <v>4.04</v>
      </c>
      <c r="Q548" s="202" t="s">
        <v>761</v>
      </c>
      <c r="R548" s="201" t="s">
        <v>760</v>
      </c>
      <c r="S548" s="201" t="s">
        <v>784</v>
      </c>
      <c r="T548" s="200"/>
      <c r="U548" s="199"/>
      <c r="V548" s="198" t="str">
        <f>IFERROR(IF(N548&lt;P548,"",(ROUNDDOWN(N548/P548*100,0))),"")</f>
        <v/>
      </c>
    </row>
    <row r="549" spans="1:22" ht="24" customHeight="1">
      <c r="A549" s="219"/>
      <c r="B549" s="223"/>
      <c r="C549" s="222"/>
      <c r="D549" s="211" t="s">
        <v>816</v>
      </c>
      <c r="E549" s="209" t="s">
        <v>763</v>
      </c>
      <c r="F549" s="209">
        <v>8.8659999999999997</v>
      </c>
      <c r="G549" s="209">
        <v>1765</v>
      </c>
      <c r="H549" s="209">
        <v>279</v>
      </c>
      <c r="I549" s="209" t="s">
        <v>243</v>
      </c>
      <c r="J549" s="208">
        <v>8765</v>
      </c>
      <c r="K549" s="208">
        <v>24405</v>
      </c>
      <c r="L549" s="208">
        <v>15530</v>
      </c>
      <c r="M549" s="206" t="s">
        <v>775</v>
      </c>
      <c r="N549" s="216">
        <v>3.95</v>
      </c>
      <c r="O549" s="215">
        <f>IF(N549&gt;0,1/N549*37.7*68.6,"")</f>
        <v>654.739240506329</v>
      </c>
      <c r="P549" s="203">
        <v>4.04</v>
      </c>
      <c r="Q549" s="202" t="s">
        <v>761</v>
      </c>
      <c r="R549" s="201" t="s">
        <v>760</v>
      </c>
      <c r="S549" s="201" t="s">
        <v>784</v>
      </c>
      <c r="T549" s="200"/>
      <c r="U549" s="199"/>
      <c r="V549" s="198" t="str">
        <f>IFERROR(IF(N549&lt;P549,"",(ROUNDDOWN(N549/P549*100,0))),"")</f>
        <v/>
      </c>
    </row>
    <row r="550" spans="1:22" ht="24" customHeight="1">
      <c r="A550" s="219"/>
      <c r="B550" s="223"/>
      <c r="C550" s="222"/>
      <c r="D550" s="211" t="s">
        <v>816</v>
      </c>
      <c r="E550" s="209" t="s">
        <v>763</v>
      </c>
      <c r="F550" s="209">
        <v>8.8659999999999997</v>
      </c>
      <c r="G550" s="209">
        <v>1765</v>
      </c>
      <c r="H550" s="209">
        <v>279</v>
      </c>
      <c r="I550" s="209" t="s">
        <v>753</v>
      </c>
      <c r="J550" s="208">
        <v>8765</v>
      </c>
      <c r="K550" s="208">
        <v>24405</v>
      </c>
      <c r="L550" s="208">
        <v>15530</v>
      </c>
      <c r="M550" s="206" t="s">
        <v>775</v>
      </c>
      <c r="N550" s="216">
        <v>3.95</v>
      </c>
      <c r="O550" s="215">
        <f>IF(N550&gt;0,1/N550*37.7*68.6,"")</f>
        <v>654.739240506329</v>
      </c>
      <c r="P550" s="203">
        <v>4.04</v>
      </c>
      <c r="Q550" s="202" t="s">
        <v>761</v>
      </c>
      <c r="R550" s="201" t="s">
        <v>760</v>
      </c>
      <c r="S550" s="201" t="s">
        <v>784</v>
      </c>
      <c r="T550" s="200"/>
      <c r="U550" s="199"/>
      <c r="V550" s="198" t="str">
        <f>IFERROR(IF(N550&lt;P550,"",(ROUNDDOWN(N550/P550*100,0))),"")</f>
        <v/>
      </c>
    </row>
    <row r="551" spans="1:22" ht="24" customHeight="1">
      <c r="A551" s="219"/>
      <c r="B551" s="223"/>
      <c r="C551" s="222"/>
      <c r="D551" s="211" t="s">
        <v>815</v>
      </c>
      <c r="E551" s="209" t="s">
        <v>763</v>
      </c>
      <c r="F551" s="209">
        <v>8.8659999999999997</v>
      </c>
      <c r="G551" s="209">
        <v>1569</v>
      </c>
      <c r="H551" s="209">
        <v>265</v>
      </c>
      <c r="I551" s="209" t="s">
        <v>243</v>
      </c>
      <c r="J551" s="208">
        <v>8765</v>
      </c>
      <c r="K551" s="208">
        <v>24405</v>
      </c>
      <c r="L551" s="208">
        <v>15530</v>
      </c>
      <c r="M551" s="206" t="s">
        <v>775</v>
      </c>
      <c r="N551" s="216">
        <v>3.85</v>
      </c>
      <c r="O551" s="215">
        <f>IF(N551&gt;0,1/N551*37.7*68.6,"")</f>
        <v>671.74545454545444</v>
      </c>
      <c r="P551" s="203">
        <v>4.04</v>
      </c>
      <c r="Q551" s="202" t="s">
        <v>761</v>
      </c>
      <c r="R551" s="201" t="s">
        <v>760</v>
      </c>
      <c r="S551" s="201" t="s">
        <v>282</v>
      </c>
      <c r="T551" s="200"/>
      <c r="U551" s="199"/>
      <c r="V551" s="198" t="str">
        <f>IFERROR(IF(N551&lt;P551,"",(ROUNDDOWN(N551/P551*100,0))),"")</f>
        <v/>
      </c>
    </row>
    <row r="552" spans="1:22" ht="24" customHeight="1">
      <c r="A552" s="219"/>
      <c r="B552" s="223"/>
      <c r="C552" s="222"/>
      <c r="D552" s="211" t="s">
        <v>815</v>
      </c>
      <c r="E552" s="209" t="s">
        <v>763</v>
      </c>
      <c r="F552" s="209">
        <v>8.8659999999999997</v>
      </c>
      <c r="G552" s="209">
        <v>1569</v>
      </c>
      <c r="H552" s="209">
        <v>265</v>
      </c>
      <c r="I552" s="209" t="s">
        <v>753</v>
      </c>
      <c r="J552" s="208">
        <v>8765</v>
      </c>
      <c r="K552" s="208">
        <v>24405</v>
      </c>
      <c r="L552" s="208">
        <v>15530</v>
      </c>
      <c r="M552" s="206" t="s">
        <v>775</v>
      </c>
      <c r="N552" s="216">
        <v>3.8</v>
      </c>
      <c r="O552" s="215">
        <f>IF(N552&gt;0,1/N552*37.7*68.6,"")</f>
        <v>680.5842105263157</v>
      </c>
      <c r="P552" s="203">
        <v>4.04</v>
      </c>
      <c r="Q552" s="202" t="s">
        <v>761</v>
      </c>
      <c r="R552" s="201" t="s">
        <v>760</v>
      </c>
      <c r="S552" s="201" t="s">
        <v>282</v>
      </c>
      <c r="T552" s="200"/>
      <c r="U552" s="199"/>
      <c r="V552" s="198" t="str">
        <f>IFERROR(IF(N552&lt;P552,"",(ROUNDDOWN(N552/P552*100,0))),"")</f>
        <v/>
      </c>
    </row>
    <row r="553" spans="1:22" ht="24" customHeight="1">
      <c r="A553" s="219"/>
      <c r="B553" s="223"/>
      <c r="C553" s="222"/>
      <c r="D553" s="211" t="s">
        <v>815</v>
      </c>
      <c r="E553" s="209" t="s">
        <v>763</v>
      </c>
      <c r="F553" s="209">
        <v>8.8659999999999997</v>
      </c>
      <c r="G553" s="209">
        <v>1765</v>
      </c>
      <c r="H553" s="209">
        <v>279</v>
      </c>
      <c r="I553" s="209" t="s">
        <v>243</v>
      </c>
      <c r="J553" s="208">
        <v>8765</v>
      </c>
      <c r="K553" s="208">
        <v>24405</v>
      </c>
      <c r="L553" s="208">
        <v>15530</v>
      </c>
      <c r="M553" s="206" t="s">
        <v>775</v>
      </c>
      <c r="N553" s="216">
        <v>3.95</v>
      </c>
      <c r="O553" s="215">
        <f>IF(N553&gt;0,1/N553*37.7*68.6,"")</f>
        <v>654.739240506329</v>
      </c>
      <c r="P553" s="203">
        <v>4.04</v>
      </c>
      <c r="Q553" s="202" t="s">
        <v>761</v>
      </c>
      <c r="R553" s="201" t="s">
        <v>760</v>
      </c>
      <c r="S553" s="201" t="s">
        <v>282</v>
      </c>
      <c r="T553" s="200"/>
      <c r="U553" s="199"/>
      <c r="V553" s="198" t="str">
        <f>IFERROR(IF(N553&lt;P553,"",(ROUNDDOWN(N553/P553*100,0))),"")</f>
        <v/>
      </c>
    </row>
    <row r="554" spans="1:22" ht="24" customHeight="1">
      <c r="A554" s="219"/>
      <c r="B554" s="223"/>
      <c r="C554" s="222"/>
      <c r="D554" s="211" t="s">
        <v>815</v>
      </c>
      <c r="E554" s="209" t="s">
        <v>763</v>
      </c>
      <c r="F554" s="209">
        <v>8.8659999999999997</v>
      </c>
      <c r="G554" s="209">
        <v>1765</v>
      </c>
      <c r="H554" s="209">
        <v>279</v>
      </c>
      <c r="I554" s="209" t="s">
        <v>753</v>
      </c>
      <c r="J554" s="208">
        <v>8765</v>
      </c>
      <c r="K554" s="208">
        <v>24405</v>
      </c>
      <c r="L554" s="208">
        <v>15530</v>
      </c>
      <c r="M554" s="206" t="s">
        <v>775</v>
      </c>
      <c r="N554" s="216">
        <v>3.95</v>
      </c>
      <c r="O554" s="215">
        <f>IF(N554&gt;0,1/N554*37.7*68.6,"")</f>
        <v>654.739240506329</v>
      </c>
      <c r="P554" s="203">
        <v>4.04</v>
      </c>
      <c r="Q554" s="202" t="s">
        <v>761</v>
      </c>
      <c r="R554" s="201" t="s">
        <v>760</v>
      </c>
      <c r="S554" s="201" t="s">
        <v>282</v>
      </c>
      <c r="T554" s="200"/>
      <c r="U554" s="199"/>
      <c r="V554" s="198" t="str">
        <f>IFERROR(IF(N554&lt;P554,"",(ROUNDDOWN(N554/P554*100,0))),"")</f>
        <v/>
      </c>
    </row>
    <row r="555" spans="1:22" ht="24" customHeight="1">
      <c r="A555" s="219"/>
      <c r="B555" s="223"/>
      <c r="C555" s="222"/>
      <c r="D555" s="211" t="s">
        <v>815</v>
      </c>
      <c r="E555" s="209" t="s">
        <v>763</v>
      </c>
      <c r="F555" s="209">
        <v>8.8659999999999997</v>
      </c>
      <c r="G555" s="209">
        <v>1569</v>
      </c>
      <c r="H555" s="209">
        <v>279</v>
      </c>
      <c r="I555" s="209" t="s">
        <v>753</v>
      </c>
      <c r="J555" s="208">
        <v>8765</v>
      </c>
      <c r="K555" s="208">
        <v>24405</v>
      </c>
      <c r="L555" s="208">
        <v>15530</v>
      </c>
      <c r="M555" s="206" t="s">
        <v>775</v>
      </c>
      <c r="N555" s="216">
        <v>3.75</v>
      </c>
      <c r="O555" s="215">
        <f>IF(N555&gt;0,1/N555*37.7*68.6,"")</f>
        <v>689.6586666666667</v>
      </c>
      <c r="P555" s="203">
        <v>4.04</v>
      </c>
      <c r="Q555" s="202" t="s">
        <v>761</v>
      </c>
      <c r="R555" s="201" t="s">
        <v>760</v>
      </c>
      <c r="S555" s="201" t="s">
        <v>282</v>
      </c>
      <c r="T555" s="200"/>
      <c r="U555" s="199"/>
      <c r="V555" s="198" t="str">
        <f>IFERROR(IF(N555&lt;P555,"",(ROUNDDOWN(N555/P555*100,0))),"")</f>
        <v/>
      </c>
    </row>
    <row r="556" spans="1:22" ht="24" customHeight="1">
      <c r="A556" s="219"/>
      <c r="B556" s="223"/>
      <c r="C556" s="222"/>
      <c r="D556" s="211" t="s">
        <v>814</v>
      </c>
      <c r="E556" s="209" t="s">
        <v>763</v>
      </c>
      <c r="F556" s="209">
        <v>8.8659999999999997</v>
      </c>
      <c r="G556" s="209">
        <v>1569</v>
      </c>
      <c r="H556" s="209">
        <v>265</v>
      </c>
      <c r="I556" s="209" t="s">
        <v>243</v>
      </c>
      <c r="J556" s="208">
        <v>8765</v>
      </c>
      <c r="K556" s="208">
        <v>24405</v>
      </c>
      <c r="L556" s="208">
        <v>15530</v>
      </c>
      <c r="M556" s="206" t="s">
        <v>775</v>
      </c>
      <c r="N556" s="216">
        <v>3.85</v>
      </c>
      <c r="O556" s="215">
        <f>IF(N556&gt;0,1/N556*37.7*68.6,"")</f>
        <v>671.74545454545444</v>
      </c>
      <c r="P556" s="203">
        <v>4.04</v>
      </c>
      <c r="Q556" s="202" t="s">
        <v>761</v>
      </c>
      <c r="R556" s="201" t="s">
        <v>760</v>
      </c>
      <c r="S556" s="201" t="s">
        <v>282</v>
      </c>
      <c r="T556" s="200"/>
      <c r="U556" s="199"/>
      <c r="V556" s="198" t="str">
        <f>IFERROR(IF(N556&lt;P556,"",(ROUNDDOWN(N556/P556*100,0))),"")</f>
        <v/>
      </c>
    </row>
    <row r="557" spans="1:22" ht="24" customHeight="1">
      <c r="A557" s="219"/>
      <c r="B557" s="223"/>
      <c r="C557" s="222"/>
      <c r="D557" s="211" t="s">
        <v>814</v>
      </c>
      <c r="E557" s="209" t="s">
        <v>763</v>
      </c>
      <c r="F557" s="209">
        <v>8.8659999999999997</v>
      </c>
      <c r="G557" s="209">
        <v>1569</v>
      </c>
      <c r="H557" s="209">
        <v>265</v>
      </c>
      <c r="I557" s="209" t="s">
        <v>753</v>
      </c>
      <c r="J557" s="208">
        <v>8765</v>
      </c>
      <c r="K557" s="208">
        <v>24405</v>
      </c>
      <c r="L557" s="208">
        <v>15530</v>
      </c>
      <c r="M557" s="206" t="s">
        <v>775</v>
      </c>
      <c r="N557" s="216">
        <v>3.8</v>
      </c>
      <c r="O557" s="215">
        <f>IF(N557&gt;0,1/N557*37.7*68.6,"")</f>
        <v>680.5842105263157</v>
      </c>
      <c r="P557" s="203">
        <v>4.04</v>
      </c>
      <c r="Q557" s="202" t="s">
        <v>761</v>
      </c>
      <c r="R557" s="201" t="s">
        <v>760</v>
      </c>
      <c r="S557" s="201" t="s">
        <v>282</v>
      </c>
      <c r="T557" s="200"/>
      <c r="U557" s="199"/>
      <c r="V557" s="198" t="str">
        <f>IFERROR(IF(N557&lt;P557,"",(ROUNDDOWN(N557/P557*100,0))),"")</f>
        <v/>
      </c>
    </row>
    <row r="558" spans="1:22" ht="24" customHeight="1">
      <c r="A558" s="219"/>
      <c r="B558" s="223"/>
      <c r="C558" s="222"/>
      <c r="D558" s="211" t="s">
        <v>814</v>
      </c>
      <c r="E558" s="209" t="s">
        <v>763</v>
      </c>
      <c r="F558" s="209">
        <v>8.8659999999999997</v>
      </c>
      <c r="G558" s="209">
        <v>1765</v>
      </c>
      <c r="H558" s="209">
        <v>279</v>
      </c>
      <c r="I558" s="209" t="s">
        <v>243</v>
      </c>
      <c r="J558" s="208">
        <v>8765</v>
      </c>
      <c r="K558" s="208">
        <v>24405</v>
      </c>
      <c r="L558" s="208">
        <v>15530</v>
      </c>
      <c r="M558" s="206" t="s">
        <v>775</v>
      </c>
      <c r="N558" s="216">
        <v>3.95</v>
      </c>
      <c r="O558" s="215">
        <f>IF(N558&gt;0,1/N558*37.7*68.6,"")</f>
        <v>654.739240506329</v>
      </c>
      <c r="P558" s="203">
        <v>4.04</v>
      </c>
      <c r="Q558" s="202" t="s">
        <v>761</v>
      </c>
      <c r="R558" s="201" t="s">
        <v>760</v>
      </c>
      <c r="S558" s="201" t="s">
        <v>282</v>
      </c>
      <c r="T558" s="200"/>
      <c r="U558" s="199"/>
      <c r="V558" s="198" t="str">
        <f>IFERROR(IF(N558&lt;P558,"",(ROUNDDOWN(N558/P558*100,0))),"")</f>
        <v/>
      </c>
    </row>
    <row r="559" spans="1:22" ht="24" customHeight="1">
      <c r="A559" s="219"/>
      <c r="B559" s="223"/>
      <c r="C559" s="222"/>
      <c r="D559" s="211" t="s">
        <v>814</v>
      </c>
      <c r="E559" s="209" t="s">
        <v>763</v>
      </c>
      <c r="F559" s="209">
        <v>8.8659999999999997</v>
      </c>
      <c r="G559" s="209">
        <v>1765</v>
      </c>
      <c r="H559" s="209">
        <v>279</v>
      </c>
      <c r="I559" s="209" t="s">
        <v>753</v>
      </c>
      <c r="J559" s="208">
        <v>8765</v>
      </c>
      <c r="K559" s="208">
        <v>24405</v>
      </c>
      <c r="L559" s="208">
        <v>15530</v>
      </c>
      <c r="M559" s="206" t="s">
        <v>775</v>
      </c>
      <c r="N559" s="216">
        <v>3.95</v>
      </c>
      <c r="O559" s="215">
        <f>IF(N559&gt;0,1/N559*37.7*68.6,"")</f>
        <v>654.739240506329</v>
      </c>
      <c r="P559" s="203">
        <v>4.04</v>
      </c>
      <c r="Q559" s="202" t="s">
        <v>761</v>
      </c>
      <c r="R559" s="201" t="s">
        <v>760</v>
      </c>
      <c r="S559" s="201" t="s">
        <v>282</v>
      </c>
      <c r="T559" s="200"/>
      <c r="U559" s="199"/>
      <c r="V559" s="198" t="str">
        <f>IFERROR(IF(N559&lt;P559,"",(ROUNDDOWN(N559/P559*100,0))),"")</f>
        <v/>
      </c>
    </row>
    <row r="560" spans="1:22" ht="24" customHeight="1">
      <c r="A560" s="219"/>
      <c r="B560" s="223"/>
      <c r="C560" s="222"/>
      <c r="D560" s="211" t="s">
        <v>813</v>
      </c>
      <c r="E560" s="209" t="s">
        <v>763</v>
      </c>
      <c r="F560" s="209">
        <v>8.8659999999999997</v>
      </c>
      <c r="G560" s="209">
        <v>1569</v>
      </c>
      <c r="H560" s="209">
        <v>265</v>
      </c>
      <c r="I560" s="209" t="s">
        <v>243</v>
      </c>
      <c r="J560" s="208">
        <v>8765</v>
      </c>
      <c r="K560" s="208">
        <v>24405</v>
      </c>
      <c r="L560" s="208">
        <v>15530</v>
      </c>
      <c r="M560" s="206" t="s">
        <v>775</v>
      </c>
      <c r="N560" s="216">
        <v>3.85</v>
      </c>
      <c r="O560" s="215">
        <f>IF(N560&gt;0,1/N560*37.7*68.6,"")</f>
        <v>671.74545454545444</v>
      </c>
      <c r="P560" s="203">
        <v>4.04</v>
      </c>
      <c r="Q560" s="202" t="s">
        <v>761</v>
      </c>
      <c r="R560" s="201" t="s">
        <v>760</v>
      </c>
      <c r="S560" s="201" t="s">
        <v>282</v>
      </c>
      <c r="T560" s="200"/>
      <c r="U560" s="199"/>
      <c r="V560" s="198" t="str">
        <f>IFERROR(IF(N560&lt;P560,"",(ROUNDDOWN(N560/P560*100,0))),"")</f>
        <v/>
      </c>
    </row>
    <row r="561" spans="1:22" ht="24" customHeight="1">
      <c r="A561" s="219"/>
      <c r="B561" s="223"/>
      <c r="C561" s="222"/>
      <c r="D561" s="211" t="s">
        <v>813</v>
      </c>
      <c r="E561" s="209" t="s">
        <v>763</v>
      </c>
      <c r="F561" s="209">
        <v>8.8659999999999997</v>
      </c>
      <c r="G561" s="209">
        <v>1569</v>
      </c>
      <c r="H561" s="209">
        <v>265</v>
      </c>
      <c r="I561" s="209" t="s">
        <v>235</v>
      </c>
      <c r="J561" s="208">
        <v>8765</v>
      </c>
      <c r="K561" s="208">
        <v>24405</v>
      </c>
      <c r="L561" s="208">
        <v>15530</v>
      </c>
      <c r="M561" s="206" t="s">
        <v>775</v>
      </c>
      <c r="N561" s="216">
        <v>3.8</v>
      </c>
      <c r="O561" s="215">
        <f>IF(N561&gt;0,1/N561*37.7*68.6,"")</f>
        <v>680.5842105263157</v>
      </c>
      <c r="P561" s="203">
        <v>4.04</v>
      </c>
      <c r="Q561" s="202" t="s">
        <v>761</v>
      </c>
      <c r="R561" s="201" t="s">
        <v>760</v>
      </c>
      <c r="S561" s="201" t="s">
        <v>282</v>
      </c>
      <c r="T561" s="200"/>
      <c r="U561" s="199"/>
      <c r="V561" s="198" t="str">
        <f>IFERROR(IF(N561&lt;P561,"",(ROUNDDOWN(N561/P561*100,0))),"")</f>
        <v/>
      </c>
    </row>
    <row r="562" spans="1:22" ht="24" customHeight="1">
      <c r="A562" s="219"/>
      <c r="B562" s="223"/>
      <c r="C562" s="222"/>
      <c r="D562" s="211" t="s">
        <v>813</v>
      </c>
      <c r="E562" s="209" t="s">
        <v>763</v>
      </c>
      <c r="F562" s="209">
        <v>8.8659999999999997</v>
      </c>
      <c r="G562" s="209">
        <v>1569</v>
      </c>
      <c r="H562" s="209">
        <v>265</v>
      </c>
      <c r="I562" s="209" t="s">
        <v>753</v>
      </c>
      <c r="J562" s="208">
        <v>8765</v>
      </c>
      <c r="K562" s="208">
        <v>24405</v>
      </c>
      <c r="L562" s="208">
        <v>15530</v>
      </c>
      <c r="M562" s="206" t="s">
        <v>775</v>
      </c>
      <c r="N562" s="216">
        <v>3.8</v>
      </c>
      <c r="O562" s="215">
        <f>IF(N562&gt;0,1/N562*37.7*68.6,"")</f>
        <v>680.5842105263157</v>
      </c>
      <c r="P562" s="203">
        <v>4.04</v>
      </c>
      <c r="Q562" s="202" t="s">
        <v>761</v>
      </c>
      <c r="R562" s="201" t="s">
        <v>760</v>
      </c>
      <c r="S562" s="201" t="s">
        <v>282</v>
      </c>
      <c r="T562" s="200"/>
      <c r="U562" s="199"/>
      <c r="V562" s="198" t="str">
        <f>IFERROR(IF(N562&lt;P562,"",(ROUNDDOWN(N562/P562*100,0))),"")</f>
        <v/>
      </c>
    </row>
    <row r="563" spans="1:22" ht="24" customHeight="1">
      <c r="A563" s="219"/>
      <c r="B563" s="223"/>
      <c r="C563" s="222"/>
      <c r="D563" s="211" t="s">
        <v>813</v>
      </c>
      <c r="E563" s="209" t="s">
        <v>763</v>
      </c>
      <c r="F563" s="209">
        <v>8.8659999999999997</v>
      </c>
      <c r="G563" s="209">
        <v>1765</v>
      </c>
      <c r="H563" s="209">
        <v>279</v>
      </c>
      <c r="I563" s="209" t="s">
        <v>243</v>
      </c>
      <c r="J563" s="208">
        <v>8765</v>
      </c>
      <c r="K563" s="208">
        <v>24405</v>
      </c>
      <c r="L563" s="208">
        <v>15530</v>
      </c>
      <c r="M563" s="206" t="s">
        <v>775</v>
      </c>
      <c r="N563" s="216">
        <v>3.95</v>
      </c>
      <c r="O563" s="215">
        <f>IF(N563&gt;0,1/N563*37.7*68.6,"")</f>
        <v>654.739240506329</v>
      </c>
      <c r="P563" s="203">
        <v>4.04</v>
      </c>
      <c r="Q563" s="202" t="s">
        <v>761</v>
      </c>
      <c r="R563" s="201" t="s">
        <v>760</v>
      </c>
      <c r="S563" s="201" t="s">
        <v>282</v>
      </c>
      <c r="T563" s="200"/>
      <c r="U563" s="199"/>
      <c r="V563" s="198" t="str">
        <f>IFERROR(IF(N563&lt;P563,"",(ROUNDDOWN(N563/P563*100,0))),"")</f>
        <v/>
      </c>
    </row>
    <row r="564" spans="1:22" ht="24" customHeight="1">
      <c r="A564" s="219"/>
      <c r="B564" s="223"/>
      <c r="C564" s="222"/>
      <c r="D564" s="211" t="s">
        <v>813</v>
      </c>
      <c r="E564" s="209" t="s">
        <v>763</v>
      </c>
      <c r="F564" s="209">
        <v>8.8659999999999997</v>
      </c>
      <c r="G564" s="209">
        <v>1569</v>
      </c>
      <c r="H564" s="209">
        <v>279</v>
      </c>
      <c r="I564" s="209" t="s">
        <v>753</v>
      </c>
      <c r="J564" s="208">
        <v>8765</v>
      </c>
      <c r="K564" s="208">
        <v>24405</v>
      </c>
      <c r="L564" s="208">
        <v>15530</v>
      </c>
      <c r="M564" s="206" t="s">
        <v>775</v>
      </c>
      <c r="N564" s="216">
        <v>3.75</v>
      </c>
      <c r="O564" s="215">
        <f>IF(N564&gt;0,1/N564*37.7*68.6,"")</f>
        <v>689.6586666666667</v>
      </c>
      <c r="P564" s="203">
        <v>4.04</v>
      </c>
      <c r="Q564" s="202" t="s">
        <v>761</v>
      </c>
      <c r="R564" s="201" t="s">
        <v>760</v>
      </c>
      <c r="S564" s="201" t="s">
        <v>282</v>
      </c>
      <c r="T564" s="200"/>
      <c r="U564" s="199"/>
      <c r="V564" s="198" t="str">
        <f>IFERROR(IF(N564&lt;P564,"",(ROUNDDOWN(N564/P564*100,0))),"")</f>
        <v/>
      </c>
    </row>
    <row r="565" spans="1:22" ht="24" customHeight="1">
      <c r="A565" s="219"/>
      <c r="B565" s="223"/>
      <c r="C565" s="222"/>
      <c r="D565" s="211" t="s">
        <v>813</v>
      </c>
      <c r="E565" s="209" t="s">
        <v>763</v>
      </c>
      <c r="F565" s="209">
        <v>8.8659999999999997</v>
      </c>
      <c r="G565" s="209">
        <v>1765</v>
      </c>
      <c r="H565" s="209">
        <v>279</v>
      </c>
      <c r="I565" s="209" t="s">
        <v>753</v>
      </c>
      <c r="J565" s="208">
        <v>8765</v>
      </c>
      <c r="K565" s="208">
        <v>24405</v>
      </c>
      <c r="L565" s="208">
        <v>15530</v>
      </c>
      <c r="M565" s="206" t="s">
        <v>775</v>
      </c>
      <c r="N565" s="216">
        <v>3.95</v>
      </c>
      <c r="O565" s="215">
        <f>IF(N565&gt;0,1/N565*37.7*68.6,"")</f>
        <v>654.739240506329</v>
      </c>
      <c r="P565" s="203">
        <v>4.04</v>
      </c>
      <c r="Q565" s="202" t="s">
        <v>761</v>
      </c>
      <c r="R565" s="201" t="s">
        <v>760</v>
      </c>
      <c r="S565" s="201" t="s">
        <v>282</v>
      </c>
      <c r="T565" s="200"/>
      <c r="U565" s="199"/>
      <c r="V565" s="198" t="str">
        <f>IFERROR(IF(N565&lt;P565,"",(ROUNDDOWN(N565/P565*100,0))),"")</f>
        <v/>
      </c>
    </row>
    <row r="566" spans="1:22" ht="24" customHeight="1">
      <c r="A566" s="219"/>
      <c r="B566" s="223"/>
      <c r="C566" s="222"/>
      <c r="D566" s="211" t="s">
        <v>812</v>
      </c>
      <c r="E566" s="209" t="s">
        <v>763</v>
      </c>
      <c r="F566" s="209">
        <v>8.8659999999999997</v>
      </c>
      <c r="G566" s="209">
        <v>1765</v>
      </c>
      <c r="H566" s="209">
        <v>279</v>
      </c>
      <c r="I566" s="209" t="s">
        <v>243</v>
      </c>
      <c r="J566" s="208">
        <v>8765</v>
      </c>
      <c r="K566" s="208">
        <v>24405</v>
      </c>
      <c r="L566" s="208">
        <v>15530</v>
      </c>
      <c r="M566" s="206" t="s">
        <v>775</v>
      </c>
      <c r="N566" s="216">
        <v>3.95</v>
      </c>
      <c r="O566" s="215">
        <f>IF(N566&gt;0,1/N566*37.7*68.6,"")</f>
        <v>654.739240506329</v>
      </c>
      <c r="P566" s="203">
        <v>4.04</v>
      </c>
      <c r="Q566" s="202" t="s">
        <v>761</v>
      </c>
      <c r="R566" s="201" t="s">
        <v>760</v>
      </c>
      <c r="S566" s="201" t="s">
        <v>282</v>
      </c>
      <c r="T566" s="200"/>
      <c r="U566" s="199"/>
      <c r="V566" s="198" t="str">
        <f>IFERROR(IF(N566&lt;P566,"",(ROUNDDOWN(N566/P566*100,0))),"")</f>
        <v/>
      </c>
    </row>
    <row r="567" spans="1:22" ht="24" customHeight="1">
      <c r="A567" s="219"/>
      <c r="B567" s="223"/>
      <c r="C567" s="222"/>
      <c r="D567" s="211" t="s">
        <v>812</v>
      </c>
      <c r="E567" s="209" t="s">
        <v>763</v>
      </c>
      <c r="F567" s="209">
        <v>8.8659999999999997</v>
      </c>
      <c r="G567" s="209">
        <v>1765</v>
      </c>
      <c r="H567" s="209">
        <v>279</v>
      </c>
      <c r="I567" s="209" t="s">
        <v>753</v>
      </c>
      <c r="J567" s="208">
        <v>8765</v>
      </c>
      <c r="K567" s="208">
        <v>24405</v>
      </c>
      <c r="L567" s="208">
        <v>15530</v>
      </c>
      <c r="M567" s="206" t="s">
        <v>775</v>
      </c>
      <c r="N567" s="216">
        <v>3.95</v>
      </c>
      <c r="O567" s="215">
        <f>IF(N567&gt;0,1/N567*37.7*68.6,"")</f>
        <v>654.739240506329</v>
      </c>
      <c r="P567" s="203">
        <v>4.04</v>
      </c>
      <c r="Q567" s="202" t="s">
        <v>761</v>
      </c>
      <c r="R567" s="201" t="s">
        <v>760</v>
      </c>
      <c r="S567" s="201" t="s">
        <v>282</v>
      </c>
      <c r="T567" s="200"/>
      <c r="U567" s="199"/>
      <c r="V567" s="198" t="str">
        <f>IFERROR(IF(N567&lt;P567,"",(ROUNDDOWN(N567/P567*100,0))),"")</f>
        <v/>
      </c>
    </row>
    <row r="568" spans="1:22" ht="24" customHeight="1">
      <c r="A568" s="219"/>
      <c r="B568" s="223"/>
      <c r="C568" s="222"/>
      <c r="D568" s="211" t="s">
        <v>811</v>
      </c>
      <c r="E568" s="209" t="s">
        <v>763</v>
      </c>
      <c r="F568" s="209">
        <v>8.8659999999999997</v>
      </c>
      <c r="G568" s="209">
        <v>1569</v>
      </c>
      <c r="H568" s="209">
        <v>265</v>
      </c>
      <c r="I568" s="209" t="s">
        <v>243</v>
      </c>
      <c r="J568" s="208">
        <v>8688</v>
      </c>
      <c r="K568" s="208">
        <v>19887</v>
      </c>
      <c r="L568" s="208">
        <v>11089</v>
      </c>
      <c r="M568" s="206" t="s">
        <v>775</v>
      </c>
      <c r="N568" s="216">
        <v>4</v>
      </c>
      <c r="O568" s="215">
        <f>IF(N568&gt;0,1/N568*37.7*68.6,"")</f>
        <v>646.55499999999995</v>
      </c>
      <c r="P568" s="203">
        <v>4.1500000000000004</v>
      </c>
      <c r="Q568" s="202" t="s">
        <v>761</v>
      </c>
      <c r="R568" s="201" t="s">
        <v>760</v>
      </c>
      <c r="S568" s="201" t="s">
        <v>774</v>
      </c>
      <c r="T568" s="200"/>
      <c r="U568" s="199"/>
      <c r="V568" s="198" t="str">
        <f>IFERROR(IF(N568&lt;P568,"",(ROUNDDOWN(N568/P568*100,0))),"")</f>
        <v/>
      </c>
    </row>
    <row r="569" spans="1:22" ht="24" customHeight="1">
      <c r="A569" s="219"/>
      <c r="B569" s="223"/>
      <c r="C569" s="222"/>
      <c r="D569" s="211" t="s">
        <v>810</v>
      </c>
      <c r="E569" s="209" t="s">
        <v>763</v>
      </c>
      <c r="F569" s="209">
        <v>8.8659999999999997</v>
      </c>
      <c r="G569" s="209">
        <v>1569</v>
      </c>
      <c r="H569" s="209">
        <v>265</v>
      </c>
      <c r="I569" s="209" t="s">
        <v>243</v>
      </c>
      <c r="J569" s="208">
        <v>8688</v>
      </c>
      <c r="K569" s="208">
        <v>19887</v>
      </c>
      <c r="L569" s="208">
        <v>11089</v>
      </c>
      <c r="M569" s="206" t="s">
        <v>775</v>
      </c>
      <c r="N569" s="216">
        <v>4</v>
      </c>
      <c r="O569" s="215">
        <f>IF(N569&gt;0,1/N569*37.7*68.6,"")</f>
        <v>646.55499999999995</v>
      </c>
      <c r="P569" s="203">
        <v>4.1500000000000004</v>
      </c>
      <c r="Q569" s="202" t="s">
        <v>761</v>
      </c>
      <c r="R569" s="201" t="s">
        <v>760</v>
      </c>
      <c r="S569" s="201" t="s">
        <v>774</v>
      </c>
      <c r="T569" s="200"/>
      <c r="U569" s="199"/>
      <c r="V569" s="198" t="str">
        <f>IFERROR(IF(N569&lt;P569,"",(ROUNDDOWN(N569/P569*100,0))),"")</f>
        <v/>
      </c>
    </row>
    <row r="570" spans="1:22" ht="24" customHeight="1">
      <c r="A570" s="219"/>
      <c r="B570" s="223"/>
      <c r="C570" s="222"/>
      <c r="D570" s="211" t="s">
        <v>809</v>
      </c>
      <c r="E570" s="209" t="s">
        <v>763</v>
      </c>
      <c r="F570" s="209">
        <v>8.8659999999999997</v>
      </c>
      <c r="G570" s="209">
        <v>1569</v>
      </c>
      <c r="H570" s="209">
        <v>265</v>
      </c>
      <c r="I570" s="209" t="s">
        <v>243</v>
      </c>
      <c r="J570" s="208">
        <v>8765</v>
      </c>
      <c r="K570" s="208">
        <v>24405</v>
      </c>
      <c r="L570" s="208">
        <v>15530</v>
      </c>
      <c r="M570" s="206" t="s">
        <v>775</v>
      </c>
      <c r="N570" s="216">
        <v>3.85</v>
      </c>
      <c r="O570" s="215">
        <f>IF(N570&gt;0,1/N570*37.7*68.6,"")</f>
        <v>671.74545454545444</v>
      </c>
      <c r="P570" s="203">
        <v>4.04</v>
      </c>
      <c r="Q570" s="202" t="s">
        <v>761</v>
      </c>
      <c r="R570" s="201" t="s">
        <v>760</v>
      </c>
      <c r="S570" s="201" t="s">
        <v>774</v>
      </c>
      <c r="T570" s="200"/>
      <c r="U570" s="199"/>
      <c r="V570" s="198" t="str">
        <f>IFERROR(IF(N570&lt;P570,"",(ROUNDDOWN(N570/P570*100,0))),"")</f>
        <v/>
      </c>
    </row>
    <row r="571" spans="1:22" ht="24" customHeight="1">
      <c r="A571" s="219"/>
      <c r="B571" s="223"/>
      <c r="C571" s="222"/>
      <c r="D571" s="211" t="s">
        <v>808</v>
      </c>
      <c r="E571" s="209" t="s">
        <v>763</v>
      </c>
      <c r="F571" s="209">
        <v>8.8659999999999997</v>
      </c>
      <c r="G571" s="209">
        <v>1569</v>
      </c>
      <c r="H571" s="209">
        <v>265</v>
      </c>
      <c r="I571" s="209" t="s">
        <v>243</v>
      </c>
      <c r="J571" s="208">
        <v>8765</v>
      </c>
      <c r="K571" s="208">
        <v>24405</v>
      </c>
      <c r="L571" s="208">
        <v>15530</v>
      </c>
      <c r="M571" s="206" t="s">
        <v>775</v>
      </c>
      <c r="N571" s="216">
        <v>3.85</v>
      </c>
      <c r="O571" s="215">
        <f>IF(N571&gt;0,1/N571*37.7*68.6,"")</f>
        <v>671.74545454545444</v>
      </c>
      <c r="P571" s="203">
        <v>4.04</v>
      </c>
      <c r="Q571" s="202" t="s">
        <v>761</v>
      </c>
      <c r="R571" s="201" t="s">
        <v>760</v>
      </c>
      <c r="S571" s="201" t="s">
        <v>774</v>
      </c>
      <c r="T571" s="200"/>
      <c r="U571" s="199"/>
      <c r="V571" s="198" t="str">
        <f>IFERROR(IF(N571&lt;P571,"",(ROUNDDOWN(N571/P571*100,0))),"")</f>
        <v/>
      </c>
    </row>
    <row r="572" spans="1:22" ht="24" customHeight="1">
      <c r="A572" s="219"/>
      <c r="B572" s="223"/>
      <c r="C572" s="222"/>
      <c r="D572" s="211" t="s">
        <v>808</v>
      </c>
      <c r="E572" s="209" t="s">
        <v>763</v>
      </c>
      <c r="F572" s="209">
        <v>8.8659999999999997</v>
      </c>
      <c r="G572" s="209">
        <v>1569</v>
      </c>
      <c r="H572" s="209">
        <v>265</v>
      </c>
      <c r="I572" s="209" t="s">
        <v>753</v>
      </c>
      <c r="J572" s="208">
        <v>8765</v>
      </c>
      <c r="K572" s="208">
        <v>24405</v>
      </c>
      <c r="L572" s="208">
        <v>15530</v>
      </c>
      <c r="M572" s="206" t="s">
        <v>775</v>
      </c>
      <c r="N572" s="216">
        <v>3.8</v>
      </c>
      <c r="O572" s="215">
        <f>IF(N572&gt;0,1/N572*37.7*68.6,"")</f>
        <v>680.5842105263157</v>
      </c>
      <c r="P572" s="203">
        <v>4.04</v>
      </c>
      <c r="Q572" s="202" t="s">
        <v>761</v>
      </c>
      <c r="R572" s="201" t="s">
        <v>760</v>
      </c>
      <c r="S572" s="201" t="s">
        <v>774</v>
      </c>
      <c r="T572" s="200"/>
      <c r="U572" s="199"/>
      <c r="V572" s="198" t="str">
        <f>IFERROR(IF(N572&lt;P572,"",(ROUNDDOWN(N572/P572*100,0))),"")</f>
        <v/>
      </c>
    </row>
    <row r="573" spans="1:22" ht="24" customHeight="1">
      <c r="A573" s="219"/>
      <c r="B573" s="223"/>
      <c r="C573" s="222"/>
      <c r="D573" s="211" t="s">
        <v>807</v>
      </c>
      <c r="E573" s="209" t="s">
        <v>763</v>
      </c>
      <c r="F573" s="209">
        <v>8.8659999999999997</v>
      </c>
      <c r="G573" s="209">
        <v>1569</v>
      </c>
      <c r="H573" s="209">
        <v>265</v>
      </c>
      <c r="I573" s="209" t="s">
        <v>235</v>
      </c>
      <c r="J573" s="208">
        <v>10525</v>
      </c>
      <c r="K573" s="208">
        <v>34635</v>
      </c>
      <c r="L573" s="208">
        <v>24000</v>
      </c>
      <c r="M573" s="206" t="s">
        <v>772</v>
      </c>
      <c r="N573" s="216">
        <v>2.95</v>
      </c>
      <c r="O573" s="215">
        <f>IF(N573&gt;0,1/N573*37.7*68.6,"")</f>
        <v>876.68474576271183</v>
      </c>
      <c r="P573" s="203">
        <v>3.09</v>
      </c>
      <c r="Q573" s="202" t="s">
        <v>761</v>
      </c>
      <c r="R573" s="201" t="s">
        <v>760</v>
      </c>
      <c r="S573" s="201" t="s">
        <v>771</v>
      </c>
      <c r="T573" s="200"/>
      <c r="U573" s="199"/>
      <c r="V573" s="198" t="str">
        <f>IFERROR(IF(N573&lt;P573,"",(ROUNDDOWN(N573/P573*100,0))),"")</f>
        <v/>
      </c>
    </row>
    <row r="574" spans="1:22" ht="24" customHeight="1">
      <c r="A574" s="219"/>
      <c r="B574" s="223"/>
      <c r="C574" s="222"/>
      <c r="D574" s="211" t="s">
        <v>806</v>
      </c>
      <c r="E574" s="209" t="s">
        <v>763</v>
      </c>
      <c r="F574" s="209">
        <v>8.8659999999999997</v>
      </c>
      <c r="G574" s="209">
        <v>1569</v>
      </c>
      <c r="H574" s="209">
        <v>265</v>
      </c>
      <c r="I574" s="209" t="s">
        <v>243</v>
      </c>
      <c r="J574" s="208">
        <v>10525</v>
      </c>
      <c r="K574" s="208">
        <v>34635</v>
      </c>
      <c r="L574" s="208">
        <v>24000</v>
      </c>
      <c r="M574" s="206" t="s">
        <v>767</v>
      </c>
      <c r="N574" s="216">
        <v>3</v>
      </c>
      <c r="O574" s="215">
        <f>IF(N574&gt;0,1/N574*37.7*68.6,"")</f>
        <v>862.07333333333327</v>
      </c>
      <c r="P574" s="203">
        <v>3.09</v>
      </c>
      <c r="Q574" s="202" t="s">
        <v>761</v>
      </c>
      <c r="R574" s="201" t="s">
        <v>760</v>
      </c>
      <c r="S574" s="201" t="s">
        <v>34</v>
      </c>
      <c r="T574" s="200"/>
      <c r="U574" s="199"/>
      <c r="V574" s="198" t="str">
        <f>IFERROR(IF(N574&lt;P574,"",(ROUNDDOWN(N574/P574*100,0))),"")</f>
        <v/>
      </c>
    </row>
    <row r="575" spans="1:22" ht="24" customHeight="1">
      <c r="A575" s="219"/>
      <c r="B575" s="223"/>
      <c r="C575" s="222"/>
      <c r="D575" s="211" t="s">
        <v>806</v>
      </c>
      <c r="E575" s="209" t="s">
        <v>763</v>
      </c>
      <c r="F575" s="209">
        <v>8.8659999999999997</v>
      </c>
      <c r="G575" s="209">
        <v>1569</v>
      </c>
      <c r="H575" s="209">
        <v>265</v>
      </c>
      <c r="I575" s="209" t="s">
        <v>235</v>
      </c>
      <c r="J575" s="208">
        <v>10525</v>
      </c>
      <c r="K575" s="208">
        <v>34635</v>
      </c>
      <c r="L575" s="208">
        <v>24000</v>
      </c>
      <c r="M575" s="206" t="s">
        <v>767</v>
      </c>
      <c r="N575" s="216">
        <v>2.95</v>
      </c>
      <c r="O575" s="215">
        <f>IF(N575&gt;0,1/N575*37.7*68.6,"")</f>
        <v>876.68474576271183</v>
      </c>
      <c r="P575" s="203">
        <v>3.09</v>
      </c>
      <c r="Q575" s="202" t="s">
        <v>761</v>
      </c>
      <c r="R575" s="201" t="s">
        <v>760</v>
      </c>
      <c r="S575" s="201" t="s">
        <v>34</v>
      </c>
      <c r="T575" s="200"/>
      <c r="U575" s="199"/>
      <c r="V575" s="198" t="str">
        <f>IFERROR(IF(N575&lt;P575,"",(ROUNDDOWN(N575/P575*100,0))),"")</f>
        <v/>
      </c>
    </row>
    <row r="576" spans="1:22" ht="24" customHeight="1">
      <c r="A576" s="219"/>
      <c r="B576" s="223"/>
      <c r="C576" s="222"/>
      <c r="D576" s="211" t="s">
        <v>806</v>
      </c>
      <c r="E576" s="209" t="s">
        <v>763</v>
      </c>
      <c r="F576" s="209">
        <v>8.8659999999999997</v>
      </c>
      <c r="G576" s="209">
        <v>1569</v>
      </c>
      <c r="H576" s="209">
        <v>265</v>
      </c>
      <c r="I576" s="209" t="s">
        <v>753</v>
      </c>
      <c r="J576" s="208">
        <v>10525</v>
      </c>
      <c r="K576" s="208">
        <v>34635</v>
      </c>
      <c r="L576" s="208">
        <v>24000</v>
      </c>
      <c r="M576" s="206" t="s">
        <v>767</v>
      </c>
      <c r="N576" s="216">
        <v>2.9</v>
      </c>
      <c r="O576" s="215">
        <f>IF(N576&gt;0,1/N576*37.7*68.6,"")</f>
        <v>891.80000000000007</v>
      </c>
      <c r="P576" s="203">
        <v>3.09</v>
      </c>
      <c r="Q576" s="202" t="s">
        <v>761</v>
      </c>
      <c r="R576" s="201" t="s">
        <v>760</v>
      </c>
      <c r="S576" s="201" t="s">
        <v>34</v>
      </c>
      <c r="T576" s="200"/>
      <c r="U576" s="199"/>
      <c r="V576" s="198" t="str">
        <f>IFERROR(IF(N576&lt;P576,"",(ROUNDDOWN(N576/P576*100,0))),"")</f>
        <v/>
      </c>
    </row>
    <row r="577" spans="1:22" ht="24" customHeight="1">
      <c r="A577" s="219"/>
      <c r="B577" s="223"/>
      <c r="C577" s="222"/>
      <c r="D577" s="211" t="s">
        <v>805</v>
      </c>
      <c r="E577" s="209" t="s">
        <v>763</v>
      </c>
      <c r="F577" s="209">
        <v>8.8659999999999997</v>
      </c>
      <c r="G577" s="209">
        <v>1569</v>
      </c>
      <c r="H577" s="209">
        <v>265</v>
      </c>
      <c r="I577" s="209" t="s">
        <v>235</v>
      </c>
      <c r="J577" s="208">
        <v>10525</v>
      </c>
      <c r="K577" s="208">
        <v>34635</v>
      </c>
      <c r="L577" s="208">
        <v>24000</v>
      </c>
      <c r="M577" s="206" t="s">
        <v>767</v>
      </c>
      <c r="N577" s="216">
        <v>2.95</v>
      </c>
      <c r="O577" s="215">
        <f>IF(N577&gt;0,1/N577*37.7*68.6,"")</f>
        <v>876.68474576271183</v>
      </c>
      <c r="P577" s="203">
        <v>3.09</v>
      </c>
      <c r="Q577" s="202" t="s">
        <v>761</v>
      </c>
      <c r="R577" s="201" t="s">
        <v>760</v>
      </c>
      <c r="S577" s="201" t="s">
        <v>34</v>
      </c>
      <c r="T577" s="200"/>
      <c r="U577" s="199"/>
      <c r="V577" s="198" t="str">
        <f>IFERROR(IF(N577&lt;P577,"",(ROUNDDOWN(N577/P577*100,0))),"")</f>
        <v/>
      </c>
    </row>
    <row r="578" spans="1:22" ht="24" customHeight="1">
      <c r="A578" s="219"/>
      <c r="B578" s="223"/>
      <c r="C578" s="222"/>
      <c r="D578" s="211" t="s">
        <v>804</v>
      </c>
      <c r="E578" s="209" t="s">
        <v>763</v>
      </c>
      <c r="F578" s="209">
        <v>8.8659999999999997</v>
      </c>
      <c r="G578" s="209">
        <v>1569</v>
      </c>
      <c r="H578" s="209">
        <v>265</v>
      </c>
      <c r="I578" s="209" t="s">
        <v>235</v>
      </c>
      <c r="J578" s="208">
        <v>10525</v>
      </c>
      <c r="K578" s="208">
        <v>34635</v>
      </c>
      <c r="L578" s="208">
        <v>24000</v>
      </c>
      <c r="M578" s="206" t="s">
        <v>767</v>
      </c>
      <c r="N578" s="216">
        <v>2.95</v>
      </c>
      <c r="O578" s="215">
        <f>IF(N578&gt;0,1/N578*37.7*68.6,"")</f>
        <v>876.68474576271183</v>
      </c>
      <c r="P578" s="203">
        <v>3.09</v>
      </c>
      <c r="Q578" s="202" t="s">
        <v>761</v>
      </c>
      <c r="R578" s="201" t="s">
        <v>760</v>
      </c>
      <c r="S578" s="201" t="s">
        <v>34</v>
      </c>
      <c r="T578" s="200"/>
      <c r="U578" s="199"/>
      <c r="V578" s="198" t="str">
        <f>IFERROR(IF(N578&lt;P578,"",(ROUNDDOWN(N578/P578*100,0))),"")</f>
        <v/>
      </c>
    </row>
    <row r="579" spans="1:22" ht="24" customHeight="1">
      <c r="A579" s="219"/>
      <c r="B579" s="223"/>
      <c r="C579" s="222"/>
      <c r="D579" s="211" t="s">
        <v>803</v>
      </c>
      <c r="E579" s="209" t="s">
        <v>763</v>
      </c>
      <c r="F579" s="209">
        <v>8.8659999999999997</v>
      </c>
      <c r="G579" s="209">
        <v>1569</v>
      </c>
      <c r="H579" s="209">
        <v>279</v>
      </c>
      <c r="I579" s="209" t="s">
        <v>802</v>
      </c>
      <c r="J579" s="208">
        <v>8688</v>
      </c>
      <c r="K579" s="208">
        <v>19887</v>
      </c>
      <c r="L579" s="208">
        <v>11089</v>
      </c>
      <c r="M579" s="206" t="s">
        <v>745</v>
      </c>
      <c r="N579" s="216">
        <v>3.4</v>
      </c>
      <c r="O579" s="215">
        <f>IF(N579&gt;0,1/N579*37.7*68.6,"")</f>
        <v>760.65294117647068</v>
      </c>
      <c r="P579" s="203">
        <v>4.1500000000000004</v>
      </c>
      <c r="Q579" s="202" t="s">
        <v>761</v>
      </c>
      <c r="R579" s="201" t="s">
        <v>760</v>
      </c>
      <c r="S579" s="201" t="s">
        <v>801</v>
      </c>
      <c r="T579" s="200"/>
      <c r="U579" s="199"/>
      <c r="V579" s="198" t="str">
        <f>IFERROR(IF(N579&lt;P579,"",(ROUNDDOWN(N579/P579*100,0))),"")</f>
        <v/>
      </c>
    </row>
    <row r="580" spans="1:22" ht="24" customHeight="1">
      <c r="A580" s="219"/>
      <c r="B580" s="223"/>
      <c r="C580" s="222"/>
      <c r="D580" s="211" t="s">
        <v>803</v>
      </c>
      <c r="E580" s="209" t="s">
        <v>763</v>
      </c>
      <c r="F580" s="209">
        <v>8.8659999999999997</v>
      </c>
      <c r="G580" s="209">
        <v>1569</v>
      </c>
      <c r="H580" s="209">
        <v>279</v>
      </c>
      <c r="I580" s="209" t="s">
        <v>802</v>
      </c>
      <c r="J580" s="208">
        <v>8765</v>
      </c>
      <c r="K580" s="208">
        <v>24405</v>
      </c>
      <c r="L580" s="208">
        <v>15530</v>
      </c>
      <c r="M580" s="206" t="s">
        <v>745</v>
      </c>
      <c r="N580" s="216">
        <v>3.25</v>
      </c>
      <c r="O580" s="215">
        <f>IF(N580&gt;0,1/N580*37.7*68.6,"")</f>
        <v>795.76</v>
      </c>
      <c r="P580" s="203">
        <v>4.04</v>
      </c>
      <c r="Q580" s="202" t="s">
        <v>761</v>
      </c>
      <c r="R580" s="201" t="s">
        <v>760</v>
      </c>
      <c r="S580" s="201" t="s">
        <v>801</v>
      </c>
      <c r="T580" s="200"/>
      <c r="U580" s="199"/>
      <c r="V580" s="198" t="str">
        <f>IFERROR(IF(N580&lt;P580,"",(ROUNDDOWN(N580/P580*100,0))),"")</f>
        <v/>
      </c>
    </row>
    <row r="581" spans="1:22" ht="24" customHeight="1">
      <c r="A581" s="219"/>
      <c r="B581" s="223"/>
      <c r="C581" s="222"/>
      <c r="D581" s="211" t="s">
        <v>759</v>
      </c>
      <c r="E581" s="209" t="s">
        <v>754</v>
      </c>
      <c r="F581" s="209">
        <v>8.8659999999999997</v>
      </c>
      <c r="G581" s="209">
        <v>1765</v>
      </c>
      <c r="H581" s="209">
        <v>279</v>
      </c>
      <c r="I581" s="209" t="s">
        <v>753</v>
      </c>
      <c r="J581" s="208">
        <v>8765</v>
      </c>
      <c r="K581" s="208">
        <v>24405</v>
      </c>
      <c r="L581" s="208">
        <v>15530</v>
      </c>
      <c r="M581" s="206" t="s">
        <v>745</v>
      </c>
      <c r="N581" s="216">
        <v>4.25</v>
      </c>
      <c r="O581" s="215">
        <f>IF(N581&gt;0,1/N581*37.7*68.6,"")</f>
        <v>608.52235294117645</v>
      </c>
      <c r="P581" s="203">
        <v>4.04</v>
      </c>
      <c r="Q581" s="202" t="s">
        <v>800</v>
      </c>
      <c r="R581" s="201" t="s">
        <v>760</v>
      </c>
      <c r="S581" s="201" t="s">
        <v>249</v>
      </c>
      <c r="T581" s="200"/>
      <c r="U581" s="199"/>
      <c r="V581" s="198">
        <f>IFERROR(IF(N581&lt;P581,"",(ROUNDDOWN(N581/P581*100,0))),"")</f>
        <v>105</v>
      </c>
    </row>
    <row r="582" spans="1:22" ht="24" customHeight="1">
      <c r="A582" s="219"/>
      <c r="B582" s="223"/>
      <c r="C582" s="222"/>
      <c r="D582" s="211" t="s">
        <v>757</v>
      </c>
      <c r="E582" s="209" t="s">
        <v>754</v>
      </c>
      <c r="F582" s="209">
        <v>8.8659999999999997</v>
      </c>
      <c r="G582" s="209">
        <v>1765</v>
      </c>
      <c r="H582" s="209">
        <v>279</v>
      </c>
      <c r="I582" s="209" t="s">
        <v>753</v>
      </c>
      <c r="J582" s="208">
        <v>8765</v>
      </c>
      <c r="K582" s="208">
        <v>24405</v>
      </c>
      <c r="L582" s="208">
        <v>15530</v>
      </c>
      <c r="M582" s="206" t="s">
        <v>745</v>
      </c>
      <c r="N582" s="216">
        <v>4.25</v>
      </c>
      <c r="O582" s="215">
        <f>IF(N582&gt;0,1/N582*37.7*68.6,"")</f>
        <v>608.52235294117645</v>
      </c>
      <c r="P582" s="203">
        <v>4.04</v>
      </c>
      <c r="Q582" s="202" t="s">
        <v>800</v>
      </c>
      <c r="R582" s="201" t="s">
        <v>760</v>
      </c>
      <c r="S582" s="201" t="s">
        <v>249</v>
      </c>
      <c r="T582" s="200"/>
      <c r="U582" s="199"/>
      <c r="V582" s="198">
        <f>IFERROR(IF(N582&lt;P582,"",(ROUNDDOWN(N582/P582*100,0))),"")</f>
        <v>105</v>
      </c>
    </row>
    <row r="583" spans="1:22" ht="24" customHeight="1">
      <c r="A583" s="219"/>
      <c r="B583" s="223"/>
      <c r="C583" s="222"/>
      <c r="D583" s="211" t="s">
        <v>756</v>
      </c>
      <c r="E583" s="209" t="s">
        <v>754</v>
      </c>
      <c r="F583" s="209">
        <v>8.8659999999999997</v>
      </c>
      <c r="G583" s="209">
        <v>1765</v>
      </c>
      <c r="H583" s="209">
        <v>279</v>
      </c>
      <c r="I583" s="209" t="s">
        <v>753</v>
      </c>
      <c r="J583" s="208">
        <v>8765</v>
      </c>
      <c r="K583" s="208">
        <v>24405</v>
      </c>
      <c r="L583" s="208">
        <v>15530</v>
      </c>
      <c r="M583" s="206" t="s">
        <v>745</v>
      </c>
      <c r="N583" s="216">
        <v>4.25</v>
      </c>
      <c r="O583" s="215">
        <f>IF(N583&gt;0,1/N583*37.7*68.6,"")</f>
        <v>608.52235294117645</v>
      </c>
      <c r="P583" s="203">
        <v>4.04</v>
      </c>
      <c r="Q583" s="202" t="s">
        <v>800</v>
      </c>
      <c r="R583" s="201" t="s">
        <v>760</v>
      </c>
      <c r="S583" s="201" t="s">
        <v>282</v>
      </c>
      <c r="T583" s="200"/>
      <c r="U583" s="199"/>
      <c r="V583" s="198">
        <f>IFERROR(IF(N583&lt;P583,"",(ROUNDDOWN(N583/P583*100,0))),"")</f>
        <v>105</v>
      </c>
    </row>
    <row r="584" spans="1:22" ht="24" customHeight="1">
      <c r="A584" s="219"/>
      <c r="B584" s="223"/>
      <c r="C584" s="222"/>
      <c r="D584" s="211" t="s">
        <v>755</v>
      </c>
      <c r="E584" s="209" t="s">
        <v>754</v>
      </c>
      <c r="F584" s="209">
        <v>8.8659999999999997</v>
      </c>
      <c r="G584" s="209">
        <v>1765</v>
      </c>
      <c r="H584" s="209">
        <v>279</v>
      </c>
      <c r="I584" s="209" t="s">
        <v>762</v>
      </c>
      <c r="J584" s="208">
        <v>8765</v>
      </c>
      <c r="K584" s="208">
        <v>24405</v>
      </c>
      <c r="L584" s="208">
        <v>15530</v>
      </c>
      <c r="M584" s="206" t="s">
        <v>745</v>
      </c>
      <c r="N584" s="216">
        <v>4.25</v>
      </c>
      <c r="O584" s="215">
        <f>IF(N584&gt;0,1/N584*37.7*68.6,"")</f>
        <v>608.52235294117645</v>
      </c>
      <c r="P584" s="203">
        <v>4.04</v>
      </c>
      <c r="Q584" s="202" t="s">
        <v>800</v>
      </c>
      <c r="R584" s="201" t="s">
        <v>760</v>
      </c>
      <c r="S584" s="201" t="s">
        <v>282</v>
      </c>
      <c r="T584" s="200"/>
      <c r="U584" s="199"/>
      <c r="V584" s="198">
        <f>IFERROR(IF(N584&lt;P584,"",(ROUNDDOWN(N584/P584*100,0))),"")</f>
        <v>105</v>
      </c>
    </row>
    <row r="585" spans="1:22" ht="24" customHeight="1">
      <c r="A585" s="226"/>
      <c r="B585" s="225"/>
      <c r="C585" s="224"/>
      <c r="D585" s="211" t="s">
        <v>799</v>
      </c>
      <c r="E585" s="209" t="s">
        <v>763</v>
      </c>
      <c r="F585" s="209">
        <v>8.8659999999999997</v>
      </c>
      <c r="G585" s="209">
        <v>1569</v>
      </c>
      <c r="H585" s="209">
        <v>265</v>
      </c>
      <c r="I585" s="209" t="s">
        <v>243</v>
      </c>
      <c r="J585" s="208">
        <v>8688</v>
      </c>
      <c r="K585" s="208">
        <v>19887</v>
      </c>
      <c r="L585" s="208">
        <v>11089</v>
      </c>
      <c r="M585" s="206" t="s">
        <v>775</v>
      </c>
      <c r="N585" s="216">
        <v>4</v>
      </c>
      <c r="O585" s="215">
        <f>IF(N585&gt;0,1/N585*37.7*68.6,"")</f>
        <v>646.55499999999995</v>
      </c>
      <c r="P585" s="203">
        <v>4.1500000000000004</v>
      </c>
      <c r="Q585" s="202" t="s">
        <v>761</v>
      </c>
      <c r="R585" s="201" t="s">
        <v>760</v>
      </c>
      <c r="S585" s="201" t="s">
        <v>794</v>
      </c>
      <c r="T585" s="220" t="s">
        <v>751</v>
      </c>
      <c r="U585" s="199"/>
      <c r="V585" s="198" t="str">
        <f>IFERROR(IF(N585&lt;P585,"",(ROUNDDOWN(N585/P585*100,0))),"")</f>
        <v/>
      </c>
    </row>
    <row r="586" spans="1:22" ht="24" customHeight="1">
      <c r="A586" s="219"/>
      <c r="B586" s="223"/>
      <c r="C586" s="222"/>
      <c r="D586" s="211" t="s">
        <v>799</v>
      </c>
      <c r="E586" s="209" t="s">
        <v>763</v>
      </c>
      <c r="F586" s="209">
        <v>8.8659999999999997</v>
      </c>
      <c r="G586" s="209">
        <v>1765</v>
      </c>
      <c r="H586" s="209">
        <v>279</v>
      </c>
      <c r="I586" s="209" t="s">
        <v>243</v>
      </c>
      <c r="J586" s="208">
        <v>8688</v>
      </c>
      <c r="K586" s="208">
        <v>19887</v>
      </c>
      <c r="L586" s="208">
        <v>11089</v>
      </c>
      <c r="M586" s="206" t="s">
        <v>775</v>
      </c>
      <c r="N586" s="216">
        <v>4</v>
      </c>
      <c r="O586" s="215">
        <f>IF(N586&gt;0,1/N586*37.7*68.6,"")</f>
        <v>646.55499999999995</v>
      </c>
      <c r="P586" s="203">
        <v>4.1500000000000004</v>
      </c>
      <c r="Q586" s="202" t="s">
        <v>761</v>
      </c>
      <c r="R586" s="201" t="s">
        <v>760</v>
      </c>
      <c r="S586" s="201" t="s">
        <v>794</v>
      </c>
      <c r="T586" s="220" t="s">
        <v>751</v>
      </c>
      <c r="U586" s="199"/>
      <c r="V586" s="198" t="str">
        <f>IFERROR(IF(N586&lt;P586,"",(ROUNDDOWN(N586/P586*100,0))),"")</f>
        <v/>
      </c>
    </row>
    <row r="587" spans="1:22" ht="24" customHeight="1">
      <c r="A587" s="219"/>
      <c r="B587" s="223"/>
      <c r="C587" s="222"/>
      <c r="D587" s="211" t="s">
        <v>799</v>
      </c>
      <c r="E587" s="209" t="s">
        <v>763</v>
      </c>
      <c r="F587" s="209">
        <v>8.8659999999999997</v>
      </c>
      <c r="G587" s="209">
        <v>1569</v>
      </c>
      <c r="H587" s="209">
        <v>265</v>
      </c>
      <c r="I587" s="209" t="s">
        <v>753</v>
      </c>
      <c r="J587" s="208">
        <v>8688</v>
      </c>
      <c r="K587" s="208">
        <v>19887</v>
      </c>
      <c r="L587" s="208">
        <v>11089</v>
      </c>
      <c r="M587" s="206" t="s">
        <v>775</v>
      </c>
      <c r="N587" s="216">
        <v>3.95</v>
      </c>
      <c r="O587" s="215">
        <f>IF(N587&gt;0,1/N587*37.7*68.6,"")</f>
        <v>654.739240506329</v>
      </c>
      <c r="P587" s="203">
        <v>4.1500000000000004</v>
      </c>
      <c r="Q587" s="202" t="s">
        <v>761</v>
      </c>
      <c r="R587" s="201" t="s">
        <v>760</v>
      </c>
      <c r="S587" s="201" t="s">
        <v>794</v>
      </c>
      <c r="T587" s="220" t="s">
        <v>751</v>
      </c>
      <c r="U587" s="199"/>
      <c r="V587" s="198" t="str">
        <f>IFERROR(IF(N587&lt;P587,"",(ROUNDDOWN(N587/P587*100,0))),"")</f>
        <v/>
      </c>
    </row>
    <row r="588" spans="1:22" ht="24" customHeight="1">
      <c r="A588" s="219"/>
      <c r="B588" s="223"/>
      <c r="C588" s="222"/>
      <c r="D588" s="211" t="s">
        <v>799</v>
      </c>
      <c r="E588" s="209" t="s">
        <v>763</v>
      </c>
      <c r="F588" s="209">
        <v>8.8659999999999997</v>
      </c>
      <c r="G588" s="209">
        <v>1765</v>
      </c>
      <c r="H588" s="209">
        <v>279</v>
      </c>
      <c r="I588" s="209" t="s">
        <v>753</v>
      </c>
      <c r="J588" s="208">
        <v>8688</v>
      </c>
      <c r="K588" s="208">
        <v>19887</v>
      </c>
      <c r="L588" s="208">
        <v>11089</v>
      </c>
      <c r="M588" s="206" t="s">
        <v>775</v>
      </c>
      <c r="N588" s="216">
        <v>4.0999999999999996</v>
      </c>
      <c r="O588" s="215">
        <f>IF(N588&gt;0,1/N588*37.7*68.6,"")</f>
        <v>630.78536585365862</v>
      </c>
      <c r="P588" s="203">
        <v>4.1500000000000004</v>
      </c>
      <c r="Q588" s="202" t="s">
        <v>761</v>
      </c>
      <c r="R588" s="201" t="s">
        <v>760</v>
      </c>
      <c r="S588" s="201" t="s">
        <v>794</v>
      </c>
      <c r="T588" s="220" t="s">
        <v>751</v>
      </c>
      <c r="U588" s="199"/>
      <c r="V588" s="198" t="str">
        <f>IFERROR(IF(N588&lt;P588,"",(ROUNDDOWN(N588/P588*100,0))),"")</f>
        <v/>
      </c>
    </row>
    <row r="589" spans="1:22" ht="24" customHeight="1">
      <c r="A589" s="219"/>
      <c r="B589" s="223"/>
      <c r="C589" s="222"/>
      <c r="D589" s="211" t="s">
        <v>798</v>
      </c>
      <c r="E589" s="209" t="s">
        <v>763</v>
      </c>
      <c r="F589" s="209">
        <v>8.8659999999999997</v>
      </c>
      <c r="G589" s="209">
        <v>1569</v>
      </c>
      <c r="H589" s="209">
        <v>265</v>
      </c>
      <c r="I589" s="209" t="s">
        <v>71</v>
      </c>
      <c r="J589" s="208">
        <v>8765</v>
      </c>
      <c r="K589" s="208">
        <v>24405</v>
      </c>
      <c r="L589" s="208">
        <v>15530</v>
      </c>
      <c r="M589" s="206" t="s">
        <v>775</v>
      </c>
      <c r="N589" s="216">
        <v>3.75</v>
      </c>
      <c r="O589" s="215">
        <f>IF(N589&gt;0,1/N589*37.7*68.6,"")</f>
        <v>689.6586666666667</v>
      </c>
      <c r="P589" s="203">
        <v>4.04</v>
      </c>
      <c r="Q589" s="202" t="s">
        <v>761</v>
      </c>
      <c r="R589" s="201" t="s">
        <v>760</v>
      </c>
      <c r="S589" s="201" t="s">
        <v>794</v>
      </c>
      <c r="T589" s="220" t="s">
        <v>751</v>
      </c>
      <c r="U589" s="199"/>
      <c r="V589" s="198" t="str">
        <f>IFERROR(IF(N589&lt;P589,"",(ROUNDDOWN(N589/P589*100,0))),"")</f>
        <v/>
      </c>
    </row>
    <row r="590" spans="1:22" ht="24" customHeight="1">
      <c r="A590" s="219"/>
      <c r="B590" s="223"/>
      <c r="C590" s="222"/>
      <c r="D590" s="211" t="s">
        <v>798</v>
      </c>
      <c r="E590" s="209" t="s">
        <v>763</v>
      </c>
      <c r="F590" s="209">
        <v>8.8659999999999997</v>
      </c>
      <c r="G590" s="209">
        <v>1569</v>
      </c>
      <c r="H590" s="209">
        <v>265</v>
      </c>
      <c r="I590" s="209" t="s">
        <v>243</v>
      </c>
      <c r="J590" s="208">
        <v>8765</v>
      </c>
      <c r="K590" s="208">
        <v>24405</v>
      </c>
      <c r="L590" s="208">
        <v>15530</v>
      </c>
      <c r="M590" s="206" t="s">
        <v>775</v>
      </c>
      <c r="N590" s="216">
        <v>3.85</v>
      </c>
      <c r="O590" s="215">
        <f>IF(N590&gt;0,1/N590*37.7*68.6,"")</f>
        <v>671.74545454545444</v>
      </c>
      <c r="P590" s="203">
        <v>4.04</v>
      </c>
      <c r="Q590" s="202" t="s">
        <v>761</v>
      </c>
      <c r="R590" s="201" t="s">
        <v>760</v>
      </c>
      <c r="S590" s="201" t="s">
        <v>794</v>
      </c>
      <c r="T590" s="220" t="s">
        <v>751</v>
      </c>
      <c r="U590" s="199"/>
      <c r="V590" s="198" t="str">
        <f>IFERROR(IF(N590&lt;P590,"",(ROUNDDOWN(N590/P590*100,0))),"")</f>
        <v/>
      </c>
    </row>
    <row r="591" spans="1:22" ht="24" customHeight="1">
      <c r="A591" s="219"/>
      <c r="B591" s="223"/>
      <c r="C591" s="222"/>
      <c r="D591" s="211" t="s">
        <v>798</v>
      </c>
      <c r="E591" s="209" t="s">
        <v>763</v>
      </c>
      <c r="F591" s="209">
        <v>8.8659999999999997</v>
      </c>
      <c r="G591" s="209">
        <v>1765</v>
      </c>
      <c r="H591" s="209">
        <v>279</v>
      </c>
      <c r="I591" s="209" t="s">
        <v>71</v>
      </c>
      <c r="J591" s="208">
        <v>8765</v>
      </c>
      <c r="K591" s="208">
        <v>24405</v>
      </c>
      <c r="L591" s="208">
        <v>15530</v>
      </c>
      <c r="M591" s="206" t="s">
        <v>775</v>
      </c>
      <c r="N591" s="216">
        <v>3.75</v>
      </c>
      <c r="O591" s="215">
        <f>IF(N591&gt;0,1/N591*37.7*68.6,"")</f>
        <v>689.6586666666667</v>
      </c>
      <c r="P591" s="203">
        <v>4.04</v>
      </c>
      <c r="Q591" s="202" t="s">
        <v>761</v>
      </c>
      <c r="R591" s="201" t="s">
        <v>760</v>
      </c>
      <c r="S591" s="201" t="s">
        <v>794</v>
      </c>
      <c r="T591" s="220" t="s">
        <v>751</v>
      </c>
      <c r="U591" s="199"/>
      <c r="V591" s="198" t="str">
        <f>IFERROR(IF(N591&lt;P591,"",(ROUNDDOWN(N591/P591*100,0))),"")</f>
        <v/>
      </c>
    </row>
    <row r="592" spans="1:22" ht="24" customHeight="1">
      <c r="A592" s="219"/>
      <c r="B592" s="223"/>
      <c r="C592" s="222"/>
      <c r="D592" s="211" t="s">
        <v>798</v>
      </c>
      <c r="E592" s="209" t="s">
        <v>763</v>
      </c>
      <c r="F592" s="209">
        <v>8.8659999999999997</v>
      </c>
      <c r="G592" s="209">
        <v>1765</v>
      </c>
      <c r="H592" s="209">
        <v>279</v>
      </c>
      <c r="I592" s="209" t="s">
        <v>243</v>
      </c>
      <c r="J592" s="208">
        <v>8765</v>
      </c>
      <c r="K592" s="208">
        <v>24405</v>
      </c>
      <c r="L592" s="208">
        <v>15530</v>
      </c>
      <c r="M592" s="206" t="s">
        <v>775</v>
      </c>
      <c r="N592" s="216">
        <v>3.95</v>
      </c>
      <c r="O592" s="215">
        <f>IF(N592&gt;0,1/N592*37.7*68.6,"")</f>
        <v>654.739240506329</v>
      </c>
      <c r="P592" s="203">
        <v>4.04</v>
      </c>
      <c r="Q592" s="202" t="s">
        <v>761</v>
      </c>
      <c r="R592" s="201" t="s">
        <v>760</v>
      </c>
      <c r="S592" s="201" t="s">
        <v>794</v>
      </c>
      <c r="T592" s="220" t="s">
        <v>751</v>
      </c>
      <c r="U592" s="199"/>
      <c r="V592" s="198" t="str">
        <f>IFERROR(IF(N592&lt;P592,"",(ROUNDDOWN(N592/P592*100,0))),"")</f>
        <v/>
      </c>
    </row>
    <row r="593" spans="1:22" ht="24" customHeight="1">
      <c r="A593" s="219"/>
      <c r="B593" s="223"/>
      <c r="C593" s="222"/>
      <c r="D593" s="211" t="s">
        <v>798</v>
      </c>
      <c r="E593" s="209" t="s">
        <v>763</v>
      </c>
      <c r="F593" s="209">
        <v>8.8659999999999997</v>
      </c>
      <c r="G593" s="209">
        <v>1569</v>
      </c>
      <c r="H593" s="209">
        <v>265</v>
      </c>
      <c r="I593" s="209" t="s">
        <v>762</v>
      </c>
      <c r="J593" s="208">
        <v>8765</v>
      </c>
      <c r="K593" s="208">
        <v>24405</v>
      </c>
      <c r="L593" s="208">
        <v>15530</v>
      </c>
      <c r="M593" s="206" t="s">
        <v>775</v>
      </c>
      <c r="N593" s="216">
        <v>3.8</v>
      </c>
      <c r="O593" s="215">
        <f>IF(N593&gt;0,1/N593*37.7*68.6,"")</f>
        <v>680.5842105263157</v>
      </c>
      <c r="P593" s="203">
        <v>4.04</v>
      </c>
      <c r="Q593" s="202" t="s">
        <v>761</v>
      </c>
      <c r="R593" s="201" t="s">
        <v>760</v>
      </c>
      <c r="S593" s="201" t="s">
        <v>794</v>
      </c>
      <c r="T593" s="220" t="s">
        <v>751</v>
      </c>
      <c r="U593" s="199"/>
      <c r="V593" s="198" t="str">
        <f>IFERROR(IF(N593&lt;P593,"",(ROUNDDOWN(N593/P593*100,0))),"")</f>
        <v/>
      </c>
    </row>
    <row r="594" spans="1:22" ht="24" customHeight="1">
      <c r="A594" s="219"/>
      <c r="B594" s="223"/>
      <c r="C594" s="222"/>
      <c r="D594" s="211" t="s">
        <v>798</v>
      </c>
      <c r="E594" s="209" t="s">
        <v>763</v>
      </c>
      <c r="F594" s="209">
        <v>8.8659999999999997</v>
      </c>
      <c r="G594" s="209">
        <v>1765</v>
      </c>
      <c r="H594" s="209">
        <v>279</v>
      </c>
      <c r="I594" s="209" t="s">
        <v>762</v>
      </c>
      <c r="J594" s="208">
        <v>8765</v>
      </c>
      <c r="K594" s="208">
        <v>24405</v>
      </c>
      <c r="L594" s="208">
        <v>15530</v>
      </c>
      <c r="M594" s="206" t="s">
        <v>775</v>
      </c>
      <c r="N594" s="216">
        <v>3.95</v>
      </c>
      <c r="O594" s="215">
        <f>IF(N594&gt;0,1/N594*37.7*68.6,"")</f>
        <v>654.739240506329</v>
      </c>
      <c r="P594" s="203">
        <v>4.04</v>
      </c>
      <c r="Q594" s="202" t="s">
        <v>761</v>
      </c>
      <c r="R594" s="201" t="s">
        <v>760</v>
      </c>
      <c r="S594" s="201" t="s">
        <v>794</v>
      </c>
      <c r="T594" s="220" t="s">
        <v>751</v>
      </c>
      <c r="U594" s="199"/>
      <c r="V594" s="198" t="str">
        <f>IFERROR(IF(N594&lt;P594,"",(ROUNDDOWN(N594/P594*100,0))),"")</f>
        <v/>
      </c>
    </row>
    <row r="595" spans="1:22" ht="24" customHeight="1">
      <c r="A595" s="219"/>
      <c r="B595" s="223"/>
      <c r="C595" s="222"/>
      <c r="D595" s="211" t="s">
        <v>797</v>
      </c>
      <c r="E595" s="209" t="s">
        <v>763</v>
      </c>
      <c r="F595" s="209">
        <v>8.8659999999999997</v>
      </c>
      <c r="G595" s="209">
        <v>1569</v>
      </c>
      <c r="H595" s="209">
        <v>265</v>
      </c>
      <c r="I595" s="209" t="s">
        <v>71</v>
      </c>
      <c r="J595" s="208">
        <v>8765</v>
      </c>
      <c r="K595" s="208">
        <v>24405</v>
      </c>
      <c r="L595" s="208">
        <v>15530</v>
      </c>
      <c r="M595" s="206" t="s">
        <v>775</v>
      </c>
      <c r="N595" s="216">
        <v>3.75</v>
      </c>
      <c r="O595" s="215">
        <f>IF(N595&gt;0,1/N595*37.7*68.6,"")</f>
        <v>689.6586666666667</v>
      </c>
      <c r="P595" s="203">
        <v>4.04</v>
      </c>
      <c r="Q595" s="202" t="s">
        <v>761</v>
      </c>
      <c r="R595" s="201" t="s">
        <v>760</v>
      </c>
      <c r="S595" s="201" t="s">
        <v>794</v>
      </c>
      <c r="T595" s="220" t="s">
        <v>751</v>
      </c>
      <c r="U595" s="199"/>
      <c r="V595" s="198" t="str">
        <f>IFERROR(IF(N595&lt;P595,"",(ROUNDDOWN(N595/P595*100,0))),"")</f>
        <v/>
      </c>
    </row>
    <row r="596" spans="1:22" ht="24" customHeight="1">
      <c r="A596" s="219"/>
      <c r="B596" s="223"/>
      <c r="C596" s="222"/>
      <c r="D596" s="211" t="s">
        <v>797</v>
      </c>
      <c r="E596" s="209" t="s">
        <v>763</v>
      </c>
      <c r="F596" s="209">
        <v>8.8659999999999997</v>
      </c>
      <c r="G596" s="209">
        <v>1569</v>
      </c>
      <c r="H596" s="209">
        <v>265</v>
      </c>
      <c r="I596" s="209" t="s">
        <v>243</v>
      </c>
      <c r="J596" s="208">
        <v>8765</v>
      </c>
      <c r="K596" s="208">
        <v>24405</v>
      </c>
      <c r="L596" s="208">
        <v>15530</v>
      </c>
      <c r="M596" s="206" t="s">
        <v>775</v>
      </c>
      <c r="N596" s="216">
        <v>3.85</v>
      </c>
      <c r="O596" s="215">
        <f>IF(N596&gt;0,1/N596*37.7*68.6,"")</f>
        <v>671.74545454545444</v>
      </c>
      <c r="P596" s="203">
        <v>4.04</v>
      </c>
      <c r="Q596" s="202" t="s">
        <v>761</v>
      </c>
      <c r="R596" s="201" t="s">
        <v>760</v>
      </c>
      <c r="S596" s="201" t="s">
        <v>794</v>
      </c>
      <c r="T596" s="220" t="s">
        <v>751</v>
      </c>
      <c r="U596" s="199"/>
      <c r="V596" s="198" t="str">
        <f>IFERROR(IF(N596&lt;P596,"",(ROUNDDOWN(N596/P596*100,0))),"")</f>
        <v/>
      </c>
    </row>
    <row r="597" spans="1:22" ht="24" customHeight="1">
      <c r="A597" s="219"/>
      <c r="B597" s="223"/>
      <c r="C597" s="222"/>
      <c r="D597" s="211" t="s">
        <v>797</v>
      </c>
      <c r="E597" s="209" t="s">
        <v>763</v>
      </c>
      <c r="F597" s="209">
        <v>8.8659999999999997</v>
      </c>
      <c r="G597" s="209">
        <v>1569</v>
      </c>
      <c r="H597" s="209">
        <v>265</v>
      </c>
      <c r="I597" s="209" t="s">
        <v>235</v>
      </c>
      <c r="J597" s="208">
        <v>8765</v>
      </c>
      <c r="K597" s="208">
        <v>24405</v>
      </c>
      <c r="L597" s="208">
        <v>15530</v>
      </c>
      <c r="M597" s="206" t="s">
        <v>775</v>
      </c>
      <c r="N597" s="216">
        <v>3.8</v>
      </c>
      <c r="O597" s="215">
        <f>IF(N597&gt;0,1/N597*37.7*68.6,"")</f>
        <v>680.5842105263157</v>
      </c>
      <c r="P597" s="203">
        <v>4.04</v>
      </c>
      <c r="Q597" s="202" t="s">
        <v>761</v>
      </c>
      <c r="R597" s="201" t="s">
        <v>760</v>
      </c>
      <c r="S597" s="201" t="s">
        <v>794</v>
      </c>
      <c r="T597" s="220" t="s">
        <v>751</v>
      </c>
      <c r="U597" s="199"/>
      <c r="V597" s="198" t="str">
        <f>IFERROR(IF(N597&lt;P597,"",(ROUNDDOWN(N597/P597*100,0))),"")</f>
        <v/>
      </c>
    </row>
    <row r="598" spans="1:22" ht="24" customHeight="1">
      <c r="A598" s="219"/>
      <c r="B598" s="223"/>
      <c r="C598" s="222"/>
      <c r="D598" s="211" t="s">
        <v>797</v>
      </c>
      <c r="E598" s="209" t="s">
        <v>763</v>
      </c>
      <c r="F598" s="209">
        <v>8.8659999999999997</v>
      </c>
      <c r="G598" s="209">
        <v>1569</v>
      </c>
      <c r="H598" s="209">
        <v>265</v>
      </c>
      <c r="I598" s="209" t="s">
        <v>753</v>
      </c>
      <c r="J598" s="208">
        <v>8765</v>
      </c>
      <c r="K598" s="208">
        <v>24405</v>
      </c>
      <c r="L598" s="208">
        <v>15530</v>
      </c>
      <c r="M598" s="206" t="s">
        <v>775</v>
      </c>
      <c r="N598" s="216">
        <v>3.8</v>
      </c>
      <c r="O598" s="215">
        <f>IF(N598&gt;0,1/N598*37.7*68.6,"")</f>
        <v>680.5842105263157</v>
      </c>
      <c r="P598" s="203">
        <v>4.04</v>
      </c>
      <c r="Q598" s="202" t="s">
        <v>761</v>
      </c>
      <c r="R598" s="201" t="s">
        <v>760</v>
      </c>
      <c r="S598" s="201" t="s">
        <v>794</v>
      </c>
      <c r="T598" s="220" t="s">
        <v>751</v>
      </c>
      <c r="U598" s="199"/>
      <c r="V598" s="198" t="str">
        <f>IFERROR(IF(N598&lt;P598,"",(ROUNDDOWN(N598/P598*100,0))),"")</f>
        <v/>
      </c>
    </row>
    <row r="599" spans="1:22" ht="24" customHeight="1">
      <c r="A599" s="219"/>
      <c r="B599" s="223"/>
      <c r="C599" s="222"/>
      <c r="D599" s="211" t="s">
        <v>797</v>
      </c>
      <c r="E599" s="209" t="s">
        <v>763</v>
      </c>
      <c r="F599" s="209">
        <v>8.8659999999999997</v>
      </c>
      <c r="G599" s="209">
        <v>1765</v>
      </c>
      <c r="H599" s="209">
        <v>279</v>
      </c>
      <c r="I599" s="209" t="s">
        <v>71</v>
      </c>
      <c r="J599" s="208">
        <v>8765</v>
      </c>
      <c r="K599" s="208">
        <v>24405</v>
      </c>
      <c r="L599" s="208">
        <v>15530</v>
      </c>
      <c r="M599" s="206" t="s">
        <v>775</v>
      </c>
      <c r="N599" s="216">
        <v>3.75</v>
      </c>
      <c r="O599" s="215">
        <f>IF(N599&gt;0,1/N599*37.7*68.6,"")</f>
        <v>689.6586666666667</v>
      </c>
      <c r="P599" s="203">
        <v>4.04</v>
      </c>
      <c r="Q599" s="202" t="s">
        <v>761</v>
      </c>
      <c r="R599" s="201" t="s">
        <v>760</v>
      </c>
      <c r="S599" s="201" t="s">
        <v>794</v>
      </c>
      <c r="T599" s="220" t="s">
        <v>751</v>
      </c>
      <c r="U599" s="199"/>
      <c r="V599" s="198" t="str">
        <f>IFERROR(IF(N599&lt;P599,"",(ROUNDDOWN(N599/P599*100,0))),"")</f>
        <v/>
      </c>
    </row>
    <row r="600" spans="1:22" ht="24" customHeight="1">
      <c r="A600" s="219"/>
      <c r="B600" s="223"/>
      <c r="C600" s="222"/>
      <c r="D600" s="211" t="s">
        <v>797</v>
      </c>
      <c r="E600" s="209" t="s">
        <v>763</v>
      </c>
      <c r="F600" s="209">
        <v>8.8659999999999997</v>
      </c>
      <c r="G600" s="209">
        <v>1765</v>
      </c>
      <c r="H600" s="209">
        <v>279</v>
      </c>
      <c r="I600" s="209" t="s">
        <v>243</v>
      </c>
      <c r="J600" s="208">
        <v>8765</v>
      </c>
      <c r="K600" s="208">
        <v>24405</v>
      </c>
      <c r="L600" s="208">
        <v>15530</v>
      </c>
      <c r="M600" s="206" t="s">
        <v>775</v>
      </c>
      <c r="N600" s="216">
        <v>3.95</v>
      </c>
      <c r="O600" s="215">
        <f>IF(N600&gt;0,1/N600*37.7*68.6,"")</f>
        <v>654.739240506329</v>
      </c>
      <c r="P600" s="203">
        <v>4.04</v>
      </c>
      <c r="Q600" s="202" t="s">
        <v>761</v>
      </c>
      <c r="R600" s="201" t="s">
        <v>760</v>
      </c>
      <c r="S600" s="201" t="s">
        <v>794</v>
      </c>
      <c r="T600" s="220" t="s">
        <v>751</v>
      </c>
      <c r="U600" s="199"/>
      <c r="V600" s="198" t="str">
        <f>IFERROR(IF(N600&lt;P600,"",(ROUNDDOWN(N600/P600*100,0))),"")</f>
        <v/>
      </c>
    </row>
    <row r="601" spans="1:22" ht="24" customHeight="1">
      <c r="A601" s="219"/>
      <c r="B601" s="223"/>
      <c r="C601" s="222"/>
      <c r="D601" s="211" t="s">
        <v>797</v>
      </c>
      <c r="E601" s="209" t="s">
        <v>763</v>
      </c>
      <c r="F601" s="209">
        <v>8.8659999999999997</v>
      </c>
      <c r="G601" s="209">
        <v>1765</v>
      </c>
      <c r="H601" s="209">
        <v>279</v>
      </c>
      <c r="I601" s="209" t="s">
        <v>762</v>
      </c>
      <c r="J601" s="208">
        <v>8765</v>
      </c>
      <c r="K601" s="208">
        <v>24405</v>
      </c>
      <c r="L601" s="208">
        <v>15530</v>
      </c>
      <c r="M601" s="206" t="s">
        <v>775</v>
      </c>
      <c r="N601" s="216">
        <v>3.95</v>
      </c>
      <c r="O601" s="215">
        <f>IF(N601&gt;0,1/N601*37.7*68.6,"")</f>
        <v>654.739240506329</v>
      </c>
      <c r="P601" s="203">
        <v>4.04</v>
      </c>
      <c r="Q601" s="202" t="s">
        <v>761</v>
      </c>
      <c r="R601" s="201" t="s">
        <v>760</v>
      </c>
      <c r="S601" s="201" t="s">
        <v>794</v>
      </c>
      <c r="T601" s="220" t="s">
        <v>751</v>
      </c>
      <c r="U601" s="199"/>
      <c r="V601" s="198" t="str">
        <f>IFERROR(IF(N601&lt;P601,"",(ROUNDDOWN(N601/P601*100,0))),"")</f>
        <v/>
      </c>
    </row>
    <row r="602" spans="1:22" ht="24" customHeight="1">
      <c r="A602" s="219"/>
      <c r="B602" s="223"/>
      <c r="C602" s="222"/>
      <c r="D602" s="211" t="s">
        <v>796</v>
      </c>
      <c r="E602" s="209" t="s">
        <v>763</v>
      </c>
      <c r="F602" s="209">
        <v>8.8659999999999997</v>
      </c>
      <c r="G602" s="209">
        <v>1569</v>
      </c>
      <c r="H602" s="209">
        <v>265</v>
      </c>
      <c r="I602" s="209" t="s">
        <v>235</v>
      </c>
      <c r="J602" s="208">
        <v>8765</v>
      </c>
      <c r="K602" s="208">
        <v>24405</v>
      </c>
      <c r="L602" s="208">
        <v>15530</v>
      </c>
      <c r="M602" s="206" t="s">
        <v>775</v>
      </c>
      <c r="N602" s="216">
        <v>3.8</v>
      </c>
      <c r="O602" s="215">
        <f>IF(N602&gt;0,1/N602*37.7*68.6,"")</f>
        <v>680.5842105263157</v>
      </c>
      <c r="P602" s="203">
        <v>4.04</v>
      </c>
      <c r="Q602" s="202" t="s">
        <v>761</v>
      </c>
      <c r="R602" s="201" t="s">
        <v>760</v>
      </c>
      <c r="S602" s="201" t="s">
        <v>794</v>
      </c>
      <c r="T602" s="220" t="s">
        <v>751</v>
      </c>
      <c r="U602" s="199"/>
      <c r="V602" s="198" t="str">
        <f>IFERROR(IF(N602&lt;P602,"",(ROUNDDOWN(N602/P602*100,0))),"")</f>
        <v/>
      </c>
    </row>
    <row r="603" spans="1:22" ht="24" customHeight="1">
      <c r="A603" s="219"/>
      <c r="B603" s="223"/>
      <c r="C603" s="222"/>
      <c r="D603" s="211" t="s">
        <v>796</v>
      </c>
      <c r="E603" s="209" t="s">
        <v>763</v>
      </c>
      <c r="F603" s="209">
        <v>8.8659999999999997</v>
      </c>
      <c r="G603" s="209">
        <v>1569</v>
      </c>
      <c r="H603" s="209">
        <v>265</v>
      </c>
      <c r="I603" s="209" t="s">
        <v>753</v>
      </c>
      <c r="J603" s="208">
        <v>8765</v>
      </c>
      <c r="K603" s="208">
        <v>24405</v>
      </c>
      <c r="L603" s="208">
        <v>15530</v>
      </c>
      <c r="M603" s="206" t="s">
        <v>775</v>
      </c>
      <c r="N603" s="216">
        <v>3.8</v>
      </c>
      <c r="O603" s="215">
        <f>IF(N603&gt;0,1/N603*37.7*68.6,"")</f>
        <v>680.5842105263157</v>
      </c>
      <c r="P603" s="203">
        <v>4.04</v>
      </c>
      <c r="Q603" s="202" t="s">
        <v>761</v>
      </c>
      <c r="R603" s="201" t="s">
        <v>760</v>
      </c>
      <c r="S603" s="201" t="s">
        <v>794</v>
      </c>
      <c r="T603" s="220" t="s">
        <v>751</v>
      </c>
      <c r="U603" s="199"/>
      <c r="V603" s="198" t="str">
        <f>IFERROR(IF(N603&lt;P603,"",(ROUNDDOWN(N603/P603*100,0))),"")</f>
        <v/>
      </c>
    </row>
    <row r="604" spans="1:22" ht="24" customHeight="1">
      <c r="A604" s="219"/>
      <c r="B604" s="223"/>
      <c r="C604" s="222"/>
      <c r="D604" s="211" t="s">
        <v>796</v>
      </c>
      <c r="E604" s="209" t="s">
        <v>763</v>
      </c>
      <c r="F604" s="209">
        <v>8.8659999999999997</v>
      </c>
      <c r="G604" s="209">
        <v>1765</v>
      </c>
      <c r="H604" s="209">
        <v>279</v>
      </c>
      <c r="I604" s="209" t="s">
        <v>243</v>
      </c>
      <c r="J604" s="208">
        <v>8765</v>
      </c>
      <c r="K604" s="208">
        <v>24405</v>
      </c>
      <c r="L604" s="208">
        <v>15530</v>
      </c>
      <c r="M604" s="206" t="s">
        <v>775</v>
      </c>
      <c r="N604" s="216">
        <v>3.95</v>
      </c>
      <c r="O604" s="215">
        <f>IF(N604&gt;0,1/N604*37.7*68.6,"")</f>
        <v>654.739240506329</v>
      </c>
      <c r="P604" s="203">
        <v>4.04</v>
      </c>
      <c r="Q604" s="202" t="s">
        <v>761</v>
      </c>
      <c r="R604" s="201" t="s">
        <v>760</v>
      </c>
      <c r="S604" s="201" t="s">
        <v>794</v>
      </c>
      <c r="T604" s="220" t="s">
        <v>751</v>
      </c>
      <c r="U604" s="199"/>
      <c r="V604" s="198" t="str">
        <f>IFERROR(IF(N604&lt;P604,"",(ROUNDDOWN(N604/P604*100,0))),"")</f>
        <v/>
      </c>
    </row>
    <row r="605" spans="1:22" ht="24" customHeight="1">
      <c r="A605" s="219"/>
      <c r="B605" s="223"/>
      <c r="C605" s="222"/>
      <c r="D605" s="211" t="s">
        <v>796</v>
      </c>
      <c r="E605" s="209" t="s">
        <v>763</v>
      </c>
      <c r="F605" s="209">
        <v>8.8659999999999997</v>
      </c>
      <c r="G605" s="209">
        <v>1765</v>
      </c>
      <c r="H605" s="209">
        <v>279</v>
      </c>
      <c r="I605" s="209" t="s">
        <v>753</v>
      </c>
      <c r="J605" s="208">
        <v>8765</v>
      </c>
      <c r="K605" s="208">
        <v>24405</v>
      </c>
      <c r="L605" s="208">
        <v>15530</v>
      </c>
      <c r="M605" s="206" t="s">
        <v>775</v>
      </c>
      <c r="N605" s="216">
        <v>3.95</v>
      </c>
      <c r="O605" s="215">
        <f>IF(N605&gt;0,1/N605*37.7*68.6,"")</f>
        <v>654.739240506329</v>
      </c>
      <c r="P605" s="203">
        <v>4.04</v>
      </c>
      <c r="Q605" s="202" t="s">
        <v>761</v>
      </c>
      <c r="R605" s="201" t="s">
        <v>760</v>
      </c>
      <c r="S605" s="201" t="s">
        <v>794</v>
      </c>
      <c r="T605" s="220" t="s">
        <v>751</v>
      </c>
      <c r="U605" s="199"/>
      <c r="V605" s="198" t="str">
        <f>IFERROR(IF(N605&lt;P605,"",(ROUNDDOWN(N605/P605*100,0))),"")</f>
        <v/>
      </c>
    </row>
    <row r="606" spans="1:22" ht="24" customHeight="1">
      <c r="A606" s="219"/>
      <c r="B606" s="223"/>
      <c r="C606" s="222"/>
      <c r="D606" s="211" t="s">
        <v>795</v>
      </c>
      <c r="E606" s="209" t="s">
        <v>763</v>
      </c>
      <c r="F606" s="209">
        <v>8.8659999999999997</v>
      </c>
      <c r="G606" s="209">
        <v>1765</v>
      </c>
      <c r="H606" s="209">
        <v>279</v>
      </c>
      <c r="I606" s="209" t="s">
        <v>243</v>
      </c>
      <c r="J606" s="208">
        <v>8765</v>
      </c>
      <c r="K606" s="208">
        <v>24405</v>
      </c>
      <c r="L606" s="208">
        <v>15530</v>
      </c>
      <c r="M606" s="206" t="s">
        <v>775</v>
      </c>
      <c r="N606" s="216">
        <v>3.95</v>
      </c>
      <c r="O606" s="215">
        <f>IF(N606&gt;0,1/N606*37.7*68.6,"")</f>
        <v>654.739240506329</v>
      </c>
      <c r="P606" s="203">
        <v>4.04</v>
      </c>
      <c r="Q606" s="202" t="s">
        <v>761</v>
      </c>
      <c r="R606" s="201" t="s">
        <v>760</v>
      </c>
      <c r="S606" s="201" t="s">
        <v>794</v>
      </c>
      <c r="T606" s="220" t="s">
        <v>751</v>
      </c>
      <c r="U606" s="199"/>
      <c r="V606" s="198" t="str">
        <f>IFERROR(IF(N606&lt;P606,"",(ROUNDDOWN(N606/P606*100,0))),"")</f>
        <v/>
      </c>
    </row>
    <row r="607" spans="1:22" ht="24" customHeight="1">
      <c r="A607" s="219"/>
      <c r="B607" s="223"/>
      <c r="C607" s="222"/>
      <c r="D607" s="211" t="s">
        <v>795</v>
      </c>
      <c r="E607" s="209" t="s">
        <v>763</v>
      </c>
      <c r="F607" s="209">
        <v>8.8659999999999997</v>
      </c>
      <c r="G607" s="209">
        <v>1765</v>
      </c>
      <c r="H607" s="209">
        <v>279</v>
      </c>
      <c r="I607" s="209" t="s">
        <v>753</v>
      </c>
      <c r="J607" s="208">
        <v>8765</v>
      </c>
      <c r="K607" s="208">
        <v>24405</v>
      </c>
      <c r="L607" s="208">
        <v>15530</v>
      </c>
      <c r="M607" s="206" t="s">
        <v>775</v>
      </c>
      <c r="N607" s="216">
        <v>3.95</v>
      </c>
      <c r="O607" s="215">
        <f>IF(N607&gt;0,1/N607*37.7*68.6,"")</f>
        <v>654.739240506329</v>
      </c>
      <c r="P607" s="203">
        <v>4.04</v>
      </c>
      <c r="Q607" s="202" t="s">
        <v>761</v>
      </c>
      <c r="R607" s="201" t="s">
        <v>760</v>
      </c>
      <c r="S607" s="201" t="s">
        <v>794</v>
      </c>
      <c r="T607" s="220" t="s">
        <v>751</v>
      </c>
      <c r="U607" s="199"/>
      <c r="V607" s="198" t="str">
        <f>IFERROR(IF(N607&lt;P607,"",(ROUNDDOWN(N607/P607*100,0))),"")</f>
        <v/>
      </c>
    </row>
    <row r="608" spans="1:22" ht="24" customHeight="1">
      <c r="A608" s="219"/>
      <c r="B608" s="223"/>
      <c r="C608" s="222"/>
      <c r="D608" s="211" t="s">
        <v>793</v>
      </c>
      <c r="E608" s="209" t="s">
        <v>763</v>
      </c>
      <c r="F608" s="209">
        <v>8.8659999999999997</v>
      </c>
      <c r="G608" s="209">
        <v>1569</v>
      </c>
      <c r="H608" s="209">
        <v>265</v>
      </c>
      <c r="I608" s="209" t="s">
        <v>243</v>
      </c>
      <c r="J608" s="208">
        <v>8765</v>
      </c>
      <c r="K608" s="208">
        <v>24405</v>
      </c>
      <c r="L608" s="208">
        <v>15530</v>
      </c>
      <c r="M608" s="206" t="s">
        <v>775</v>
      </c>
      <c r="N608" s="216">
        <v>3.85</v>
      </c>
      <c r="O608" s="215">
        <f>IF(N608&gt;0,1/N608*37.7*68.6,"")</f>
        <v>671.74545454545444</v>
      </c>
      <c r="P608" s="203">
        <v>4.04</v>
      </c>
      <c r="Q608" s="202" t="s">
        <v>761</v>
      </c>
      <c r="R608" s="201" t="s">
        <v>760</v>
      </c>
      <c r="S608" s="201" t="s">
        <v>236</v>
      </c>
      <c r="T608" s="220" t="s">
        <v>751</v>
      </c>
      <c r="U608" s="199"/>
      <c r="V608" s="198" t="str">
        <f>IFERROR(IF(N608&lt;P608,"",(ROUNDDOWN(N608/P608*100,0))),"")</f>
        <v/>
      </c>
    </row>
    <row r="609" spans="1:22" ht="24" customHeight="1">
      <c r="A609" s="219"/>
      <c r="B609" s="223"/>
      <c r="C609" s="222"/>
      <c r="D609" s="211" t="s">
        <v>793</v>
      </c>
      <c r="E609" s="209" t="s">
        <v>763</v>
      </c>
      <c r="F609" s="209">
        <v>8.8659999999999997</v>
      </c>
      <c r="G609" s="209">
        <v>1569</v>
      </c>
      <c r="H609" s="209">
        <v>265</v>
      </c>
      <c r="I609" s="209" t="s">
        <v>753</v>
      </c>
      <c r="J609" s="208">
        <v>8765</v>
      </c>
      <c r="K609" s="208">
        <v>24405</v>
      </c>
      <c r="L609" s="208">
        <v>15530</v>
      </c>
      <c r="M609" s="206" t="s">
        <v>775</v>
      </c>
      <c r="N609" s="216">
        <v>3.8</v>
      </c>
      <c r="O609" s="215">
        <f>IF(N609&gt;0,1/N609*37.7*68.6,"")</f>
        <v>680.5842105263157</v>
      </c>
      <c r="P609" s="203">
        <v>4.04</v>
      </c>
      <c r="Q609" s="202" t="s">
        <v>761</v>
      </c>
      <c r="R609" s="201" t="s">
        <v>760</v>
      </c>
      <c r="S609" s="201" t="s">
        <v>236</v>
      </c>
      <c r="T609" s="220" t="s">
        <v>751</v>
      </c>
      <c r="U609" s="199"/>
      <c r="V609" s="198" t="str">
        <f>IFERROR(IF(N609&lt;P609,"",(ROUNDDOWN(N609/P609*100,0))),"")</f>
        <v/>
      </c>
    </row>
    <row r="610" spans="1:22" ht="24" customHeight="1">
      <c r="A610" s="219"/>
      <c r="B610" s="223"/>
      <c r="C610" s="222"/>
      <c r="D610" s="211" t="s">
        <v>793</v>
      </c>
      <c r="E610" s="209" t="s">
        <v>763</v>
      </c>
      <c r="F610" s="209">
        <v>8.8659999999999997</v>
      </c>
      <c r="G610" s="209">
        <v>1569</v>
      </c>
      <c r="H610" s="209">
        <v>279</v>
      </c>
      <c r="I610" s="209" t="s">
        <v>753</v>
      </c>
      <c r="J610" s="208">
        <v>8765</v>
      </c>
      <c r="K610" s="208">
        <v>24405</v>
      </c>
      <c r="L610" s="208">
        <v>15530</v>
      </c>
      <c r="M610" s="206" t="s">
        <v>775</v>
      </c>
      <c r="N610" s="216">
        <v>3.75</v>
      </c>
      <c r="O610" s="215">
        <f>IF(N610&gt;0,1/N610*37.7*68.6,"")</f>
        <v>689.6586666666667</v>
      </c>
      <c r="P610" s="203">
        <v>4.04</v>
      </c>
      <c r="Q610" s="202" t="s">
        <v>761</v>
      </c>
      <c r="R610" s="201" t="s">
        <v>760</v>
      </c>
      <c r="S610" s="201" t="s">
        <v>236</v>
      </c>
      <c r="T610" s="220" t="s">
        <v>751</v>
      </c>
      <c r="U610" s="199"/>
      <c r="V610" s="198" t="str">
        <f>IFERROR(IF(N610&lt;P610,"",(ROUNDDOWN(N610/P610*100,0))),"")</f>
        <v/>
      </c>
    </row>
    <row r="611" spans="1:22" ht="24" customHeight="1">
      <c r="A611" s="219"/>
      <c r="B611" s="223"/>
      <c r="C611" s="222"/>
      <c r="D611" s="211" t="s">
        <v>792</v>
      </c>
      <c r="E611" s="209" t="s">
        <v>763</v>
      </c>
      <c r="F611" s="209">
        <v>8.8659999999999997</v>
      </c>
      <c r="G611" s="209">
        <v>1569</v>
      </c>
      <c r="H611" s="209">
        <v>265</v>
      </c>
      <c r="I611" s="209" t="s">
        <v>243</v>
      </c>
      <c r="J611" s="208">
        <v>8765</v>
      </c>
      <c r="K611" s="208">
        <v>24405</v>
      </c>
      <c r="L611" s="208">
        <v>15530</v>
      </c>
      <c r="M611" s="206" t="s">
        <v>775</v>
      </c>
      <c r="N611" s="216">
        <v>3.85</v>
      </c>
      <c r="O611" s="215">
        <f>IF(N611&gt;0,1/N611*37.7*68.6,"")</f>
        <v>671.74545454545444</v>
      </c>
      <c r="P611" s="203">
        <v>4.04</v>
      </c>
      <c r="Q611" s="202" t="s">
        <v>761</v>
      </c>
      <c r="R611" s="201" t="s">
        <v>760</v>
      </c>
      <c r="S611" s="201" t="s">
        <v>236</v>
      </c>
      <c r="T611" s="220" t="s">
        <v>751</v>
      </c>
      <c r="U611" s="199"/>
      <c r="V611" s="198" t="str">
        <f>IFERROR(IF(N611&lt;P611,"",(ROUNDDOWN(N611/P611*100,0))),"")</f>
        <v/>
      </c>
    </row>
    <row r="612" spans="1:22" ht="24" customHeight="1">
      <c r="A612" s="219"/>
      <c r="B612" s="223"/>
      <c r="C612" s="222"/>
      <c r="D612" s="211" t="s">
        <v>792</v>
      </c>
      <c r="E612" s="209" t="s">
        <v>763</v>
      </c>
      <c r="F612" s="209">
        <v>8.8659999999999997</v>
      </c>
      <c r="G612" s="209">
        <v>1569</v>
      </c>
      <c r="H612" s="209">
        <v>265</v>
      </c>
      <c r="I612" s="209" t="s">
        <v>753</v>
      </c>
      <c r="J612" s="208">
        <v>8765</v>
      </c>
      <c r="K612" s="208">
        <v>24405</v>
      </c>
      <c r="L612" s="208">
        <v>15530</v>
      </c>
      <c r="M612" s="206" t="s">
        <v>775</v>
      </c>
      <c r="N612" s="216">
        <v>3.8</v>
      </c>
      <c r="O612" s="215">
        <f>IF(N612&gt;0,1/N612*37.7*68.6,"")</f>
        <v>680.5842105263157</v>
      </c>
      <c r="P612" s="203">
        <v>4.04</v>
      </c>
      <c r="Q612" s="202" t="s">
        <v>761</v>
      </c>
      <c r="R612" s="201" t="s">
        <v>760</v>
      </c>
      <c r="S612" s="201" t="s">
        <v>236</v>
      </c>
      <c r="T612" s="220" t="s">
        <v>751</v>
      </c>
      <c r="U612" s="199"/>
      <c r="V612" s="198" t="str">
        <f>IFERROR(IF(N612&lt;P612,"",(ROUNDDOWN(N612/P612*100,0))),"")</f>
        <v/>
      </c>
    </row>
    <row r="613" spans="1:22" ht="24" customHeight="1">
      <c r="A613" s="219"/>
      <c r="B613" s="223"/>
      <c r="C613" s="222"/>
      <c r="D613" s="211" t="s">
        <v>791</v>
      </c>
      <c r="E613" s="209" t="s">
        <v>763</v>
      </c>
      <c r="F613" s="209">
        <v>8.8659999999999997</v>
      </c>
      <c r="G613" s="209">
        <v>1569</v>
      </c>
      <c r="H613" s="209">
        <v>265</v>
      </c>
      <c r="I613" s="209" t="s">
        <v>243</v>
      </c>
      <c r="J613" s="208">
        <v>8688</v>
      </c>
      <c r="K613" s="208">
        <v>19887</v>
      </c>
      <c r="L613" s="208">
        <v>11089</v>
      </c>
      <c r="M613" s="206" t="s">
        <v>775</v>
      </c>
      <c r="N613" s="216">
        <v>4</v>
      </c>
      <c r="O613" s="215">
        <f>IF(N613&gt;0,1/N613*37.7*68.6,"")</f>
        <v>646.55499999999995</v>
      </c>
      <c r="P613" s="203">
        <v>4.1500000000000004</v>
      </c>
      <c r="Q613" s="202" t="s">
        <v>761</v>
      </c>
      <c r="R613" s="201" t="s">
        <v>760</v>
      </c>
      <c r="S613" s="201" t="s">
        <v>784</v>
      </c>
      <c r="T613" s="220" t="s">
        <v>751</v>
      </c>
      <c r="U613" s="199"/>
      <c r="V613" s="198" t="str">
        <f>IFERROR(IF(N613&lt;P613,"",(ROUNDDOWN(N613/P613*100,0))),"")</f>
        <v/>
      </c>
    </row>
    <row r="614" spans="1:22" ht="24" customHeight="1">
      <c r="A614" s="219"/>
      <c r="B614" s="223"/>
      <c r="C614" s="222"/>
      <c r="D614" s="211" t="s">
        <v>791</v>
      </c>
      <c r="E614" s="209" t="s">
        <v>763</v>
      </c>
      <c r="F614" s="209">
        <v>8.8659999999999997</v>
      </c>
      <c r="G614" s="209">
        <v>1569</v>
      </c>
      <c r="H614" s="209">
        <v>265</v>
      </c>
      <c r="I614" s="209" t="s">
        <v>753</v>
      </c>
      <c r="J614" s="208">
        <v>8688</v>
      </c>
      <c r="K614" s="208">
        <v>19887</v>
      </c>
      <c r="L614" s="208">
        <v>11089</v>
      </c>
      <c r="M614" s="206" t="s">
        <v>775</v>
      </c>
      <c r="N614" s="216">
        <v>3.95</v>
      </c>
      <c r="O614" s="215">
        <f>IF(N614&gt;0,1/N614*37.7*68.6,"")</f>
        <v>654.739240506329</v>
      </c>
      <c r="P614" s="203">
        <v>4.1500000000000004</v>
      </c>
      <c r="Q614" s="202" t="s">
        <v>761</v>
      </c>
      <c r="R614" s="201" t="s">
        <v>760</v>
      </c>
      <c r="S614" s="201" t="s">
        <v>784</v>
      </c>
      <c r="T614" s="220" t="s">
        <v>751</v>
      </c>
      <c r="U614" s="199"/>
      <c r="V614" s="198" t="str">
        <f>IFERROR(IF(N614&lt;P614,"",(ROUNDDOWN(N614/P614*100,0))),"")</f>
        <v/>
      </c>
    </row>
    <row r="615" spans="1:22" ht="24" customHeight="1">
      <c r="A615" s="219"/>
      <c r="B615" s="223"/>
      <c r="C615" s="222"/>
      <c r="D615" s="211" t="s">
        <v>789</v>
      </c>
      <c r="E615" s="209" t="s">
        <v>763</v>
      </c>
      <c r="F615" s="209">
        <v>8.8659999999999997</v>
      </c>
      <c r="G615" s="209">
        <v>1569</v>
      </c>
      <c r="H615" s="209">
        <v>265</v>
      </c>
      <c r="I615" s="209" t="s">
        <v>71</v>
      </c>
      <c r="J615" s="208">
        <v>8765</v>
      </c>
      <c r="K615" s="208">
        <v>24405</v>
      </c>
      <c r="L615" s="208">
        <v>15530</v>
      </c>
      <c r="M615" s="206" t="s">
        <v>775</v>
      </c>
      <c r="N615" s="216">
        <v>3.75</v>
      </c>
      <c r="O615" s="215">
        <f>IF(N615&gt;0,1/N615*37.7*68.6,"")</f>
        <v>689.6586666666667</v>
      </c>
      <c r="P615" s="203">
        <v>4.04</v>
      </c>
      <c r="Q615" s="202" t="s">
        <v>761</v>
      </c>
      <c r="R615" s="201" t="s">
        <v>760</v>
      </c>
      <c r="S615" s="201" t="s">
        <v>784</v>
      </c>
      <c r="T615" s="220" t="s">
        <v>751</v>
      </c>
      <c r="U615" s="199"/>
      <c r="V615" s="198" t="str">
        <f>IFERROR(IF(N615&lt;P615,"",(ROUNDDOWN(N615/P615*100,0))),"")</f>
        <v/>
      </c>
    </row>
    <row r="616" spans="1:22" ht="24" customHeight="1">
      <c r="A616" s="219"/>
      <c r="B616" s="223"/>
      <c r="C616" s="222"/>
      <c r="D616" s="211" t="s">
        <v>789</v>
      </c>
      <c r="E616" s="209" t="s">
        <v>763</v>
      </c>
      <c r="F616" s="209">
        <v>8.8659999999999997</v>
      </c>
      <c r="G616" s="209">
        <v>1569</v>
      </c>
      <c r="H616" s="209">
        <v>265</v>
      </c>
      <c r="I616" s="209" t="s">
        <v>243</v>
      </c>
      <c r="J616" s="208">
        <v>8765</v>
      </c>
      <c r="K616" s="208">
        <v>24405</v>
      </c>
      <c r="L616" s="208">
        <v>15530</v>
      </c>
      <c r="M616" s="206" t="s">
        <v>775</v>
      </c>
      <c r="N616" s="216">
        <v>3.85</v>
      </c>
      <c r="O616" s="215">
        <f>IF(N616&gt;0,1/N616*37.7*68.6,"")</f>
        <v>671.74545454545444</v>
      </c>
      <c r="P616" s="203">
        <v>4.04</v>
      </c>
      <c r="Q616" s="202" t="s">
        <v>761</v>
      </c>
      <c r="R616" s="201" t="s">
        <v>760</v>
      </c>
      <c r="S616" s="201" t="s">
        <v>784</v>
      </c>
      <c r="T616" s="220" t="s">
        <v>751</v>
      </c>
      <c r="U616" s="199"/>
      <c r="V616" s="198" t="str">
        <f>IFERROR(IF(N616&lt;P616,"",(ROUNDDOWN(N616/P616*100,0))),"")</f>
        <v/>
      </c>
    </row>
    <row r="617" spans="1:22" ht="24" customHeight="1">
      <c r="A617" s="219"/>
      <c r="B617" s="223"/>
      <c r="C617" s="222"/>
      <c r="D617" s="211" t="s">
        <v>789</v>
      </c>
      <c r="E617" s="209" t="s">
        <v>763</v>
      </c>
      <c r="F617" s="209">
        <v>8.8659999999999997</v>
      </c>
      <c r="G617" s="209">
        <v>1569</v>
      </c>
      <c r="H617" s="209">
        <v>265</v>
      </c>
      <c r="I617" s="209" t="s">
        <v>235</v>
      </c>
      <c r="J617" s="208">
        <v>8765</v>
      </c>
      <c r="K617" s="208">
        <v>24405</v>
      </c>
      <c r="L617" s="208">
        <v>15530</v>
      </c>
      <c r="M617" s="206" t="s">
        <v>775</v>
      </c>
      <c r="N617" s="216">
        <v>3.8</v>
      </c>
      <c r="O617" s="215">
        <f>IF(N617&gt;0,1/N617*37.7*68.6,"")</f>
        <v>680.5842105263157</v>
      </c>
      <c r="P617" s="203">
        <v>4.04</v>
      </c>
      <c r="Q617" s="202" t="s">
        <v>761</v>
      </c>
      <c r="R617" s="201" t="s">
        <v>760</v>
      </c>
      <c r="S617" s="201" t="s">
        <v>784</v>
      </c>
      <c r="T617" s="220" t="s">
        <v>751</v>
      </c>
      <c r="U617" s="199"/>
      <c r="V617" s="198" t="str">
        <f>IFERROR(IF(N617&lt;P617,"",(ROUNDDOWN(N617/P617*100,0))),"")</f>
        <v/>
      </c>
    </row>
    <row r="618" spans="1:22" ht="24" customHeight="1">
      <c r="A618" s="219"/>
      <c r="B618" s="223"/>
      <c r="C618" s="222"/>
      <c r="D618" s="211" t="s">
        <v>789</v>
      </c>
      <c r="E618" s="209" t="s">
        <v>763</v>
      </c>
      <c r="F618" s="209">
        <v>8.8659999999999997</v>
      </c>
      <c r="G618" s="209">
        <v>1765</v>
      </c>
      <c r="H618" s="209">
        <v>279</v>
      </c>
      <c r="I618" s="209" t="s">
        <v>71</v>
      </c>
      <c r="J618" s="208">
        <v>8765</v>
      </c>
      <c r="K618" s="208">
        <v>24405</v>
      </c>
      <c r="L618" s="208">
        <v>15530</v>
      </c>
      <c r="M618" s="206" t="s">
        <v>775</v>
      </c>
      <c r="N618" s="216">
        <v>3.75</v>
      </c>
      <c r="O618" s="215">
        <f>IF(N618&gt;0,1/N618*37.7*68.6,"")</f>
        <v>689.6586666666667</v>
      </c>
      <c r="P618" s="203">
        <v>4.04</v>
      </c>
      <c r="Q618" s="202" t="s">
        <v>761</v>
      </c>
      <c r="R618" s="201" t="s">
        <v>760</v>
      </c>
      <c r="S618" s="201" t="s">
        <v>784</v>
      </c>
      <c r="T618" s="220" t="s">
        <v>751</v>
      </c>
      <c r="U618" s="199"/>
      <c r="V618" s="198" t="str">
        <f>IFERROR(IF(N618&lt;P618,"",(ROUNDDOWN(N618/P618*100,0))),"")</f>
        <v/>
      </c>
    </row>
    <row r="619" spans="1:22" ht="24" customHeight="1">
      <c r="A619" s="219"/>
      <c r="B619" s="223"/>
      <c r="C619" s="222"/>
      <c r="D619" s="211" t="s">
        <v>789</v>
      </c>
      <c r="E619" s="209" t="s">
        <v>763</v>
      </c>
      <c r="F619" s="209">
        <v>8.8659999999999997</v>
      </c>
      <c r="G619" s="209">
        <v>1765</v>
      </c>
      <c r="H619" s="209">
        <v>279</v>
      </c>
      <c r="I619" s="209" t="s">
        <v>243</v>
      </c>
      <c r="J619" s="208">
        <v>8765</v>
      </c>
      <c r="K619" s="208">
        <v>24405</v>
      </c>
      <c r="L619" s="208">
        <v>15530</v>
      </c>
      <c r="M619" s="206" t="s">
        <v>775</v>
      </c>
      <c r="N619" s="216">
        <v>3.95</v>
      </c>
      <c r="O619" s="215">
        <f>IF(N619&gt;0,1/N619*37.7*68.6,"")</f>
        <v>654.739240506329</v>
      </c>
      <c r="P619" s="203">
        <v>4.04</v>
      </c>
      <c r="Q619" s="202" t="s">
        <v>761</v>
      </c>
      <c r="R619" s="201" t="s">
        <v>760</v>
      </c>
      <c r="S619" s="201" t="s">
        <v>784</v>
      </c>
      <c r="T619" s="220" t="s">
        <v>751</v>
      </c>
      <c r="U619" s="199"/>
      <c r="V619" s="198" t="str">
        <f>IFERROR(IF(N619&lt;P619,"",(ROUNDDOWN(N619/P619*100,0))),"")</f>
        <v/>
      </c>
    </row>
    <row r="620" spans="1:22" ht="24" customHeight="1">
      <c r="A620" s="219"/>
      <c r="B620" s="223"/>
      <c r="C620" s="222"/>
      <c r="D620" s="211" t="s">
        <v>789</v>
      </c>
      <c r="E620" s="209" t="s">
        <v>763</v>
      </c>
      <c r="F620" s="209">
        <v>8.8659999999999997</v>
      </c>
      <c r="G620" s="209">
        <v>1569</v>
      </c>
      <c r="H620" s="209">
        <v>279</v>
      </c>
      <c r="I620" s="209" t="s">
        <v>790</v>
      </c>
      <c r="J620" s="208">
        <v>8765</v>
      </c>
      <c r="K620" s="208">
        <v>24405</v>
      </c>
      <c r="L620" s="208">
        <v>15530</v>
      </c>
      <c r="M620" s="206" t="s">
        <v>775</v>
      </c>
      <c r="N620" s="216">
        <v>3.45</v>
      </c>
      <c r="O620" s="215">
        <f>IF(N620&gt;0,1/N620*37.7*68.6,"")</f>
        <v>749.6289855072464</v>
      </c>
      <c r="P620" s="203">
        <v>4.04</v>
      </c>
      <c r="Q620" s="202" t="s">
        <v>761</v>
      </c>
      <c r="R620" s="201" t="s">
        <v>760</v>
      </c>
      <c r="S620" s="201" t="s">
        <v>784</v>
      </c>
      <c r="T620" s="220" t="s">
        <v>751</v>
      </c>
      <c r="U620" s="199"/>
      <c r="V620" s="198" t="str">
        <f>IFERROR(IF(N620&lt;P620,"",(ROUNDDOWN(N620/P620*100,0))),"")</f>
        <v/>
      </c>
    </row>
    <row r="621" spans="1:22" ht="24" customHeight="1">
      <c r="A621" s="219"/>
      <c r="B621" s="223"/>
      <c r="C621" s="222"/>
      <c r="D621" s="211" t="s">
        <v>789</v>
      </c>
      <c r="E621" s="209" t="s">
        <v>763</v>
      </c>
      <c r="F621" s="209">
        <v>8.8659999999999997</v>
      </c>
      <c r="G621" s="209">
        <v>1569</v>
      </c>
      <c r="H621" s="209">
        <v>265</v>
      </c>
      <c r="I621" s="209" t="s">
        <v>762</v>
      </c>
      <c r="J621" s="208">
        <v>8765</v>
      </c>
      <c r="K621" s="208">
        <v>24405</v>
      </c>
      <c r="L621" s="208">
        <v>15530</v>
      </c>
      <c r="M621" s="206" t="s">
        <v>775</v>
      </c>
      <c r="N621" s="216">
        <v>3.8</v>
      </c>
      <c r="O621" s="215">
        <f>IF(N621&gt;0,1/N621*37.7*68.6,"")</f>
        <v>680.5842105263157</v>
      </c>
      <c r="P621" s="203">
        <v>4.04</v>
      </c>
      <c r="Q621" s="202" t="s">
        <v>761</v>
      </c>
      <c r="R621" s="201" t="s">
        <v>760</v>
      </c>
      <c r="S621" s="201" t="s">
        <v>784</v>
      </c>
      <c r="T621" s="220" t="s">
        <v>751</v>
      </c>
      <c r="U621" s="199"/>
      <c r="V621" s="198" t="str">
        <f>IFERROR(IF(N621&lt;P621,"",(ROUNDDOWN(N621/P621*100,0))),"")</f>
        <v/>
      </c>
    </row>
    <row r="622" spans="1:22" ht="24" customHeight="1">
      <c r="A622" s="219"/>
      <c r="B622" s="223"/>
      <c r="C622" s="222"/>
      <c r="D622" s="211" t="s">
        <v>789</v>
      </c>
      <c r="E622" s="209" t="s">
        <v>763</v>
      </c>
      <c r="F622" s="209">
        <v>8.8659999999999997</v>
      </c>
      <c r="G622" s="209">
        <v>1765</v>
      </c>
      <c r="H622" s="209">
        <v>279</v>
      </c>
      <c r="I622" s="209" t="s">
        <v>762</v>
      </c>
      <c r="J622" s="208">
        <v>8765</v>
      </c>
      <c r="K622" s="208">
        <v>24405</v>
      </c>
      <c r="L622" s="208">
        <v>15530</v>
      </c>
      <c r="M622" s="206" t="s">
        <v>775</v>
      </c>
      <c r="N622" s="216">
        <v>3.95</v>
      </c>
      <c r="O622" s="215">
        <f>IF(N622&gt;0,1/N622*37.7*68.6,"")</f>
        <v>654.739240506329</v>
      </c>
      <c r="P622" s="203">
        <v>4.04</v>
      </c>
      <c r="Q622" s="202" t="s">
        <v>761</v>
      </c>
      <c r="R622" s="201" t="s">
        <v>760</v>
      </c>
      <c r="S622" s="201" t="s">
        <v>784</v>
      </c>
      <c r="T622" s="220" t="s">
        <v>751</v>
      </c>
      <c r="U622" s="199"/>
      <c r="V622" s="198" t="str">
        <f>IFERROR(IF(N622&lt;P622,"",(ROUNDDOWN(N622/P622*100,0))),"")</f>
        <v/>
      </c>
    </row>
    <row r="623" spans="1:22" ht="24" customHeight="1">
      <c r="A623" s="219"/>
      <c r="B623" s="223"/>
      <c r="C623" s="222"/>
      <c r="D623" s="211" t="s">
        <v>788</v>
      </c>
      <c r="E623" s="209" t="s">
        <v>763</v>
      </c>
      <c r="F623" s="209">
        <v>8.8659999999999997</v>
      </c>
      <c r="G623" s="209">
        <v>1569</v>
      </c>
      <c r="H623" s="209">
        <v>265</v>
      </c>
      <c r="I623" s="209" t="s">
        <v>243</v>
      </c>
      <c r="J623" s="208">
        <v>8765</v>
      </c>
      <c r="K623" s="208">
        <v>24405</v>
      </c>
      <c r="L623" s="208">
        <v>15530</v>
      </c>
      <c r="M623" s="206" t="s">
        <v>775</v>
      </c>
      <c r="N623" s="216">
        <v>3.85</v>
      </c>
      <c r="O623" s="215">
        <f>IF(N623&gt;0,1/N623*37.7*68.6,"")</f>
        <v>671.74545454545444</v>
      </c>
      <c r="P623" s="203">
        <v>4.04</v>
      </c>
      <c r="Q623" s="202" t="s">
        <v>761</v>
      </c>
      <c r="R623" s="201" t="s">
        <v>760</v>
      </c>
      <c r="S623" s="201" t="s">
        <v>784</v>
      </c>
      <c r="T623" s="220" t="s">
        <v>751</v>
      </c>
      <c r="U623" s="199"/>
      <c r="V623" s="198" t="str">
        <f>IFERROR(IF(N623&lt;P623,"",(ROUNDDOWN(N623/P623*100,0))),"")</f>
        <v/>
      </c>
    </row>
    <row r="624" spans="1:22" ht="24" customHeight="1">
      <c r="A624" s="219"/>
      <c r="B624" s="223"/>
      <c r="C624" s="222"/>
      <c r="D624" s="211" t="s">
        <v>788</v>
      </c>
      <c r="E624" s="209" t="s">
        <v>763</v>
      </c>
      <c r="F624" s="209">
        <v>8.8659999999999997</v>
      </c>
      <c r="G624" s="209">
        <v>1765</v>
      </c>
      <c r="H624" s="209">
        <v>279</v>
      </c>
      <c r="I624" s="209" t="s">
        <v>762</v>
      </c>
      <c r="J624" s="208">
        <v>8765</v>
      </c>
      <c r="K624" s="208">
        <v>24405</v>
      </c>
      <c r="L624" s="208">
        <v>15530</v>
      </c>
      <c r="M624" s="206" t="s">
        <v>775</v>
      </c>
      <c r="N624" s="216">
        <v>3.95</v>
      </c>
      <c r="O624" s="215">
        <f>IF(N624&gt;0,1/N624*37.7*68.6,"")</f>
        <v>654.739240506329</v>
      </c>
      <c r="P624" s="203">
        <v>4.04</v>
      </c>
      <c r="Q624" s="202" t="s">
        <v>761</v>
      </c>
      <c r="R624" s="201" t="s">
        <v>760</v>
      </c>
      <c r="S624" s="201" t="s">
        <v>784</v>
      </c>
      <c r="T624" s="220" t="s">
        <v>751</v>
      </c>
      <c r="U624" s="199"/>
      <c r="V624" s="198" t="str">
        <f>IFERROR(IF(N624&lt;P624,"",(ROUNDDOWN(N624/P624*100,0))),"")</f>
        <v/>
      </c>
    </row>
    <row r="625" spans="1:22" ht="24" customHeight="1">
      <c r="A625" s="219"/>
      <c r="B625" s="223"/>
      <c r="C625" s="222"/>
      <c r="D625" s="211" t="s">
        <v>788</v>
      </c>
      <c r="E625" s="209" t="s">
        <v>763</v>
      </c>
      <c r="F625" s="209">
        <v>8.8659999999999997</v>
      </c>
      <c r="G625" s="209">
        <v>1569</v>
      </c>
      <c r="H625" s="209">
        <v>265</v>
      </c>
      <c r="I625" s="209" t="s">
        <v>753</v>
      </c>
      <c r="J625" s="208">
        <v>8765</v>
      </c>
      <c r="K625" s="208">
        <v>24405</v>
      </c>
      <c r="L625" s="208">
        <v>15530</v>
      </c>
      <c r="M625" s="206" t="s">
        <v>775</v>
      </c>
      <c r="N625" s="216">
        <v>3.8</v>
      </c>
      <c r="O625" s="215">
        <f>IF(N625&gt;0,1/N625*37.7*68.6,"")</f>
        <v>680.5842105263157</v>
      </c>
      <c r="P625" s="203">
        <v>4.04</v>
      </c>
      <c r="Q625" s="202" t="s">
        <v>761</v>
      </c>
      <c r="R625" s="201" t="s">
        <v>760</v>
      </c>
      <c r="S625" s="201" t="s">
        <v>784</v>
      </c>
      <c r="T625" s="220" t="s">
        <v>751</v>
      </c>
      <c r="U625" s="199"/>
      <c r="V625" s="198" t="str">
        <f>IFERROR(IF(N625&lt;P625,"",(ROUNDDOWN(N625/P625*100,0))),"")</f>
        <v/>
      </c>
    </row>
    <row r="626" spans="1:22" ht="24" customHeight="1">
      <c r="A626" s="219"/>
      <c r="B626" s="223"/>
      <c r="C626" s="222"/>
      <c r="D626" s="211" t="s">
        <v>787</v>
      </c>
      <c r="E626" s="209" t="s">
        <v>763</v>
      </c>
      <c r="F626" s="209">
        <v>8.8659999999999997</v>
      </c>
      <c r="G626" s="209">
        <v>1569</v>
      </c>
      <c r="H626" s="209">
        <v>265</v>
      </c>
      <c r="I626" s="209" t="s">
        <v>235</v>
      </c>
      <c r="J626" s="208">
        <v>8765</v>
      </c>
      <c r="K626" s="208">
        <v>24405</v>
      </c>
      <c r="L626" s="208">
        <v>15530</v>
      </c>
      <c r="M626" s="206" t="s">
        <v>775</v>
      </c>
      <c r="N626" s="216">
        <v>3.8</v>
      </c>
      <c r="O626" s="215">
        <f>IF(N626&gt;0,1/N626*37.7*68.6,"")</f>
        <v>680.5842105263157</v>
      </c>
      <c r="P626" s="203">
        <v>4.04</v>
      </c>
      <c r="Q626" s="202" t="s">
        <v>761</v>
      </c>
      <c r="R626" s="201" t="s">
        <v>760</v>
      </c>
      <c r="S626" s="201" t="s">
        <v>784</v>
      </c>
      <c r="T626" s="220" t="s">
        <v>751</v>
      </c>
      <c r="U626" s="199"/>
      <c r="V626" s="198" t="str">
        <f>IFERROR(IF(N626&lt;P626,"",(ROUNDDOWN(N626/P626*100,0))),"")</f>
        <v/>
      </c>
    </row>
    <row r="627" spans="1:22" ht="24" customHeight="1">
      <c r="A627" s="219"/>
      <c r="B627" s="223"/>
      <c r="C627" s="222"/>
      <c r="D627" s="211" t="s">
        <v>787</v>
      </c>
      <c r="E627" s="209" t="s">
        <v>763</v>
      </c>
      <c r="F627" s="209">
        <v>8.8659999999999997</v>
      </c>
      <c r="G627" s="209">
        <v>1765</v>
      </c>
      <c r="H627" s="209">
        <v>279</v>
      </c>
      <c r="I627" s="209" t="s">
        <v>243</v>
      </c>
      <c r="J627" s="208">
        <v>8765</v>
      </c>
      <c r="K627" s="208">
        <v>24405</v>
      </c>
      <c r="L627" s="208">
        <v>15530</v>
      </c>
      <c r="M627" s="206" t="s">
        <v>775</v>
      </c>
      <c r="N627" s="216">
        <v>3.95</v>
      </c>
      <c r="O627" s="215">
        <f>IF(N627&gt;0,1/N627*37.7*68.6,"")</f>
        <v>654.739240506329</v>
      </c>
      <c r="P627" s="203">
        <v>4.04</v>
      </c>
      <c r="Q627" s="202" t="s">
        <v>761</v>
      </c>
      <c r="R627" s="201" t="s">
        <v>760</v>
      </c>
      <c r="S627" s="201" t="s">
        <v>784</v>
      </c>
      <c r="T627" s="220" t="s">
        <v>751</v>
      </c>
      <c r="U627" s="199"/>
      <c r="V627" s="198" t="str">
        <f>IFERROR(IF(N627&lt;P627,"",(ROUNDDOWN(N627/P627*100,0))),"")</f>
        <v/>
      </c>
    </row>
    <row r="628" spans="1:22" ht="24" customHeight="1">
      <c r="A628" s="219"/>
      <c r="B628" s="223"/>
      <c r="C628" s="222"/>
      <c r="D628" s="211" t="s">
        <v>787</v>
      </c>
      <c r="E628" s="209" t="s">
        <v>763</v>
      </c>
      <c r="F628" s="209">
        <v>8.8659999999999997</v>
      </c>
      <c r="G628" s="209">
        <v>1765</v>
      </c>
      <c r="H628" s="209">
        <v>279</v>
      </c>
      <c r="I628" s="209" t="s">
        <v>753</v>
      </c>
      <c r="J628" s="208">
        <v>8765</v>
      </c>
      <c r="K628" s="208">
        <v>24405</v>
      </c>
      <c r="L628" s="208">
        <v>15530</v>
      </c>
      <c r="M628" s="206" t="s">
        <v>775</v>
      </c>
      <c r="N628" s="216">
        <v>3.95</v>
      </c>
      <c r="O628" s="215">
        <f>IF(N628&gt;0,1/N628*37.7*68.6,"")</f>
        <v>654.739240506329</v>
      </c>
      <c r="P628" s="203">
        <v>4.04</v>
      </c>
      <c r="Q628" s="202" t="s">
        <v>761</v>
      </c>
      <c r="R628" s="201" t="s">
        <v>760</v>
      </c>
      <c r="S628" s="201" t="s">
        <v>784</v>
      </c>
      <c r="T628" s="220" t="s">
        <v>751</v>
      </c>
      <c r="U628" s="199"/>
      <c r="V628" s="198" t="str">
        <f>IFERROR(IF(N628&lt;P628,"",(ROUNDDOWN(N628/P628*100,0))),"")</f>
        <v/>
      </c>
    </row>
    <row r="629" spans="1:22" ht="24" customHeight="1">
      <c r="A629" s="219"/>
      <c r="B629" s="223"/>
      <c r="C629" s="222"/>
      <c r="D629" s="211" t="s">
        <v>786</v>
      </c>
      <c r="E629" s="209" t="s">
        <v>763</v>
      </c>
      <c r="F629" s="209">
        <v>8.8659999999999997</v>
      </c>
      <c r="G629" s="209">
        <v>1569</v>
      </c>
      <c r="H629" s="209">
        <v>265</v>
      </c>
      <c r="I629" s="209" t="s">
        <v>243</v>
      </c>
      <c r="J629" s="208">
        <v>8765</v>
      </c>
      <c r="K629" s="208">
        <v>24405</v>
      </c>
      <c r="L629" s="208">
        <v>15530</v>
      </c>
      <c r="M629" s="206" t="s">
        <v>775</v>
      </c>
      <c r="N629" s="216">
        <v>3.85</v>
      </c>
      <c r="O629" s="215">
        <f>IF(N629&gt;0,1/N629*37.7*68.6,"")</f>
        <v>671.74545454545444</v>
      </c>
      <c r="P629" s="203">
        <v>4.04</v>
      </c>
      <c r="Q629" s="202" t="s">
        <v>761</v>
      </c>
      <c r="R629" s="201" t="s">
        <v>760</v>
      </c>
      <c r="S629" s="201" t="s">
        <v>784</v>
      </c>
      <c r="T629" s="220" t="s">
        <v>751</v>
      </c>
      <c r="U629" s="199"/>
      <c r="V629" s="198" t="str">
        <f>IFERROR(IF(N629&lt;P629,"",(ROUNDDOWN(N629/P629*100,0))),"")</f>
        <v/>
      </c>
    </row>
    <row r="630" spans="1:22" ht="24" customHeight="1">
      <c r="A630" s="219"/>
      <c r="B630" s="223"/>
      <c r="C630" s="222"/>
      <c r="D630" s="211" t="s">
        <v>786</v>
      </c>
      <c r="E630" s="209" t="s">
        <v>763</v>
      </c>
      <c r="F630" s="209">
        <v>8.8659999999999997</v>
      </c>
      <c r="G630" s="209">
        <v>1569</v>
      </c>
      <c r="H630" s="209">
        <v>265</v>
      </c>
      <c r="I630" s="209" t="s">
        <v>235</v>
      </c>
      <c r="J630" s="208">
        <v>8765</v>
      </c>
      <c r="K630" s="208">
        <v>24405</v>
      </c>
      <c r="L630" s="208">
        <v>15530</v>
      </c>
      <c r="M630" s="206" t="s">
        <v>775</v>
      </c>
      <c r="N630" s="216">
        <v>3.8</v>
      </c>
      <c r="O630" s="215">
        <f>IF(N630&gt;0,1/N630*37.7*68.6,"")</f>
        <v>680.5842105263157</v>
      </c>
      <c r="P630" s="203">
        <v>4.04</v>
      </c>
      <c r="Q630" s="202" t="s">
        <v>761</v>
      </c>
      <c r="R630" s="201" t="s">
        <v>760</v>
      </c>
      <c r="S630" s="201" t="s">
        <v>784</v>
      </c>
      <c r="T630" s="220" t="s">
        <v>751</v>
      </c>
      <c r="U630" s="199"/>
      <c r="V630" s="198" t="str">
        <f>IFERROR(IF(N630&lt;P630,"",(ROUNDDOWN(N630/P630*100,0))),"")</f>
        <v/>
      </c>
    </row>
    <row r="631" spans="1:22" ht="24" customHeight="1">
      <c r="A631" s="219"/>
      <c r="B631" s="223"/>
      <c r="C631" s="222"/>
      <c r="D631" s="211" t="s">
        <v>786</v>
      </c>
      <c r="E631" s="209" t="s">
        <v>763</v>
      </c>
      <c r="F631" s="209">
        <v>8.8659999999999997</v>
      </c>
      <c r="G631" s="209">
        <v>1569</v>
      </c>
      <c r="H631" s="209">
        <v>265</v>
      </c>
      <c r="I631" s="209" t="s">
        <v>753</v>
      </c>
      <c r="J631" s="208">
        <v>8765</v>
      </c>
      <c r="K631" s="208">
        <v>24405</v>
      </c>
      <c r="L631" s="208">
        <v>15530</v>
      </c>
      <c r="M631" s="206" t="s">
        <v>775</v>
      </c>
      <c r="N631" s="216">
        <v>3.8</v>
      </c>
      <c r="O631" s="215">
        <f>IF(N631&gt;0,1/N631*37.7*68.6,"")</f>
        <v>680.5842105263157</v>
      </c>
      <c r="P631" s="203">
        <v>4.04</v>
      </c>
      <c r="Q631" s="202" t="s">
        <v>761</v>
      </c>
      <c r="R631" s="201" t="s">
        <v>760</v>
      </c>
      <c r="S631" s="201" t="s">
        <v>784</v>
      </c>
      <c r="T631" s="220" t="s">
        <v>751</v>
      </c>
      <c r="U631" s="199"/>
      <c r="V631" s="198" t="str">
        <f>IFERROR(IF(N631&lt;P631,"",(ROUNDDOWN(N631/P631*100,0))),"")</f>
        <v/>
      </c>
    </row>
    <row r="632" spans="1:22" ht="24" customHeight="1">
      <c r="A632" s="219"/>
      <c r="B632" s="223"/>
      <c r="C632" s="222"/>
      <c r="D632" s="211" t="s">
        <v>786</v>
      </c>
      <c r="E632" s="209" t="s">
        <v>763</v>
      </c>
      <c r="F632" s="209">
        <v>8.8659999999999997</v>
      </c>
      <c r="G632" s="209">
        <v>1765</v>
      </c>
      <c r="H632" s="209">
        <v>279</v>
      </c>
      <c r="I632" s="209" t="s">
        <v>243</v>
      </c>
      <c r="J632" s="208">
        <v>8765</v>
      </c>
      <c r="K632" s="208">
        <v>24405</v>
      </c>
      <c r="L632" s="208">
        <v>15530</v>
      </c>
      <c r="M632" s="206" t="s">
        <v>775</v>
      </c>
      <c r="N632" s="216">
        <v>3.95</v>
      </c>
      <c r="O632" s="215">
        <f>IF(N632&gt;0,1/N632*37.7*68.6,"")</f>
        <v>654.739240506329</v>
      </c>
      <c r="P632" s="203">
        <v>4.04</v>
      </c>
      <c r="Q632" s="202" t="s">
        <v>761</v>
      </c>
      <c r="R632" s="201" t="s">
        <v>760</v>
      </c>
      <c r="S632" s="201" t="s">
        <v>784</v>
      </c>
      <c r="T632" s="220" t="s">
        <v>751</v>
      </c>
      <c r="U632" s="199"/>
      <c r="V632" s="198" t="str">
        <f>IFERROR(IF(N632&lt;P632,"",(ROUNDDOWN(N632/P632*100,0))),"")</f>
        <v/>
      </c>
    </row>
    <row r="633" spans="1:22" ht="24" customHeight="1">
      <c r="A633" s="219"/>
      <c r="B633" s="223"/>
      <c r="C633" s="222"/>
      <c r="D633" s="211" t="s">
        <v>786</v>
      </c>
      <c r="E633" s="209" t="s">
        <v>763</v>
      </c>
      <c r="F633" s="209">
        <v>8.8659999999999997</v>
      </c>
      <c r="G633" s="209">
        <v>1765</v>
      </c>
      <c r="H633" s="209">
        <v>279</v>
      </c>
      <c r="I633" s="209" t="s">
        <v>753</v>
      </c>
      <c r="J633" s="208">
        <v>8765</v>
      </c>
      <c r="K633" s="208">
        <v>24405</v>
      </c>
      <c r="L633" s="208">
        <v>15530</v>
      </c>
      <c r="M633" s="206" t="s">
        <v>775</v>
      </c>
      <c r="N633" s="216">
        <v>3.95</v>
      </c>
      <c r="O633" s="215">
        <f>IF(N633&gt;0,1/N633*37.7*68.6,"")</f>
        <v>654.739240506329</v>
      </c>
      <c r="P633" s="203">
        <v>4.04</v>
      </c>
      <c r="Q633" s="202" t="s">
        <v>761</v>
      </c>
      <c r="R633" s="201" t="s">
        <v>760</v>
      </c>
      <c r="S633" s="201" t="s">
        <v>784</v>
      </c>
      <c r="T633" s="220" t="s">
        <v>751</v>
      </c>
      <c r="U633" s="199"/>
      <c r="V633" s="198" t="str">
        <f>IFERROR(IF(N633&lt;P633,"",(ROUNDDOWN(N633/P633*100,0))),"")</f>
        <v/>
      </c>
    </row>
    <row r="634" spans="1:22" ht="24" customHeight="1">
      <c r="A634" s="219"/>
      <c r="B634" s="223"/>
      <c r="C634" s="222"/>
      <c r="D634" s="211" t="s">
        <v>785</v>
      </c>
      <c r="E634" s="209" t="s">
        <v>763</v>
      </c>
      <c r="F634" s="209">
        <v>8.8659999999999997</v>
      </c>
      <c r="G634" s="209">
        <v>1765</v>
      </c>
      <c r="H634" s="209">
        <v>279</v>
      </c>
      <c r="I634" s="209" t="s">
        <v>243</v>
      </c>
      <c r="J634" s="208">
        <v>8765</v>
      </c>
      <c r="K634" s="208">
        <v>24405</v>
      </c>
      <c r="L634" s="208">
        <v>15530</v>
      </c>
      <c r="M634" s="206" t="s">
        <v>775</v>
      </c>
      <c r="N634" s="216">
        <v>3.95</v>
      </c>
      <c r="O634" s="215">
        <f>IF(N634&gt;0,1/N634*37.7*68.6,"")</f>
        <v>654.739240506329</v>
      </c>
      <c r="P634" s="203">
        <v>4.04</v>
      </c>
      <c r="Q634" s="202" t="s">
        <v>761</v>
      </c>
      <c r="R634" s="201" t="s">
        <v>760</v>
      </c>
      <c r="S634" s="201" t="s">
        <v>784</v>
      </c>
      <c r="T634" s="220" t="s">
        <v>751</v>
      </c>
      <c r="U634" s="199"/>
      <c r="V634" s="198" t="str">
        <f>IFERROR(IF(N634&lt;P634,"",(ROUNDDOWN(N634/P634*100,0))),"")</f>
        <v/>
      </c>
    </row>
    <row r="635" spans="1:22" ht="24" customHeight="1">
      <c r="A635" s="219"/>
      <c r="B635" s="223"/>
      <c r="C635" s="222"/>
      <c r="D635" s="211" t="s">
        <v>785</v>
      </c>
      <c r="E635" s="209" t="s">
        <v>763</v>
      </c>
      <c r="F635" s="209">
        <v>8.8659999999999997</v>
      </c>
      <c r="G635" s="209">
        <v>1765</v>
      </c>
      <c r="H635" s="209">
        <v>279</v>
      </c>
      <c r="I635" s="209" t="s">
        <v>753</v>
      </c>
      <c r="J635" s="208">
        <v>8765</v>
      </c>
      <c r="K635" s="208">
        <v>24405</v>
      </c>
      <c r="L635" s="208">
        <v>15530</v>
      </c>
      <c r="M635" s="206" t="s">
        <v>775</v>
      </c>
      <c r="N635" s="216">
        <v>3.95</v>
      </c>
      <c r="O635" s="215">
        <f>IF(N635&gt;0,1/N635*37.7*68.6,"")</f>
        <v>654.739240506329</v>
      </c>
      <c r="P635" s="203">
        <v>4.04</v>
      </c>
      <c r="Q635" s="202" t="s">
        <v>761</v>
      </c>
      <c r="R635" s="201" t="s">
        <v>760</v>
      </c>
      <c r="S635" s="201" t="s">
        <v>784</v>
      </c>
      <c r="T635" s="220" t="s">
        <v>751</v>
      </c>
      <c r="U635" s="199"/>
      <c r="V635" s="198" t="str">
        <f>IFERROR(IF(N635&lt;P635,"",(ROUNDDOWN(N635/P635*100,0))),"")</f>
        <v/>
      </c>
    </row>
    <row r="636" spans="1:22" ht="24" customHeight="1">
      <c r="A636" s="219"/>
      <c r="B636" s="223"/>
      <c r="C636" s="222"/>
      <c r="D636" s="211" t="s">
        <v>783</v>
      </c>
      <c r="E636" s="209" t="s">
        <v>763</v>
      </c>
      <c r="F636" s="209">
        <v>8.8659999999999997</v>
      </c>
      <c r="G636" s="209">
        <v>1569</v>
      </c>
      <c r="H636" s="209">
        <v>265</v>
      </c>
      <c r="I636" s="209" t="s">
        <v>243</v>
      </c>
      <c r="J636" s="208">
        <v>8765</v>
      </c>
      <c r="K636" s="208">
        <v>24405</v>
      </c>
      <c r="L636" s="208">
        <v>15530</v>
      </c>
      <c r="M636" s="206" t="s">
        <v>775</v>
      </c>
      <c r="N636" s="216">
        <v>3.85</v>
      </c>
      <c r="O636" s="215">
        <f>IF(N636&gt;0,1/N636*37.7*68.6,"")</f>
        <v>671.74545454545444</v>
      </c>
      <c r="P636" s="203">
        <v>4.04</v>
      </c>
      <c r="Q636" s="202" t="s">
        <v>761</v>
      </c>
      <c r="R636" s="201" t="s">
        <v>760</v>
      </c>
      <c r="S636" s="201" t="s">
        <v>282</v>
      </c>
      <c r="T636" s="220" t="s">
        <v>751</v>
      </c>
      <c r="U636" s="199"/>
      <c r="V636" s="198" t="str">
        <f>IFERROR(IF(N636&lt;P636,"",(ROUNDDOWN(N636/P636*100,0))),"")</f>
        <v/>
      </c>
    </row>
    <row r="637" spans="1:22" ht="24" customHeight="1">
      <c r="A637" s="219"/>
      <c r="B637" s="223"/>
      <c r="C637" s="222"/>
      <c r="D637" s="211" t="s">
        <v>783</v>
      </c>
      <c r="E637" s="209" t="s">
        <v>763</v>
      </c>
      <c r="F637" s="209">
        <v>8.8659999999999997</v>
      </c>
      <c r="G637" s="209">
        <v>1569</v>
      </c>
      <c r="H637" s="209">
        <v>265</v>
      </c>
      <c r="I637" s="209" t="s">
        <v>753</v>
      </c>
      <c r="J637" s="208">
        <v>8765</v>
      </c>
      <c r="K637" s="208">
        <v>24405</v>
      </c>
      <c r="L637" s="208">
        <v>15530</v>
      </c>
      <c r="M637" s="206" t="s">
        <v>775</v>
      </c>
      <c r="N637" s="216">
        <v>3.8</v>
      </c>
      <c r="O637" s="215">
        <f>IF(N637&gt;0,1/N637*37.7*68.6,"")</f>
        <v>680.5842105263157</v>
      </c>
      <c r="P637" s="203">
        <v>4.04</v>
      </c>
      <c r="Q637" s="202" t="s">
        <v>761</v>
      </c>
      <c r="R637" s="201" t="s">
        <v>760</v>
      </c>
      <c r="S637" s="201" t="s">
        <v>282</v>
      </c>
      <c r="T637" s="220" t="s">
        <v>751</v>
      </c>
      <c r="U637" s="199"/>
      <c r="V637" s="198" t="str">
        <f>IFERROR(IF(N637&lt;P637,"",(ROUNDDOWN(N637/P637*100,0))),"")</f>
        <v/>
      </c>
    </row>
    <row r="638" spans="1:22" ht="24" customHeight="1">
      <c r="A638" s="219"/>
      <c r="B638" s="223"/>
      <c r="C638" s="222"/>
      <c r="D638" s="211" t="s">
        <v>783</v>
      </c>
      <c r="E638" s="209" t="s">
        <v>763</v>
      </c>
      <c r="F638" s="209">
        <v>8.8659999999999997</v>
      </c>
      <c r="G638" s="209">
        <v>1765</v>
      </c>
      <c r="H638" s="209">
        <v>279</v>
      </c>
      <c r="I638" s="209" t="s">
        <v>243</v>
      </c>
      <c r="J638" s="208">
        <v>8765</v>
      </c>
      <c r="K638" s="208">
        <v>24405</v>
      </c>
      <c r="L638" s="208">
        <v>15530</v>
      </c>
      <c r="M638" s="206" t="s">
        <v>775</v>
      </c>
      <c r="N638" s="216">
        <v>3.95</v>
      </c>
      <c r="O638" s="215">
        <f>IF(N638&gt;0,1/N638*37.7*68.6,"")</f>
        <v>654.739240506329</v>
      </c>
      <c r="P638" s="203">
        <v>4.04</v>
      </c>
      <c r="Q638" s="202" t="s">
        <v>761</v>
      </c>
      <c r="R638" s="201" t="s">
        <v>760</v>
      </c>
      <c r="S638" s="201" t="s">
        <v>282</v>
      </c>
      <c r="T638" s="220" t="s">
        <v>751</v>
      </c>
      <c r="U638" s="199"/>
      <c r="V638" s="198" t="str">
        <f>IFERROR(IF(N638&lt;P638,"",(ROUNDDOWN(N638/P638*100,0))),"")</f>
        <v/>
      </c>
    </row>
    <row r="639" spans="1:22" ht="24" customHeight="1">
      <c r="A639" s="219"/>
      <c r="B639" s="223"/>
      <c r="C639" s="222"/>
      <c r="D639" s="211" t="s">
        <v>783</v>
      </c>
      <c r="E639" s="209" t="s">
        <v>763</v>
      </c>
      <c r="F639" s="209">
        <v>8.8659999999999997</v>
      </c>
      <c r="G639" s="209">
        <v>1765</v>
      </c>
      <c r="H639" s="209">
        <v>279</v>
      </c>
      <c r="I639" s="209" t="s">
        <v>753</v>
      </c>
      <c r="J639" s="208">
        <v>8765</v>
      </c>
      <c r="K639" s="208">
        <v>24405</v>
      </c>
      <c r="L639" s="208">
        <v>15530</v>
      </c>
      <c r="M639" s="206" t="s">
        <v>775</v>
      </c>
      <c r="N639" s="216">
        <v>3.95</v>
      </c>
      <c r="O639" s="215">
        <f>IF(N639&gt;0,1/N639*37.7*68.6,"")</f>
        <v>654.739240506329</v>
      </c>
      <c r="P639" s="203">
        <v>4.04</v>
      </c>
      <c r="Q639" s="202" t="s">
        <v>761</v>
      </c>
      <c r="R639" s="201" t="s">
        <v>760</v>
      </c>
      <c r="S639" s="201" t="s">
        <v>282</v>
      </c>
      <c r="T639" s="220" t="s">
        <v>751</v>
      </c>
      <c r="U639" s="199"/>
      <c r="V639" s="198" t="str">
        <f>IFERROR(IF(N639&lt;P639,"",(ROUNDDOWN(N639/P639*100,0))),"")</f>
        <v/>
      </c>
    </row>
    <row r="640" spans="1:22" ht="24" customHeight="1">
      <c r="A640" s="219"/>
      <c r="B640" s="223"/>
      <c r="C640" s="222"/>
      <c r="D640" s="211" t="s">
        <v>783</v>
      </c>
      <c r="E640" s="209" t="s">
        <v>763</v>
      </c>
      <c r="F640" s="209">
        <v>8.8659999999999997</v>
      </c>
      <c r="G640" s="209">
        <v>1569</v>
      </c>
      <c r="H640" s="209">
        <v>279</v>
      </c>
      <c r="I640" s="209" t="s">
        <v>753</v>
      </c>
      <c r="J640" s="208">
        <v>8765</v>
      </c>
      <c r="K640" s="208">
        <v>24405</v>
      </c>
      <c r="L640" s="208">
        <v>15530</v>
      </c>
      <c r="M640" s="206" t="s">
        <v>775</v>
      </c>
      <c r="N640" s="216">
        <v>3.75</v>
      </c>
      <c r="O640" s="215">
        <f>IF(N640&gt;0,1/N640*37.7*68.6,"")</f>
        <v>689.6586666666667</v>
      </c>
      <c r="P640" s="203">
        <v>4.04</v>
      </c>
      <c r="Q640" s="202" t="s">
        <v>761</v>
      </c>
      <c r="R640" s="201" t="s">
        <v>760</v>
      </c>
      <c r="S640" s="201" t="s">
        <v>282</v>
      </c>
      <c r="T640" s="220" t="s">
        <v>751</v>
      </c>
      <c r="U640" s="199"/>
      <c r="V640" s="198" t="str">
        <f>IFERROR(IF(N640&lt;P640,"",(ROUNDDOWN(N640/P640*100,0))),"")</f>
        <v/>
      </c>
    </row>
    <row r="641" spans="1:22" ht="24" customHeight="1">
      <c r="A641" s="219"/>
      <c r="B641" s="223"/>
      <c r="C641" s="222"/>
      <c r="D641" s="211" t="s">
        <v>782</v>
      </c>
      <c r="E641" s="209" t="s">
        <v>763</v>
      </c>
      <c r="F641" s="209">
        <v>8.8659999999999997</v>
      </c>
      <c r="G641" s="209">
        <v>1569</v>
      </c>
      <c r="H641" s="209">
        <v>265</v>
      </c>
      <c r="I641" s="209" t="s">
        <v>243</v>
      </c>
      <c r="J641" s="208">
        <v>8765</v>
      </c>
      <c r="K641" s="208">
        <v>24405</v>
      </c>
      <c r="L641" s="208">
        <v>15530</v>
      </c>
      <c r="M641" s="206" t="s">
        <v>775</v>
      </c>
      <c r="N641" s="216">
        <v>3.85</v>
      </c>
      <c r="O641" s="215">
        <f>IF(N641&gt;0,1/N641*37.7*68.6,"")</f>
        <v>671.74545454545444</v>
      </c>
      <c r="P641" s="203">
        <v>4.04</v>
      </c>
      <c r="Q641" s="202" t="s">
        <v>761</v>
      </c>
      <c r="R641" s="201" t="s">
        <v>760</v>
      </c>
      <c r="S641" s="201" t="s">
        <v>282</v>
      </c>
      <c r="T641" s="220" t="s">
        <v>751</v>
      </c>
      <c r="U641" s="199"/>
      <c r="V641" s="198" t="str">
        <f>IFERROR(IF(N641&lt;P641,"",(ROUNDDOWN(N641/P641*100,0))),"")</f>
        <v/>
      </c>
    </row>
    <row r="642" spans="1:22" ht="24" customHeight="1">
      <c r="A642" s="219"/>
      <c r="B642" s="223"/>
      <c r="C642" s="222"/>
      <c r="D642" s="211" t="s">
        <v>782</v>
      </c>
      <c r="E642" s="209" t="s">
        <v>763</v>
      </c>
      <c r="F642" s="209">
        <v>8.8659999999999997</v>
      </c>
      <c r="G642" s="209">
        <v>1569</v>
      </c>
      <c r="H642" s="209">
        <v>265</v>
      </c>
      <c r="I642" s="209" t="s">
        <v>753</v>
      </c>
      <c r="J642" s="208">
        <v>8765</v>
      </c>
      <c r="K642" s="208">
        <v>24405</v>
      </c>
      <c r="L642" s="208">
        <v>15530</v>
      </c>
      <c r="M642" s="206" t="s">
        <v>775</v>
      </c>
      <c r="N642" s="216">
        <v>3.8</v>
      </c>
      <c r="O642" s="215">
        <f>IF(N642&gt;0,1/N642*37.7*68.6,"")</f>
        <v>680.5842105263157</v>
      </c>
      <c r="P642" s="203">
        <v>4.04</v>
      </c>
      <c r="Q642" s="202" t="s">
        <v>761</v>
      </c>
      <c r="R642" s="201" t="s">
        <v>760</v>
      </c>
      <c r="S642" s="201" t="s">
        <v>282</v>
      </c>
      <c r="T642" s="220" t="s">
        <v>751</v>
      </c>
      <c r="U642" s="199"/>
      <c r="V642" s="198" t="str">
        <f>IFERROR(IF(N642&lt;P642,"",(ROUNDDOWN(N642/P642*100,0))),"")</f>
        <v/>
      </c>
    </row>
    <row r="643" spans="1:22" ht="24" customHeight="1">
      <c r="A643" s="219"/>
      <c r="B643" s="223"/>
      <c r="C643" s="222"/>
      <c r="D643" s="211" t="s">
        <v>782</v>
      </c>
      <c r="E643" s="209" t="s">
        <v>763</v>
      </c>
      <c r="F643" s="209">
        <v>8.8659999999999997</v>
      </c>
      <c r="G643" s="209">
        <v>1765</v>
      </c>
      <c r="H643" s="209">
        <v>279</v>
      </c>
      <c r="I643" s="209" t="s">
        <v>243</v>
      </c>
      <c r="J643" s="208">
        <v>8765</v>
      </c>
      <c r="K643" s="208">
        <v>24405</v>
      </c>
      <c r="L643" s="208">
        <v>15530</v>
      </c>
      <c r="M643" s="206" t="s">
        <v>775</v>
      </c>
      <c r="N643" s="216">
        <v>3.95</v>
      </c>
      <c r="O643" s="215">
        <f>IF(N643&gt;0,1/N643*37.7*68.6,"")</f>
        <v>654.739240506329</v>
      </c>
      <c r="P643" s="203">
        <v>4.04</v>
      </c>
      <c r="Q643" s="202" t="s">
        <v>761</v>
      </c>
      <c r="R643" s="201" t="s">
        <v>760</v>
      </c>
      <c r="S643" s="201" t="s">
        <v>282</v>
      </c>
      <c r="T643" s="220" t="s">
        <v>751</v>
      </c>
      <c r="U643" s="199"/>
      <c r="V643" s="198" t="str">
        <f>IFERROR(IF(N643&lt;P643,"",(ROUNDDOWN(N643/P643*100,0))),"")</f>
        <v/>
      </c>
    </row>
    <row r="644" spans="1:22" ht="24" customHeight="1">
      <c r="A644" s="219"/>
      <c r="B644" s="223"/>
      <c r="C644" s="222"/>
      <c r="D644" s="211" t="s">
        <v>782</v>
      </c>
      <c r="E644" s="209" t="s">
        <v>763</v>
      </c>
      <c r="F644" s="209">
        <v>8.8659999999999997</v>
      </c>
      <c r="G644" s="209">
        <v>1765</v>
      </c>
      <c r="H644" s="209">
        <v>279</v>
      </c>
      <c r="I644" s="209" t="s">
        <v>753</v>
      </c>
      <c r="J644" s="208">
        <v>8765</v>
      </c>
      <c r="K644" s="208">
        <v>24405</v>
      </c>
      <c r="L644" s="208">
        <v>15530</v>
      </c>
      <c r="M644" s="206" t="s">
        <v>775</v>
      </c>
      <c r="N644" s="216">
        <v>3.95</v>
      </c>
      <c r="O644" s="215">
        <f>IF(N644&gt;0,1/N644*37.7*68.6,"")</f>
        <v>654.739240506329</v>
      </c>
      <c r="P644" s="203">
        <v>4.04</v>
      </c>
      <c r="Q644" s="202" t="s">
        <v>761</v>
      </c>
      <c r="R644" s="201" t="s">
        <v>760</v>
      </c>
      <c r="S644" s="201" t="s">
        <v>282</v>
      </c>
      <c r="T644" s="220" t="s">
        <v>751</v>
      </c>
      <c r="U644" s="199"/>
      <c r="V644" s="198" t="str">
        <f>IFERROR(IF(N644&lt;P644,"",(ROUNDDOWN(N644/P644*100,0))),"")</f>
        <v/>
      </c>
    </row>
    <row r="645" spans="1:22" ht="24" customHeight="1">
      <c r="A645" s="219"/>
      <c r="B645" s="223"/>
      <c r="C645" s="222"/>
      <c r="D645" s="211" t="s">
        <v>781</v>
      </c>
      <c r="E645" s="209" t="s">
        <v>763</v>
      </c>
      <c r="F645" s="209">
        <v>8.8659999999999997</v>
      </c>
      <c r="G645" s="209">
        <v>1569</v>
      </c>
      <c r="H645" s="209">
        <v>265</v>
      </c>
      <c r="I645" s="209" t="s">
        <v>243</v>
      </c>
      <c r="J645" s="208">
        <v>8765</v>
      </c>
      <c r="K645" s="208">
        <v>24405</v>
      </c>
      <c r="L645" s="208">
        <v>15530</v>
      </c>
      <c r="M645" s="206" t="s">
        <v>775</v>
      </c>
      <c r="N645" s="216">
        <v>3.85</v>
      </c>
      <c r="O645" s="215">
        <f>IF(N645&gt;0,1/N645*37.7*68.6,"")</f>
        <v>671.74545454545444</v>
      </c>
      <c r="P645" s="203">
        <v>4.04</v>
      </c>
      <c r="Q645" s="202" t="s">
        <v>761</v>
      </c>
      <c r="R645" s="201" t="s">
        <v>760</v>
      </c>
      <c r="S645" s="201" t="s">
        <v>282</v>
      </c>
      <c r="T645" s="220" t="s">
        <v>751</v>
      </c>
      <c r="U645" s="199"/>
      <c r="V645" s="198" t="str">
        <f>IFERROR(IF(N645&lt;P645,"",(ROUNDDOWN(N645/P645*100,0))),"")</f>
        <v/>
      </c>
    </row>
    <row r="646" spans="1:22" ht="24" customHeight="1">
      <c r="A646" s="219"/>
      <c r="B646" s="223"/>
      <c r="C646" s="222"/>
      <c r="D646" s="211" t="s">
        <v>781</v>
      </c>
      <c r="E646" s="209" t="s">
        <v>763</v>
      </c>
      <c r="F646" s="209">
        <v>8.8659999999999997</v>
      </c>
      <c r="G646" s="209">
        <v>1569</v>
      </c>
      <c r="H646" s="209">
        <v>265</v>
      </c>
      <c r="I646" s="209" t="s">
        <v>235</v>
      </c>
      <c r="J646" s="208">
        <v>8765</v>
      </c>
      <c r="K646" s="208">
        <v>24405</v>
      </c>
      <c r="L646" s="208">
        <v>15530</v>
      </c>
      <c r="M646" s="206" t="s">
        <v>775</v>
      </c>
      <c r="N646" s="216">
        <v>3.8</v>
      </c>
      <c r="O646" s="215">
        <f>IF(N646&gt;0,1/N646*37.7*68.6,"")</f>
        <v>680.5842105263157</v>
      </c>
      <c r="P646" s="203">
        <v>4.04</v>
      </c>
      <c r="Q646" s="202" t="s">
        <v>761</v>
      </c>
      <c r="R646" s="201" t="s">
        <v>760</v>
      </c>
      <c r="S646" s="201" t="s">
        <v>282</v>
      </c>
      <c r="T646" s="220" t="s">
        <v>751</v>
      </c>
      <c r="U646" s="199"/>
      <c r="V646" s="198" t="str">
        <f>IFERROR(IF(N646&lt;P646,"",(ROUNDDOWN(N646/P646*100,0))),"")</f>
        <v/>
      </c>
    </row>
    <row r="647" spans="1:22" ht="24" customHeight="1">
      <c r="A647" s="219"/>
      <c r="B647" s="223"/>
      <c r="C647" s="222"/>
      <c r="D647" s="211" t="s">
        <v>781</v>
      </c>
      <c r="E647" s="209" t="s">
        <v>763</v>
      </c>
      <c r="F647" s="209">
        <v>8.8659999999999997</v>
      </c>
      <c r="G647" s="209">
        <v>1569</v>
      </c>
      <c r="H647" s="209">
        <v>265</v>
      </c>
      <c r="I647" s="209" t="s">
        <v>753</v>
      </c>
      <c r="J647" s="208">
        <v>8765</v>
      </c>
      <c r="K647" s="208">
        <v>24405</v>
      </c>
      <c r="L647" s="208">
        <v>15530</v>
      </c>
      <c r="M647" s="206" t="s">
        <v>775</v>
      </c>
      <c r="N647" s="216">
        <v>3.8</v>
      </c>
      <c r="O647" s="215">
        <f>IF(N647&gt;0,1/N647*37.7*68.6,"")</f>
        <v>680.5842105263157</v>
      </c>
      <c r="P647" s="203">
        <v>4.04</v>
      </c>
      <c r="Q647" s="202" t="s">
        <v>761</v>
      </c>
      <c r="R647" s="201" t="s">
        <v>760</v>
      </c>
      <c r="S647" s="201" t="s">
        <v>282</v>
      </c>
      <c r="T647" s="220" t="s">
        <v>751</v>
      </c>
      <c r="U647" s="199"/>
      <c r="V647" s="198" t="str">
        <f>IFERROR(IF(N647&lt;P647,"",(ROUNDDOWN(N647/P647*100,0))),"")</f>
        <v/>
      </c>
    </row>
    <row r="648" spans="1:22" ht="24" customHeight="1">
      <c r="A648" s="219"/>
      <c r="B648" s="223"/>
      <c r="C648" s="222"/>
      <c r="D648" s="211" t="s">
        <v>781</v>
      </c>
      <c r="E648" s="209" t="s">
        <v>763</v>
      </c>
      <c r="F648" s="209">
        <v>8.8659999999999997</v>
      </c>
      <c r="G648" s="209">
        <v>1765</v>
      </c>
      <c r="H648" s="209">
        <v>279</v>
      </c>
      <c r="I648" s="209" t="s">
        <v>243</v>
      </c>
      <c r="J648" s="208">
        <v>8765</v>
      </c>
      <c r="K648" s="208">
        <v>24405</v>
      </c>
      <c r="L648" s="208">
        <v>15530</v>
      </c>
      <c r="M648" s="206" t="s">
        <v>775</v>
      </c>
      <c r="N648" s="216">
        <v>3.95</v>
      </c>
      <c r="O648" s="215">
        <f>IF(N648&gt;0,1/N648*37.7*68.6,"")</f>
        <v>654.739240506329</v>
      </c>
      <c r="P648" s="203">
        <v>4.04</v>
      </c>
      <c r="Q648" s="202" t="s">
        <v>761</v>
      </c>
      <c r="R648" s="201" t="s">
        <v>760</v>
      </c>
      <c r="S648" s="201" t="s">
        <v>282</v>
      </c>
      <c r="T648" s="220" t="s">
        <v>751</v>
      </c>
      <c r="U648" s="199"/>
      <c r="V648" s="198" t="str">
        <f>IFERROR(IF(N648&lt;P648,"",(ROUNDDOWN(N648/P648*100,0))),"")</f>
        <v/>
      </c>
    </row>
    <row r="649" spans="1:22" ht="24" customHeight="1">
      <c r="A649" s="219"/>
      <c r="B649" s="223"/>
      <c r="C649" s="222"/>
      <c r="D649" s="211" t="s">
        <v>781</v>
      </c>
      <c r="E649" s="209" t="s">
        <v>763</v>
      </c>
      <c r="F649" s="209">
        <v>8.8659999999999997</v>
      </c>
      <c r="G649" s="209">
        <v>1569</v>
      </c>
      <c r="H649" s="209">
        <v>279</v>
      </c>
      <c r="I649" s="209" t="s">
        <v>753</v>
      </c>
      <c r="J649" s="208">
        <v>8765</v>
      </c>
      <c r="K649" s="208">
        <v>24405</v>
      </c>
      <c r="L649" s="208">
        <v>15530</v>
      </c>
      <c r="M649" s="206" t="s">
        <v>775</v>
      </c>
      <c r="N649" s="216">
        <v>3.75</v>
      </c>
      <c r="O649" s="215">
        <f>IF(N649&gt;0,1/N649*37.7*68.6,"")</f>
        <v>689.6586666666667</v>
      </c>
      <c r="P649" s="203">
        <v>4.04</v>
      </c>
      <c r="Q649" s="202" t="s">
        <v>761</v>
      </c>
      <c r="R649" s="201" t="s">
        <v>760</v>
      </c>
      <c r="S649" s="201" t="s">
        <v>282</v>
      </c>
      <c r="T649" s="220" t="s">
        <v>751</v>
      </c>
      <c r="U649" s="199"/>
      <c r="V649" s="198" t="str">
        <f>IFERROR(IF(N649&lt;P649,"",(ROUNDDOWN(N649/P649*100,0))),"")</f>
        <v/>
      </c>
    </row>
    <row r="650" spans="1:22" ht="24" customHeight="1">
      <c r="A650" s="219"/>
      <c r="B650" s="223"/>
      <c r="C650" s="222"/>
      <c r="D650" s="211" t="s">
        <v>781</v>
      </c>
      <c r="E650" s="209" t="s">
        <v>763</v>
      </c>
      <c r="F650" s="209">
        <v>8.8659999999999997</v>
      </c>
      <c r="G650" s="209">
        <v>1765</v>
      </c>
      <c r="H650" s="209">
        <v>279</v>
      </c>
      <c r="I650" s="209" t="s">
        <v>753</v>
      </c>
      <c r="J650" s="208">
        <v>8765</v>
      </c>
      <c r="K650" s="208">
        <v>24405</v>
      </c>
      <c r="L650" s="208">
        <v>15530</v>
      </c>
      <c r="M650" s="206" t="s">
        <v>775</v>
      </c>
      <c r="N650" s="216">
        <v>3.95</v>
      </c>
      <c r="O650" s="215">
        <f>IF(N650&gt;0,1/N650*37.7*68.6,"")</f>
        <v>654.739240506329</v>
      </c>
      <c r="P650" s="203">
        <v>4.04</v>
      </c>
      <c r="Q650" s="202" t="s">
        <v>761</v>
      </c>
      <c r="R650" s="201" t="s">
        <v>760</v>
      </c>
      <c r="S650" s="201" t="s">
        <v>282</v>
      </c>
      <c r="T650" s="220" t="s">
        <v>751</v>
      </c>
      <c r="U650" s="199"/>
      <c r="V650" s="198" t="str">
        <f>IFERROR(IF(N650&lt;P650,"",(ROUNDDOWN(N650/P650*100,0))),"")</f>
        <v/>
      </c>
    </row>
    <row r="651" spans="1:22" ht="24" customHeight="1">
      <c r="A651" s="219"/>
      <c r="B651" s="223"/>
      <c r="C651" s="222"/>
      <c r="D651" s="211" t="s">
        <v>780</v>
      </c>
      <c r="E651" s="209" t="s">
        <v>763</v>
      </c>
      <c r="F651" s="209">
        <v>8.8659999999999997</v>
      </c>
      <c r="G651" s="209">
        <v>1765</v>
      </c>
      <c r="H651" s="209">
        <v>279</v>
      </c>
      <c r="I651" s="209" t="s">
        <v>243</v>
      </c>
      <c r="J651" s="208">
        <v>8765</v>
      </c>
      <c r="K651" s="208">
        <v>24405</v>
      </c>
      <c r="L651" s="208">
        <v>15530</v>
      </c>
      <c r="M651" s="206" t="s">
        <v>775</v>
      </c>
      <c r="N651" s="216">
        <v>3.95</v>
      </c>
      <c r="O651" s="215">
        <f>IF(N651&gt;0,1/N651*37.7*68.6,"")</f>
        <v>654.739240506329</v>
      </c>
      <c r="P651" s="203">
        <v>4.04</v>
      </c>
      <c r="Q651" s="202" t="s">
        <v>761</v>
      </c>
      <c r="R651" s="201" t="s">
        <v>760</v>
      </c>
      <c r="S651" s="201" t="s">
        <v>282</v>
      </c>
      <c r="T651" s="220" t="s">
        <v>751</v>
      </c>
      <c r="U651" s="199"/>
      <c r="V651" s="198" t="str">
        <f>IFERROR(IF(N651&lt;P651,"",(ROUNDDOWN(N651/P651*100,0))),"")</f>
        <v/>
      </c>
    </row>
    <row r="652" spans="1:22" ht="24" customHeight="1">
      <c r="A652" s="219"/>
      <c r="B652" s="223"/>
      <c r="C652" s="222"/>
      <c r="D652" s="211" t="s">
        <v>780</v>
      </c>
      <c r="E652" s="209" t="s">
        <v>763</v>
      </c>
      <c r="F652" s="209">
        <v>8.8659999999999997</v>
      </c>
      <c r="G652" s="209">
        <v>1765</v>
      </c>
      <c r="H652" s="209">
        <v>279</v>
      </c>
      <c r="I652" s="209" t="s">
        <v>753</v>
      </c>
      <c r="J652" s="208">
        <v>8765</v>
      </c>
      <c r="K652" s="208">
        <v>24405</v>
      </c>
      <c r="L652" s="208">
        <v>15530</v>
      </c>
      <c r="M652" s="206" t="s">
        <v>775</v>
      </c>
      <c r="N652" s="216">
        <v>3.95</v>
      </c>
      <c r="O652" s="215">
        <f>IF(N652&gt;0,1/N652*37.7*68.6,"")</f>
        <v>654.739240506329</v>
      </c>
      <c r="P652" s="203">
        <v>4.04</v>
      </c>
      <c r="Q652" s="202" t="s">
        <v>761</v>
      </c>
      <c r="R652" s="201" t="s">
        <v>760</v>
      </c>
      <c r="S652" s="201" t="s">
        <v>282</v>
      </c>
      <c r="T652" s="220" t="s">
        <v>751</v>
      </c>
      <c r="U652" s="199"/>
      <c r="V652" s="198" t="str">
        <f>IFERROR(IF(N652&lt;P652,"",(ROUNDDOWN(N652/P652*100,0))),"")</f>
        <v/>
      </c>
    </row>
    <row r="653" spans="1:22" ht="24" customHeight="1">
      <c r="A653" s="219"/>
      <c r="B653" s="223"/>
      <c r="C653" s="222"/>
      <c r="D653" s="211" t="s">
        <v>779</v>
      </c>
      <c r="E653" s="209" t="s">
        <v>763</v>
      </c>
      <c r="F653" s="209">
        <v>8.8659999999999997</v>
      </c>
      <c r="G653" s="209">
        <v>1569</v>
      </c>
      <c r="H653" s="209">
        <v>265</v>
      </c>
      <c r="I653" s="209" t="s">
        <v>243</v>
      </c>
      <c r="J653" s="208">
        <v>8688</v>
      </c>
      <c r="K653" s="208">
        <v>19887</v>
      </c>
      <c r="L653" s="208">
        <v>11089</v>
      </c>
      <c r="M653" s="206" t="s">
        <v>775</v>
      </c>
      <c r="N653" s="216">
        <v>4</v>
      </c>
      <c r="O653" s="215">
        <f>IF(N653&gt;0,1/N653*37.7*68.6,"")</f>
        <v>646.55499999999995</v>
      </c>
      <c r="P653" s="203">
        <v>4.1500000000000004</v>
      </c>
      <c r="Q653" s="202" t="s">
        <v>761</v>
      </c>
      <c r="R653" s="201" t="s">
        <v>760</v>
      </c>
      <c r="S653" s="201" t="s">
        <v>774</v>
      </c>
      <c r="T653" s="220" t="s">
        <v>751</v>
      </c>
      <c r="U653" s="199"/>
      <c r="V653" s="198" t="str">
        <f>IFERROR(IF(N653&lt;P653,"",(ROUNDDOWN(N653/P653*100,0))),"")</f>
        <v/>
      </c>
    </row>
    <row r="654" spans="1:22" ht="24" customHeight="1">
      <c r="A654" s="219"/>
      <c r="B654" s="223"/>
      <c r="C654" s="222"/>
      <c r="D654" s="211" t="s">
        <v>779</v>
      </c>
      <c r="E654" s="209" t="s">
        <v>763</v>
      </c>
      <c r="F654" s="209">
        <v>8.8659999999999997</v>
      </c>
      <c r="G654" s="209">
        <v>1177</v>
      </c>
      <c r="H654" s="209">
        <v>221</v>
      </c>
      <c r="I654" s="209" t="s">
        <v>30</v>
      </c>
      <c r="J654" s="208">
        <v>8688</v>
      </c>
      <c r="K654" s="208">
        <v>19887</v>
      </c>
      <c r="L654" s="208">
        <v>11089</v>
      </c>
      <c r="M654" s="206" t="s">
        <v>775</v>
      </c>
      <c r="N654" s="216">
        <v>3.9</v>
      </c>
      <c r="O654" s="215">
        <f>IF(N654&gt;0,1/N654*37.7*68.6,"")</f>
        <v>663.13333333333333</v>
      </c>
      <c r="P654" s="203">
        <v>4.1500000000000004</v>
      </c>
      <c r="Q654" s="202" t="s">
        <v>761</v>
      </c>
      <c r="R654" s="201" t="s">
        <v>760</v>
      </c>
      <c r="S654" s="201" t="s">
        <v>774</v>
      </c>
      <c r="T654" s="220" t="s">
        <v>751</v>
      </c>
      <c r="U654" s="199"/>
      <c r="V654" s="198" t="str">
        <f>IFERROR(IF(N654&lt;P654,"",(ROUNDDOWN(N654/P654*100,0))),"")</f>
        <v/>
      </c>
    </row>
    <row r="655" spans="1:22" ht="24" customHeight="1">
      <c r="A655" s="219"/>
      <c r="B655" s="223"/>
      <c r="C655" s="222"/>
      <c r="D655" s="211" t="s">
        <v>779</v>
      </c>
      <c r="E655" s="209" t="s">
        <v>763</v>
      </c>
      <c r="F655" s="209">
        <v>8.8659999999999997</v>
      </c>
      <c r="G655" s="209">
        <v>1569</v>
      </c>
      <c r="H655" s="209">
        <v>265</v>
      </c>
      <c r="I655" s="209" t="s">
        <v>753</v>
      </c>
      <c r="J655" s="208">
        <v>8688</v>
      </c>
      <c r="K655" s="208">
        <v>19887</v>
      </c>
      <c r="L655" s="208">
        <v>11089</v>
      </c>
      <c r="M655" s="206" t="s">
        <v>775</v>
      </c>
      <c r="N655" s="216">
        <v>3.95</v>
      </c>
      <c r="O655" s="215">
        <f>IF(N655&gt;0,1/N655*37.7*68.6,"")</f>
        <v>654.739240506329</v>
      </c>
      <c r="P655" s="203">
        <v>4.1500000000000004</v>
      </c>
      <c r="Q655" s="202" t="s">
        <v>761</v>
      </c>
      <c r="R655" s="201" t="s">
        <v>760</v>
      </c>
      <c r="S655" s="201" t="s">
        <v>774</v>
      </c>
      <c r="T655" s="220" t="s">
        <v>751</v>
      </c>
      <c r="U655" s="199"/>
      <c r="V655" s="198" t="str">
        <f>IFERROR(IF(N655&lt;P655,"",(ROUNDDOWN(N655/P655*100,0))),"")</f>
        <v/>
      </c>
    </row>
    <row r="656" spans="1:22" ht="24" customHeight="1">
      <c r="A656" s="219"/>
      <c r="B656" s="223"/>
      <c r="C656" s="222"/>
      <c r="D656" s="211" t="s">
        <v>778</v>
      </c>
      <c r="E656" s="209" t="s">
        <v>763</v>
      </c>
      <c r="F656" s="209">
        <v>8.8659999999999997</v>
      </c>
      <c r="G656" s="209">
        <v>1569</v>
      </c>
      <c r="H656" s="209">
        <v>265</v>
      </c>
      <c r="I656" s="209" t="s">
        <v>243</v>
      </c>
      <c r="J656" s="208">
        <v>8688</v>
      </c>
      <c r="K656" s="208">
        <v>19887</v>
      </c>
      <c r="L656" s="208">
        <v>11089</v>
      </c>
      <c r="M656" s="206" t="s">
        <v>775</v>
      </c>
      <c r="N656" s="216">
        <v>4</v>
      </c>
      <c r="O656" s="215">
        <f>IF(N656&gt;0,1/N656*37.7*68.6,"")</f>
        <v>646.55499999999995</v>
      </c>
      <c r="P656" s="203">
        <v>4.1500000000000004</v>
      </c>
      <c r="Q656" s="202" t="s">
        <v>761</v>
      </c>
      <c r="R656" s="201" t="s">
        <v>760</v>
      </c>
      <c r="S656" s="201" t="s">
        <v>774</v>
      </c>
      <c r="T656" s="220" t="s">
        <v>751</v>
      </c>
      <c r="U656" s="199"/>
      <c r="V656" s="198" t="str">
        <f>IFERROR(IF(N656&lt;P656,"",(ROUNDDOWN(N656/P656*100,0))),"")</f>
        <v/>
      </c>
    </row>
    <row r="657" spans="1:22" ht="24" customHeight="1">
      <c r="A657" s="219"/>
      <c r="B657" s="223"/>
      <c r="C657" s="222"/>
      <c r="D657" s="211" t="s">
        <v>778</v>
      </c>
      <c r="E657" s="209" t="s">
        <v>763</v>
      </c>
      <c r="F657" s="209">
        <v>8.8659999999999997</v>
      </c>
      <c r="G657" s="209">
        <v>1569</v>
      </c>
      <c r="H657" s="209">
        <v>265</v>
      </c>
      <c r="I657" s="209" t="s">
        <v>753</v>
      </c>
      <c r="J657" s="208">
        <v>8688</v>
      </c>
      <c r="K657" s="208">
        <v>19887</v>
      </c>
      <c r="L657" s="208">
        <v>11089</v>
      </c>
      <c r="M657" s="206" t="s">
        <v>775</v>
      </c>
      <c r="N657" s="216">
        <v>3.95</v>
      </c>
      <c r="O657" s="215">
        <f>IF(N657&gt;0,1/N657*37.7*68.6,"")</f>
        <v>654.739240506329</v>
      </c>
      <c r="P657" s="203">
        <v>4.1500000000000004</v>
      </c>
      <c r="Q657" s="202" t="s">
        <v>761</v>
      </c>
      <c r="R657" s="201" t="s">
        <v>760</v>
      </c>
      <c r="S657" s="201" t="s">
        <v>774</v>
      </c>
      <c r="T657" s="220" t="s">
        <v>751</v>
      </c>
      <c r="U657" s="199"/>
      <c r="V657" s="198" t="str">
        <f>IFERROR(IF(N657&lt;P657,"",(ROUNDDOWN(N657/P657*100,0))),"")</f>
        <v/>
      </c>
    </row>
    <row r="658" spans="1:22" ht="24" customHeight="1">
      <c r="A658" s="219"/>
      <c r="B658" s="223"/>
      <c r="C658" s="222"/>
      <c r="D658" s="211" t="s">
        <v>777</v>
      </c>
      <c r="E658" s="209" t="s">
        <v>763</v>
      </c>
      <c r="F658" s="209">
        <v>8.8659999999999997</v>
      </c>
      <c r="G658" s="209">
        <v>1569</v>
      </c>
      <c r="H658" s="209">
        <v>265</v>
      </c>
      <c r="I658" s="209" t="s">
        <v>243</v>
      </c>
      <c r="J658" s="208">
        <v>8765</v>
      </c>
      <c r="K658" s="208">
        <v>24405</v>
      </c>
      <c r="L658" s="208">
        <v>15530</v>
      </c>
      <c r="M658" s="206" t="s">
        <v>775</v>
      </c>
      <c r="N658" s="216">
        <v>3.85</v>
      </c>
      <c r="O658" s="215">
        <f>IF(N658&gt;0,1/N658*37.7*68.6,"")</f>
        <v>671.74545454545444</v>
      </c>
      <c r="P658" s="203">
        <v>4.04</v>
      </c>
      <c r="Q658" s="202" t="s">
        <v>761</v>
      </c>
      <c r="R658" s="201" t="s">
        <v>760</v>
      </c>
      <c r="S658" s="201" t="s">
        <v>774</v>
      </c>
      <c r="T658" s="220" t="s">
        <v>751</v>
      </c>
      <c r="U658" s="199"/>
      <c r="V658" s="198" t="str">
        <f>IFERROR(IF(N658&lt;P658,"",(ROUNDDOWN(N658/P658*100,0))),"")</f>
        <v/>
      </c>
    </row>
    <row r="659" spans="1:22" ht="24" customHeight="1">
      <c r="A659" s="219"/>
      <c r="B659" s="223"/>
      <c r="C659" s="222"/>
      <c r="D659" s="211" t="s">
        <v>777</v>
      </c>
      <c r="E659" s="209" t="s">
        <v>763</v>
      </c>
      <c r="F659" s="209">
        <v>8.8659999999999997</v>
      </c>
      <c r="G659" s="209">
        <v>1177</v>
      </c>
      <c r="H659" s="209">
        <v>221</v>
      </c>
      <c r="I659" s="209" t="s">
        <v>30</v>
      </c>
      <c r="J659" s="208">
        <v>8765</v>
      </c>
      <c r="K659" s="208">
        <v>24405</v>
      </c>
      <c r="L659" s="208">
        <v>15530</v>
      </c>
      <c r="M659" s="206" t="s">
        <v>775</v>
      </c>
      <c r="N659" s="216">
        <v>3.75</v>
      </c>
      <c r="O659" s="215">
        <f>IF(N659&gt;0,1/N659*37.7*68.6,"")</f>
        <v>689.6586666666667</v>
      </c>
      <c r="P659" s="203">
        <v>4.04</v>
      </c>
      <c r="Q659" s="202" t="s">
        <v>761</v>
      </c>
      <c r="R659" s="201" t="s">
        <v>760</v>
      </c>
      <c r="S659" s="201" t="s">
        <v>774</v>
      </c>
      <c r="T659" s="220" t="s">
        <v>751</v>
      </c>
      <c r="U659" s="199"/>
      <c r="V659" s="198" t="str">
        <f>IFERROR(IF(N659&lt;P659,"",(ROUNDDOWN(N659/P659*100,0))),"")</f>
        <v/>
      </c>
    </row>
    <row r="660" spans="1:22" ht="24" customHeight="1">
      <c r="A660" s="219"/>
      <c r="B660" s="223"/>
      <c r="C660" s="222"/>
      <c r="D660" s="211" t="s">
        <v>777</v>
      </c>
      <c r="E660" s="209" t="s">
        <v>763</v>
      </c>
      <c r="F660" s="209">
        <v>8.8659999999999997</v>
      </c>
      <c r="G660" s="209">
        <v>1569</v>
      </c>
      <c r="H660" s="209">
        <v>265</v>
      </c>
      <c r="I660" s="209" t="s">
        <v>753</v>
      </c>
      <c r="J660" s="208">
        <v>8765</v>
      </c>
      <c r="K660" s="208">
        <v>24405</v>
      </c>
      <c r="L660" s="208">
        <v>15530</v>
      </c>
      <c r="M660" s="206" t="s">
        <v>775</v>
      </c>
      <c r="N660" s="216">
        <v>3.8</v>
      </c>
      <c r="O660" s="215">
        <f>IF(N660&gt;0,1/N660*37.7*68.6,"")</f>
        <v>680.5842105263157</v>
      </c>
      <c r="P660" s="203">
        <v>4.04</v>
      </c>
      <c r="Q660" s="202" t="s">
        <v>761</v>
      </c>
      <c r="R660" s="201" t="s">
        <v>760</v>
      </c>
      <c r="S660" s="201" t="s">
        <v>774</v>
      </c>
      <c r="T660" s="220" t="s">
        <v>751</v>
      </c>
      <c r="U660" s="199"/>
      <c r="V660" s="198" t="str">
        <f>IFERROR(IF(N660&lt;P660,"",(ROUNDDOWN(N660/P660*100,0))),"")</f>
        <v/>
      </c>
    </row>
    <row r="661" spans="1:22" ht="24" customHeight="1">
      <c r="A661" s="219"/>
      <c r="B661" s="223"/>
      <c r="C661" s="222"/>
      <c r="D661" s="211" t="s">
        <v>776</v>
      </c>
      <c r="E661" s="209" t="s">
        <v>763</v>
      </c>
      <c r="F661" s="209">
        <v>8.8659999999999997</v>
      </c>
      <c r="G661" s="209">
        <v>1569</v>
      </c>
      <c r="H661" s="209">
        <v>265</v>
      </c>
      <c r="I661" s="209" t="s">
        <v>243</v>
      </c>
      <c r="J661" s="208">
        <v>8765</v>
      </c>
      <c r="K661" s="208">
        <v>24405</v>
      </c>
      <c r="L661" s="208">
        <v>15530</v>
      </c>
      <c r="M661" s="206" t="s">
        <v>775</v>
      </c>
      <c r="N661" s="216">
        <v>3.85</v>
      </c>
      <c r="O661" s="215">
        <f>IF(N661&gt;0,1/N661*37.7*68.6,"")</f>
        <v>671.74545454545444</v>
      </c>
      <c r="P661" s="203">
        <v>4.04</v>
      </c>
      <c r="Q661" s="202" t="s">
        <v>761</v>
      </c>
      <c r="R661" s="201" t="s">
        <v>760</v>
      </c>
      <c r="S661" s="201" t="s">
        <v>774</v>
      </c>
      <c r="T661" s="220" t="s">
        <v>751</v>
      </c>
      <c r="U661" s="199"/>
      <c r="V661" s="198" t="str">
        <f>IFERROR(IF(N661&lt;P661,"",(ROUNDDOWN(N661/P661*100,0))),"")</f>
        <v/>
      </c>
    </row>
    <row r="662" spans="1:22" ht="24" customHeight="1">
      <c r="A662" s="219"/>
      <c r="B662" s="223"/>
      <c r="C662" s="222"/>
      <c r="D662" s="211" t="s">
        <v>776</v>
      </c>
      <c r="E662" s="209" t="s">
        <v>763</v>
      </c>
      <c r="F662" s="209">
        <v>8.8659999999999997</v>
      </c>
      <c r="G662" s="209">
        <v>1569</v>
      </c>
      <c r="H662" s="209">
        <v>265</v>
      </c>
      <c r="I662" s="209" t="s">
        <v>753</v>
      </c>
      <c r="J662" s="208">
        <v>8765</v>
      </c>
      <c r="K662" s="208">
        <v>24405</v>
      </c>
      <c r="L662" s="208">
        <v>15530</v>
      </c>
      <c r="M662" s="206" t="s">
        <v>775</v>
      </c>
      <c r="N662" s="216">
        <v>3.8</v>
      </c>
      <c r="O662" s="215">
        <f>IF(N662&gt;0,1/N662*37.7*68.6,"")</f>
        <v>680.5842105263157</v>
      </c>
      <c r="P662" s="203">
        <v>4.04</v>
      </c>
      <c r="Q662" s="202" t="s">
        <v>761</v>
      </c>
      <c r="R662" s="201" t="s">
        <v>760</v>
      </c>
      <c r="S662" s="201" t="s">
        <v>774</v>
      </c>
      <c r="T662" s="220" t="s">
        <v>751</v>
      </c>
      <c r="U662" s="199"/>
      <c r="V662" s="198" t="str">
        <f>IFERROR(IF(N662&lt;P662,"",(ROUNDDOWN(N662/P662*100,0))),"")</f>
        <v/>
      </c>
    </row>
    <row r="663" spans="1:22" ht="24" customHeight="1">
      <c r="A663" s="219"/>
      <c r="B663" s="223"/>
      <c r="C663" s="222"/>
      <c r="D663" s="211" t="s">
        <v>776</v>
      </c>
      <c r="E663" s="209" t="s">
        <v>763</v>
      </c>
      <c r="F663" s="209">
        <v>8.8659999999999997</v>
      </c>
      <c r="G663" s="209">
        <v>1177</v>
      </c>
      <c r="H663" s="209">
        <v>221</v>
      </c>
      <c r="I663" s="209" t="s">
        <v>30</v>
      </c>
      <c r="J663" s="208">
        <v>8765</v>
      </c>
      <c r="K663" s="208">
        <v>24405</v>
      </c>
      <c r="L663" s="208">
        <v>15530</v>
      </c>
      <c r="M663" s="206" t="s">
        <v>775</v>
      </c>
      <c r="N663" s="216">
        <v>3.75</v>
      </c>
      <c r="O663" s="215">
        <f>IF(N663&gt;0,1/N663*37.7*68.6,"")</f>
        <v>689.6586666666667</v>
      </c>
      <c r="P663" s="203">
        <v>4.04</v>
      </c>
      <c r="Q663" s="202" t="s">
        <v>761</v>
      </c>
      <c r="R663" s="201" t="s">
        <v>760</v>
      </c>
      <c r="S663" s="201" t="s">
        <v>774</v>
      </c>
      <c r="T663" s="220" t="s">
        <v>751</v>
      </c>
      <c r="U663" s="199"/>
      <c r="V663" s="198" t="str">
        <f>IFERROR(IF(N663&lt;P663,"",(ROUNDDOWN(N663/P663*100,0))),"")</f>
        <v/>
      </c>
    </row>
    <row r="664" spans="1:22" ht="24" customHeight="1">
      <c r="A664" s="219"/>
      <c r="B664" s="223"/>
      <c r="C664" s="222"/>
      <c r="D664" s="211" t="s">
        <v>773</v>
      </c>
      <c r="E664" s="209" t="s">
        <v>763</v>
      </c>
      <c r="F664" s="209">
        <v>8.8659999999999997</v>
      </c>
      <c r="G664" s="209">
        <v>1569</v>
      </c>
      <c r="H664" s="209">
        <v>265</v>
      </c>
      <c r="I664" s="209" t="s">
        <v>235</v>
      </c>
      <c r="J664" s="208">
        <v>10525</v>
      </c>
      <c r="K664" s="208">
        <v>34635</v>
      </c>
      <c r="L664" s="208">
        <v>24000</v>
      </c>
      <c r="M664" s="206" t="s">
        <v>772</v>
      </c>
      <c r="N664" s="216">
        <v>2.95</v>
      </c>
      <c r="O664" s="215">
        <f>IF(N664&gt;0,1/N664*37.7*68.6,"")</f>
        <v>876.68474576271183</v>
      </c>
      <c r="P664" s="203">
        <v>3.09</v>
      </c>
      <c r="Q664" s="202" t="s">
        <v>761</v>
      </c>
      <c r="R664" s="201" t="s">
        <v>760</v>
      </c>
      <c r="S664" s="201" t="s">
        <v>771</v>
      </c>
      <c r="T664" s="220" t="s">
        <v>751</v>
      </c>
      <c r="U664" s="199"/>
      <c r="V664" s="198" t="str">
        <f>IFERROR(IF(N664&lt;P664,"",(ROUNDDOWN(N664/P664*100,0))),"")</f>
        <v/>
      </c>
    </row>
    <row r="665" spans="1:22" ht="24" customHeight="1">
      <c r="A665" s="219"/>
      <c r="B665" s="223"/>
      <c r="C665" s="222"/>
      <c r="D665" s="211" t="s">
        <v>770</v>
      </c>
      <c r="E665" s="209" t="s">
        <v>763</v>
      </c>
      <c r="F665" s="209">
        <v>8.8659999999999997</v>
      </c>
      <c r="G665" s="209">
        <v>1569</v>
      </c>
      <c r="H665" s="209">
        <v>265</v>
      </c>
      <c r="I665" s="209" t="s">
        <v>243</v>
      </c>
      <c r="J665" s="208">
        <v>10525</v>
      </c>
      <c r="K665" s="208">
        <v>34635</v>
      </c>
      <c r="L665" s="208">
        <v>24000</v>
      </c>
      <c r="M665" s="206" t="s">
        <v>767</v>
      </c>
      <c r="N665" s="216">
        <v>3</v>
      </c>
      <c r="O665" s="215">
        <f>IF(N665&gt;0,1/N665*37.7*68.6,"")</f>
        <v>862.07333333333327</v>
      </c>
      <c r="P665" s="203">
        <v>3.09</v>
      </c>
      <c r="Q665" s="202" t="s">
        <v>761</v>
      </c>
      <c r="R665" s="201" t="s">
        <v>760</v>
      </c>
      <c r="S665" s="201" t="s">
        <v>34</v>
      </c>
      <c r="T665" s="220" t="s">
        <v>751</v>
      </c>
      <c r="U665" s="199"/>
      <c r="V665" s="198" t="str">
        <f>IFERROR(IF(N665&lt;P665,"",(ROUNDDOWN(N665/P665*100,0))),"")</f>
        <v/>
      </c>
    </row>
    <row r="666" spans="1:22" ht="24" customHeight="1">
      <c r="A666" s="219"/>
      <c r="B666" s="223"/>
      <c r="C666" s="222"/>
      <c r="D666" s="211" t="s">
        <v>770</v>
      </c>
      <c r="E666" s="209" t="s">
        <v>763</v>
      </c>
      <c r="F666" s="209">
        <v>8.8659999999999997</v>
      </c>
      <c r="G666" s="209">
        <v>1569</v>
      </c>
      <c r="H666" s="209">
        <v>265</v>
      </c>
      <c r="I666" s="209" t="s">
        <v>235</v>
      </c>
      <c r="J666" s="208">
        <v>10525</v>
      </c>
      <c r="K666" s="208">
        <v>34635</v>
      </c>
      <c r="L666" s="208">
        <v>24000</v>
      </c>
      <c r="M666" s="206" t="s">
        <v>767</v>
      </c>
      <c r="N666" s="216">
        <v>2.95</v>
      </c>
      <c r="O666" s="215">
        <f>IF(N666&gt;0,1/N666*37.7*68.6,"")</f>
        <v>876.68474576271183</v>
      </c>
      <c r="P666" s="203">
        <v>3.09</v>
      </c>
      <c r="Q666" s="202" t="s">
        <v>761</v>
      </c>
      <c r="R666" s="201" t="s">
        <v>760</v>
      </c>
      <c r="S666" s="201" t="s">
        <v>34</v>
      </c>
      <c r="T666" s="220" t="s">
        <v>751</v>
      </c>
      <c r="U666" s="199"/>
      <c r="V666" s="198" t="str">
        <f>IFERROR(IF(N666&lt;P666,"",(ROUNDDOWN(N666/P666*100,0))),"")</f>
        <v/>
      </c>
    </row>
    <row r="667" spans="1:22" ht="24" customHeight="1">
      <c r="A667" s="219"/>
      <c r="B667" s="223"/>
      <c r="C667" s="222"/>
      <c r="D667" s="211" t="s">
        <v>770</v>
      </c>
      <c r="E667" s="209" t="s">
        <v>763</v>
      </c>
      <c r="F667" s="209">
        <v>8.8659999999999997</v>
      </c>
      <c r="G667" s="209">
        <v>1569</v>
      </c>
      <c r="H667" s="209">
        <v>265</v>
      </c>
      <c r="I667" s="209" t="s">
        <v>753</v>
      </c>
      <c r="J667" s="208">
        <v>10525</v>
      </c>
      <c r="K667" s="208">
        <v>34635</v>
      </c>
      <c r="L667" s="208">
        <v>24000</v>
      </c>
      <c r="M667" s="206" t="s">
        <v>767</v>
      </c>
      <c r="N667" s="216">
        <v>2.9</v>
      </c>
      <c r="O667" s="215">
        <f>IF(N667&gt;0,1/N667*37.7*68.6,"")</f>
        <v>891.80000000000007</v>
      </c>
      <c r="P667" s="203">
        <v>3.09</v>
      </c>
      <c r="Q667" s="202" t="s">
        <v>761</v>
      </c>
      <c r="R667" s="201" t="s">
        <v>760</v>
      </c>
      <c r="S667" s="201" t="s">
        <v>34</v>
      </c>
      <c r="T667" s="220" t="s">
        <v>751</v>
      </c>
      <c r="U667" s="199"/>
      <c r="V667" s="198" t="str">
        <f>IFERROR(IF(N667&lt;P667,"",(ROUNDDOWN(N667/P667*100,0))),"")</f>
        <v/>
      </c>
    </row>
    <row r="668" spans="1:22" ht="24" customHeight="1">
      <c r="A668" s="219"/>
      <c r="B668" s="223"/>
      <c r="C668" s="222"/>
      <c r="D668" s="211" t="s">
        <v>769</v>
      </c>
      <c r="E668" s="209" t="s">
        <v>763</v>
      </c>
      <c r="F668" s="209">
        <v>8.8659999999999997</v>
      </c>
      <c r="G668" s="209">
        <v>1569</v>
      </c>
      <c r="H668" s="209">
        <v>265</v>
      </c>
      <c r="I668" s="209" t="s">
        <v>235</v>
      </c>
      <c r="J668" s="208">
        <v>10525</v>
      </c>
      <c r="K668" s="208">
        <v>34635</v>
      </c>
      <c r="L668" s="208">
        <v>24000</v>
      </c>
      <c r="M668" s="206" t="s">
        <v>767</v>
      </c>
      <c r="N668" s="216">
        <v>2.95</v>
      </c>
      <c r="O668" s="215">
        <f>IF(N668&gt;0,1/N668*37.7*68.6,"")</f>
        <v>876.68474576271183</v>
      </c>
      <c r="P668" s="203">
        <v>3.09</v>
      </c>
      <c r="Q668" s="202" t="s">
        <v>761</v>
      </c>
      <c r="R668" s="201" t="s">
        <v>760</v>
      </c>
      <c r="S668" s="201" t="s">
        <v>34</v>
      </c>
      <c r="T668" s="220" t="s">
        <v>751</v>
      </c>
      <c r="U668" s="199"/>
      <c r="V668" s="198" t="str">
        <f>IFERROR(IF(N668&lt;P668,"",(ROUNDDOWN(N668/P668*100,0))),"")</f>
        <v/>
      </c>
    </row>
    <row r="669" spans="1:22" ht="24" customHeight="1">
      <c r="A669" s="219"/>
      <c r="B669" s="223"/>
      <c r="C669" s="222"/>
      <c r="D669" s="211" t="s">
        <v>769</v>
      </c>
      <c r="E669" s="209" t="s">
        <v>763</v>
      </c>
      <c r="F669" s="209">
        <v>8.8659999999999997</v>
      </c>
      <c r="G669" s="209">
        <v>1569</v>
      </c>
      <c r="H669" s="209">
        <v>265</v>
      </c>
      <c r="I669" s="209" t="s">
        <v>753</v>
      </c>
      <c r="J669" s="208">
        <v>10525</v>
      </c>
      <c r="K669" s="208">
        <v>34635</v>
      </c>
      <c r="L669" s="208">
        <v>24000</v>
      </c>
      <c r="M669" s="206" t="s">
        <v>767</v>
      </c>
      <c r="N669" s="216">
        <v>2.9</v>
      </c>
      <c r="O669" s="215">
        <f>IF(N669&gt;0,1/N669*37.7*68.6,"")</f>
        <v>891.80000000000007</v>
      </c>
      <c r="P669" s="203">
        <v>3.09</v>
      </c>
      <c r="Q669" s="202" t="s">
        <v>761</v>
      </c>
      <c r="R669" s="201" t="s">
        <v>760</v>
      </c>
      <c r="S669" s="201" t="s">
        <v>34</v>
      </c>
      <c r="T669" s="220" t="s">
        <v>751</v>
      </c>
      <c r="U669" s="199"/>
      <c r="V669" s="198" t="str">
        <f>IFERROR(IF(N669&lt;P669,"",(ROUNDDOWN(N669/P669*100,0))),"")</f>
        <v/>
      </c>
    </row>
    <row r="670" spans="1:22" ht="24" customHeight="1">
      <c r="A670" s="219"/>
      <c r="B670" s="223"/>
      <c r="C670" s="222"/>
      <c r="D670" s="211" t="s">
        <v>768</v>
      </c>
      <c r="E670" s="209" t="s">
        <v>763</v>
      </c>
      <c r="F670" s="209">
        <v>8.8659999999999997</v>
      </c>
      <c r="G670" s="209">
        <v>1569</v>
      </c>
      <c r="H670" s="209">
        <v>265</v>
      </c>
      <c r="I670" s="209" t="s">
        <v>235</v>
      </c>
      <c r="J670" s="208">
        <v>10525</v>
      </c>
      <c r="K670" s="208">
        <v>34635</v>
      </c>
      <c r="L670" s="208">
        <v>24000</v>
      </c>
      <c r="M670" s="206" t="s">
        <v>767</v>
      </c>
      <c r="N670" s="216">
        <v>2.95</v>
      </c>
      <c r="O670" s="215">
        <f>IF(N670&gt;0,1/N670*37.7*68.6,"")</f>
        <v>876.68474576271183</v>
      </c>
      <c r="P670" s="203">
        <v>3.09</v>
      </c>
      <c r="Q670" s="202" t="s">
        <v>761</v>
      </c>
      <c r="R670" s="201" t="s">
        <v>760</v>
      </c>
      <c r="S670" s="201" t="s">
        <v>34</v>
      </c>
      <c r="T670" s="220" t="s">
        <v>751</v>
      </c>
      <c r="U670" s="199"/>
      <c r="V670" s="198" t="str">
        <f>IFERROR(IF(N670&lt;P670,"",(ROUNDDOWN(N670/P670*100,0))),"")</f>
        <v/>
      </c>
    </row>
    <row r="671" spans="1:22" ht="24" customHeight="1">
      <c r="A671" s="219"/>
      <c r="B671" s="223"/>
      <c r="C671" s="222"/>
      <c r="D671" s="211" t="s">
        <v>768</v>
      </c>
      <c r="E671" s="209" t="s">
        <v>763</v>
      </c>
      <c r="F671" s="209">
        <v>8.8659999999999997</v>
      </c>
      <c r="G671" s="209">
        <v>1569</v>
      </c>
      <c r="H671" s="209">
        <v>265</v>
      </c>
      <c r="I671" s="209" t="s">
        <v>753</v>
      </c>
      <c r="J671" s="208">
        <v>10525</v>
      </c>
      <c r="K671" s="208">
        <v>34635</v>
      </c>
      <c r="L671" s="208">
        <v>24000</v>
      </c>
      <c r="M671" s="206" t="s">
        <v>767</v>
      </c>
      <c r="N671" s="216">
        <v>2.9</v>
      </c>
      <c r="O671" s="215">
        <f>IF(N671&gt;0,1/N671*37.7*68.6,"")</f>
        <v>891.80000000000007</v>
      </c>
      <c r="P671" s="203">
        <v>3.09</v>
      </c>
      <c r="Q671" s="202" t="s">
        <v>761</v>
      </c>
      <c r="R671" s="201" t="s">
        <v>760</v>
      </c>
      <c r="S671" s="201" t="s">
        <v>34</v>
      </c>
      <c r="T671" s="220" t="s">
        <v>751</v>
      </c>
      <c r="U671" s="199"/>
      <c r="V671" s="198" t="str">
        <f>IFERROR(IF(N671&lt;P671,"",(ROUNDDOWN(N671/P671*100,0))),"")</f>
        <v/>
      </c>
    </row>
    <row r="672" spans="1:22" ht="24" customHeight="1">
      <c r="A672" s="219"/>
      <c r="B672" s="223"/>
      <c r="C672" s="222"/>
      <c r="D672" s="211" t="s">
        <v>766</v>
      </c>
      <c r="E672" s="209" t="s">
        <v>763</v>
      </c>
      <c r="F672" s="209">
        <v>8.8659999999999997</v>
      </c>
      <c r="G672" s="209">
        <v>1177</v>
      </c>
      <c r="H672" s="209">
        <v>221</v>
      </c>
      <c r="I672" s="209" t="s">
        <v>261</v>
      </c>
      <c r="J672" s="208">
        <v>5533</v>
      </c>
      <c r="K672" s="208">
        <v>14543</v>
      </c>
      <c r="L672" s="208">
        <v>8900</v>
      </c>
      <c r="M672" s="206" t="s">
        <v>745</v>
      </c>
      <c r="N672" s="216">
        <v>5</v>
      </c>
      <c r="O672" s="215">
        <f>IF(N672&gt;0,1/N672*37.7*68.6,"")</f>
        <v>517.24400000000003</v>
      </c>
      <c r="P672" s="203">
        <v>4.97</v>
      </c>
      <c r="Q672" s="202" t="s">
        <v>761</v>
      </c>
      <c r="R672" s="201" t="s">
        <v>760</v>
      </c>
      <c r="S672" s="201" t="s">
        <v>34</v>
      </c>
      <c r="T672" s="220" t="s">
        <v>751</v>
      </c>
      <c r="U672" s="199"/>
      <c r="V672" s="198">
        <f>IFERROR(IF(N672&lt;P672,"",(ROUNDDOWN(N672/P672*100,0))),"")</f>
        <v>100</v>
      </c>
    </row>
    <row r="673" spans="1:22" ht="24" customHeight="1">
      <c r="A673" s="219"/>
      <c r="B673" s="223"/>
      <c r="C673" s="222"/>
      <c r="D673" s="211" t="s">
        <v>766</v>
      </c>
      <c r="E673" s="209" t="s">
        <v>763</v>
      </c>
      <c r="F673" s="209">
        <v>8.8659999999999997</v>
      </c>
      <c r="G673" s="209">
        <v>1569</v>
      </c>
      <c r="H673" s="209">
        <v>279</v>
      </c>
      <c r="I673" s="209" t="s">
        <v>261</v>
      </c>
      <c r="J673" s="208">
        <v>5533</v>
      </c>
      <c r="K673" s="208">
        <v>14543</v>
      </c>
      <c r="L673" s="208">
        <v>8900</v>
      </c>
      <c r="M673" s="206" t="s">
        <v>745</v>
      </c>
      <c r="N673" s="216">
        <v>5</v>
      </c>
      <c r="O673" s="215">
        <f>IF(N673&gt;0,1/N673*37.7*68.6,"")</f>
        <v>517.24400000000003</v>
      </c>
      <c r="P673" s="203">
        <v>4.97</v>
      </c>
      <c r="Q673" s="202" t="s">
        <v>761</v>
      </c>
      <c r="R673" s="201" t="s">
        <v>760</v>
      </c>
      <c r="S673" s="201" t="s">
        <v>34</v>
      </c>
      <c r="T673" s="220" t="s">
        <v>751</v>
      </c>
      <c r="U673" s="199"/>
      <c r="V673" s="198">
        <f>IFERROR(IF(N673&lt;P673,"",(ROUNDDOWN(N673/P673*100,0))),"")</f>
        <v>100</v>
      </c>
    </row>
    <row r="674" spans="1:22" ht="24" customHeight="1">
      <c r="A674" s="219"/>
      <c r="B674" s="223"/>
      <c r="C674" s="222"/>
      <c r="D674" s="211" t="s">
        <v>765</v>
      </c>
      <c r="E674" s="209" t="s">
        <v>763</v>
      </c>
      <c r="F674" s="209">
        <v>8.8659999999999997</v>
      </c>
      <c r="G674" s="209">
        <v>1569</v>
      </c>
      <c r="H674" s="209">
        <v>265</v>
      </c>
      <c r="I674" s="209" t="s">
        <v>30</v>
      </c>
      <c r="J674" s="208">
        <v>5533</v>
      </c>
      <c r="K674" s="208">
        <v>14543</v>
      </c>
      <c r="L674" s="208">
        <v>8900</v>
      </c>
      <c r="M674" s="206" t="s">
        <v>745</v>
      </c>
      <c r="N674" s="216">
        <v>4.8499999999999996</v>
      </c>
      <c r="O674" s="215">
        <f>IF(N674&gt;0,1/N674*37.7*68.6,"")</f>
        <v>533.24123711340212</v>
      </c>
      <c r="P674" s="203">
        <v>4.97</v>
      </c>
      <c r="Q674" s="202" t="s">
        <v>761</v>
      </c>
      <c r="R674" s="201" t="s">
        <v>760</v>
      </c>
      <c r="S674" s="201" t="s">
        <v>34</v>
      </c>
      <c r="T674" s="220" t="s">
        <v>751</v>
      </c>
      <c r="U674" s="199"/>
      <c r="V674" s="198" t="str">
        <f>IFERROR(IF(N674&lt;P674,"",(ROUNDDOWN(N674/P674*100,0))),"")</f>
        <v/>
      </c>
    </row>
    <row r="675" spans="1:22" ht="24" customHeight="1">
      <c r="A675" s="219"/>
      <c r="B675" s="223"/>
      <c r="C675" s="222"/>
      <c r="D675" s="211" t="s">
        <v>765</v>
      </c>
      <c r="E675" s="209" t="s">
        <v>763</v>
      </c>
      <c r="F675" s="209">
        <v>8.8659999999999997</v>
      </c>
      <c r="G675" s="209">
        <v>1569</v>
      </c>
      <c r="H675" s="209">
        <v>265</v>
      </c>
      <c r="I675" s="209" t="s">
        <v>261</v>
      </c>
      <c r="J675" s="208">
        <v>5533</v>
      </c>
      <c r="K675" s="208">
        <v>14543</v>
      </c>
      <c r="L675" s="208">
        <v>8900</v>
      </c>
      <c r="M675" s="206" t="s">
        <v>745</v>
      </c>
      <c r="N675" s="216">
        <v>4.95</v>
      </c>
      <c r="O675" s="215">
        <f>IF(N675&gt;0,1/N675*37.7*68.6,"")</f>
        <v>522.46868686868686</v>
      </c>
      <c r="P675" s="203">
        <v>4.97</v>
      </c>
      <c r="Q675" s="202" t="s">
        <v>761</v>
      </c>
      <c r="R675" s="201" t="s">
        <v>760</v>
      </c>
      <c r="S675" s="201" t="s">
        <v>34</v>
      </c>
      <c r="T675" s="220" t="s">
        <v>751</v>
      </c>
      <c r="U675" s="199"/>
      <c r="V675" s="198" t="str">
        <f>IFERROR(IF(N675&lt;P675,"",(ROUNDDOWN(N675/P675*100,0))),"")</f>
        <v/>
      </c>
    </row>
    <row r="676" spans="1:22" ht="24" customHeight="1">
      <c r="A676" s="219"/>
      <c r="B676" s="223"/>
      <c r="C676" s="222"/>
      <c r="D676" s="211" t="s">
        <v>764</v>
      </c>
      <c r="E676" s="209" t="s">
        <v>763</v>
      </c>
      <c r="F676" s="209">
        <v>8.8659999999999997</v>
      </c>
      <c r="G676" s="209">
        <v>1177</v>
      </c>
      <c r="H676" s="209">
        <v>221</v>
      </c>
      <c r="I676" s="209" t="s">
        <v>261</v>
      </c>
      <c r="J676" s="208">
        <v>5533</v>
      </c>
      <c r="K676" s="208">
        <v>14543</v>
      </c>
      <c r="L676" s="208">
        <v>8900</v>
      </c>
      <c r="M676" s="206" t="s">
        <v>745</v>
      </c>
      <c r="N676" s="216">
        <v>5</v>
      </c>
      <c r="O676" s="215">
        <f>IF(N676&gt;0,1/N676*37.7*68.6,"")</f>
        <v>517.24400000000003</v>
      </c>
      <c r="P676" s="203">
        <v>4.97</v>
      </c>
      <c r="Q676" s="202" t="s">
        <v>761</v>
      </c>
      <c r="R676" s="201" t="s">
        <v>760</v>
      </c>
      <c r="S676" s="201" t="s">
        <v>34</v>
      </c>
      <c r="T676" s="220" t="s">
        <v>751</v>
      </c>
      <c r="U676" s="199"/>
      <c r="V676" s="198">
        <f>IFERROR(IF(N676&lt;P676,"",(ROUNDDOWN(N676/P676*100,0))),"")</f>
        <v>100</v>
      </c>
    </row>
    <row r="677" spans="1:22" ht="24" customHeight="1">
      <c r="A677" s="219"/>
      <c r="B677" s="223"/>
      <c r="C677" s="222"/>
      <c r="D677" s="211" t="s">
        <v>764</v>
      </c>
      <c r="E677" s="209" t="s">
        <v>763</v>
      </c>
      <c r="F677" s="209">
        <v>8.8659999999999997</v>
      </c>
      <c r="G677" s="209">
        <v>1177</v>
      </c>
      <c r="H677" s="209">
        <v>221</v>
      </c>
      <c r="I677" s="209" t="s">
        <v>762</v>
      </c>
      <c r="J677" s="208">
        <v>5533</v>
      </c>
      <c r="K677" s="208">
        <v>14543</v>
      </c>
      <c r="L677" s="208">
        <v>8900</v>
      </c>
      <c r="M677" s="206" t="s">
        <v>745</v>
      </c>
      <c r="N677" s="216">
        <v>5.0999999999999996</v>
      </c>
      <c r="O677" s="215">
        <f>IF(N677&gt;0,1/N677*37.7*68.6,"")</f>
        <v>507.10196078431375</v>
      </c>
      <c r="P677" s="203">
        <v>4.97</v>
      </c>
      <c r="Q677" s="202" t="s">
        <v>761</v>
      </c>
      <c r="R677" s="201" t="s">
        <v>760</v>
      </c>
      <c r="S677" s="201" t="s">
        <v>34</v>
      </c>
      <c r="T677" s="220" t="s">
        <v>751</v>
      </c>
      <c r="U677" s="199"/>
      <c r="V677" s="198">
        <f>IFERROR(IF(N677&lt;P677,"",(ROUNDDOWN(N677/P677*100,0))),"")</f>
        <v>102</v>
      </c>
    </row>
    <row r="678" spans="1:22" ht="24" customHeight="1">
      <c r="A678" s="219"/>
      <c r="B678" s="223"/>
      <c r="C678" s="222"/>
      <c r="D678" s="211" t="s">
        <v>759</v>
      </c>
      <c r="E678" s="209" t="s">
        <v>758</v>
      </c>
      <c r="F678" s="209">
        <v>8.8659999999999997</v>
      </c>
      <c r="G678" s="209">
        <v>1765</v>
      </c>
      <c r="H678" s="209">
        <v>279</v>
      </c>
      <c r="I678" s="209" t="s">
        <v>753</v>
      </c>
      <c r="J678" s="208">
        <v>8765</v>
      </c>
      <c r="K678" s="208">
        <v>24405</v>
      </c>
      <c r="L678" s="208">
        <v>15530</v>
      </c>
      <c r="M678" s="206" t="s">
        <v>589</v>
      </c>
      <c r="N678" s="221">
        <v>4.26</v>
      </c>
      <c r="O678" s="215">
        <f>IF(N678&gt;0,1/N678*37.7*68.6,"")</f>
        <v>607.09389671361509</v>
      </c>
      <c r="P678" s="203">
        <v>4.04</v>
      </c>
      <c r="Q678" s="202" t="s">
        <v>752</v>
      </c>
      <c r="R678" s="201" t="s">
        <v>33</v>
      </c>
      <c r="S678" s="201" t="s">
        <v>249</v>
      </c>
      <c r="T678" s="220" t="s">
        <v>751</v>
      </c>
      <c r="U678" s="199"/>
      <c r="V678" s="198">
        <f>IFERROR(IF(N678&lt;P678,"",(ROUNDDOWN(N678/P678*100,0))),"")</f>
        <v>105</v>
      </c>
    </row>
    <row r="679" spans="1:22" ht="24" customHeight="1">
      <c r="A679" s="219"/>
      <c r="B679" s="223"/>
      <c r="C679" s="222"/>
      <c r="D679" s="211" t="s">
        <v>757</v>
      </c>
      <c r="E679" s="209" t="s">
        <v>754</v>
      </c>
      <c r="F679" s="209">
        <v>8.8659999999999997</v>
      </c>
      <c r="G679" s="209">
        <v>1765</v>
      </c>
      <c r="H679" s="209">
        <v>279</v>
      </c>
      <c r="I679" s="209" t="s">
        <v>753</v>
      </c>
      <c r="J679" s="208">
        <v>8765</v>
      </c>
      <c r="K679" s="208">
        <v>24405</v>
      </c>
      <c r="L679" s="208">
        <v>15530</v>
      </c>
      <c r="M679" s="206" t="s">
        <v>589</v>
      </c>
      <c r="N679" s="221">
        <v>4.26</v>
      </c>
      <c r="O679" s="215">
        <f>IF(N679&gt;0,1/N679*37.7*68.6,"")</f>
        <v>607.09389671361509</v>
      </c>
      <c r="P679" s="203">
        <v>4.04</v>
      </c>
      <c r="Q679" s="202" t="s">
        <v>752</v>
      </c>
      <c r="R679" s="201" t="s">
        <v>33</v>
      </c>
      <c r="S679" s="201" t="s">
        <v>249</v>
      </c>
      <c r="T679" s="220" t="s">
        <v>751</v>
      </c>
      <c r="U679" s="199"/>
      <c r="V679" s="198">
        <f>IFERROR(IF(N679&lt;P679,"",(ROUNDDOWN(N679/P679*100,0))),"")</f>
        <v>105</v>
      </c>
    </row>
    <row r="680" spans="1:22" ht="24" customHeight="1">
      <c r="A680" s="219"/>
      <c r="B680" s="223"/>
      <c r="C680" s="222"/>
      <c r="D680" s="211" t="s">
        <v>756</v>
      </c>
      <c r="E680" s="209" t="s">
        <v>754</v>
      </c>
      <c r="F680" s="209">
        <v>8.8659999999999997</v>
      </c>
      <c r="G680" s="209">
        <v>1765</v>
      </c>
      <c r="H680" s="209">
        <v>279</v>
      </c>
      <c r="I680" s="209" t="s">
        <v>753</v>
      </c>
      <c r="J680" s="208">
        <v>8765</v>
      </c>
      <c r="K680" s="208">
        <v>24405</v>
      </c>
      <c r="L680" s="208">
        <v>15530</v>
      </c>
      <c r="M680" s="206" t="s">
        <v>589</v>
      </c>
      <c r="N680" s="221">
        <v>4.26</v>
      </c>
      <c r="O680" s="215">
        <f>IF(N680&gt;0,1/N680*37.7*68.6,"")</f>
        <v>607.09389671361509</v>
      </c>
      <c r="P680" s="203">
        <v>4.04</v>
      </c>
      <c r="Q680" s="202" t="s">
        <v>752</v>
      </c>
      <c r="R680" s="201" t="s">
        <v>33</v>
      </c>
      <c r="S680" s="201" t="s">
        <v>282</v>
      </c>
      <c r="T680" s="220" t="s">
        <v>751</v>
      </c>
      <c r="U680" s="199"/>
      <c r="V680" s="198">
        <f>IFERROR(IF(N680&lt;P680,"",(ROUNDDOWN(N680/P680*100,0))),"")</f>
        <v>105</v>
      </c>
    </row>
    <row r="681" spans="1:22" ht="24" customHeight="1">
      <c r="A681" s="219"/>
      <c r="B681" s="223"/>
      <c r="C681" s="222"/>
      <c r="D681" s="211" t="s">
        <v>755</v>
      </c>
      <c r="E681" s="209" t="s">
        <v>754</v>
      </c>
      <c r="F681" s="209">
        <v>8.8659999999999997</v>
      </c>
      <c r="G681" s="209">
        <v>1765</v>
      </c>
      <c r="H681" s="209">
        <v>279</v>
      </c>
      <c r="I681" s="209" t="s">
        <v>753</v>
      </c>
      <c r="J681" s="208">
        <v>8765</v>
      </c>
      <c r="K681" s="208">
        <v>24405</v>
      </c>
      <c r="L681" s="208">
        <v>15530</v>
      </c>
      <c r="M681" s="206" t="s">
        <v>589</v>
      </c>
      <c r="N681" s="221">
        <v>4.26</v>
      </c>
      <c r="O681" s="215">
        <f>IF(N681&gt;0,1/N681*37.7*68.6,"")</f>
        <v>607.09389671361509</v>
      </c>
      <c r="P681" s="203">
        <v>4.04</v>
      </c>
      <c r="Q681" s="202" t="s">
        <v>752</v>
      </c>
      <c r="R681" s="201" t="s">
        <v>33</v>
      </c>
      <c r="S681" s="201" t="s">
        <v>282</v>
      </c>
      <c r="T681" s="220" t="s">
        <v>751</v>
      </c>
      <c r="U681" s="199"/>
      <c r="V681" s="198">
        <f>IFERROR(IF(N681&lt;P681,"",(ROUNDDOWN(N681/P681*100,0))),"")</f>
        <v>105</v>
      </c>
    </row>
    <row r="682" spans="1:22" ht="24" customHeight="1">
      <c r="A682" s="219"/>
      <c r="B682" s="218" t="s">
        <v>750</v>
      </c>
      <c r="C682" s="217" t="s">
        <v>749</v>
      </c>
      <c r="D682" s="211" t="s">
        <v>748</v>
      </c>
      <c r="E682" s="209" t="s">
        <v>426</v>
      </c>
      <c r="F682" s="210">
        <v>10.836</v>
      </c>
      <c r="G682" s="209">
        <v>1750</v>
      </c>
      <c r="H682" s="209">
        <v>265</v>
      </c>
      <c r="I682" s="209" t="s">
        <v>246</v>
      </c>
      <c r="J682" s="208">
        <v>8688</v>
      </c>
      <c r="K682" s="208">
        <v>19887</v>
      </c>
      <c r="L682" s="207">
        <v>11089</v>
      </c>
      <c r="M682" s="206" t="s">
        <v>745</v>
      </c>
      <c r="N682" s="216">
        <v>4.0999999999999996</v>
      </c>
      <c r="O682" s="215">
        <f>IF(N682&gt;0,1/N682*37.7*68.6,"")</f>
        <v>630.78536585365862</v>
      </c>
      <c r="P682" s="203" t="s">
        <v>747</v>
      </c>
      <c r="Q682" s="202" t="s">
        <v>743</v>
      </c>
      <c r="R682" s="201" t="s">
        <v>427</v>
      </c>
      <c r="S682" s="201" t="s">
        <v>110</v>
      </c>
      <c r="T682" s="200"/>
      <c r="U682" s="199"/>
      <c r="V682" s="198" t="str">
        <f>IFERROR(IF(N682&lt;P682,"",(ROUNDDOWN(N682/P682*100,0))),"")</f>
        <v/>
      </c>
    </row>
    <row r="683" spans="1:22" ht="24" customHeight="1" thickBot="1">
      <c r="A683" s="214"/>
      <c r="B683" s="213"/>
      <c r="C683" s="212"/>
      <c r="D683" s="211" t="s">
        <v>746</v>
      </c>
      <c r="E683" s="209" t="s">
        <v>426</v>
      </c>
      <c r="F683" s="210">
        <v>10.836</v>
      </c>
      <c r="G683" s="209">
        <v>1900</v>
      </c>
      <c r="H683" s="209">
        <v>309</v>
      </c>
      <c r="I683" s="209" t="s">
        <v>246</v>
      </c>
      <c r="J683" s="208">
        <v>8765</v>
      </c>
      <c r="K683" s="208">
        <v>24405</v>
      </c>
      <c r="L683" s="207">
        <v>15530</v>
      </c>
      <c r="M683" s="206" t="s">
        <v>745</v>
      </c>
      <c r="N683" s="205">
        <v>3.95</v>
      </c>
      <c r="O683" s="204">
        <f>IF(N683&gt;0,1/N683*37.7*68.6,"")</f>
        <v>654.739240506329</v>
      </c>
      <c r="P683" s="203" t="s">
        <v>744</v>
      </c>
      <c r="Q683" s="202" t="s">
        <v>743</v>
      </c>
      <c r="R683" s="201" t="s">
        <v>427</v>
      </c>
      <c r="S683" s="201" t="s">
        <v>742</v>
      </c>
      <c r="T683" s="200"/>
      <c r="U683" s="199"/>
      <c r="V683" s="198" t="str">
        <f>IFERROR(IF(N683&lt;P683,"",(ROUNDDOWN(N683/P683*100,0))),"")</f>
        <v/>
      </c>
    </row>
    <row r="684" spans="1:22" ht="11.25" customHeight="1">
      <c r="A684" s="197"/>
      <c r="B684" s="196"/>
      <c r="C684" s="195"/>
      <c r="D684" s="194"/>
      <c r="E684" s="191"/>
      <c r="F684" s="193"/>
      <c r="G684" s="191"/>
      <c r="H684" s="191"/>
      <c r="I684" s="191"/>
      <c r="J684" s="192"/>
      <c r="K684" s="192"/>
      <c r="L684" s="191"/>
      <c r="M684" s="191"/>
      <c r="N684" s="190"/>
      <c r="O684" s="189"/>
      <c r="P684" s="188"/>
      <c r="Q684" s="187"/>
      <c r="R684" s="186"/>
      <c r="S684" s="186"/>
      <c r="T684" s="185"/>
      <c r="U684" s="184"/>
      <c r="V684" s="183"/>
    </row>
    <row r="685" spans="1:22">
      <c r="B685" s="181" t="s">
        <v>741</v>
      </c>
    </row>
    <row r="686" spans="1:22">
      <c r="B686" s="181" t="s">
        <v>740</v>
      </c>
    </row>
    <row r="688" spans="1:22">
      <c r="B688" s="181" t="s">
        <v>739</v>
      </c>
    </row>
    <row r="689" spans="2:2">
      <c r="B689" s="181" t="s">
        <v>738</v>
      </c>
    </row>
  </sheetData>
  <sheetProtection selectLockedCells="1"/>
  <mergeCells count="24">
    <mergeCell ref="G6:G8"/>
    <mergeCell ref="H6:H8"/>
    <mergeCell ref="R6:R8"/>
    <mergeCell ref="S6:S8"/>
    <mergeCell ref="J4:J8"/>
    <mergeCell ref="K4:K8"/>
    <mergeCell ref="L4:L8"/>
    <mergeCell ref="M4:M8"/>
    <mergeCell ref="S2:V2"/>
    <mergeCell ref="T6:T8"/>
    <mergeCell ref="N4:P4"/>
    <mergeCell ref="Q4:Q8"/>
    <mergeCell ref="R4:T5"/>
    <mergeCell ref="U4:U8"/>
    <mergeCell ref="A4:A8"/>
    <mergeCell ref="B4:C8"/>
    <mergeCell ref="D4:D8"/>
    <mergeCell ref="E4:H5"/>
    <mergeCell ref="I4:I8"/>
    <mergeCell ref="V4:V8"/>
    <mergeCell ref="N5:N8"/>
    <mergeCell ref="O5:O8"/>
    <mergeCell ref="P5:P8"/>
    <mergeCell ref="F6:F8"/>
  </mergeCells>
  <phoneticPr fontId="8"/>
  <printOptions horizontalCentered="1"/>
  <pageMargins left="0.39370078740157483" right="0.39370078740157483" top="0.39370078740157483" bottom="0.39370078740157483" header="0.19685039370078741" footer="0.39370078740157483"/>
  <pageSetup paperSize="9" scale="62" fitToHeight="0" orientation="landscape" r:id="rId1"/>
  <headerFooter alignWithMargins="0">
    <oddHeader>&amp;R様式3-4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6"/>
    <pageSetUpPr fitToPage="1"/>
  </sheetPr>
  <dimension ref="A1:X1157"/>
  <sheetViews>
    <sheetView showGridLines="0" tabSelected="1" topLeftCell="A1123" zoomScale="70" zoomScaleNormal="70" zoomScaleSheetLayoutView="100" workbookViewId="0">
      <selection activeCell="H1160" sqref="H1160"/>
    </sheetView>
  </sheetViews>
  <sheetFormatPr defaultRowHeight="11.25"/>
  <cols>
    <col min="1" max="1" width="16.25" style="2" customWidth="1"/>
    <col min="2" max="2" width="4.625" style="2" bestFit="1" customWidth="1"/>
    <col min="3" max="3" width="26.875" style="2" customWidth="1"/>
    <col min="4" max="4" width="12.75" style="2" bestFit="1" customWidth="1"/>
    <col min="5" max="5" width="8.625" style="2" bestFit="1" customWidth="1"/>
    <col min="6" max="6" width="8.5" style="2" bestFit="1" customWidth="1"/>
    <col min="7" max="7" width="10.625" style="2" bestFit="1" customWidth="1"/>
    <col min="8" max="8" width="10" style="2" bestFit="1" customWidth="1"/>
    <col min="9" max="9" width="12.5" style="2" bestFit="1" customWidth="1"/>
    <col min="10" max="10" width="7.125" style="2" customWidth="1"/>
    <col min="11" max="11" width="9.875" style="2" customWidth="1"/>
    <col min="12" max="12" width="10.75" style="2" customWidth="1"/>
    <col min="13" max="13" width="9.75" style="2" bestFit="1" customWidth="1"/>
    <col min="14" max="14" width="6.125" style="2" customWidth="1"/>
    <col min="15" max="15" width="9.5" style="2" bestFit="1" customWidth="1"/>
    <col min="16" max="16" width="7.75" style="2" customWidth="1"/>
    <col min="17" max="17" width="17.125" style="2" bestFit="1" customWidth="1"/>
    <col min="18" max="18" width="16.25" style="2" bestFit="1" customWidth="1"/>
    <col min="19" max="19" width="11.375" style="2" bestFit="1" customWidth="1"/>
    <col min="20" max="20" width="9.625" style="2" customWidth="1"/>
    <col min="21" max="21" width="13.25" style="2" bestFit="1" customWidth="1"/>
    <col min="22" max="22" width="9.625" style="77" customWidth="1"/>
    <col min="23" max="16384" width="9" style="2"/>
  </cols>
  <sheetData>
    <row r="1" spans="1:22" ht="21" customHeight="1">
      <c r="A1" s="1"/>
      <c r="V1" s="2"/>
    </row>
    <row r="2" spans="1:22" s="3" customFormat="1" ht="15.75">
      <c r="C2" s="4"/>
      <c r="D2" s="2"/>
      <c r="F2" s="5"/>
      <c r="G2" s="5"/>
      <c r="H2" s="5"/>
      <c r="I2" s="2"/>
      <c r="J2" s="2"/>
      <c r="K2" s="2"/>
      <c r="L2" s="6" t="s">
        <v>0</v>
      </c>
      <c r="M2" s="7"/>
      <c r="N2" s="7"/>
      <c r="O2" s="7"/>
      <c r="P2" s="7"/>
      <c r="Q2" s="7"/>
      <c r="R2" s="7"/>
      <c r="S2" s="112"/>
      <c r="T2" s="113"/>
      <c r="U2" s="113"/>
      <c r="V2" s="113"/>
    </row>
    <row r="3" spans="1:22" s="3" customFormat="1" ht="19.5" customHeight="1">
      <c r="A3" s="8" t="s">
        <v>1</v>
      </c>
      <c r="D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9" t="s">
        <v>2</v>
      </c>
    </row>
    <row r="4" spans="1:22" s="3" customFormat="1" ht="11.25" customHeight="1" thickBot="1">
      <c r="A4" s="82" t="s">
        <v>3</v>
      </c>
      <c r="B4" s="82" t="s">
        <v>4</v>
      </c>
      <c r="C4" s="114"/>
      <c r="D4" s="82" t="s">
        <v>5</v>
      </c>
      <c r="E4" s="82" t="s">
        <v>6</v>
      </c>
      <c r="F4" s="82"/>
      <c r="G4" s="82"/>
      <c r="H4" s="82"/>
      <c r="I4" s="95" t="s">
        <v>7</v>
      </c>
      <c r="J4" s="95" t="s">
        <v>8</v>
      </c>
      <c r="K4" s="116" t="s">
        <v>9</v>
      </c>
      <c r="L4" s="116" t="s">
        <v>10</v>
      </c>
      <c r="M4" s="117" t="s">
        <v>11</v>
      </c>
      <c r="N4" s="92" t="s">
        <v>12</v>
      </c>
      <c r="O4" s="93"/>
      <c r="P4" s="94"/>
      <c r="Q4" s="95" t="s">
        <v>13</v>
      </c>
      <c r="R4" s="96" t="s">
        <v>14</v>
      </c>
      <c r="S4" s="96"/>
      <c r="T4" s="96"/>
      <c r="U4" s="97" t="s">
        <v>15</v>
      </c>
      <c r="V4" s="100" t="s">
        <v>16</v>
      </c>
    </row>
    <row r="5" spans="1:22" s="3" customFormat="1" ht="11.25" customHeight="1">
      <c r="A5" s="82"/>
      <c r="B5" s="82"/>
      <c r="C5" s="114"/>
      <c r="D5" s="82"/>
      <c r="E5" s="82"/>
      <c r="F5" s="82"/>
      <c r="G5" s="82"/>
      <c r="H5" s="82"/>
      <c r="I5" s="95"/>
      <c r="J5" s="95"/>
      <c r="K5" s="116"/>
      <c r="L5" s="116"/>
      <c r="M5" s="118"/>
      <c r="N5" s="103" t="s">
        <v>17</v>
      </c>
      <c r="O5" s="106" t="s">
        <v>18</v>
      </c>
      <c r="P5" s="109" t="s">
        <v>19</v>
      </c>
      <c r="Q5" s="95"/>
      <c r="R5" s="96"/>
      <c r="S5" s="96"/>
      <c r="T5" s="96"/>
      <c r="U5" s="98"/>
      <c r="V5" s="101"/>
    </row>
    <row r="6" spans="1:22" s="3" customFormat="1">
      <c r="A6" s="82"/>
      <c r="B6" s="82"/>
      <c r="C6" s="114"/>
      <c r="D6" s="82"/>
      <c r="E6" s="10"/>
      <c r="F6" s="81" t="s">
        <v>20</v>
      </c>
      <c r="G6" s="81" t="s">
        <v>21</v>
      </c>
      <c r="H6" s="81" t="s">
        <v>22</v>
      </c>
      <c r="I6" s="95"/>
      <c r="J6" s="95"/>
      <c r="K6" s="116"/>
      <c r="L6" s="116"/>
      <c r="M6" s="118"/>
      <c r="N6" s="104"/>
      <c r="O6" s="107"/>
      <c r="P6" s="110"/>
      <c r="Q6" s="95"/>
      <c r="R6" s="83" t="s">
        <v>23</v>
      </c>
      <c r="S6" s="86" t="s">
        <v>24</v>
      </c>
      <c r="T6" s="89" t="s">
        <v>25</v>
      </c>
      <c r="U6" s="98"/>
      <c r="V6" s="101"/>
    </row>
    <row r="7" spans="1:22" s="3" customFormat="1">
      <c r="A7" s="82"/>
      <c r="B7" s="82"/>
      <c r="C7" s="114"/>
      <c r="D7" s="82"/>
      <c r="E7" s="10" t="s">
        <v>5</v>
      </c>
      <c r="F7" s="82"/>
      <c r="G7" s="82"/>
      <c r="H7" s="82"/>
      <c r="I7" s="95"/>
      <c r="J7" s="95"/>
      <c r="K7" s="116"/>
      <c r="L7" s="116"/>
      <c r="M7" s="118"/>
      <c r="N7" s="104"/>
      <c r="O7" s="107"/>
      <c r="P7" s="110"/>
      <c r="Q7" s="95"/>
      <c r="R7" s="84"/>
      <c r="S7" s="87"/>
      <c r="T7" s="90"/>
      <c r="U7" s="98"/>
      <c r="V7" s="101"/>
    </row>
    <row r="8" spans="1:22" s="3" customFormat="1">
      <c r="A8" s="89"/>
      <c r="B8" s="89"/>
      <c r="C8" s="115"/>
      <c r="D8" s="82"/>
      <c r="E8" s="7"/>
      <c r="F8" s="82"/>
      <c r="G8" s="82"/>
      <c r="H8" s="82"/>
      <c r="I8" s="95"/>
      <c r="J8" s="95"/>
      <c r="K8" s="116"/>
      <c r="L8" s="116"/>
      <c r="M8" s="119"/>
      <c r="N8" s="105"/>
      <c r="O8" s="108"/>
      <c r="P8" s="111"/>
      <c r="Q8" s="95"/>
      <c r="R8" s="85"/>
      <c r="S8" s="88"/>
      <c r="T8" s="91"/>
      <c r="U8" s="99"/>
      <c r="V8" s="102"/>
    </row>
    <row r="9" spans="1:22" s="29" customFormat="1" ht="21" customHeight="1">
      <c r="A9" s="15" t="s">
        <v>26</v>
      </c>
      <c r="B9" s="16"/>
      <c r="C9" s="17" t="s">
        <v>27</v>
      </c>
      <c r="D9" s="18" t="s">
        <v>28</v>
      </c>
      <c r="E9" s="19" t="s">
        <v>29</v>
      </c>
      <c r="F9" s="20">
        <v>2.9990000000000001</v>
      </c>
      <c r="G9" s="19">
        <v>375</v>
      </c>
      <c r="H9" s="20">
        <v>110</v>
      </c>
      <c r="I9" s="19" t="s">
        <v>30</v>
      </c>
      <c r="J9" s="20">
        <v>2356</v>
      </c>
      <c r="K9" s="21">
        <v>4521</v>
      </c>
      <c r="L9" s="21">
        <v>2000</v>
      </c>
      <c r="M9" s="21" t="s">
        <v>31</v>
      </c>
      <c r="N9" s="22">
        <v>13</v>
      </c>
      <c r="O9" s="23">
        <f t="shared" ref="O9:O72" si="0">IF(N9&gt;0,1/N9*37.7*68.6,"")</f>
        <v>198.94</v>
      </c>
      <c r="P9" s="24">
        <v>10.35</v>
      </c>
      <c r="Q9" s="25" t="s">
        <v>32</v>
      </c>
      <c r="R9" s="26" t="s">
        <v>33</v>
      </c>
      <c r="S9" s="26" t="s">
        <v>34</v>
      </c>
      <c r="T9" s="26"/>
      <c r="U9" s="27"/>
      <c r="V9" s="28">
        <f t="shared" ref="V9:V72" si="1">IFERROR(IF(N9&lt;P9,"",(ROUNDDOWN(N9/P9*100,0))),"")</f>
        <v>125</v>
      </c>
    </row>
    <row r="10" spans="1:22" s="29" customFormat="1" ht="21" customHeight="1">
      <c r="A10" s="30"/>
      <c r="B10" s="31"/>
      <c r="C10" s="32"/>
      <c r="D10" s="18" t="s">
        <v>35</v>
      </c>
      <c r="E10" s="19" t="s">
        <v>29</v>
      </c>
      <c r="F10" s="20">
        <v>2.9990000000000001</v>
      </c>
      <c r="G10" s="19">
        <v>375</v>
      </c>
      <c r="H10" s="20">
        <v>110</v>
      </c>
      <c r="I10" s="19" t="s">
        <v>30</v>
      </c>
      <c r="J10" s="20">
        <v>2356</v>
      </c>
      <c r="K10" s="21">
        <v>4521</v>
      </c>
      <c r="L10" s="21">
        <v>2000</v>
      </c>
      <c r="M10" s="21" t="s">
        <v>31</v>
      </c>
      <c r="N10" s="22">
        <v>13</v>
      </c>
      <c r="O10" s="23">
        <f t="shared" si="0"/>
        <v>198.94</v>
      </c>
      <c r="P10" s="24">
        <v>10.35</v>
      </c>
      <c r="Q10" s="25" t="s">
        <v>32</v>
      </c>
      <c r="R10" s="26" t="s">
        <v>33</v>
      </c>
      <c r="S10" s="26" t="s">
        <v>34</v>
      </c>
      <c r="T10" s="26"/>
      <c r="U10" s="27"/>
      <c r="V10" s="28">
        <f t="shared" si="1"/>
        <v>125</v>
      </c>
    </row>
    <row r="11" spans="1:22" s="29" customFormat="1" ht="21" customHeight="1">
      <c r="A11" s="33"/>
      <c r="B11" s="31"/>
      <c r="C11" s="32"/>
      <c r="D11" s="18" t="s">
        <v>36</v>
      </c>
      <c r="E11" s="19" t="s">
        <v>29</v>
      </c>
      <c r="F11" s="20">
        <v>2.9990000000000001</v>
      </c>
      <c r="G11" s="19">
        <v>375</v>
      </c>
      <c r="H11" s="20">
        <v>110</v>
      </c>
      <c r="I11" s="19" t="s">
        <v>30</v>
      </c>
      <c r="J11" s="20">
        <v>2356</v>
      </c>
      <c r="K11" s="21">
        <v>4521</v>
      </c>
      <c r="L11" s="21">
        <v>2000</v>
      </c>
      <c r="M11" s="21" t="s">
        <v>31</v>
      </c>
      <c r="N11" s="22">
        <v>13</v>
      </c>
      <c r="O11" s="23">
        <f t="shared" si="0"/>
        <v>198.94</v>
      </c>
      <c r="P11" s="24">
        <v>10.35</v>
      </c>
      <c r="Q11" s="25" t="s">
        <v>32</v>
      </c>
      <c r="R11" s="26" t="s">
        <v>33</v>
      </c>
      <c r="S11" s="26" t="s">
        <v>34</v>
      </c>
      <c r="T11" s="26"/>
      <c r="U11" s="27"/>
      <c r="V11" s="28">
        <f t="shared" si="1"/>
        <v>125</v>
      </c>
    </row>
    <row r="12" spans="1:22" s="29" customFormat="1" ht="21" customHeight="1">
      <c r="A12" s="33"/>
      <c r="B12" s="31"/>
      <c r="C12" s="32"/>
      <c r="D12" s="18" t="s">
        <v>37</v>
      </c>
      <c r="E12" s="19" t="s">
        <v>29</v>
      </c>
      <c r="F12" s="20">
        <v>2.9990000000000001</v>
      </c>
      <c r="G12" s="19">
        <v>375</v>
      </c>
      <c r="H12" s="20">
        <v>110</v>
      </c>
      <c r="I12" s="19" t="s">
        <v>30</v>
      </c>
      <c r="J12" s="20">
        <v>2356</v>
      </c>
      <c r="K12" s="21">
        <v>4521</v>
      </c>
      <c r="L12" s="21">
        <v>2000</v>
      </c>
      <c r="M12" s="21" t="s">
        <v>31</v>
      </c>
      <c r="N12" s="22">
        <v>13</v>
      </c>
      <c r="O12" s="23">
        <f t="shared" si="0"/>
        <v>198.94</v>
      </c>
      <c r="P12" s="24">
        <v>10.35</v>
      </c>
      <c r="Q12" s="25" t="s">
        <v>32</v>
      </c>
      <c r="R12" s="26" t="s">
        <v>33</v>
      </c>
      <c r="S12" s="26" t="s">
        <v>34</v>
      </c>
      <c r="T12" s="26"/>
      <c r="U12" s="27"/>
      <c r="V12" s="28">
        <f t="shared" si="1"/>
        <v>125</v>
      </c>
    </row>
    <row r="13" spans="1:22" s="29" customFormat="1" ht="21" customHeight="1">
      <c r="A13" s="33"/>
      <c r="B13" s="31"/>
      <c r="C13" s="32"/>
      <c r="D13" s="18" t="s">
        <v>37</v>
      </c>
      <c r="E13" s="19" t="s">
        <v>29</v>
      </c>
      <c r="F13" s="20">
        <v>2.9990000000000001</v>
      </c>
      <c r="G13" s="19">
        <v>375</v>
      </c>
      <c r="H13" s="20">
        <v>110</v>
      </c>
      <c r="I13" s="19" t="s">
        <v>30</v>
      </c>
      <c r="J13" s="20">
        <v>2652</v>
      </c>
      <c r="K13" s="21">
        <v>5812</v>
      </c>
      <c r="L13" s="21">
        <v>2995</v>
      </c>
      <c r="M13" s="21" t="s">
        <v>31</v>
      </c>
      <c r="N13" s="22">
        <v>12.2</v>
      </c>
      <c r="O13" s="23">
        <f t="shared" si="0"/>
        <v>211.98524590163936</v>
      </c>
      <c r="P13" s="24">
        <v>9.51</v>
      </c>
      <c r="Q13" s="25" t="s">
        <v>32</v>
      </c>
      <c r="R13" s="26" t="s">
        <v>33</v>
      </c>
      <c r="S13" s="26" t="s">
        <v>34</v>
      </c>
      <c r="T13" s="26"/>
      <c r="U13" s="27"/>
      <c r="V13" s="28">
        <f t="shared" si="1"/>
        <v>128</v>
      </c>
    </row>
    <row r="14" spans="1:22" s="29" customFormat="1" ht="21" customHeight="1">
      <c r="A14" s="33"/>
      <c r="B14" s="31"/>
      <c r="C14" s="32"/>
      <c r="D14" s="18" t="s">
        <v>38</v>
      </c>
      <c r="E14" s="19" t="s">
        <v>29</v>
      </c>
      <c r="F14" s="20">
        <v>2.9990000000000001</v>
      </c>
      <c r="G14" s="19">
        <v>375</v>
      </c>
      <c r="H14" s="20">
        <v>110</v>
      </c>
      <c r="I14" s="19" t="s">
        <v>30</v>
      </c>
      <c r="J14" s="20">
        <v>2356</v>
      </c>
      <c r="K14" s="21">
        <v>4521</v>
      </c>
      <c r="L14" s="21">
        <v>2000</v>
      </c>
      <c r="M14" s="21" t="s">
        <v>31</v>
      </c>
      <c r="N14" s="22">
        <v>13</v>
      </c>
      <c r="O14" s="23">
        <f t="shared" si="0"/>
        <v>198.94</v>
      </c>
      <c r="P14" s="24">
        <v>10.35</v>
      </c>
      <c r="Q14" s="25" t="s">
        <v>32</v>
      </c>
      <c r="R14" s="26" t="s">
        <v>33</v>
      </c>
      <c r="S14" s="26" t="s">
        <v>34</v>
      </c>
      <c r="T14" s="26"/>
      <c r="U14" s="27"/>
      <c r="V14" s="28">
        <f t="shared" si="1"/>
        <v>125</v>
      </c>
    </row>
    <row r="15" spans="1:22" s="29" customFormat="1" ht="21" customHeight="1">
      <c r="A15" s="33"/>
      <c r="B15" s="31"/>
      <c r="C15" s="32"/>
      <c r="D15" s="18" t="s">
        <v>38</v>
      </c>
      <c r="E15" s="19" t="s">
        <v>29</v>
      </c>
      <c r="F15" s="20">
        <v>2.9990000000000001</v>
      </c>
      <c r="G15" s="19">
        <v>375</v>
      </c>
      <c r="H15" s="20">
        <v>110</v>
      </c>
      <c r="I15" s="19" t="s">
        <v>30</v>
      </c>
      <c r="J15" s="20">
        <v>2652</v>
      </c>
      <c r="K15" s="21">
        <v>5812</v>
      </c>
      <c r="L15" s="21">
        <v>2995</v>
      </c>
      <c r="M15" s="21" t="s">
        <v>31</v>
      </c>
      <c r="N15" s="22">
        <v>12.2</v>
      </c>
      <c r="O15" s="23">
        <f t="shared" si="0"/>
        <v>211.98524590163936</v>
      </c>
      <c r="P15" s="24">
        <v>9.51</v>
      </c>
      <c r="Q15" s="25" t="s">
        <v>32</v>
      </c>
      <c r="R15" s="26" t="s">
        <v>33</v>
      </c>
      <c r="S15" s="26" t="s">
        <v>34</v>
      </c>
      <c r="T15" s="26"/>
      <c r="U15" s="27"/>
      <c r="V15" s="28">
        <f t="shared" si="1"/>
        <v>128</v>
      </c>
    </row>
    <row r="16" spans="1:22" s="29" customFormat="1" ht="21" customHeight="1">
      <c r="A16" s="33"/>
      <c r="B16" s="31"/>
      <c r="C16" s="32"/>
      <c r="D16" s="18" t="s">
        <v>39</v>
      </c>
      <c r="E16" s="19" t="s">
        <v>29</v>
      </c>
      <c r="F16" s="20">
        <v>2.9990000000000001</v>
      </c>
      <c r="G16" s="19">
        <v>375</v>
      </c>
      <c r="H16" s="20">
        <v>110</v>
      </c>
      <c r="I16" s="19" t="s">
        <v>30</v>
      </c>
      <c r="J16" s="20">
        <v>2356</v>
      </c>
      <c r="K16" s="21">
        <v>4521</v>
      </c>
      <c r="L16" s="21">
        <v>2000</v>
      </c>
      <c r="M16" s="21" t="s">
        <v>31</v>
      </c>
      <c r="N16" s="22">
        <v>13</v>
      </c>
      <c r="O16" s="23">
        <f t="shared" si="0"/>
        <v>198.94</v>
      </c>
      <c r="P16" s="24">
        <v>10.35</v>
      </c>
      <c r="Q16" s="25" t="s">
        <v>32</v>
      </c>
      <c r="R16" s="26" t="s">
        <v>33</v>
      </c>
      <c r="S16" s="26" t="s">
        <v>34</v>
      </c>
      <c r="T16" s="26"/>
      <c r="U16" s="27"/>
      <c r="V16" s="28">
        <f t="shared" si="1"/>
        <v>125</v>
      </c>
    </row>
    <row r="17" spans="1:22" s="29" customFormat="1" ht="21" customHeight="1">
      <c r="A17" s="33"/>
      <c r="B17" s="31"/>
      <c r="C17" s="32"/>
      <c r="D17" s="18" t="s">
        <v>39</v>
      </c>
      <c r="E17" s="19" t="s">
        <v>29</v>
      </c>
      <c r="F17" s="20">
        <v>2.9990000000000001</v>
      </c>
      <c r="G17" s="19">
        <v>375</v>
      </c>
      <c r="H17" s="20">
        <v>110</v>
      </c>
      <c r="I17" s="19" t="s">
        <v>30</v>
      </c>
      <c r="J17" s="20">
        <v>2652</v>
      </c>
      <c r="K17" s="21">
        <v>5812</v>
      </c>
      <c r="L17" s="21">
        <v>2995</v>
      </c>
      <c r="M17" s="21" t="s">
        <v>31</v>
      </c>
      <c r="N17" s="22">
        <v>12.2</v>
      </c>
      <c r="O17" s="23">
        <f t="shared" si="0"/>
        <v>211.98524590163936</v>
      </c>
      <c r="P17" s="24">
        <v>9.51</v>
      </c>
      <c r="Q17" s="25" t="s">
        <v>32</v>
      </c>
      <c r="R17" s="26" t="s">
        <v>33</v>
      </c>
      <c r="S17" s="26" t="s">
        <v>34</v>
      </c>
      <c r="T17" s="26"/>
      <c r="U17" s="27"/>
      <c r="V17" s="28">
        <f t="shared" si="1"/>
        <v>128</v>
      </c>
    </row>
    <row r="18" spans="1:22" s="29" customFormat="1" ht="21" customHeight="1">
      <c r="A18" s="33"/>
      <c r="B18" s="31"/>
      <c r="C18" s="32"/>
      <c r="D18" s="18" t="s">
        <v>39</v>
      </c>
      <c r="E18" s="19" t="s">
        <v>29</v>
      </c>
      <c r="F18" s="20">
        <v>2.9990000000000001</v>
      </c>
      <c r="G18" s="19">
        <v>375</v>
      </c>
      <c r="H18" s="20">
        <v>110</v>
      </c>
      <c r="I18" s="19" t="s">
        <v>30</v>
      </c>
      <c r="J18" s="20">
        <v>2979</v>
      </c>
      <c r="K18" s="21">
        <v>6893</v>
      </c>
      <c r="L18" s="21">
        <v>3749</v>
      </c>
      <c r="M18" s="21" t="s">
        <v>31</v>
      </c>
      <c r="N18" s="22">
        <v>10.199999999999999</v>
      </c>
      <c r="O18" s="23">
        <f t="shared" si="0"/>
        <v>253.55098039215687</v>
      </c>
      <c r="P18" s="24">
        <v>8.1199999999999992</v>
      </c>
      <c r="Q18" s="25" t="s">
        <v>32</v>
      </c>
      <c r="R18" s="26" t="s">
        <v>33</v>
      </c>
      <c r="S18" s="26" t="s">
        <v>34</v>
      </c>
      <c r="T18" s="26"/>
      <c r="U18" s="27"/>
      <c r="V18" s="28">
        <f t="shared" si="1"/>
        <v>125</v>
      </c>
    </row>
    <row r="19" spans="1:22" s="29" customFormat="1" ht="21" customHeight="1">
      <c r="A19" s="34"/>
      <c r="B19" s="31"/>
      <c r="C19" s="32"/>
      <c r="D19" s="18" t="s">
        <v>40</v>
      </c>
      <c r="E19" s="19" t="s">
        <v>41</v>
      </c>
      <c r="F19" s="20">
        <v>2.9990000000000001</v>
      </c>
      <c r="G19" s="19">
        <v>375</v>
      </c>
      <c r="H19" s="20">
        <v>110</v>
      </c>
      <c r="I19" s="19" t="s">
        <v>42</v>
      </c>
      <c r="J19" s="20">
        <v>2356</v>
      </c>
      <c r="K19" s="21">
        <v>4521</v>
      </c>
      <c r="L19" s="21">
        <v>2000</v>
      </c>
      <c r="M19" s="21" t="s">
        <v>31</v>
      </c>
      <c r="N19" s="22">
        <v>12</v>
      </c>
      <c r="O19" s="23">
        <f t="shared" si="0"/>
        <v>215.51833333333332</v>
      </c>
      <c r="P19" s="24">
        <v>10.35</v>
      </c>
      <c r="Q19" s="25" t="s">
        <v>43</v>
      </c>
      <c r="R19" s="26" t="s">
        <v>33</v>
      </c>
      <c r="S19" s="26" t="s">
        <v>44</v>
      </c>
      <c r="T19" s="26"/>
      <c r="U19" s="27"/>
      <c r="V19" s="28">
        <f t="shared" si="1"/>
        <v>115</v>
      </c>
    </row>
    <row r="20" spans="1:22" s="29" customFormat="1" ht="21" customHeight="1">
      <c r="A20" s="34"/>
      <c r="B20" s="31"/>
      <c r="C20" s="32"/>
      <c r="D20" s="18" t="s">
        <v>40</v>
      </c>
      <c r="E20" s="19" t="s">
        <v>41</v>
      </c>
      <c r="F20" s="20">
        <v>2.9990000000000001</v>
      </c>
      <c r="G20" s="19">
        <v>375</v>
      </c>
      <c r="H20" s="20">
        <v>110</v>
      </c>
      <c r="I20" s="19" t="s">
        <v>42</v>
      </c>
      <c r="J20" s="20">
        <v>2356</v>
      </c>
      <c r="K20" s="21">
        <v>4521</v>
      </c>
      <c r="L20" s="21">
        <v>2000</v>
      </c>
      <c r="M20" s="21" t="s">
        <v>31</v>
      </c>
      <c r="N20" s="22">
        <v>12</v>
      </c>
      <c r="O20" s="23">
        <f t="shared" si="0"/>
        <v>215.51833333333332</v>
      </c>
      <c r="P20" s="24">
        <v>10.35</v>
      </c>
      <c r="Q20" s="25" t="s">
        <v>43</v>
      </c>
      <c r="R20" s="26" t="s">
        <v>33</v>
      </c>
      <c r="S20" s="26" t="s">
        <v>34</v>
      </c>
      <c r="T20" s="26"/>
      <c r="U20" s="27"/>
      <c r="V20" s="28">
        <f t="shared" si="1"/>
        <v>115</v>
      </c>
    </row>
    <row r="21" spans="1:22" s="29" customFormat="1" ht="21" customHeight="1">
      <c r="A21" s="34"/>
      <c r="B21" s="31"/>
      <c r="C21" s="32"/>
      <c r="D21" s="18" t="s">
        <v>45</v>
      </c>
      <c r="E21" s="19" t="s">
        <v>41</v>
      </c>
      <c r="F21" s="20">
        <v>2.9990000000000001</v>
      </c>
      <c r="G21" s="19">
        <v>375</v>
      </c>
      <c r="H21" s="20">
        <v>110</v>
      </c>
      <c r="I21" s="19" t="s">
        <v>42</v>
      </c>
      <c r="J21" s="20">
        <v>2356</v>
      </c>
      <c r="K21" s="21">
        <v>4521</v>
      </c>
      <c r="L21" s="21">
        <v>2000</v>
      </c>
      <c r="M21" s="21" t="s">
        <v>31</v>
      </c>
      <c r="N21" s="22">
        <v>12</v>
      </c>
      <c r="O21" s="23">
        <f t="shared" si="0"/>
        <v>215.51833333333332</v>
      </c>
      <c r="P21" s="24">
        <v>10.35</v>
      </c>
      <c r="Q21" s="25" t="s">
        <v>43</v>
      </c>
      <c r="R21" s="26" t="s">
        <v>33</v>
      </c>
      <c r="S21" s="26" t="s">
        <v>44</v>
      </c>
      <c r="T21" s="26"/>
      <c r="U21" s="27"/>
      <c r="V21" s="28">
        <f t="shared" si="1"/>
        <v>115</v>
      </c>
    </row>
    <row r="22" spans="1:22" s="29" customFormat="1" ht="21" customHeight="1">
      <c r="A22" s="34"/>
      <c r="B22" s="31"/>
      <c r="C22" s="32"/>
      <c r="D22" s="18" t="s">
        <v>45</v>
      </c>
      <c r="E22" s="19" t="s">
        <v>41</v>
      </c>
      <c r="F22" s="20">
        <v>2.9990000000000001</v>
      </c>
      <c r="G22" s="19">
        <v>375</v>
      </c>
      <c r="H22" s="20">
        <v>110</v>
      </c>
      <c r="I22" s="19" t="s">
        <v>42</v>
      </c>
      <c r="J22" s="20">
        <v>2356</v>
      </c>
      <c r="K22" s="21">
        <v>4521</v>
      </c>
      <c r="L22" s="21">
        <v>2000</v>
      </c>
      <c r="M22" s="21" t="s">
        <v>31</v>
      </c>
      <c r="N22" s="22">
        <v>12</v>
      </c>
      <c r="O22" s="23">
        <f t="shared" si="0"/>
        <v>215.51833333333332</v>
      </c>
      <c r="P22" s="24">
        <v>10.35</v>
      </c>
      <c r="Q22" s="25" t="s">
        <v>43</v>
      </c>
      <c r="R22" s="26" t="s">
        <v>33</v>
      </c>
      <c r="S22" s="26" t="s">
        <v>34</v>
      </c>
      <c r="T22" s="26"/>
      <c r="U22" s="27"/>
      <c r="V22" s="28">
        <f t="shared" si="1"/>
        <v>115</v>
      </c>
    </row>
    <row r="23" spans="1:22" s="29" customFormat="1" ht="21" customHeight="1">
      <c r="A23" s="34"/>
      <c r="B23" s="31"/>
      <c r="C23" s="32"/>
      <c r="D23" s="18" t="s">
        <v>46</v>
      </c>
      <c r="E23" s="19" t="s">
        <v>41</v>
      </c>
      <c r="F23" s="20">
        <v>2.9990000000000001</v>
      </c>
      <c r="G23" s="19">
        <v>375</v>
      </c>
      <c r="H23" s="20">
        <v>110</v>
      </c>
      <c r="I23" s="19" t="s">
        <v>42</v>
      </c>
      <c r="J23" s="20">
        <v>2356</v>
      </c>
      <c r="K23" s="21">
        <v>4521</v>
      </c>
      <c r="L23" s="21">
        <v>2000</v>
      </c>
      <c r="M23" s="21" t="s">
        <v>31</v>
      </c>
      <c r="N23" s="22">
        <v>12</v>
      </c>
      <c r="O23" s="23">
        <f t="shared" si="0"/>
        <v>215.51833333333332</v>
      </c>
      <c r="P23" s="24">
        <v>10.35</v>
      </c>
      <c r="Q23" s="25" t="s">
        <v>43</v>
      </c>
      <c r="R23" s="26" t="s">
        <v>33</v>
      </c>
      <c r="S23" s="26" t="s">
        <v>34</v>
      </c>
      <c r="T23" s="26"/>
      <c r="U23" s="27"/>
      <c r="V23" s="28">
        <f t="shared" si="1"/>
        <v>115</v>
      </c>
    </row>
    <row r="24" spans="1:22" s="29" customFormat="1" ht="21" customHeight="1">
      <c r="A24" s="34"/>
      <c r="B24" s="31"/>
      <c r="C24" s="32"/>
      <c r="D24" s="18" t="s">
        <v>47</v>
      </c>
      <c r="E24" s="19" t="s">
        <v>41</v>
      </c>
      <c r="F24" s="20">
        <v>2.9990000000000001</v>
      </c>
      <c r="G24" s="19">
        <v>375</v>
      </c>
      <c r="H24" s="20">
        <v>110</v>
      </c>
      <c r="I24" s="19" t="s">
        <v>42</v>
      </c>
      <c r="J24" s="20">
        <v>2356</v>
      </c>
      <c r="K24" s="21">
        <v>4521</v>
      </c>
      <c r="L24" s="21">
        <v>2000</v>
      </c>
      <c r="M24" s="21" t="s">
        <v>31</v>
      </c>
      <c r="N24" s="22">
        <v>12</v>
      </c>
      <c r="O24" s="23">
        <f t="shared" si="0"/>
        <v>215.51833333333332</v>
      </c>
      <c r="P24" s="24">
        <v>10.35</v>
      </c>
      <c r="Q24" s="25" t="s">
        <v>43</v>
      </c>
      <c r="R24" s="26" t="s">
        <v>33</v>
      </c>
      <c r="S24" s="26" t="s">
        <v>34</v>
      </c>
      <c r="T24" s="26"/>
      <c r="U24" s="27"/>
      <c r="V24" s="28">
        <f t="shared" si="1"/>
        <v>115</v>
      </c>
    </row>
    <row r="25" spans="1:22" s="29" customFormat="1" ht="21" customHeight="1">
      <c r="A25" s="34"/>
      <c r="B25" s="31"/>
      <c r="C25" s="32"/>
      <c r="D25" s="18" t="s">
        <v>47</v>
      </c>
      <c r="E25" s="19" t="s">
        <v>41</v>
      </c>
      <c r="F25" s="20">
        <v>2.9990000000000001</v>
      </c>
      <c r="G25" s="19">
        <v>375</v>
      </c>
      <c r="H25" s="20">
        <v>110</v>
      </c>
      <c r="I25" s="19" t="s">
        <v>42</v>
      </c>
      <c r="J25" s="20">
        <v>2652</v>
      </c>
      <c r="K25" s="21">
        <v>5812</v>
      </c>
      <c r="L25" s="21">
        <v>2995</v>
      </c>
      <c r="M25" s="21" t="s">
        <v>31</v>
      </c>
      <c r="N25" s="22">
        <v>11</v>
      </c>
      <c r="O25" s="23">
        <f t="shared" si="0"/>
        <v>235.1109090909091</v>
      </c>
      <c r="P25" s="24">
        <v>9.51</v>
      </c>
      <c r="Q25" s="25" t="s">
        <v>43</v>
      </c>
      <c r="R25" s="26" t="s">
        <v>33</v>
      </c>
      <c r="S25" s="26" t="s">
        <v>34</v>
      </c>
      <c r="T25" s="26"/>
      <c r="U25" s="27"/>
      <c r="V25" s="28">
        <f t="shared" si="1"/>
        <v>115</v>
      </c>
    </row>
    <row r="26" spans="1:22" s="29" customFormat="1" ht="21" customHeight="1">
      <c r="A26" s="34"/>
      <c r="B26" s="31"/>
      <c r="C26" s="32"/>
      <c r="D26" s="18" t="s">
        <v>48</v>
      </c>
      <c r="E26" s="19" t="s">
        <v>41</v>
      </c>
      <c r="F26" s="20">
        <v>2.9990000000000001</v>
      </c>
      <c r="G26" s="19">
        <v>375</v>
      </c>
      <c r="H26" s="20">
        <v>110</v>
      </c>
      <c r="I26" s="19" t="s">
        <v>42</v>
      </c>
      <c r="J26" s="20">
        <v>2356</v>
      </c>
      <c r="K26" s="21">
        <v>4521</v>
      </c>
      <c r="L26" s="21">
        <v>2000</v>
      </c>
      <c r="M26" s="21" t="s">
        <v>31</v>
      </c>
      <c r="N26" s="22">
        <v>12</v>
      </c>
      <c r="O26" s="23">
        <f t="shared" si="0"/>
        <v>215.51833333333332</v>
      </c>
      <c r="P26" s="24">
        <v>10.35</v>
      </c>
      <c r="Q26" s="25" t="s">
        <v>43</v>
      </c>
      <c r="R26" s="26" t="s">
        <v>33</v>
      </c>
      <c r="S26" s="26" t="s">
        <v>34</v>
      </c>
      <c r="T26" s="26"/>
      <c r="U26" s="27"/>
      <c r="V26" s="28">
        <f t="shared" si="1"/>
        <v>115</v>
      </c>
    </row>
    <row r="27" spans="1:22" s="29" customFormat="1" ht="21" customHeight="1">
      <c r="A27" s="34"/>
      <c r="B27" s="31"/>
      <c r="C27" s="32"/>
      <c r="D27" s="18" t="s">
        <v>48</v>
      </c>
      <c r="E27" s="19" t="s">
        <v>41</v>
      </c>
      <c r="F27" s="20">
        <v>2.9990000000000001</v>
      </c>
      <c r="G27" s="19">
        <v>375</v>
      </c>
      <c r="H27" s="20">
        <v>110</v>
      </c>
      <c r="I27" s="19" t="s">
        <v>42</v>
      </c>
      <c r="J27" s="20">
        <v>2652</v>
      </c>
      <c r="K27" s="21">
        <v>5812</v>
      </c>
      <c r="L27" s="21">
        <v>2995</v>
      </c>
      <c r="M27" s="21" t="s">
        <v>31</v>
      </c>
      <c r="N27" s="22">
        <v>11</v>
      </c>
      <c r="O27" s="23">
        <f t="shared" si="0"/>
        <v>235.1109090909091</v>
      </c>
      <c r="P27" s="24">
        <v>9.51</v>
      </c>
      <c r="Q27" s="25" t="s">
        <v>43</v>
      </c>
      <c r="R27" s="26" t="s">
        <v>33</v>
      </c>
      <c r="S27" s="26" t="s">
        <v>34</v>
      </c>
      <c r="T27" s="26"/>
      <c r="U27" s="27"/>
      <c r="V27" s="28">
        <f t="shared" si="1"/>
        <v>115</v>
      </c>
    </row>
    <row r="28" spans="1:22" s="29" customFormat="1" ht="21" customHeight="1">
      <c r="A28" s="34"/>
      <c r="B28" s="31"/>
      <c r="C28" s="32"/>
      <c r="D28" s="18" t="s">
        <v>49</v>
      </c>
      <c r="E28" s="19" t="s">
        <v>41</v>
      </c>
      <c r="F28" s="20">
        <v>2.9990000000000001</v>
      </c>
      <c r="G28" s="19">
        <v>375</v>
      </c>
      <c r="H28" s="20">
        <v>110</v>
      </c>
      <c r="I28" s="19" t="s">
        <v>42</v>
      </c>
      <c r="J28" s="20">
        <v>2356</v>
      </c>
      <c r="K28" s="21">
        <v>4521</v>
      </c>
      <c r="L28" s="21">
        <v>2000</v>
      </c>
      <c r="M28" s="21" t="s">
        <v>31</v>
      </c>
      <c r="N28" s="22">
        <v>12</v>
      </c>
      <c r="O28" s="23">
        <f t="shared" si="0"/>
        <v>215.51833333333332</v>
      </c>
      <c r="P28" s="24">
        <v>10.35</v>
      </c>
      <c r="Q28" s="25" t="s">
        <v>43</v>
      </c>
      <c r="R28" s="26" t="s">
        <v>33</v>
      </c>
      <c r="S28" s="26" t="s">
        <v>34</v>
      </c>
      <c r="T28" s="26"/>
      <c r="U28" s="27"/>
      <c r="V28" s="28">
        <f t="shared" si="1"/>
        <v>115</v>
      </c>
    </row>
    <row r="29" spans="1:22" s="29" customFormat="1" ht="21" customHeight="1">
      <c r="A29" s="34"/>
      <c r="B29" s="31"/>
      <c r="C29" s="32"/>
      <c r="D29" s="18" t="s">
        <v>49</v>
      </c>
      <c r="E29" s="19" t="s">
        <v>41</v>
      </c>
      <c r="F29" s="20">
        <v>2.9990000000000001</v>
      </c>
      <c r="G29" s="19">
        <v>375</v>
      </c>
      <c r="H29" s="20">
        <v>110</v>
      </c>
      <c r="I29" s="19" t="s">
        <v>42</v>
      </c>
      <c r="J29" s="20">
        <v>2652</v>
      </c>
      <c r="K29" s="21">
        <v>5812</v>
      </c>
      <c r="L29" s="21">
        <v>2995</v>
      </c>
      <c r="M29" s="21" t="s">
        <v>31</v>
      </c>
      <c r="N29" s="22">
        <v>11</v>
      </c>
      <c r="O29" s="23">
        <f t="shared" si="0"/>
        <v>235.1109090909091</v>
      </c>
      <c r="P29" s="24">
        <v>9.51</v>
      </c>
      <c r="Q29" s="25" t="s">
        <v>43</v>
      </c>
      <c r="R29" s="26" t="s">
        <v>33</v>
      </c>
      <c r="S29" s="26" t="s">
        <v>34</v>
      </c>
      <c r="T29" s="26"/>
      <c r="U29" s="27"/>
      <c r="V29" s="28">
        <f t="shared" si="1"/>
        <v>115</v>
      </c>
    </row>
    <row r="30" spans="1:22" s="29" customFormat="1" ht="21" customHeight="1">
      <c r="A30" s="34"/>
      <c r="B30" s="31"/>
      <c r="C30" s="32"/>
      <c r="D30" s="18" t="s">
        <v>50</v>
      </c>
      <c r="E30" s="19" t="s">
        <v>41</v>
      </c>
      <c r="F30" s="20">
        <v>2.9990000000000001</v>
      </c>
      <c r="G30" s="19">
        <v>375</v>
      </c>
      <c r="H30" s="20">
        <v>110</v>
      </c>
      <c r="I30" s="19" t="s">
        <v>42</v>
      </c>
      <c r="J30" s="20">
        <v>2356</v>
      </c>
      <c r="K30" s="21">
        <v>4521</v>
      </c>
      <c r="L30" s="21">
        <v>2000</v>
      </c>
      <c r="M30" s="21" t="s">
        <v>31</v>
      </c>
      <c r="N30" s="22">
        <v>12</v>
      </c>
      <c r="O30" s="23">
        <f t="shared" si="0"/>
        <v>215.51833333333332</v>
      </c>
      <c r="P30" s="24">
        <v>10.35</v>
      </c>
      <c r="Q30" s="25" t="s">
        <v>43</v>
      </c>
      <c r="R30" s="26" t="s">
        <v>33</v>
      </c>
      <c r="S30" s="26" t="s">
        <v>34</v>
      </c>
      <c r="T30" s="26"/>
      <c r="U30" s="27"/>
      <c r="V30" s="28">
        <f t="shared" si="1"/>
        <v>115</v>
      </c>
    </row>
    <row r="31" spans="1:22" s="29" customFormat="1" ht="21" customHeight="1">
      <c r="A31" s="34"/>
      <c r="B31" s="31"/>
      <c r="C31" s="32"/>
      <c r="D31" s="18" t="s">
        <v>51</v>
      </c>
      <c r="E31" s="19" t="s">
        <v>41</v>
      </c>
      <c r="F31" s="20">
        <v>2.9990000000000001</v>
      </c>
      <c r="G31" s="19">
        <v>375</v>
      </c>
      <c r="H31" s="20">
        <v>110</v>
      </c>
      <c r="I31" s="19" t="s">
        <v>42</v>
      </c>
      <c r="J31" s="20">
        <v>2356</v>
      </c>
      <c r="K31" s="21">
        <v>4521</v>
      </c>
      <c r="L31" s="21">
        <v>2000</v>
      </c>
      <c r="M31" s="21" t="s">
        <v>31</v>
      </c>
      <c r="N31" s="22">
        <v>12</v>
      </c>
      <c r="O31" s="23">
        <f t="shared" si="0"/>
        <v>215.51833333333332</v>
      </c>
      <c r="P31" s="24">
        <v>10.35</v>
      </c>
      <c r="Q31" s="25" t="s">
        <v>43</v>
      </c>
      <c r="R31" s="26" t="s">
        <v>33</v>
      </c>
      <c r="S31" s="26" t="s">
        <v>34</v>
      </c>
      <c r="T31" s="26"/>
      <c r="U31" s="27"/>
      <c r="V31" s="28">
        <f t="shared" si="1"/>
        <v>115</v>
      </c>
    </row>
    <row r="32" spans="1:22" s="29" customFormat="1" ht="21" customHeight="1">
      <c r="A32" s="34"/>
      <c r="B32" s="31"/>
      <c r="C32" s="32"/>
      <c r="D32" s="18" t="s">
        <v>52</v>
      </c>
      <c r="E32" s="19" t="s">
        <v>41</v>
      </c>
      <c r="F32" s="20">
        <v>2.9990000000000001</v>
      </c>
      <c r="G32" s="19">
        <v>375</v>
      </c>
      <c r="H32" s="20">
        <v>110</v>
      </c>
      <c r="I32" s="19" t="s">
        <v>42</v>
      </c>
      <c r="J32" s="20">
        <v>2356</v>
      </c>
      <c r="K32" s="21">
        <v>4521</v>
      </c>
      <c r="L32" s="21">
        <v>2000</v>
      </c>
      <c r="M32" s="21" t="s">
        <v>31</v>
      </c>
      <c r="N32" s="22">
        <v>12</v>
      </c>
      <c r="O32" s="23">
        <f t="shared" si="0"/>
        <v>215.51833333333332</v>
      </c>
      <c r="P32" s="24">
        <v>10.35</v>
      </c>
      <c r="Q32" s="25" t="s">
        <v>43</v>
      </c>
      <c r="R32" s="26" t="s">
        <v>33</v>
      </c>
      <c r="S32" s="26" t="s">
        <v>34</v>
      </c>
      <c r="T32" s="26"/>
      <c r="U32" s="27"/>
      <c r="V32" s="28">
        <f t="shared" si="1"/>
        <v>115</v>
      </c>
    </row>
    <row r="33" spans="1:23" s="29" customFormat="1" ht="21" customHeight="1">
      <c r="A33" s="34"/>
      <c r="B33" s="31"/>
      <c r="C33" s="32"/>
      <c r="D33" s="18" t="s">
        <v>52</v>
      </c>
      <c r="E33" s="19" t="s">
        <v>41</v>
      </c>
      <c r="F33" s="20">
        <v>2.9990000000000001</v>
      </c>
      <c r="G33" s="19">
        <v>375</v>
      </c>
      <c r="H33" s="20">
        <v>110</v>
      </c>
      <c r="I33" s="19" t="s">
        <v>42</v>
      </c>
      <c r="J33" s="20">
        <v>2652</v>
      </c>
      <c r="K33" s="21">
        <v>5812</v>
      </c>
      <c r="L33" s="21">
        <v>2995</v>
      </c>
      <c r="M33" s="21" t="s">
        <v>31</v>
      </c>
      <c r="N33" s="22">
        <v>11</v>
      </c>
      <c r="O33" s="23">
        <f t="shared" si="0"/>
        <v>235.1109090909091</v>
      </c>
      <c r="P33" s="24">
        <v>9.51</v>
      </c>
      <c r="Q33" s="25" t="s">
        <v>43</v>
      </c>
      <c r="R33" s="26" t="s">
        <v>33</v>
      </c>
      <c r="S33" s="26" t="s">
        <v>34</v>
      </c>
      <c r="T33" s="26"/>
      <c r="U33" s="27"/>
      <c r="V33" s="28">
        <f t="shared" si="1"/>
        <v>115</v>
      </c>
    </row>
    <row r="34" spans="1:23" s="35" customFormat="1" ht="21" customHeight="1">
      <c r="A34" s="34"/>
      <c r="B34" s="31"/>
      <c r="C34" s="32"/>
      <c r="D34" s="18" t="s">
        <v>53</v>
      </c>
      <c r="E34" s="19" t="s">
        <v>41</v>
      </c>
      <c r="F34" s="20">
        <v>2.9990000000000001</v>
      </c>
      <c r="G34" s="19">
        <v>375</v>
      </c>
      <c r="H34" s="20">
        <v>110</v>
      </c>
      <c r="I34" s="19" t="s">
        <v>42</v>
      </c>
      <c r="J34" s="20">
        <v>2356</v>
      </c>
      <c r="K34" s="21">
        <v>4521</v>
      </c>
      <c r="L34" s="21">
        <v>2000</v>
      </c>
      <c r="M34" s="21" t="s">
        <v>31</v>
      </c>
      <c r="N34" s="22">
        <v>12</v>
      </c>
      <c r="O34" s="23">
        <f t="shared" si="0"/>
        <v>215.51833333333332</v>
      </c>
      <c r="P34" s="24">
        <v>10.35</v>
      </c>
      <c r="Q34" s="25" t="s">
        <v>43</v>
      </c>
      <c r="R34" s="26" t="s">
        <v>33</v>
      </c>
      <c r="S34" s="26" t="s">
        <v>34</v>
      </c>
      <c r="T34" s="26"/>
      <c r="U34" s="27"/>
      <c r="V34" s="28">
        <f t="shared" si="1"/>
        <v>115</v>
      </c>
      <c r="W34" s="29"/>
    </row>
    <row r="35" spans="1:23" s="35" customFormat="1" ht="21" customHeight="1">
      <c r="A35" s="34"/>
      <c r="B35" s="31"/>
      <c r="C35" s="32"/>
      <c r="D35" s="18" t="s">
        <v>53</v>
      </c>
      <c r="E35" s="19" t="s">
        <v>41</v>
      </c>
      <c r="F35" s="20">
        <v>2.9990000000000001</v>
      </c>
      <c r="G35" s="19">
        <v>375</v>
      </c>
      <c r="H35" s="20">
        <v>110</v>
      </c>
      <c r="I35" s="19" t="s">
        <v>42</v>
      </c>
      <c r="J35" s="20">
        <v>2652</v>
      </c>
      <c r="K35" s="21">
        <v>5812</v>
      </c>
      <c r="L35" s="21">
        <v>2995</v>
      </c>
      <c r="M35" s="21" t="s">
        <v>31</v>
      </c>
      <c r="N35" s="22">
        <v>11</v>
      </c>
      <c r="O35" s="23">
        <f t="shared" si="0"/>
        <v>235.1109090909091</v>
      </c>
      <c r="P35" s="24">
        <v>9.51</v>
      </c>
      <c r="Q35" s="25" t="s">
        <v>43</v>
      </c>
      <c r="R35" s="26" t="s">
        <v>33</v>
      </c>
      <c r="S35" s="26" t="s">
        <v>34</v>
      </c>
      <c r="T35" s="26"/>
      <c r="U35" s="27"/>
      <c r="V35" s="28">
        <f t="shared" si="1"/>
        <v>115</v>
      </c>
      <c r="W35" s="29"/>
    </row>
    <row r="36" spans="1:23" s="35" customFormat="1" ht="21" customHeight="1">
      <c r="A36" s="34"/>
      <c r="B36" s="31"/>
      <c r="C36" s="32"/>
      <c r="D36" s="18" t="s">
        <v>54</v>
      </c>
      <c r="E36" s="19" t="s">
        <v>41</v>
      </c>
      <c r="F36" s="20">
        <v>2.9990000000000001</v>
      </c>
      <c r="G36" s="19">
        <v>375</v>
      </c>
      <c r="H36" s="20">
        <v>110</v>
      </c>
      <c r="I36" s="19" t="s">
        <v>42</v>
      </c>
      <c r="J36" s="20">
        <v>2356</v>
      </c>
      <c r="K36" s="21">
        <v>4521</v>
      </c>
      <c r="L36" s="21">
        <v>2000</v>
      </c>
      <c r="M36" s="21" t="s">
        <v>31</v>
      </c>
      <c r="N36" s="22">
        <v>12</v>
      </c>
      <c r="O36" s="23">
        <f t="shared" si="0"/>
        <v>215.51833333333332</v>
      </c>
      <c r="P36" s="24">
        <v>10.35</v>
      </c>
      <c r="Q36" s="25" t="s">
        <v>43</v>
      </c>
      <c r="R36" s="26" t="s">
        <v>33</v>
      </c>
      <c r="S36" s="26" t="s">
        <v>34</v>
      </c>
      <c r="T36" s="26"/>
      <c r="U36" s="27"/>
      <c r="V36" s="28">
        <f t="shared" si="1"/>
        <v>115</v>
      </c>
      <c r="W36" s="29"/>
    </row>
    <row r="37" spans="1:23" s="35" customFormat="1" ht="21" customHeight="1">
      <c r="A37" s="34"/>
      <c r="B37" s="31"/>
      <c r="C37" s="32"/>
      <c r="D37" s="18" t="s">
        <v>54</v>
      </c>
      <c r="E37" s="19" t="s">
        <v>41</v>
      </c>
      <c r="F37" s="20">
        <v>2.9990000000000001</v>
      </c>
      <c r="G37" s="19">
        <v>375</v>
      </c>
      <c r="H37" s="20">
        <v>110</v>
      </c>
      <c r="I37" s="19" t="s">
        <v>42</v>
      </c>
      <c r="J37" s="20">
        <v>2652</v>
      </c>
      <c r="K37" s="21">
        <v>5812</v>
      </c>
      <c r="L37" s="21">
        <v>2995</v>
      </c>
      <c r="M37" s="21" t="s">
        <v>31</v>
      </c>
      <c r="N37" s="22">
        <v>11</v>
      </c>
      <c r="O37" s="23">
        <f t="shared" si="0"/>
        <v>235.1109090909091</v>
      </c>
      <c r="P37" s="24">
        <v>9.51</v>
      </c>
      <c r="Q37" s="25" t="s">
        <v>43</v>
      </c>
      <c r="R37" s="26" t="s">
        <v>33</v>
      </c>
      <c r="S37" s="26" t="s">
        <v>34</v>
      </c>
      <c r="T37" s="26"/>
      <c r="U37" s="27"/>
      <c r="V37" s="28">
        <f t="shared" si="1"/>
        <v>115</v>
      </c>
      <c r="W37" s="29"/>
    </row>
    <row r="38" spans="1:23" s="29" customFormat="1" ht="21" customHeight="1">
      <c r="A38" s="34"/>
      <c r="B38" s="31"/>
      <c r="C38" s="32"/>
      <c r="D38" s="18" t="s">
        <v>55</v>
      </c>
      <c r="E38" s="19" t="s">
        <v>41</v>
      </c>
      <c r="F38" s="20">
        <v>2.9990000000000001</v>
      </c>
      <c r="G38" s="19">
        <v>375</v>
      </c>
      <c r="H38" s="20">
        <v>110</v>
      </c>
      <c r="I38" s="19" t="s">
        <v>42</v>
      </c>
      <c r="J38" s="20">
        <v>2356</v>
      </c>
      <c r="K38" s="21">
        <v>4521</v>
      </c>
      <c r="L38" s="21">
        <v>2000</v>
      </c>
      <c r="M38" s="21" t="s">
        <v>31</v>
      </c>
      <c r="N38" s="22">
        <v>12</v>
      </c>
      <c r="O38" s="23">
        <f t="shared" si="0"/>
        <v>215.51833333333332</v>
      </c>
      <c r="P38" s="24">
        <v>10.35</v>
      </c>
      <c r="Q38" s="25" t="s">
        <v>43</v>
      </c>
      <c r="R38" s="26" t="s">
        <v>33</v>
      </c>
      <c r="S38" s="26" t="s">
        <v>34</v>
      </c>
      <c r="T38" s="26"/>
      <c r="U38" s="27"/>
      <c r="V38" s="28">
        <f t="shared" si="1"/>
        <v>115</v>
      </c>
    </row>
    <row r="39" spans="1:23" s="29" customFormat="1" ht="21" customHeight="1">
      <c r="A39" s="34"/>
      <c r="B39" s="31"/>
      <c r="C39" s="32"/>
      <c r="D39" s="18" t="s">
        <v>55</v>
      </c>
      <c r="E39" s="19" t="s">
        <v>41</v>
      </c>
      <c r="F39" s="20">
        <v>2.9990000000000001</v>
      </c>
      <c r="G39" s="19">
        <v>375</v>
      </c>
      <c r="H39" s="20">
        <v>110</v>
      </c>
      <c r="I39" s="19" t="s">
        <v>42</v>
      </c>
      <c r="J39" s="20">
        <v>2652</v>
      </c>
      <c r="K39" s="21">
        <v>5812</v>
      </c>
      <c r="L39" s="21">
        <v>2995</v>
      </c>
      <c r="M39" s="21" t="s">
        <v>31</v>
      </c>
      <c r="N39" s="22">
        <v>11</v>
      </c>
      <c r="O39" s="23">
        <f t="shared" si="0"/>
        <v>235.1109090909091</v>
      </c>
      <c r="P39" s="24">
        <v>9.51</v>
      </c>
      <c r="Q39" s="25" t="s">
        <v>43</v>
      </c>
      <c r="R39" s="26" t="s">
        <v>33</v>
      </c>
      <c r="S39" s="26" t="s">
        <v>34</v>
      </c>
      <c r="T39" s="26"/>
      <c r="U39" s="27"/>
      <c r="V39" s="28">
        <f t="shared" si="1"/>
        <v>115</v>
      </c>
    </row>
    <row r="40" spans="1:23" s="35" customFormat="1" ht="21" customHeight="1">
      <c r="A40" s="34"/>
      <c r="B40" s="31"/>
      <c r="C40" s="32"/>
      <c r="D40" s="18" t="s">
        <v>56</v>
      </c>
      <c r="E40" s="19" t="s">
        <v>41</v>
      </c>
      <c r="F40" s="20">
        <v>2.9990000000000001</v>
      </c>
      <c r="G40" s="19">
        <v>375</v>
      </c>
      <c r="H40" s="20">
        <v>110</v>
      </c>
      <c r="I40" s="19" t="s">
        <v>42</v>
      </c>
      <c r="J40" s="20">
        <v>2356</v>
      </c>
      <c r="K40" s="21">
        <v>4521</v>
      </c>
      <c r="L40" s="21">
        <v>2000</v>
      </c>
      <c r="M40" s="21" t="s">
        <v>31</v>
      </c>
      <c r="N40" s="22">
        <v>12</v>
      </c>
      <c r="O40" s="23">
        <f t="shared" si="0"/>
        <v>215.51833333333332</v>
      </c>
      <c r="P40" s="24">
        <v>10.35</v>
      </c>
      <c r="Q40" s="25" t="s">
        <v>43</v>
      </c>
      <c r="R40" s="26" t="s">
        <v>33</v>
      </c>
      <c r="S40" s="26" t="s">
        <v>34</v>
      </c>
      <c r="T40" s="26"/>
      <c r="U40" s="27"/>
      <c r="V40" s="28">
        <f t="shared" si="1"/>
        <v>115</v>
      </c>
      <c r="W40" s="29"/>
    </row>
    <row r="41" spans="1:23" s="35" customFormat="1" ht="21" customHeight="1">
      <c r="A41" s="34"/>
      <c r="B41" s="31"/>
      <c r="C41" s="32"/>
      <c r="D41" s="18" t="s">
        <v>57</v>
      </c>
      <c r="E41" s="19" t="s">
        <v>41</v>
      </c>
      <c r="F41" s="20">
        <v>2.9990000000000001</v>
      </c>
      <c r="G41" s="19">
        <v>375</v>
      </c>
      <c r="H41" s="20">
        <v>110</v>
      </c>
      <c r="I41" s="19" t="s">
        <v>42</v>
      </c>
      <c r="J41" s="20">
        <v>2356</v>
      </c>
      <c r="K41" s="21">
        <v>4521</v>
      </c>
      <c r="L41" s="21">
        <v>2000</v>
      </c>
      <c r="M41" s="21" t="s">
        <v>31</v>
      </c>
      <c r="N41" s="22">
        <v>12</v>
      </c>
      <c r="O41" s="23">
        <f t="shared" si="0"/>
        <v>215.51833333333332</v>
      </c>
      <c r="P41" s="24">
        <v>10.35</v>
      </c>
      <c r="Q41" s="25" t="s">
        <v>43</v>
      </c>
      <c r="R41" s="26" t="s">
        <v>33</v>
      </c>
      <c r="S41" s="26" t="s">
        <v>34</v>
      </c>
      <c r="T41" s="26"/>
      <c r="U41" s="27"/>
      <c r="V41" s="28">
        <f t="shared" si="1"/>
        <v>115</v>
      </c>
      <c r="W41" s="29"/>
    </row>
    <row r="42" spans="1:23" s="35" customFormat="1" ht="21" customHeight="1">
      <c r="A42" s="34"/>
      <c r="B42" s="31"/>
      <c r="C42" s="32"/>
      <c r="D42" s="18" t="s">
        <v>58</v>
      </c>
      <c r="E42" s="19" t="s">
        <v>41</v>
      </c>
      <c r="F42" s="20">
        <v>2.9990000000000001</v>
      </c>
      <c r="G42" s="19">
        <v>375</v>
      </c>
      <c r="H42" s="20">
        <v>110</v>
      </c>
      <c r="I42" s="19" t="s">
        <v>42</v>
      </c>
      <c r="J42" s="20">
        <v>2356</v>
      </c>
      <c r="K42" s="21">
        <v>4521</v>
      </c>
      <c r="L42" s="21">
        <v>2000</v>
      </c>
      <c r="M42" s="21" t="s">
        <v>31</v>
      </c>
      <c r="N42" s="22">
        <v>12</v>
      </c>
      <c r="O42" s="23">
        <f t="shared" si="0"/>
        <v>215.51833333333332</v>
      </c>
      <c r="P42" s="24">
        <v>10.35</v>
      </c>
      <c r="Q42" s="25" t="s">
        <v>43</v>
      </c>
      <c r="R42" s="26" t="s">
        <v>33</v>
      </c>
      <c r="S42" s="26" t="s">
        <v>34</v>
      </c>
      <c r="T42" s="26"/>
      <c r="U42" s="27"/>
      <c r="V42" s="28">
        <f t="shared" si="1"/>
        <v>115</v>
      </c>
      <c r="W42" s="29"/>
    </row>
    <row r="43" spans="1:23" s="35" customFormat="1" ht="21" customHeight="1">
      <c r="A43" s="34"/>
      <c r="B43" s="31"/>
      <c r="C43" s="32"/>
      <c r="D43" s="18" t="s">
        <v>58</v>
      </c>
      <c r="E43" s="19" t="s">
        <v>41</v>
      </c>
      <c r="F43" s="20">
        <v>2.9990000000000001</v>
      </c>
      <c r="G43" s="19">
        <v>375</v>
      </c>
      <c r="H43" s="20">
        <v>110</v>
      </c>
      <c r="I43" s="19" t="s">
        <v>42</v>
      </c>
      <c r="J43" s="20">
        <v>2652</v>
      </c>
      <c r="K43" s="21">
        <v>5812</v>
      </c>
      <c r="L43" s="21">
        <v>2995</v>
      </c>
      <c r="M43" s="21" t="s">
        <v>31</v>
      </c>
      <c r="N43" s="22">
        <v>11</v>
      </c>
      <c r="O43" s="23">
        <f t="shared" si="0"/>
        <v>235.1109090909091</v>
      </c>
      <c r="P43" s="24">
        <v>9.51</v>
      </c>
      <c r="Q43" s="25" t="s">
        <v>43</v>
      </c>
      <c r="R43" s="26" t="s">
        <v>33</v>
      </c>
      <c r="S43" s="26" t="s">
        <v>34</v>
      </c>
      <c r="T43" s="26"/>
      <c r="U43" s="27"/>
      <c r="V43" s="28">
        <f t="shared" si="1"/>
        <v>115</v>
      </c>
      <c r="W43" s="29"/>
    </row>
    <row r="44" spans="1:23" s="35" customFormat="1" ht="21" customHeight="1">
      <c r="A44" s="34"/>
      <c r="B44" s="31"/>
      <c r="C44" s="32"/>
      <c r="D44" s="18" t="s">
        <v>58</v>
      </c>
      <c r="E44" s="19" t="s">
        <v>41</v>
      </c>
      <c r="F44" s="20">
        <v>2.9990000000000001</v>
      </c>
      <c r="G44" s="19">
        <v>430</v>
      </c>
      <c r="H44" s="20">
        <v>129</v>
      </c>
      <c r="I44" s="19" t="s">
        <v>42</v>
      </c>
      <c r="J44" s="20">
        <v>2652</v>
      </c>
      <c r="K44" s="21">
        <v>5812</v>
      </c>
      <c r="L44" s="21">
        <v>2995</v>
      </c>
      <c r="M44" s="21" t="s">
        <v>31</v>
      </c>
      <c r="N44" s="22">
        <v>11</v>
      </c>
      <c r="O44" s="23">
        <f t="shared" si="0"/>
        <v>235.1109090909091</v>
      </c>
      <c r="P44" s="24">
        <v>9.51</v>
      </c>
      <c r="Q44" s="25" t="s">
        <v>43</v>
      </c>
      <c r="R44" s="26" t="s">
        <v>33</v>
      </c>
      <c r="S44" s="26" t="s">
        <v>34</v>
      </c>
      <c r="T44" s="26"/>
      <c r="U44" s="27"/>
      <c r="V44" s="28">
        <f t="shared" si="1"/>
        <v>115</v>
      </c>
      <c r="W44" s="29"/>
    </row>
    <row r="45" spans="1:23" s="35" customFormat="1" ht="21" customHeight="1">
      <c r="A45" s="34"/>
      <c r="B45" s="31"/>
      <c r="C45" s="32"/>
      <c r="D45" s="18" t="s">
        <v>59</v>
      </c>
      <c r="E45" s="19" t="s">
        <v>41</v>
      </c>
      <c r="F45" s="20">
        <v>2.9990000000000001</v>
      </c>
      <c r="G45" s="19">
        <v>375</v>
      </c>
      <c r="H45" s="20">
        <v>110</v>
      </c>
      <c r="I45" s="19" t="s">
        <v>42</v>
      </c>
      <c r="J45" s="20">
        <v>2356</v>
      </c>
      <c r="K45" s="21">
        <v>4521</v>
      </c>
      <c r="L45" s="21">
        <v>2000</v>
      </c>
      <c r="M45" s="21" t="s">
        <v>31</v>
      </c>
      <c r="N45" s="22">
        <v>12</v>
      </c>
      <c r="O45" s="23">
        <f t="shared" si="0"/>
        <v>215.51833333333332</v>
      </c>
      <c r="P45" s="24">
        <v>10.35</v>
      </c>
      <c r="Q45" s="25" t="s">
        <v>43</v>
      </c>
      <c r="R45" s="26" t="s">
        <v>33</v>
      </c>
      <c r="S45" s="26" t="s">
        <v>34</v>
      </c>
      <c r="T45" s="26"/>
      <c r="U45" s="27"/>
      <c r="V45" s="28">
        <f t="shared" si="1"/>
        <v>115</v>
      </c>
      <c r="W45" s="29"/>
    </row>
    <row r="46" spans="1:23" s="35" customFormat="1" ht="21" customHeight="1">
      <c r="A46" s="34"/>
      <c r="B46" s="31"/>
      <c r="C46" s="32"/>
      <c r="D46" s="18" t="s">
        <v>59</v>
      </c>
      <c r="E46" s="19" t="s">
        <v>41</v>
      </c>
      <c r="F46" s="20">
        <v>2.9990000000000001</v>
      </c>
      <c r="G46" s="19">
        <v>375</v>
      </c>
      <c r="H46" s="20">
        <v>110</v>
      </c>
      <c r="I46" s="19" t="s">
        <v>42</v>
      </c>
      <c r="J46" s="20">
        <v>2652</v>
      </c>
      <c r="K46" s="21">
        <v>5812</v>
      </c>
      <c r="L46" s="21">
        <v>2995</v>
      </c>
      <c r="M46" s="21" t="s">
        <v>31</v>
      </c>
      <c r="N46" s="22">
        <v>11</v>
      </c>
      <c r="O46" s="23">
        <f t="shared" si="0"/>
        <v>235.1109090909091</v>
      </c>
      <c r="P46" s="24">
        <v>9.51</v>
      </c>
      <c r="Q46" s="25" t="s">
        <v>43</v>
      </c>
      <c r="R46" s="26" t="s">
        <v>33</v>
      </c>
      <c r="S46" s="26" t="s">
        <v>34</v>
      </c>
      <c r="T46" s="26"/>
      <c r="U46" s="27"/>
      <c r="V46" s="28">
        <f t="shared" si="1"/>
        <v>115</v>
      </c>
      <c r="W46" s="29"/>
    </row>
    <row r="47" spans="1:23" s="35" customFormat="1" ht="21" customHeight="1">
      <c r="A47" s="34"/>
      <c r="B47" s="31"/>
      <c r="C47" s="32"/>
      <c r="D47" s="18" t="s">
        <v>59</v>
      </c>
      <c r="E47" s="19" t="s">
        <v>41</v>
      </c>
      <c r="F47" s="20">
        <v>2.9990000000000001</v>
      </c>
      <c r="G47" s="19">
        <v>430</v>
      </c>
      <c r="H47" s="20">
        <v>129</v>
      </c>
      <c r="I47" s="19" t="s">
        <v>42</v>
      </c>
      <c r="J47" s="20">
        <v>2652</v>
      </c>
      <c r="K47" s="21">
        <v>5812</v>
      </c>
      <c r="L47" s="21">
        <v>2995</v>
      </c>
      <c r="M47" s="21" t="s">
        <v>31</v>
      </c>
      <c r="N47" s="22">
        <v>11</v>
      </c>
      <c r="O47" s="23">
        <f t="shared" si="0"/>
        <v>235.1109090909091</v>
      </c>
      <c r="P47" s="24">
        <v>9.51</v>
      </c>
      <c r="Q47" s="25" t="s">
        <v>43</v>
      </c>
      <c r="R47" s="26" t="s">
        <v>33</v>
      </c>
      <c r="S47" s="26" t="s">
        <v>34</v>
      </c>
      <c r="T47" s="26"/>
      <c r="U47" s="27"/>
      <c r="V47" s="28">
        <f t="shared" si="1"/>
        <v>115</v>
      </c>
      <c r="W47" s="29"/>
    </row>
    <row r="48" spans="1:23" s="35" customFormat="1" ht="21" customHeight="1">
      <c r="A48" s="33"/>
      <c r="B48" s="31"/>
      <c r="C48" s="32"/>
      <c r="D48" s="18" t="s">
        <v>60</v>
      </c>
      <c r="E48" s="19" t="s">
        <v>41</v>
      </c>
      <c r="F48" s="20">
        <v>2.9990000000000001</v>
      </c>
      <c r="G48" s="19">
        <v>375</v>
      </c>
      <c r="H48" s="20">
        <v>110</v>
      </c>
      <c r="I48" s="19" t="s">
        <v>61</v>
      </c>
      <c r="J48" s="20">
        <v>2356</v>
      </c>
      <c r="K48" s="21">
        <v>4521</v>
      </c>
      <c r="L48" s="21">
        <v>2000</v>
      </c>
      <c r="M48" s="21" t="s">
        <v>31</v>
      </c>
      <c r="N48" s="22">
        <v>11.8</v>
      </c>
      <c r="O48" s="23">
        <f t="shared" si="0"/>
        <v>219.17118644067796</v>
      </c>
      <c r="P48" s="24">
        <v>10.35</v>
      </c>
      <c r="Q48" s="25" t="s">
        <v>62</v>
      </c>
      <c r="R48" s="26" t="s">
        <v>33</v>
      </c>
      <c r="S48" s="26" t="s">
        <v>34</v>
      </c>
      <c r="T48" s="26"/>
      <c r="U48" s="27"/>
      <c r="V48" s="28">
        <f t="shared" si="1"/>
        <v>114</v>
      </c>
      <c r="W48" s="29"/>
    </row>
    <row r="49" spans="1:23" s="35" customFormat="1" ht="21" customHeight="1">
      <c r="A49" s="33"/>
      <c r="B49" s="31"/>
      <c r="C49" s="32"/>
      <c r="D49" s="18" t="s">
        <v>60</v>
      </c>
      <c r="E49" s="19" t="s">
        <v>41</v>
      </c>
      <c r="F49" s="20">
        <v>2.9990000000000001</v>
      </c>
      <c r="G49" s="19">
        <v>375</v>
      </c>
      <c r="H49" s="20">
        <v>110</v>
      </c>
      <c r="I49" s="19" t="s">
        <v>30</v>
      </c>
      <c r="J49" s="20">
        <v>2356</v>
      </c>
      <c r="K49" s="21">
        <v>4521</v>
      </c>
      <c r="L49" s="21">
        <v>2000</v>
      </c>
      <c r="M49" s="21" t="s">
        <v>31</v>
      </c>
      <c r="N49" s="22">
        <v>11.8</v>
      </c>
      <c r="O49" s="23">
        <f t="shared" si="0"/>
        <v>219.17118644067796</v>
      </c>
      <c r="P49" s="24">
        <v>10.35</v>
      </c>
      <c r="Q49" s="25" t="s">
        <v>62</v>
      </c>
      <c r="R49" s="26" t="s">
        <v>33</v>
      </c>
      <c r="S49" s="26" t="s">
        <v>34</v>
      </c>
      <c r="T49" s="26"/>
      <c r="U49" s="27"/>
      <c r="V49" s="28">
        <f t="shared" si="1"/>
        <v>114</v>
      </c>
      <c r="W49" s="29"/>
    </row>
    <row r="50" spans="1:23" s="29" customFormat="1" ht="21" customHeight="1">
      <c r="A50" s="33"/>
      <c r="B50" s="31"/>
      <c r="C50" s="32"/>
      <c r="D50" s="18" t="s">
        <v>60</v>
      </c>
      <c r="E50" s="19" t="s">
        <v>41</v>
      </c>
      <c r="F50" s="20">
        <v>2.9990000000000001</v>
      </c>
      <c r="G50" s="19">
        <v>375</v>
      </c>
      <c r="H50" s="20">
        <v>110</v>
      </c>
      <c r="I50" s="19" t="s">
        <v>61</v>
      </c>
      <c r="J50" s="20">
        <v>2356</v>
      </c>
      <c r="K50" s="21">
        <v>4521</v>
      </c>
      <c r="L50" s="21">
        <v>2000</v>
      </c>
      <c r="M50" s="21" t="s">
        <v>31</v>
      </c>
      <c r="N50" s="22">
        <v>11.4</v>
      </c>
      <c r="O50" s="23">
        <f t="shared" si="0"/>
        <v>226.8614035087719</v>
      </c>
      <c r="P50" s="24">
        <v>10.35</v>
      </c>
      <c r="Q50" s="25" t="s">
        <v>63</v>
      </c>
      <c r="R50" s="26" t="s">
        <v>33</v>
      </c>
      <c r="S50" s="26" t="s">
        <v>34</v>
      </c>
      <c r="T50" s="26"/>
      <c r="U50" s="27"/>
      <c r="V50" s="28">
        <f t="shared" si="1"/>
        <v>110</v>
      </c>
    </row>
    <row r="51" spans="1:23" s="29" customFormat="1" ht="21" customHeight="1">
      <c r="A51" s="33"/>
      <c r="B51" s="31"/>
      <c r="C51" s="32"/>
      <c r="D51" s="18" t="s">
        <v>60</v>
      </c>
      <c r="E51" s="19" t="s">
        <v>41</v>
      </c>
      <c r="F51" s="20">
        <v>2.9990000000000001</v>
      </c>
      <c r="G51" s="19">
        <v>375</v>
      </c>
      <c r="H51" s="20">
        <v>110</v>
      </c>
      <c r="I51" s="19" t="s">
        <v>30</v>
      </c>
      <c r="J51" s="20">
        <v>2356</v>
      </c>
      <c r="K51" s="21">
        <v>4521</v>
      </c>
      <c r="L51" s="21">
        <v>2000</v>
      </c>
      <c r="M51" s="21" t="s">
        <v>31</v>
      </c>
      <c r="N51" s="22">
        <v>11.4</v>
      </c>
      <c r="O51" s="23">
        <f t="shared" si="0"/>
        <v>226.8614035087719</v>
      </c>
      <c r="P51" s="24">
        <v>10.35</v>
      </c>
      <c r="Q51" s="25" t="s">
        <v>63</v>
      </c>
      <c r="R51" s="26" t="s">
        <v>33</v>
      </c>
      <c r="S51" s="26" t="s">
        <v>34</v>
      </c>
      <c r="T51" s="26"/>
      <c r="U51" s="27"/>
      <c r="V51" s="28">
        <f t="shared" si="1"/>
        <v>110</v>
      </c>
    </row>
    <row r="52" spans="1:23" s="35" customFormat="1" ht="21" customHeight="1">
      <c r="A52" s="33"/>
      <c r="B52" s="31"/>
      <c r="C52" s="32"/>
      <c r="D52" s="18" t="s">
        <v>64</v>
      </c>
      <c r="E52" s="19" t="s">
        <v>41</v>
      </c>
      <c r="F52" s="20">
        <v>2.9990000000000001</v>
      </c>
      <c r="G52" s="19">
        <v>375</v>
      </c>
      <c r="H52" s="20">
        <v>110</v>
      </c>
      <c r="I52" s="19" t="s">
        <v>61</v>
      </c>
      <c r="J52" s="20">
        <v>2356</v>
      </c>
      <c r="K52" s="21">
        <v>4521</v>
      </c>
      <c r="L52" s="21">
        <v>2000</v>
      </c>
      <c r="M52" s="21" t="s">
        <v>31</v>
      </c>
      <c r="N52" s="22">
        <v>11.8</v>
      </c>
      <c r="O52" s="23">
        <f t="shared" si="0"/>
        <v>219.17118644067796</v>
      </c>
      <c r="P52" s="24">
        <v>10.35</v>
      </c>
      <c r="Q52" s="25" t="s">
        <v>62</v>
      </c>
      <c r="R52" s="26" t="s">
        <v>33</v>
      </c>
      <c r="S52" s="26" t="s">
        <v>34</v>
      </c>
      <c r="T52" s="26"/>
      <c r="U52" s="27"/>
      <c r="V52" s="28">
        <f t="shared" si="1"/>
        <v>114</v>
      </c>
      <c r="W52" s="29"/>
    </row>
    <row r="53" spans="1:23" s="35" customFormat="1" ht="21" customHeight="1">
      <c r="A53" s="33"/>
      <c r="B53" s="31"/>
      <c r="C53" s="32"/>
      <c r="D53" s="18" t="s">
        <v>64</v>
      </c>
      <c r="E53" s="19" t="s">
        <v>41</v>
      </c>
      <c r="F53" s="20">
        <v>2.9990000000000001</v>
      </c>
      <c r="G53" s="19">
        <v>375</v>
      </c>
      <c r="H53" s="20">
        <v>110</v>
      </c>
      <c r="I53" s="19" t="s">
        <v>30</v>
      </c>
      <c r="J53" s="20">
        <v>2356</v>
      </c>
      <c r="K53" s="21">
        <v>4521</v>
      </c>
      <c r="L53" s="21">
        <v>2000</v>
      </c>
      <c r="M53" s="21" t="s">
        <v>31</v>
      </c>
      <c r="N53" s="22">
        <v>11.8</v>
      </c>
      <c r="O53" s="23">
        <f t="shared" si="0"/>
        <v>219.17118644067796</v>
      </c>
      <c r="P53" s="24">
        <v>10.35</v>
      </c>
      <c r="Q53" s="25" t="s">
        <v>62</v>
      </c>
      <c r="R53" s="26" t="s">
        <v>33</v>
      </c>
      <c r="S53" s="26" t="s">
        <v>34</v>
      </c>
      <c r="T53" s="26"/>
      <c r="U53" s="27"/>
      <c r="V53" s="28">
        <f t="shared" si="1"/>
        <v>114</v>
      </c>
      <c r="W53" s="29"/>
    </row>
    <row r="54" spans="1:23" s="35" customFormat="1" ht="21" customHeight="1">
      <c r="A54" s="33"/>
      <c r="B54" s="31"/>
      <c r="C54" s="32"/>
      <c r="D54" s="18" t="s">
        <v>64</v>
      </c>
      <c r="E54" s="19" t="s">
        <v>41</v>
      </c>
      <c r="F54" s="20">
        <v>2.9990000000000001</v>
      </c>
      <c r="G54" s="19">
        <v>375</v>
      </c>
      <c r="H54" s="20">
        <v>110</v>
      </c>
      <c r="I54" s="19" t="s">
        <v>61</v>
      </c>
      <c r="J54" s="20">
        <v>2356</v>
      </c>
      <c r="K54" s="21">
        <v>4521</v>
      </c>
      <c r="L54" s="21">
        <v>2000</v>
      </c>
      <c r="M54" s="21" t="s">
        <v>31</v>
      </c>
      <c r="N54" s="22">
        <v>11.4</v>
      </c>
      <c r="O54" s="23">
        <f t="shared" si="0"/>
        <v>226.8614035087719</v>
      </c>
      <c r="P54" s="24">
        <v>10.35</v>
      </c>
      <c r="Q54" s="25" t="s">
        <v>63</v>
      </c>
      <c r="R54" s="26" t="s">
        <v>33</v>
      </c>
      <c r="S54" s="26" t="s">
        <v>34</v>
      </c>
      <c r="T54" s="26"/>
      <c r="U54" s="27"/>
      <c r="V54" s="28">
        <f t="shared" si="1"/>
        <v>110</v>
      </c>
      <c r="W54" s="29"/>
    </row>
    <row r="55" spans="1:23" s="35" customFormat="1" ht="21" customHeight="1">
      <c r="A55" s="33"/>
      <c r="B55" s="31"/>
      <c r="C55" s="32"/>
      <c r="D55" s="18" t="s">
        <v>64</v>
      </c>
      <c r="E55" s="19" t="s">
        <v>41</v>
      </c>
      <c r="F55" s="20">
        <v>2.9990000000000001</v>
      </c>
      <c r="G55" s="19">
        <v>375</v>
      </c>
      <c r="H55" s="20">
        <v>110</v>
      </c>
      <c r="I55" s="19" t="s">
        <v>30</v>
      </c>
      <c r="J55" s="20">
        <v>2356</v>
      </c>
      <c r="K55" s="21">
        <v>4521</v>
      </c>
      <c r="L55" s="21">
        <v>2000</v>
      </c>
      <c r="M55" s="21" t="s">
        <v>31</v>
      </c>
      <c r="N55" s="22">
        <v>11.4</v>
      </c>
      <c r="O55" s="23">
        <f t="shared" si="0"/>
        <v>226.8614035087719</v>
      </c>
      <c r="P55" s="24">
        <v>10.35</v>
      </c>
      <c r="Q55" s="25" t="s">
        <v>63</v>
      </c>
      <c r="R55" s="26" t="s">
        <v>33</v>
      </c>
      <c r="S55" s="26" t="s">
        <v>34</v>
      </c>
      <c r="T55" s="26"/>
      <c r="U55" s="27"/>
      <c r="V55" s="28">
        <f t="shared" si="1"/>
        <v>110</v>
      </c>
      <c r="W55" s="29"/>
    </row>
    <row r="56" spans="1:23" s="35" customFormat="1" ht="21" customHeight="1">
      <c r="A56" s="33"/>
      <c r="B56" s="31"/>
      <c r="C56" s="32"/>
      <c r="D56" s="18" t="s">
        <v>65</v>
      </c>
      <c r="E56" s="19" t="s">
        <v>41</v>
      </c>
      <c r="F56" s="20">
        <v>2.9990000000000001</v>
      </c>
      <c r="G56" s="19">
        <v>375</v>
      </c>
      <c r="H56" s="20">
        <v>110</v>
      </c>
      <c r="I56" s="19" t="s">
        <v>61</v>
      </c>
      <c r="J56" s="20">
        <v>2356</v>
      </c>
      <c r="K56" s="21">
        <v>4521</v>
      </c>
      <c r="L56" s="21">
        <v>2000</v>
      </c>
      <c r="M56" s="21" t="s">
        <v>31</v>
      </c>
      <c r="N56" s="22">
        <v>11.8</v>
      </c>
      <c r="O56" s="23">
        <f t="shared" si="0"/>
        <v>219.17118644067796</v>
      </c>
      <c r="P56" s="24">
        <v>10.35</v>
      </c>
      <c r="Q56" s="25" t="s">
        <v>62</v>
      </c>
      <c r="R56" s="26" t="s">
        <v>33</v>
      </c>
      <c r="S56" s="26" t="s">
        <v>66</v>
      </c>
      <c r="T56" s="26"/>
      <c r="U56" s="27"/>
      <c r="V56" s="28">
        <f t="shared" si="1"/>
        <v>114</v>
      </c>
      <c r="W56" s="29"/>
    </row>
    <row r="57" spans="1:23" s="35" customFormat="1" ht="21" customHeight="1">
      <c r="A57" s="34"/>
      <c r="B57" s="31"/>
      <c r="C57" s="32"/>
      <c r="D57" s="18" t="s">
        <v>65</v>
      </c>
      <c r="E57" s="19" t="s">
        <v>41</v>
      </c>
      <c r="F57" s="20">
        <v>2.9990000000000001</v>
      </c>
      <c r="G57" s="19">
        <v>375</v>
      </c>
      <c r="H57" s="20">
        <v>110</v>
      </c>
      <c r="I57" s="19" t="s">
        <v>61</v>
      </c>
      <c r="J57" s="20">
        <v>2356</v>
      </c>
      <c r="K57" s="21">
        <v>4521</v>
      </c>
      <c r="L57" s="21">
        <v>2000</v>
      </c>
      <c r="M57" s="21" t="s">
        <v>31</v>
      </c>
      <c r="N57" s="22">
        <v>11.8</v>
      </c>
      <c r="O57" s="23">
        <f t="shared" si="0"/>
        <v>219.17118644067796</v>
      </c>
      <c r="P57" s="24">
        <v>10.35</v>
      </c>
      <c r="Q57" s="25" t="s">
        <v>62</v>
      </c>
      <c r="R57" s="26" t="s">
        <v>33</v>
      </c>
      <c r="S57" s="26" t="s">
        <v>67</v>
      </c>
      <c r="T57" s="26"/>
      <c r="U57" s="27"/>
      <c r="V57" s="28">
        <f t="shared" si="1"/>
        <v>114</v>
      </c>
      <c r="W57" s="29"/>
    </row>
    <row r="58" spans="1:23" s="35" customFormat="1" ht="21" customHeight="1">
      <c r="A58" s="33"/>
      <c r="B58" s="31"/>
      <c r="C58" s="32"/>
      <c r="D58" s="18" t="s">
        <v>65</v>
      </c>
      <c r="E58" s="19" t="s">
        <v>41</v>
      </c>
      <c r="F58" s="20">
        <v>2.9990000000000001</v>
      </c>
      <c r="G58" s="19">
        <v>375</v>
      </c>
      <c r="H58" s="20">
        <v>110</v>
      </c>
      <c r="I58" s="19" t="s">
        <v>61</v>
      </c>
      <c r="J58" s="20">
        <v>2356</v>
      </c>
      <c r="K58" s="21">
        <v>4521</v>
      </c>
      <c r="L58" s="21">
        <v>2000</v>
      </c>
      <c r="M58" s="21" t="s">
        <v>31</v>
      </c>
      <c r="N58" s="22">
        <v>11.4</v>
      </c>
      <c r="O58" s="23">
        <f t="shared" si="0"/>
        <v>226.8614035087719</v>
      </c>
      <c r="P58" s="24">
        <v>10.35</v>
      </c>
      <c r="Q58" s="25" t="s">
        <v>63</v>
      </c>
      <c r="R58" s="26" t="s">
        <v>33</v>
      </c>
      <c r="S58" s="26" t="s">
        <v>66</v>
      </c>
      <c r="T58" s="26"/>
      <c r="U58" s="27"/>
      <c r="V58" s="28">
        <f t="shared" si="1"/>
        <v>110</v>
      </c>
      <c r="W58" s="29"/>
    </row>
    <row r="59" spans="1:23" s="35" customFormat="1" ht="21" customHeight="1">
      <c r="A59" s="34"/>
      <c r="B59" s="31"/>
      <c r="C59" s="32"/>
      <c r="D59" s="18" t="s">
        <v>65</v>
      </c>
      <c r="E59" s="19" t="s">
        <v>41</v>
      </c>
      <c r="F59" s="20">
        <v>2.9990000000000001</v>
      </c>
      <c r="G59" s="19">
        <v>375</v>
      </c>
      <c r="H59" s="20">
        <v>110</v>
      </c>
      <c r="I59" s="19" t="s">
        <v>61</v>
      </c>
      <c r="J59" s="20">
        <v>2356</v>
      </c>
      <c r="K59" s="21">
        <v>4521</v>
      </c>
      <c r="L59" s="21">
        <v>2000</v>
      </c>
      <c r="M59" s="21" t="s">
        <v>31</v>
      </c>
      <c r="N59" s="22">
        <v>11.4</v>
      </c>
      <c r="O59" s="23">
        <f t="shared" si="0"/>
        <v>226.8614035087719</v>
      </c>
      <c r="P59" s="24">
        <v>10.35</v>
      </c>
      <c r="Q59" s="25" t="s">
        <v>63</v>
      </c>
      <c r="R59" s="26" t="s">
        <v>33</v>
      </c>
      <c r="S59" s="26" t="s">
        <v>67</v>
      </c>
      <c r="T59" s="26"/>
      <c r="U59" s="27"/>
      <c r="V59" s="28">
        <f t="shared" si="1"/>
        <v>110</v>
      </c>
      <c r="W59" s="29"/>
    </row>
    <row r="60" spans="1:23" s="35" customFormat="1" ht="21" customHeight="1">
      <c r="A60" s="33"/>
      <c r="B60" s="31"/>
      <c r="C60" s="32"/>
      <c r="D60" s="18" t="s">
        <v>68</v>
      </c>
      <c r="E60" s="19" t="s">
        <v>41</v>
      </c>
      <c r="F60" s="20">
        <v>2.9990000000000001</v>
      </c>
      <c r="G60" s="19">
        <v>375</v>
      </c>
      <c r="H60" s="20">
        <v>110</v>
      </c>
      <c r="I60" s="19" t="s">
        <v>61</v>
      </c>
      <c r="J60" s="20">
        <v>2356</v>
      </c>
      <c r="K60" s="21">
        <v>4521</v>
      </c>
      <c r="L60" s="21">
        <v>2000</v>
      </c>
      <c r="M60" s="21" t="s">
        <v>31</v>
      </c>
      <c r="N60" s="22">
        <v>11.8</v>
      </c>
      <c r="O60" s="23">
        <f t="shared" si="0"/>
        <v>219.17118644067796</v>
      </c>
      <c r="P60" s="24">
        <v>10.35</v>
      </c>
      <c r="Q60" s="25" t="s">
        <v>62</v>
      </c>
      <c r="R60" s="26" t="s">
        <v>33</v>
      </c>
      <c r="S60" s="26" t="s">
        <v>66</v>
      </c>
      <c r="T60" s="26"/>
      <c r="U60" s="27"/>
      <c r="V60" s="28">
        <f t="shared" si="1"/>
        <v>114</v>
      </c>
      <c r="W60" s="29"/>
    </row>
    <row r="61" spans="1:23" s="35" customFormat="1" ht="21" customHeight="1">
      <c r="A61" s="34"/>
      <c r="B61" s="31"/>
      <c r="C61" s="32"/>
      <c r="D61" s="18" t="s">
        <v>68</v>
      </c>
      <c r="E61" s="19" t="s">
        <v>41</v>
      </c>
      <c r="F61" s="20">
        <v>2.9990000000000001</v>
      </c>
      <c r="G61" s="19">
        <v>375</v>
      </c>
      <c r="H61" s="20">
        <v>110</v>
      </c>
      <c r="I61" s="19" t="s">
        <v>61</v>
      </c>
      <c r="J61" s="20">
        <v>2356</v>
      </c>
      <c r="K61" s="21">
        <v>4521</v>
      </c>
      <c r="L61" s="21">
        <v>2000</v>
      </c>
      <c r="M61" s="21" t="s">
        <v>31</v>
      </c>
      <c r="N61" s="22">
        <v>11.8</v>
      </c>
      <c r="O61" s="23">
        <f t="shared" si="0"/>
        <v>219.17118644067796</v>
      </c>
      <c r="P61" s="24">
        <v>10.35</v>
      </c>
      <c r="Q61" s="25" t="s">
        <v>62</v>
      </c>
      <c r="R61" s="26" t="s">
        <v>33</v>
      </c>
      <c r="S61" s="26" t="s">
        <v>67</v>
      </c>
      <c r="T61" s="26"/>
      <c r="U61" s="27"/>
      <c r="V61" s="28">
        <f t="shared" si="1"/>
        <v>114</v>
      </c>
      <c r="W61" s="29"/>
    </row>
    <row r="62" spans="1:23" s="35" customFormat="1" ht="21" customHeight="1">
      <c r="A62" s="33"/>
      <c r="B62" s="31"/>
      <c r="C62" s="32"/>
      <c r="D62" s="18" t="s">
        <v>68</v>
      </c>
      <c r="E62" s="19" t="s">
        <v>41</v>
      </c>
      <c r="F62" s="20">
        <v>2.9990000000000001</v>
      </c>
      <c r="G62" s="19">
        <v>375</v>
      </c>
      <c r="H62" s="20">
        <v>110</v>
      </c>
      <c r="I62" s="19" t="s">
        <v>61</v>
      </c>
      <c r="J62" s="20">
        <v>2356</v>
      </c>
      <c r="K62" s="21">
        <v>4521</v>
      </c>
      <c r="L62" s="21">
        <v>2000</v>
      </c>
      <c r="M62" s="21" t="s">
        <v>31</v>
      </c>
      <c r="N62" s="22">
        <v>11.4</v>
      </c>
      <c r="O62" s="23">
        <f t="shared" si="0"/>
        <v>226.8614035087719</v>
      </c>
      <c r="P62" s="24">
        <v>10.35</v>
      </c>
      <c r="Q62" s="25" t="s">
        <v>63</v>
      </c>
      <c r="R62" s="26" t="s">
        <v>33</v>
      </c>
      <c r="S62" s="26" t="s">
        <v>66</v>
      </c>
      <c r="T62" s="26"/>
      <c r="U62" s="27"/>
      <c r="V62" s="28">
        <f t="shared" si="1"/>
        <v>110</v>
      </c>
      <c r="W62" s="29"/>
    </row>
    <row r="63" spans="1:23" s="35" customFormat="1" ht="21" customHeight="1">
      <c r="A63" s="34"/>
      <c r="B63" s="31"/>
      <c r="C63" s="32"/>
      <c r="D63" s="18" t="s">
        <v>68</v>
      </c>
      <c r="E63" s="19" t="s">
        <v>41</v>
      </c>
      <c r="F63" s="20">
        <v>2.9990000000000001</v>
      </c>
      <c r="G63" s="19">
        <v>375</v>
      </c>
      <c r="H63" s="20">
        <v>110</v>
      </c>
      <c r="I63" s="19" t="s">
        <v>61</v>
      </c>
      <c r="J63" s="20">
        <v>2356</v>
      </c>
      <c r="K63" s="21">
        <v>4521</v>
      </c>
      <c r="L63" s="21">
        <v>2000</v>
      </c>
      <c r="M63" s="21" t="s">
        <v>31</v>
      </c>
      <c r="N63" s="22">
        <v>11.4</v>
      </c>
      <c r="O63" s="23">
        <f t="shared" si="0"/>
        <v>226.8614035087719</v>
      </c>
      <c r="P63" s="24">
        <v>10.35</v>
      </c>
      <c r="Q63" s="25" t="s">
        <v>63</v>
      </c>
      <c r="R63" s="26" t="s">
        <v>33</v>
      </c>
      <c r="S63" s="26" t="s">
        <v>67</v>
      </c>
      <c r="T63" s="26"/>
      <c r="U63" s="27"/>
      <c r="V63" s="28">
        <f t="shared" si="1"/>
        <v>110</v>
      </c>
      <c r="W63" s="29"/>
    </row>
    <row r="64" spans="1:23" s="35" customFormat="1" ht="21" customHeight="1">
      <c r="A64" s="33"/>
      <c r="B64" s="31"/>
      <c r="C64" s="32"/>
      <c r="D64" s="18" t="s">
        <v>69</v>
      </c>
      <c r="E64" s="19" t="s">
        <v>41</v>
      </c>
      <c r="F64" s="20">
        <v>2.9990000000000001</v>
      </c>
      <c r="G64" s="19">
        <v>375</v>
      </c>
      <c r="H64" s="20">
        <v>110</v>
      </c>
      <c r="I64" s="19" t="s">
        <v>70</v>
      </c>
      <c r="J64" s="20">
        <v>2356</v>
      </c>
      <c r="K64" s="21">
        <v>4521</v>
      </c>
      <c r="L64" s="21">
        <v>2000</v>
      </c>
      <c r="M64" s="21" t="s">
        <v>31</v>
      </c>
      <c r="N64" s="22">
        <v>11.8</v>
      </c>
      <c r="O64" s="23">
        <f t="shared" si="0"/>
        <v>219.17118644067796</v>
      </c>
      <c r="P64" s="24">
        <v>10.35</v>
      </c>
      <c r="Q64" s="25" t="s">
        <v>43</v>
      </c>
      <c r="R64" s="26" t="s">
        <v>33</v>
      </c>
      <c r="S64" s="26" t="s">
        <v>44</v>
      </c>
      <c r="T64" s="26"/>
      <c r="U64" s="27"/>
      <c r="V64" s="28">
        <f t="shared" si="1"/>
        <v>114</v>
      </c>
      <c r="W64" s="29"/>
    </row>
    <row r="65" spans="1:23" s="35" customFormat="1" ht="21" customHeight="1">
      <c r="A65" s="33"/>
      <c r="B65" s="31"/>
      <c r="C65" s="32"/>
      <c r="D65" s="18" t="s">
        <v>69</v>
      </c>
      <c r="E65" s="19" t="s">
        <v>41</v>
      </c>
      <c r="F65" s="20">
        <v>2.9990000000000001</v>
      </c>
      <c r="G65" s="19">
        <v>375</v>
      </c>
      <c r="H65" s="20">
        <v>110</v>
      </c>
      <c r="I65" s="19" t="s">
        <v>70</v>
      </c>
      <c r="J65" s="20">
        <v>2356</v>
      </c>
      <c r="K65" s="21">
        <v>4521</v>
      </c>
      <c r="L65" s="21">
        <v>2000</v>
      </c>
      <c r="M65" s="21" t="s">
        <v>31</v>
      </c>
      <c r="N65" s="22">
        <v>11.8</v>
      </c>
      <c r="O65" s="23">
        <f t="shared" si="0"/>
        <v>219.17118644067796</v>
      </c>
      <c r="P65" s="24">
        <v>10.35</v>
      </c>
      <c r="Q65" s="25" t="s">
        <v>43</v>
      </c>
      <c r="R65" s="26" t="s">
        <v>33</v>
      </c>
      <c r="S65" s="26" t="s">
        <v>34</v>
      </c>
      <c r="T65" s="26"/>
      <c r="U65" s="27"/>
      <c r="V65" s="28">
        <f t="shared" si="1"/>
        <v>114</v>
      </c>
      <c r="W65" s="29"/>
    </row>
    <row r="66" spans="1:23" s="35" customFormat="1" ht="21" customHeight="1">
      <c r="A66" s="33"/>
      <c r="B66" s="31"/>
      <c r="C66" s="32"/>
      <c r="D66" s="18" t="s">
        <v>69</v>
      </c>
      <c r="E66" s="19" t="s">
        <v>41</v>
      </c>
      <c r="F66" s="20">
        <v>2.9990000000000001</v>
      </c>
      <c r="G66" s="19">
        <v>375</v>
      </c>
      <c r="H66" s="20">
        <v>110</v>
      </c>
      <c r="I66" s="19" t="s">
        <v>71</v>
      </c>
      <c r="J66" s="20">
        <v>2356</v>
      </c>
      <c r="K66" s="21">
        <v>4521</v>
      </c>
      <c r="L66" s="21">
        <v>2000</v>
      </c>
      <c r="M66" s="21" t="s">
        <v>31</v>
      </c>
      <c r="N66" s="22">
        <v>11.8</v>
      </c>
      <c r="O66" s="23">
        <f t="shared" si="0"/>
        <v>219.17118644067796</v>
      </c>
      <c r="P66" s="24">
        <v>10.35</v>
      </c>
      <c r="Q66" s="25" t="s">
        <v>43</v>
      </c>
      <c r="R66" s="26" t="s">
        <v>33</v>
      </c>
      <c r="S66" s="26" t="s">
        <v>44</v>
      </c>
      <c r="T66" s="26"/>
      <c r="U66" s="27"/>
      <c r="V66" s="28">
        <f t="shared" si="1"/>
        <v>114</v>
      </c>
      <c r="W66" s="29"/>
    </row>
    <row r="67" spans="1:23" s="35" customFormat="1" ht="21" customHeight="1">
      <c r="A67" s="33"/>
      <c r="B67" s="31"/>
      <c r="C67" s="32"/>
      <c r="D67" s="18" t="s">
        <v>69</v>
      </c>
      <c r="E67" s="19" t="s">
        <v>41</v>
      </c>
      <c r="F67" s="20">
        <v>2.9990000000000001</v>
      </c>
      <c r="G67" s="19">
        <v>375</v>
      </c>
      <c r="H67" s="20">
        <v>110</v>
      </c>
      <c r="I67" s="19" t="s">
        <v>71</v>
      </c>
      <c r="J67" s="20">
        <v>2356</v>
      </c>
      <c r="K67" s="21">
        <v>4521</v>
      </c>
      <c r="L67" s="21">
        <v>2000</v>
      </c>
      <c r="M67" s="21" t="s">
        <v>31</v>
      </c>
      <c r="N67" s="22">
        <v>11.8</v>
      </c>
      <c r="O67" s="23">
        <f t="shared" si="0"/>
        <v>219.17118644067796</v>
      </c>
      <c r="P67" s="24">
        <v>10.35</v>
      </c>
      <c r="Q67" s="25" t="s">
        <v>43</v>
      </c>
      <c r="R67" s="26" t="s">
        <v>33</v>
      </c>
      <c r="S67" s="26" t="s">
        <v>34</v>
      </c>
      <c r="T67" s="26"/>
      <c r="U67" s="27"/>
      <c r="V67" s="28">
        <f t="shared" si="1"/>
        <v>114</v>
      </c>
    </row>
    <row r="68" spans="1:23" s="35" customFormat="1" ht="21" customHeight="1">
      <c r="A68" s="33"/>
      <c r="B68" s="31"/>
      <c r="C68" s="32"/>
      <c r="D68" s="18" t="s">
        <v>69</v>
      </c>
      <c r="E68" s="19" t="s">
        <v>41</v>
      </c>
      <c r="F68" s="20">
        <v>2.9990000000000001</v>
      </c>
      <c r="G68" s="19">
        <v>375</v>
      </c>
      <c r="H68" s="20">
        <v>110</v>
      </c>
      <c r="I68" s="19" t="s">
        <v>70</v>
      </c>
      <c r="J68" s="20">
        <v>2356</v>
      </c>
      <c r="K68" s="21">
        <v>4521</v>
      </c>
      <c r="L68" s="21">
        <v>2000</v>
      </c>
      <c r="M68" s="21" t="s">
        <v>31</v>
      </c>
      <c r="N68" s="22">
        <v>11.4</v>
      </c>
      <c r="O68" s="23">
        <f t="shared" si="0"/>
        <v>226.8614035087719</v>
      </c>
      <c r="P68" s="24">
        <v>10.35</v>
      </c>
      <c r="Q68" s="25" t="s">
        <v>63</v>
      </c>
      <c r="R68" s="26" t="s">
        <v>33</v>
      </c>
      <c r="S68" s="26" t="s">
        <v>44</v>
      </c>
      <c r="T68" s="26"/>
      <c r="U68" s="27"/>
      <c r="V68" s="28">
        <f t="shared" si="1"/>
        <v>110</v>
      </c>
    </row>
    <row r="69" spans="1:23" s="35" customFormat="1" ht="21" customHeight="1">
      <c r="A69" s="33"/>
      <c r="B69" s="31"/>
      <c r="C69" s="32"/>
      <c r="D69" s="18" t="s">
        <v>69</v>
      </c>
      <c r="E69" s="19" t="s">
        <v>41</v>
      </c>
      <c r="F69" s="20">
        <v>2.9990000000000001</v>
      </c>
      <c r="G69" s="19">
        <v>375</v>
      </c>
      <c r="H69" s="20">
        <v>110</v>
      </c>
      <c r="I69" s="19" t="s">
        <v>70</v>
      </c>
      <c r="J69" s="20">
        <v>2356</v>
      </c>
      <c r="K69" s="21">
        <v>4521</v>
      </c>
      <c r="L69" s="21">
        <v>2000</v>
      </c>
      <c r="M69" s="21" t="s">
        <v>31</v>
      </c>
      <c r="N69" s="22">
        <v>11.4</v>
      </c>
      <c r="O69" s="23">
        <f t="shared" si="0"/>
        <v>226.8614035087719</v>
      </c>
      <c r="P69" s="24">
        <v>10.35</v>
      </c>
      <c r="Q69" s="25" t="s">
        <v>63</v>
      </c>
      <c r="R69" s="26" t="s">
        <v>33</v>
      </c>
      <c r="S69" s="26" t="s">
        <v>34</v>
      </c>
      <c r="T69" s="26"/>
      <c r="U69" s="27"/>
      <c r="V69" s="28">
        <f t="shared" si="1"/>
        <v>110</v>
      </c>
    </row>
    <row r="70" spans="1:23" s="35" customFormat="1" ht="21" customHeight="1">
      <c r="A70" s="33"/>
      <c r="B70" s="31"/>
      <c r="C70" s="32"/>
      <c r="D70" s="18" t="s">
        <v>69</v>
      </c>
      <c r="E70" s="19" t="s">
        <v>41</v>
      </c>
      <c r="F70" s="20">
        <v>2.9990000000000001</v>
      </c>
      <c r="G70" s="19">
        <v>375</v>
      </c>
      <c r="H70" s="20">
        <v>110</v>
      </c>
      <c r="I70" s="19" t="s">
        <v>71</v>
      </c>
      <c r="J70" s="20">
        <v>2356</v>
      </c>
      <c r="K70" s="21">
        <v>4521</v>
      </c>
      <c r="L70" s="21">
        <v>2000</v>
      </c>
      <c r="M70" s="21" t="s">
        <v>31</v>
      </c>
      <c r="N70" s="22">
        <v>11.4</v>
      </c>
      <c r="O70" s="23">
        <f t="shared" si="0"/>
        <v>226.8614035087719</v>
      </c>
      <c r="P70" s="24">
        <v>10.35</v>
      </c>
      <c r="Q70" s="25" t="s">
        <v>63</v>
      </c>
      <c r="R70" s="26" t="s">
        <v>33</v>
      </c>
      <c r="S70" s="26" t="s">
        <v>44</v>
      </c>
      <c r="T70" s="26"/>
      <c r="U70" s="27"/>
      <c r="V70" s="28">
        <f t="shared" si="1"/>
        <v>110</v>
      </c>
    </row>
    <row r="71" spans="1:23" s="35" customFormat="1" ht="21" customHeight="1">
      <c r="A71" s="33"/>
      <c r="B71" s="31"/>
      <c r="C71" s="32"/>
      <c r="D71" s="18" t="s">
        <v>69</v>
      </c>
      <c r="E71" s="19" t="s">
        <v>41</v>
      </c>
      <c r="F71" s="20">
        <v>2.9990000000000001</v>
      </c>
      <c r="G71" s="19">
        <v>375</v>
      </c>
      <c r="H71" s="20">
        <v>110</v>
      </c>
      <c r="I71" s="19" t="s">
        <v>71</v>
      </c>
      <c r="J71" s="20">
        <v>2356</v>
      </c>
      <c r="K71" s="21">
        <v>4521</v>
      </c>
      <c r="L71" s="21">
        <v>2000</v>
      </c>
      <c r="M71" s="21" t="s">
        <v>31</v>
      </c>
      <c r="N71" s="22">
        <v>11.4</v>
      </c>
      <c r="O71" s="23">
        <f t="shared" si="0"/>
        <v>226.8614035087719</v>
      </c>
      <c r="P71" s="24">
        <v>10.35</v>
      </c>
      <c r="Q71" s="25" t="s">
        <v>63</v>
      </c>
      <c r="R71" s="26" t="s">
        <v>33</v>
      </c>
      <c r="S71" s="26" t="s">
        <v>34</v>
      </c>
      <c r="T71" s="26"/>
      <c r="U71" s="27"/>
      <c r="V71" s="28">
        <f t="shared" si="1"/>
        <v>110</v>
      </c>
      <c r="W71" s="29"/>
    </row>
    <row r="72" spans="1:23" s="35" customFormat="1" ht="21" customHeight="1">
      <c r="A72" s="34"/>
      <c r="B72" s="31"/>
      <c r="C72" s="32"/>
      <c r="D72" s="18" t="s">
        <v>72</v>
      </c>
      <c r="E72" s="19" t="s">
        <v>41</v>
      </c>
      <c r="F72" s="20">
        <v>2.9990000000000001</v>
      </c>
      <c r="G72" s="19">
        <v>375</v>
      </c>
      <c r="H72" s="20">
        <v>110</v>
      </c>
      <c r="I72" s="19" t="s">
        <v>70</v>
      </c>
      <c r="J72" s="20">
        <v>2356</v>
      </c>
      <c r="K72" s="21">
        <v>4521</v>
      </c>
      <c r="L72" s="21">
        <v>2000</v>
      </c>
      <c r="M72" s="21" t="s">
        <v>31</v>
      </c>
      <c r="N72" s="22">
        <v>11.8</v>
      </c>
      <c r="O72" s="23">
        <f t="shared" si="0"/>
        <v>219.17118644067796</v>
      </c>
      <c r="P72" s="24">
        <v>10.35</v>
      </c>
      <c r="Q72" s="25" t="s">
        <v>43</v>
      </c>
      <c r="R72" s="26" t="s">
        <v>33</v>
      </c>
      <c r="S72" s="26" t="s">
        <v>44</v>
      </c>
      <c r="T72" s="26"/>
      <c r="U72" s="27"/>
      <c r="V72" s="28">
        <f t="shared" si="1"/>
        <v>114</v>
      </c>
      <c r="W72" s="29"/>
    </row>
    <row r="73" spans="1:23" s="35" customFormat="1" ht="21" customHeight="1">
      <c r="A73" s="34"/>
      <c r="B73" s="31"/>
      <c r="C73" s="32"/>
      <c r="D73" s="18" t="s">
        <v>72</v>
      </c>
      <c r="E73" s="19" t="s">
        <v>41</v>
      </c>
      <c r="F73" s="20">
        <v>2.9990000000000001</v>
      </c>
      <c r="G73" s="19">
        <v>375</v>
      </c>
      <c r="H73" s="20">
        <v>110</v>
      </c>
      <c r="I73" s="19" t="s">
        <v>42</v>
      </c>
      <c r="J73" s="20">
        <v>2356</v>
      </c>
      <c r="K73" s="21">
        <v>4521</v>
      </c>
      <c r="L73" s="21">
        <v>2000</v>
      </c>
      <c r="M73" s="21" t="s">
        <v>31</v>
      </c>
      <c r="N73" s="22">
        <v>11.8</v>
      </c>
      <c r="O73" s="23">
        <f t="shared" ref="O73:O136" si="2">IF(N73&gt;0,1/N73*37.7*68.6,"")</f>
        <v>219.17118644067796</v>
      </c>
      <c r="P73" s="24">
        <v>10.35</v>
      </c>
      <c r="Q73" s="25" t="s">
        <v>63</v>
      </c>
      <c r="R73" s="26" t="s">
        <v>33</v>
      </c>
      <c r="S73" s="26" t="s">
        <v>44</v>
      </c>
      <c r="T73" s="26"/>
      <c r="U73" s="27"/>
      <c r="V73" s="28">
        <f t="shared" ref="V73:V136" si="3">IFERROR(IF(N73&lt;P73,"",(ROUNDDOWN(N73/P73*100,0))),"")</f>
        <v>114</v>
      </c>
      <c r="W73" s="29"/>
    </row>
    <row r="74" spans="1:23" s="35" customFormat="1" ht="21" customHeight="1">
      <c r="A74" s="34"/>
      <c r="B74" s="31"/>
      <c r="C74" s="32"/>
      <c r="D74" s="18" t="s">
        <v>72</v>
      </c>
      <c r="E74" s="19" t="s">
        <v>41</v>
      </c>
      <c r="F74" s="20">
        <v>2.9990000000000001</v>
      </c>
      <c r="G74" s="19">
        <v>375</v>
      </c>
      <c r="H74" s="20">
        <v>110</v>
      </c>
      <c r="I74" s="19" t="s">
        <v>70</v>
      </c>
      <c r="J74" s="20">
        <v>2356</v>
      </c>
      <c r="K74" s="21">
        <v>4521</v>
      </c>
      <c r="L74" s="21">
        <v>2000</v>
      </c>
      <c r="M74" s="21" t="s">
        <v>31</v>
      </c>
      <c r="N74" s="22">
        <v>11.8</v>
      </c>
      <c r="O74" s="23">
        <f t="shared" si="2"/>
        <v>219.17118644067796</v>
      </c>
      <c r="P74" s="24">
        <v>10.35</v>
      </c>
      <c r="Q74" s="25" t="s">
        <v>43</v>
      </c>
      <c r="R74" s="26" t="s">
        <v>33</v>
      </c>
      <c r="S74" s="26" t="s">
        <v>34</v>
      </c>
      <c r="T74" s="26"/>
      <c r="U74" s="27"/>
      <c r="V74" s="28">
        <f t="shared" si="3"/>
        <v>114</v>
      </c>
      <c r="W74" s="29"/>
    </row>
    <row r="75" spans="1:23" s="35" customFormat="1" ht="21" customHeight="1">
      <c r="A75" s="34"/>
      <c r="B75" s="31"/>
      <c r="C75" s="32"/>
      <c r="D75" s="18" t="s">
        <v>72</v>
      </c>
      <c r="E75" s="19" t="s">
        <v>41</v>
      </c>
      <c r="F75" s="20">
        <v>2.9990000000000001</v>
      </c>
      <c r="G75" s="19">
        <v>375</v>
      </c>
      <c r="H75" s="20">
        <v>110</v>
      </c>
      <c r="I75" s="19" t="s">
        <v>42</v>
      </c>
      <c r="J75" s="20">
        <v>2356</v>
      </c>
      <c r="K75" s="21">
        <v>4521</v>
      </c>
      <c r="L75" s="21">
        <v>2000</v>
      </c>
      <c r="M75" s="21" t="s">
        <v>31</v>
      </c>
      <c r="N75" s="22">
        <v>11.8</v>
      </c>
      <c r="O75" s="23">
        <f t="shared" si="2"/>
        <v>219.17118644067796</v>
      </c>
      <c r="P75" s="24">
        <v>10.35</v>
      </c>
      <c r="Q75" s="25" t="s">
        <v>63</v>
      </c>
      <c r="R75" s="26" t="s">
        <v>33</v>
      </c>
      <c r="S75" s="26" t="s">
        <v>34</v>
      </c>
      <c r="T75" s="26"/>
      <c r="U75" s="27"/>
      <c r="V75" s="28">
        <f t="shared" si="3"/>
        <v>114</v>
      </c>
      <c r="W75" s="29"/>
    </row>
    <row r="76" spans="1:23" s="35" customFormat="1" ht="21" customHeight="1">
      <c r="A76" s="34"/>
      <c r="B76" s="31"/>
      <c r="C76" s="32"/>
      <c r="D76" s="18" t="s">
        <v>72</v>
      </c>
      <c r="E76" s="19" t="s">
        <v>41</v>
      </c>
      <c r="F76" s="20">
        <v>2.9990000000000001</v>
      </c>
      <c r="G76" s="19">
        <v>375</v>
      </c>
      <c r="H76" s="20">
        <v>110</v>
      </c>
      <c r="I76" s="19" t="s">
        <v>70</v>
      </c>
      <c r="J76" s="20">
        <v>2356</v>
      </c>
      <c r="K76" s="21">
        <v>4521</v>
      </c>
      <c r="L76" s="21">
        <v>2000</v>
      </c>
      <c r="M76" s="21" t="s">
        <v>31</v>
      </c>
      <c r="N76" s="22">
        <v>11.4</v>
      </c>
      <c r="O76" s="23">
        <f t="shared" si="2"/>
        <v>226.8614035087719</v>
      </c>
      <c r="P76" s="24">
        <v>10.35</v>
      </c>
      <c r="Q76" s="25" t="s">
        <v>63</v>
      </c>
      <c r="R76" s="26" t="s">
        <v>33</v>
      </c>
      <c r="S76" s="26" t="s">
        <v>44</v>
      </c>
      <c r="T76" s="26"/>
      <c r="U76" s="27"/>
      <c r="V76" s="28">
        <f t="shared" si="3"/>
        <v>110</v>
      </c>
      <c r="W76" s="29"/>
    </row>
    <row r="77" spans="1:23" s="35" customFormat="1" ht="21" customHeight="1">
      <c r="A77" s="34"/>
      <c r="B77" s="31"/>
      <c r="C77" s="32"/>
      <c r="D77" s="18" t="s">
        <v>72</v>
      </c>
      <c r="E77" s="19" t="s">
        <v>41</v>
      </c>
      <c r="F77" s="20">
        <v>2.9990000000000001</v>
      </c>
      <c r="G77" s="19">
        <v>375</v>
      </c>
      <c r="H77" s="20">
        <v>110</v>
      </c>
      <c r="I77" s="19" t="s">
        <v>70</v>
      </c>
      <c r="J77" s="20">
        <v>2356</v>
      </c>
      <c r="K77" s="21">
        <v>4521</v>
      </c>
      <c r="L77" s="21">
        <v>2000</v>
      </c>
      <c r="M77" s="21" t="s">
        <v>31</v>
      </c>
      <c r="N77" s="22">
        <v>11.4</v>
      </c>
      <c r="O77" s="23">
        <f t="shared" si="2"/>
        <v>226.8614035087719</v>
      </c>
      <c r="P77" s="24">
        <v>10.35</v>
      </c>
      <c r="Q77" s="25" t="s">
        <v>63</v>
      </c>
      <c r="R77" s="26" t="s">
        <v>33</v>
      </c>
      <c r="S77" s="26" t="s">
        <v>34</v>
      </c>
      <c r="T77" s="26"/>
      <c r="U77" s="27"/>
      <c r="V77" s="28">
        <f t="shared" si="3"/>
        <v>110</v>
      </c>
      <c r="W77" s="29"/>
    </row>
    <row r="78" spans="1:23" s="35" customFormat="1" ht="21" customHeight="1">
      <c r="A78" s="34"/>
      <c r="B78" s="31"/>
      <c r="C78" s="32"/>
      <c r="D78" s="18" t="s">
        <v>73</v>
      </c>
      <c r="E78" s="19" t="s">
        <v>41</v>
      </c>
      <c r="F78" s="20">
        <v>2.9990000000000001</v>
      </c>
      <c r="G78" s="19">
        <v>375</v>
      </c>
      <c r="H78" s="20">
        <v>110</v>
      </c>
      <c r="I78" s="19" t="s">
        <v>70</v>
      </c>
      <c r="J78" s="20">
        <v>2356</v>
      </c>
      <c r="K78" s="21">
        <v>4521</v>
      </c>
      <c r="L78" s="21">
        <v>2000</v>
      </c>
      <c r="M78" s="21" t="s">
        <v>31</v>
      </c>
      <c r="N78" s="22">
        <v>11.8</v>
      </c>
      <c r="O78" s="23">
        <f t="shared" si="2"/>
        <v>219.17118644067796</v>
      </c>
      <c r="P78" s="24">
        <v>10.35</v>
      </c>
      <c r="Q78" s="25" t="s">
        <v>43</v>
      </c>
      <c r="R78" s="26" t="s">
        <v>33</v>
      </c>
      <c r="S78" s="26" t="s">
        <v>44</v>
      </c>
      <c r="T78" s="26"/>
      <c r="U78" s="27"/>
      <c r="V78" s="28">
        <f t="shared" si="3"/>
        <v>114</v>
      </c>
      <c r="W78" s="29"/>
    </row>
    <row r="79" spans="1:23" s="35" customFormat="1" ht="21" customHeight="1">
      <c r="A79" s="34"/>
      <c r="B79" s="31"/>
      <c r="C79" s="32"/>
      <c r="D79" s="18" t="s">
        <v>73</v>
      </c>
      <c r="E79" s="19" t="s">
        <v>41</v>
      </c>
      <c r="F79" s="20">
        <v>2.9990000000000001</v>
      </c>
      <c r="G79" s="19">
        <v>375</v>
      </c>
      <c r="H79" s="20">
        <v>110</v>
      </c>
      <c r="I79" s="19" t="s">
        <v>42</v>
      </c>
      <c r="J79" s="20">
        <v>2356</v>
      </c>
      <c r="K79" s="21">
        <v>4521</v>
      </c>
      <c r="L79" s="21">
        <v>2000</v>
      </c>
      <c r="M79" s="21" t="s">
        <v>31</v>
      </c>
      <c r="N79" s="22">
        <v>11.8</v>
      </c>
      <c r="O79" s="23">
        <f t="shared" si="2"/>
        <v>219.17118644067796</v>
      </c>
      <c r="P79" s="24">
        <v>10.35</v>
      </c>
      <c r="Q79" s="25" t="s">
        <v>63</v>
      </c>
      <c r="R79" s="26" t="s">
        <v>33</v>
      </c>
      <c r="S79" s="26" t="s">
        <v>44</v>
      </c>
      <c r="T79" s="26"/>
      <c r="U79" s="27"/>
      <c r="V79" s="28">
        <f t="shared" si="3"/>
        <v>114</v>
      </c>
      <c r="W79" s="29"/>
    </row>
    <row r="80" spans="1:23" s="35" customFormat="1" ht="21" customHeight="1">
      <c r="A80" s="34"/>
      <c r="B80" s="31"/>
      <c r="C80" s="32"/>
      <c r="D80" s="18" t="s">
        <v>73</v>
      </c>
      <c r="E80" s="19" t="s">
        <v>41</v>
      </c>
      <c r="F80" s="20">
        <v>2.9990000000000001</v>
      </c>
      <c r="G80" s="19">
        <v>375</v>
      </c>
      <c r="H80" s="20">
        <v>110</v>
      </c>
      <c r="I80" s="19" t="s">
        <v>70</v>
      </c>
      <c r="J80" s="20">
        <v>2356</v>
      </c>
      <c r="K80" s="21">
        <v>4521</v>
      </c>
      <c r="L80" s="21">
        <v>2000</v>
      </c>
      <c r="M80" s="21" t="s">
        <v>31</v>
      </c>
      <c r="N80" s="22">
        <v>11.8</v>
      </c>
      <c r="O80" s="23">
        <f t="shared" si="2"/>
        <v>219.17118644067796</v>
      </c>
      <c r="P80" s="24">
        <v>10.35</v>
      </c>
      <c r="Q80" s="25" t="s">
        <v>43</v>
      </c>
      <c r="R80" s="26" t="s">
        <v>33</v>
      </c>
      <c r="S80" s="26" t="s">
        <v>34</v>
      </c>
      <c r="T80" s="26"/>
      <c r="U80" s="27"/>
      <c r="V80" s="28">
        <f t="shared" si="3"/>
        <v>114</v>
      </c>
      <c r="W80" s="29"/>
    </row>
    <row r="81" spans="1:23" s="35" customFormat="1" ht="21" customHeight="1">
      <c r="A81" s="34"/>
      <c r="B81" s="31"/>
      <c r="C81" s="32"/>
      <c r="D81" s="18" t="s">
        <v>73</v>
      </c>
      <c r="E81" s="19" t="s">
        <v>41</v>
      </c>
      <c r="F81" s="20">
        <v>2.9990000000000001</v>
      </c>
      <c r="G81" s="19">
        <v>375</v>
      </c>
      <c r="H81" s="20">
        <v>110</v>
      </c>
      <c r="I81" s="19" t="s">
        <v>42</v>
      </c>
      <c r="J81" s="20">
        <v>2356</v>
      </c>
      <c r="K81" s="21">
        <v>4521</v>
      </c>
      <c r="L81" s="21">
        <v>2000</v>
      </c>
      <c r="M81" s="21" t="s">
        <v>31</v>
      </c>
      <c r="N81" s="22">
        <v>11.8</v>
      </c>
      <c r="O81" s="23">
        <f t="shared" si="2"/>
        <v>219.17118644067796</v>
      </c>
      <c r="P81" s="24">
        <v>10.35</v>
      </c>
      <c r="Q81" s="25" t="s">
        <v>63</v>
      </c>
      <c r="R81" s="26" t="s">
        <v>33</v>
      </c>
      <c r="S81" s="26" t="s">
        <v>34</v>
      </c>
      <c r="T81" s="26"/>
      <c r="U81" s="27"/>
      <c r="V81" s="28">
        <f t="shared" si="3"/>
        <v>114</v>
      </c>
      <c r="W81" s="29"/>
    </row>
    <row r="82" spans="1:23" s="29" customFormat="1" ht="21" customHeight="1">
      <c r="A82" s="34"/>
      <c r="B82" s="31"/>
      <c r="C82" s="32"/>
      <c r="D82" s="18" t="s">
        <v>73</v>
      </c>
      <c r="E82" s="19" t="s">
        <v>41</v>
      </c>
      <c r="F82" s="20">
        <v>2.9990000000000001</v>
      </c>
      <c r="G82" s="19">
        <v>375</v>
      </c>
      <c r="H82" s="20">
        <v>110</v>
      </c>
      <c r="I82" s="19" t="s">
        <v>70</v>
      </c>
      <c r="J82" s="20">
        <v>2356</v>
      </c>
      <c r="K82" s="21">
        <v>4521</v>
      </c>
      <c r="L82" s="21">
        <v>2000</v>
      </c>
      <c r="M82" s="21" t="s">
        <v>31</v>
      </c>
      <c r="N82" s="22">
        <v>11.4</v>
      </c>
      <c r="O82" s="23">
        <f t="shared" si="2"/>
        <v>226.8614035087719</v>
      </c>
      <c r="P82" s="24">
        <v>10.35</v>
      </c>
      <c r="Q82" s="25" t="s">
        <v>63</v>
      </c>
      <c r="R82" s="26" t="s">
        <v>33</v>
      </c>
      <c r="S82" s="26" t="s">
        <v>44</v>
      </c>
      <c r="T82" s="26"/>
      <c r="U82" s="27"/>
      <c r="V82" s="28">
        <f t="shared" si="3"/>
        <v>110</v>
      </c>
    </row>
    <row r="83" spans="1:23" s="29" customFormat="1" ht="21" customHeight="1">
      <c r="A83" s="34"/>
      <c r="B83" s="31"/>
      <c r="C83" s="32"/>
      <c r="D83" s="18" t="s">
        <v>73</v>
      </c>
      <c r="E83" s="19" t="s">
        <v>41</v>
      </c>
      <c r="F83" s="20">
        <v>2.9990000000000001</v>
      </c>
      <c r="G83" s="19">
        <v>375</v>
      </c>
      <c r="H83" s="20">
        <v>110</v>
      </c>
      <c r="I83" s="19" t="s">
        <v>70</v>
      </c>
      <c r="J83" s="20">
        <v>2356</v>
      </c>
      <c r="K83" s="21">
        <v>4521</v>
      </c>
      <c r="L83" s="21">
        <v>2000</v>
      </c>
      <c r="M83" s="21" t="s">
        <v>31</v>
      </c>
      <c r="N83" s="22">
        <v>11.4</v>
      </c>
      <c r="O83" s="23">
        <f t="shared" si="2"/>
        <v>226.8614035087719</v>
      </c>
      <c r="P83" s="24">
        <v>10.35</v>
      </c>
      <c r="Q83" s="25" t="s">
        <v>63</v>
      </c>
      <c r="R83" s="26" t="s">
        <v>33</v>
      </c>
      <c r="S83" s="26" t="s">
        <v>34</v>
      </c>
      <c r="T83" s="26"/>
      <c r="U83" s="27"/>
      <c r="V83" s="28">
        <f t="shared" si="3"/>
        <v>110</v>
      </c>
    </row>
    <row r="84" spans="1:23" s="29" customFormat="1" ht="21" customHeight="1">
      <c r="A84" s="33"/>
      <c r="B84" s="31"/>
      <c r="C84" s="32"/>
      <c r="D84" s="18" t="s">
        <v>74</v>
      </c>
      <c r="E84" s="19" t="s">
        <v>41</v>
      </c>
      <c r="F84" s="20">
        <v>2.9990000000000001</v>
      </c>
      <c r="G84" s="19">
        <v>375</v>
      </c>
      <c r="H84" s="20">
        <v>110</v>
      </c>
      <c r="I84" s="19" t="s">
        <v>70</v>
      </c>
      <c r="J84" s="20">
        <v>2356</v>
      </c>
      <c r="K84" s="21">
        <v>4521</v>
      </c>
      <c r="L84" s="21">
        <v>2000</v>
      </c>
      <c r="M84" s="21" t="s">
        <v>31</v>
      </c>
      <c r="N84" s="22">
        <v>11.8</v>
      </c>
      <c r="O84" s="23">
        <f t="shared" si="2"/>
        <v>219.17118644067796</v>
      </c>
      <c r="P84" s="24">
        <v>10.35</v>
      </c>
      <c r="Q84" s="25" t="s">
        <v>43</v>
      </c>
      <c r="R84" s="26" t="s">
        <v>33</v>
      </c>
      <c r="S84" s="26" t="s">
        <v>44</v>
      </c>
      <c r="T84" s="26"/>
      <c r="U84" s="27"/>
      <c r="V84" s="28">
        <f t="shared" si="3"/>
        <v>114</v>
      </c>
    </row>
    <row r="85" spans="1:23" s="29" customFormat="1" ht="21" customHeight="1">
      <c r="A85" s="33"/>
      <c r="B85" s="31"/>
      <c r="C85" s="32"/>
      <c r="D85" s="18" t="s">
        <v>74</v>
      </c>
      <c r="E85" s="19" t="s">
        <v>41</v>
      </c>
      <c r="F85" s="20">
        <v>2.9990000000000001</v>
      </c>
      <c r="G85" s="19">
        <v>375</v>
      </c>
      <c r="H85" s="20">
        <v>110</v>
      </c>
      <c r="I85" s="19" t="s">
        <v>70</v>
      </c>
      <c r="J85" s="20">
        <v>2356</v>
      </c>
      <c r="K85" s="21">
        <v>4521</v>
      </c>
      <c r="L85" s="21">
        <v>2000</v>
      </c>
      <c r="M85" s="21" t="s">
        <v>31</v>
      </c>
      <c r="N85" s="22">
        <v>11.8</v>
      </c>
      <c r="O85" s="23">
        <f t="shared" si="2"/>
        <v>219.17118644067796</v>
      </c>
      <c r="P85" s="24">
        <v>10.35</v>
      </c>
      <c r="Q85" s="25" t="s">
        <v>43</v>
      </c>
      <c r="R85" s="26" t="s">
        <v>33</v>
      </c>
      <c r="S85" s="26" t="s">
        <v>34</v>
      </c>
      <c r="T85" s="26"/>
      <c r="U85" s="27"/>
      <c r="V85" s="28">
        <f t="shared" si="3"/>
        <v>114</v>
      </c>
      <c r="W85" s="35"/>
    </row>
    <row r="86" spans="1:23" s="29" customFormat="1" ht="21" customHeight="1">
      <c r="A86" s="33"/>
      <c r="B86" s="31"/>
      <c r="C86" s="32"/>
      <c r="D86" s="18" t="s">
        <v>74</v>
      </c>
      <c r="E86" s="19" t="s">
        <v>41</v>
      </c>
      <c r="F86" s="20">
        <v>2.9990000000000001</v>
      </c>
      <c r="G86" s="19">
        <v>375</v>
      </c>
      <c r="H86" s="20">
        <v>110</v>
      </c>
      <c r="I86" s="19" t="s">
        <v>71</v>
      </c>
      <c r="J86" s="20">
        <v>2356</v>
      </c>
      <c r="K86" s="21">
        <v>4521</v>
      </c>
      <c r="L86" s="21">
        <v>2000</v>
      </c>
      <c r="M86" s="21" t="s">
        <v>31</v>
      </c>
      <c r="N86" s="22">
        <v>11.8</v>
      </c>
      <c r="O86" s="23">
        <f t="shared" si="2"/>
        <v>219.17118644067796</v>
      </c>
      <c r="P86" s="24">
        <v>10.35</v>
      </c>
      <c r="Q86" s="25" t="s">
        <v>43</v>
      </c>
      <c r="R86" s="26" t="s">
        <v>33</v>
      </c>
      <c r="S86" s="26" t="s">
        <v>44</v>
      </c>
      <c r="T86" s="26"/>
      <c r="U86" s="27"/>
      <c r="V86" s="28">
        <f t="shared" si="3"/>
        <v>114</v>
      </c>
      <c r="W86" s="35"/>
    </row>
    <row r="87" spans="1:23" s="29" customFormat="1" ht="21" customHeight="1">
      <c r="A87" s="33"/>
      <c r="B87" s="31"/>
      <c r="C87" s="32"/>
      <c r="D87" s="18" t="s">
        <v>74</v>
      </c>
      <c r="E87" s="19" t="s">
        <v>41</v>
      </c>
      <c r="F87" s="20">
        <v>2.9990000000000001</v>
      </c>
      <c r="G87" s="19">
        <v>375</v>
      </c>
      <c r="H87" s="20">
        <v>110</v>
      </c>
      <c r="I87" s="19" t="s">
        <v>71</v>
      </c>
      <c r="J87" s="20">
        <v>2356</v>
      </c>
      <c r="K87" s="21">
        <v>4521</v>
      </c>
      <c r="L87" s="21">
        <v>2000</v>
      </c>
      <c r="M87" s="21" t="s">
        <v>31</v>
      </c>
      <c r="N87" s="22">
        <v>11.8</v>
      </c>
      <c r="O87" s="23">
        <f t="shared" si="2"/>
        <v>219.17118644067796</v>
      </c>
      <c r="P87" s="24">
        <v>10.35</v>
      </c>
      <c r="Q87" s="25" t="s">
        <v>43</v>
      </c>
      <c r="R87" s="26" t="s">
        <v>33</v>
      </c>
      <c r="S87" s="26" t="s">
        <v>34</v>
      </c>
      <c r="T87" s="26"/>
      <c r="U87" s="27"/>
      <c r="V87" s="28">
        <f t="shared" si="3"/>
        <v>114</v>
      </c>
      <c r="W87" s="35"/>
    </row>
    <row r="88" spans="1:23" s="29" customFormat="1" ht="21" customHeight="1">
      <c r="A88" s="33"/>
      <c r="B88" s="31"/>
      <c r="C88" s="32"/>
      <c r="D88" s="18" t="s">
        <v>74</v>
      </c>
      <c r="E88" s="19" t="s">
        <v>41</v>
      </c>
      <c r="F88" s="20">
        <v>2.9990000000000001</v>
      </c>
      <c r="G88" s="19">
        <v>375</v>
      </c>
      <c r="H88" s="20">
        <v>110</v>
      </c>
      <c r="I88" s="19" t="s">
        <v>70</v>
      </c>
      <c r="J88" s="20">
        <v>2356</v>
      </c>
      <c r="K88" s="21">
        <v>4521</v>
      </c>
      <c r="L88" s="21">
        <v>2000</v>
      </c>
      <c r="M88" s="21" t="s">
        <v>31</v>
      </c>
      <c r="N88" s="22">
        <v>11.4</v>
      </c>
      <c r="O88" s="23">
        <f t="shared" si="2"/>
        <v>226.8614035087719</v>
      </c>
      <c r="P88" s="24">
        <v>10.35</v>
      </c>
      <c r="Q88" s="25" t="s">
        <v>63</v>
      </c>
      <c r="R88" s="26" t="s">
        <v>33</v>
      </c>
      <c r="S88" s="26" t="s">
        <v>44</v>
      </c>
      <c r="T88" s="26"/>
      <c r="U88" s="27"/>
      <c r="V88" s="28">
        <f t="shared" si="3"/>
        <v>110</v>
      </c>
      <c r="W88" s="35"/>
    </row>
    <row r="89" spans="1:23" s="29" customFormat="1" ht="21" customHeight="1">
      <c r="A89" s="33"/>
      <c r="B89" s="31"/>
      <c r="C89" s="32"/>
      <c r="D89" s="18" t="s">
        <v>74</v>
      </c>
      <c r="E89" s="19" t="s">
        <v>41</v>
      </c>
      <c r="F89" s="20">
        <v>2.9990000000000001</v>
      </c>
      <c r="G89" s="19">
        <v>375</v>
      </c>
      <c r="H89" s="20">
        <v>110</v>
      </c>
      <c r="I89" s="19" t="s">
        <v>70</v>
      </c>
      <c r="J89" s="20">
        <v>2356</v>
      </c>
      <c r="K89" s="21">
        <v>4521</v>
      </c>
      <c r="L89" s="21">
        <v>2000</v>
      </c>
      <c r="M89" s="21" t="s">
        <v>31</v>
      </c>
      <c r="N89" s="22">
        <v>11.4</v>
      </c>
      <c r="O89" s="23">
        <f t="shared" si="2"/>
        <v>226.8614035087719</v>
      </c>
      <c r="P89" s="24">
        <v>10.35</v>
      </c>
      <c r="Q89" s="25" t="s">
        <v>63</v>
      </c>
      <c r="R89" s="26" t="s">
        <v>33</v>
      </c>
      <c r="S89" s="26" t="s">
        <v>34</v>
      </c>
      <c r="T89" s="26"/>
      <c r="U89" s="27"/>
      <c r="V89" s="28">
        <f t="shared" si="3"/>
        <v>110</v>
      </c>
      <c r="W89" s="35"/>
    </row>
    <row r="90" spans="1:23" s="29" customFormat="1" ht="21" customHeight="1">
      <c r="A90" s="33"/>
      <c r="B90" s="31"/>
      <c r="C90" s="32"/>
      <c r="D90" s="18" t="s">
        <v>74</v>
      </c>
      <c r="E90" s="19" t="s">
        <v>41</v>
      </c>
      <c r="F90" s="20">
        <v>2.9990000000000001</v>
      </c>
      <c r="G90" s="19">
        <v>375</v>
      </c>
      <c r="H90" s="20">
        <v>110</v>
      </c>
      <c r="I90" s="19" t="s">
        <v>71</v>
      </c>
      <c r="J90" s="20">
        <v>2356</v>
      </c>
      <c r="K90" s="21">
        <v>4521</v>
      </c>
      <c r="L90" s="21">
        <v>2000</v>
      </c>
      <c r="M90" s="21" t="s">
        <v>31</v>
      </c>
      <c r="N90" s="22">
        <v>11.4</v>
      </c>
      <c r="O90" s="23">
        <f t="shared" si="2"/>
        <v>226.8614035087719</v>
      </c>
      <c r="P90" s="24">
        <v>10.35</v>
      </c>
      <c r="Q90" s="25" t="s">
        <v>63</v>
      </c>
      <c r="R90" s="26" t="s">
        <v>33</v>
      </c>
      <c r="S90" s="26" t="s">
        <v>44</v>
      </c>
      <c r="T90" s="26"/>
      <c r="U90" s="27"/>
      <c r="V90" s="28">
        <f t="shared" si="3"/>
        <v>110</v>
      </c>
      <c r="W90" s="35"/>
    </row>
    <row r="91" spans="1:23" s="35" customFormat="1" ht="21" customHeight="1">
      <c r="A91" s="33"/>
      <c r="B91" s="31"/>
      <c r="C91" s="32"/>
      <c r="D91" s="18" t="s">
        <v>74</v>
      </c>
      <c r="E91" s="19" t="s">
        <v>41</v>
      </c>
      <c r="F91" s="20">
        <v>2.9990000000000001</v>
      </c>
      <c r="G91" s="19">
        <v>375</v>
      </c>
      <c r="H91" s="20">
        <v>110</v>
      </c>
      <c r="I91" s="19" t="s">
        <v>71</v>
      </c>
      <c r="J91" s="20">
        <v>2356</v>
      </c>
      <c r="K91" s="21">
        <v>4521</v>
      </c>
      <c r="L91" s="21">
        <v>2000</v>
      </c>
      <c r="M91" s="21" t="s">
        <v>31</v>
      </c>
      <c r="N91" s="22">
        <v>11.4</v>
      </c>
      <c r="O91" s="23">
        <f t="shared" si="2"/>
        <v>226.8614035087719</v>
      </c>
      <c r="P91" s="24">
        <v>10.35</v>
      </c>
      <c r="Q91" s="25" t="s">
        <v>63</v>
      </c>
      <c r="R91" s="26" t="s">
        <v>33</v>
      </c>
      <c r="S91" s="26" t="s">
        <v>34</v>
      </c>
      <c r="T91" s="26"/>
      <c r="U91" s="27"/>
      <c r="V91" s="28">
        <f t="shared" si="3"/>
        <v>110</v>
      </c>
    </row>
    <row r="92" spans="1:23" s="35" customFormat="1" ht="21" customHeight="1">
      <c r="A92" s="33"/>
      <c r="B92" s="31"/>
      <c r="C92" s="32"/>
      <c r="D92" s="18" t="s">
        <v>75</v>
      </c>
      <c r="E92" s="19" t="s">
        <v>41</v>
      </c>
      <c r="F92" s="20">
        <v>2.9990000000000001</v>
      </c>
      <c r="G92" s="19">
        <v>375</v>
      </c>
      <c r="H92" s="20">
        <v>110</v>
      </c>
      <c r="I92" s="19" t="s">
        <v>70</v>
      </c>
      <c r="J92" s="20">
        <v>2356</v>
      </c>
      <c r="K92" s="21">
        <v>4521</v>
      </c>
      <c r="L92" s="21">
        <v>2000</v>
      </c>
      <c r="M92" s="21" t="s">
        <v>31</v>
      </c>
      <c r="N92" s="22">
        <v>11.8</v>
      </c>
      <c r="O92" s="23">
        <f t="shared" si="2"/>
        <v>219.17118644067796</v>
      </c>
      <c r="P92" s="24">
        <v>10.35</v>
      </c>
      <c r="Q92" s="25" t="s">
        <v>43</v>
      </c>
      <c r="R92" s="26" t="s">
        <v>33</v>
      </c>
      <c r="S92" s="26" t="s">
        <v>34</v>
      </c>
      <c r="T92" s="26"/>
      <c r="U92" s="27"/>
      <c r="V92" s="28">
        <f t="shared" si="3"/>
        <v>114</v>
      </c>
    </row>
    <row r="93" spans="1:23" s="35" customFormat="1" ht="21" customHeight="1">
      <c r="A93" s="33"/>
      <c r="B93" s="31"/>
      <c r="C93" s="32"/>
      <c r="D93" s="18" t="s">
        <v>75</v>
      </c>
      <c r="E93" s="19" t="s">
        <v>41</v>
      </c>
      <c r="F93" s="20">
        <v>2.9990000000000001</v>
      </c>
      <c r="G93" s="19">
        <v>375</v>
      </c>
      <c r="H93" s="20">
        <v>110</v>
      </c>
      <c r="I93" s="19" t="s">
        <v>71</v>
      </c>
      <c r="J93" s="20">
        <v>2356</v>
      </c>
      <c r="K93" s="21">
        <v>4521</v>
      </c>
      <c r="L93" s="21">
        <v>2000</v>
      </c>
      <c r="M93" s="21" t="s">
        <v>31</v>
      </c>
      <c r="N93" s="22">
        <v>11.8</v>
      </c>
      <c r="O93" s="23">
        <f t="shared" si="2"/>
        <v>219.17118644067796</v>
      </c>
      <c r="P93" s="24">
        <v>10.35</v>
      </c>
      <c r="Q93" s="25" t="s">
        <v>43</v>
      </c>
      <c r="R93" s="26" t="s">
        <v>33</v>
      </c>
      <c r="S93" s="26" t="s">
        <v>34</v>
      </c>
      <c r="T93" s="26"/>
      <c r="U93" s="27"/>
      <c r="V93" s="28">
        <f t="shared" si="3"/>
        <v>114</v>
      </c>
    </row>
    <row r="94" spans="1:23" s="35" customFormat="1" ht="21" customHeight="1">
      <c r="A94" s="33"/>
      <c r="B94" s="31"/>
      <c r="C94" s="32"/>
      <c r="D94" s="18" t="s">
        <v>75</v>
      </c>
      <c r="E94" s="19" t="s">
        <v>41</v>
      </c>
      <c r="F94" s="20">
        <v>2.9990000000000001</v>
      </c>
      <c r="G94" s="19">
        <v>375</v>
      </c>
      <c r="H94" s="20">
        <v>110</v>
      </c>
      <c r="I94" s="19" t="s">
        <v>70</v>
      </c>
      <c r="J94" s="20">
        <v>2356</v>
      </c>
      <c r="K94" s="21">
        <v>4521</v>
      </c>
      <c r="L94" s="21">
        <v>2000</v>
      </c>
      <c r="M94" s="21" t="s">
        <v>31</v>
      </c>
      <c r="N94" s="22">
        <v>11.4</v>
      </c>
      <c r="O94" s="23">
        <f t="shared" si="2"/>
        <v>226.8614035087719</v>
      </c>
      <c r="P94" s="24">
        <v>10.35</v>
      </c>
      <c r="Q94" s="25" t="s">
        <v>63</v>
      </c>
      <c r="R94" s="26" t="s">
        <v>33</v>
      </c>
      <c r="S94" s="26" t="s">
        <v>34</v>
      </c>
      <c r="T94" s="26"/>
      <c r="U94" s="27"/>
      <c r="V94" s="28">
        <f t="shared" si="3"/>
        <v>110</v>
      </c>
    </row>
    <row r="95" spans="1:23" s="35" customFormat="1" ht="21" customHeight="1">
      <c r="A95" s="33"/>
      <c r="B95" s="31"/>
      <c r="C95" s="32"/>
      <c r="D95" s="18" t="s">
        <v>75</v>
      </c>
      <c r="E95" s="19" t="s">
        <v>41</v>
      </c>
      <c r="F95" s="20">
        <v>2.9990000000000001</v>
      </c>
      <c r="G95" s="19">
        <v>375</v>
      </c>
      <c r="H95" s="20">
        <v>110</v>
      </c>
      <c r="I95" s="19" t="s">
        <v>71</v>
      </c>
      <c r="J95" s="20">
        <v>2356</v>
      </c>
      <c r="K95" s="21">
        <v>4521</v>
      </c>
      <c r="L95" s="21">
        <v>2000</v>
      </c>
      <c r="M95" s="21" t="s">
        <v>31</v>
      </c>
      <c r="N95" s="22">
        <v>11.4</v>
      </c>
      <c r="O95" s="23">
        <f t="shared" si="2"/>
        <v>226.8614035087719</v>
      </c>
      <c r="P95" s="24">
        <v>10.35</v>
      </c>
      <c r="Q95" s="25" t="s">
        <v>63</v>
      </c>
      <c r="R95" s="26" t="s">
        <v>33</v>
      </c>
      <c r="S95" s="26" t="s">
        <v>34</v>
      </c>
      <c r="T95" s="26"/>
      <c r="U95" s="27"/>
      <c r="V95" s="28">
        <f t="shared" si="3"/>
        <v>110</v>
      </c>
      <c r="W95" s="29"/>
    </row>
    <row r="96" spans="1:23" s="35" customFormat="1" ht="21" customHeight="1">
      <c r="A96" s="34"/>
      <c r="B96" s="36"/>
      <c r="C96" s="32"/>
      <c r="D96" s="18" t="s">
        <v>76</v>
      </c>
      <c r="E96" s="19" t="s">
        <v>41</v>
      </c>
      <c r="F96" s="20">
        <v>2.9990000000000001</v>
      </c>
      <c r="G96" s="19">
        <v>375</v>
      </c>
      <c r="H96" s="20">
        <v>110</v>
      </c>
      <c r="I96" s="19" t="s">
        <v>70</v>
      </c>
      <c r="J96" s="20">
        <v>2356</v>
      </c>
      <c r="K96" s="21">
        <v>4521</v>
      </c>
      <c r="L96" s="21">
        <v>2000</v>
      </c>
      <c r="M96" s="21" t="s">
        <v>31</v>
      </c>
      <c r="N96" s="22">
        <v>11.8</v>
      </c>
      <c r="O96" s="23">
        <f t="shared" si="2"/>
        <v>219.17118644067796</v>
      </c>
      <c r="P96" s="24">
        <v>10.35</v>
      </c>
      <c r="Q96" s="25" t="s">
        <v>43</v>
      </c>
      <c r="R96" s="26" t="s">
        <v>33</v>
      </c>
      <c r="S96" s="26" t="s">
        <v>66</v>
      </c>
      <c r="T96" s="26"/>
      <c r="U96" s="27"/>
      <c r="V96" s="28">
        <f t="shared" si="3"/>
        <v>114</v>
      </c>
      <c r="W96" s="29"/>
    </row>
    <row r="97" spans="1:23" s="35" customFormat="1" ht="21" customHeight="1">
      <c r="A97" s="34"/>
      <c r="B97" s="36"/>
      <c r="C97" s="32"/>
      <c r="D97" s="18" t="s">
        <v>76</v>
      </c>
      <c r="E97" s="19" t="s">
        <v>41</v>
      </c>
      <c r="F97" s="20">
        <v>2.9990000000000001</v>
      </c>
      <c r="G97" s="19">
        <v>375</v>
      </c>
      <c r="H97" s="20">
        <v>110</v>
      </c>
      <c r="I97" s="19" t="s">
        <v>70</v>
      </c>
      <c r="J97" s="20">
        <v>2356</v>
      </c>
      <c r="K97" s="21">
        <v>4521</v>
      </c>
      <c r="L97" s="21">
        <v>2000</v>
      </c>
      <c r="M97" s="21" t="s">
        <v>31</v>
      </c>
      <c r="N97" s="22">
        <v>11.4</v>
      </c>
      <c r="O97" s="23">
        <f t="shared" si="2"/>
        <v>226.8614035087719</v>
      </c>
      <c r="P97" s="24">
        <v>10.35</v>
      </c>
      <c r="Q97" s="25" t="s">
        <v>77</v>
      </c>
      <c r="R97" s="26" t="s">
        <v>33</v>
      </c>
      <c r="S97" s="26" t="s">
        <v>66</v>
      </c>
      <c r="T97" s="26"/>
      <c r="U97" s="27"/>
      <c r="V97" s="28">
        <f t="shared" si="3"/>
        <v>110</v>
      </c>
    </row>
    <row r="98" spans="1:23" s="35" customFormat="1" ht="21" customHeight="1">
      <c r="A98" s="34"/>
      <c r="B98" s="36"/>
      <c r="C98" s="32"/>
      <c r="D98" s="18" t="s">
        <v>78</v>
      </c>
      <c r="E98" s="19" t="s">
        <v>41</v>
      </c>
      <c r="F98" s="20">
        <v>2.9990000000000001</v>
      </c>
      <c r="G98" s="19">
        <v>375</v>
      </c>
      <c r="H98" s="20">
        <v>110</v>
      </c>
      <c r="I98" s="19" t="s">
        <v>70</v>
      </c>
      <c r="J98" s="20">
        <v>2356</v>
      </c>
      <c r="K98" s="21">
        <v>4521</v>
      </c>
      <c r="L98" s="21">
        <v>2000</v>
      </c>
      <c r="M98" s="21" t="s">
        <v>31</v>
      </c>
      <c r="N98" s="22">
        <v>11.8</v>
      </c>
      <c r="O98" s="23">
        <f t="shared" si="2"/>
        <v>219.17118644067796</v>
      </c>
      <c r="P98" s="24">
        <v>10.35</v>
      </c>
      <c r="Q98" s="25" t="s">
        <v>43</v>
      </c>
      <c r="R98" s="26" t="s">
        <v>33</v>
      </c>
      <c r="S98" s="26" t="s">
        <v>66</v>
      </c>
      <c r="T98" s="26"/>
      <c r="U98" s="27"/>
      <c r="V98" s="28">
        <f t="shared" si="3"/>
        <v>114</v>
      </c>
    </row>
    <row r="99" spans="1:23" s="35" customFormat="1" ht="21" customHeight="1">
      <c r="A99" s="34"/>
      <c r="B99" s="36"/>
      <c r="C99" s="32"/>
      <c r="D99" s="18" t="s">
        <v>78</v>
      </c>
      <c r="E99" s="19" t="s">
        <v>41</v>
      </c>
      <c r="F99" s="20">
        <v>2.9990000000000001</v>
      </c>
      <c r="G99" s="19">
        <v>375</v>
      </c>
      <c r="H99" s="20">
        <v>110</v>
      </c>
      <c r="I99" s="19" t="s">
        <v>70</v>
      </c>
      <c r="J99" s="20">
        <v>2356</v>
      </c>
      <c r="K99" s="21">
        <v>4521</v>
      </c>
      <c r="L99" s="21">
        <v>2000</v>
      </c>
      <c r="M99" s="21" t="s">
        <v>31</v>
      </c>
      <c r="N99" s="22">
        <v>11.4</v>
      </c>
      <c r="O99" s="23">
        <f t="shared" si="2"/>
        <v>226.8614035087719</v>
      </c>
      <c r="P99" s="24">
        <v>10.35</v>
      </c>
      <c r="Q99" s="25" t="s">
        <v>63</v>
      </c>
      <c r="R99" s="26" t="s">
        <v>33</v>
      </c>
      <c r="S99" s="26" t="s">
        <v>66</v>
      </c>
      <c r="T99" s="26"/>
      <c r="U99" s="27"/>
      <c r="V99" s="28">
        <f t="shared" si="3"/>
        <v>110</v>
      </c>
    </row>
    <row r="100" spans="1:23" s="35" customFormat="1" ht="21" customHeight="1">
      <c r="A100" s="33"/>
      <c r="B100" s="31"/>
      <c r="C100" s="32"/>
      <c r="D100" s="18" t="s">
        <v>79</v>
      </c>
      <c r="E100" s="19" t="s">
        <v>41</v>
      </c>
      <c r="F100" s="20">
        <v>2.9990000000000001</v>
      </c>
      <c r="G100" s="19">
        <v>375</v>
      </c>
      <c r="H100" s="20">
        <v>110</v>
      </c>
      <c r="I100" s="19" t="s">
        <v>71</v>
      </c>
      <c r="J100" s="20">
        <v>2356</v>
      </c>
      <c r="K100" s="21">
        <v>4521</v>
      </c>
      <c r="L100" s="21">
        <v>2000</v>
      </c>
      <c r="M100" s="21" t="s">
        <v>31</v>
      </c>
      <c r="N100" s="22">
        <v>11.8</v>
      </c>
      <c r="O100" s="23">
        <f t="shared" si="2"/>
        <v>219.17118644067796</v>
      </c>
      <c r="P100" s="24">
        <v>10.35</v>
      </c>
      <c r="Q100" s="25" t="s">
        <v>43</v>
      </c>
      <c r="R100" s="26" t="s">
        <v>33</v>
      </c>
      <c r="S100" s="26" t="s">
        <v>34</v>
      </c>
      <c r="T100" s="26"/>
      <c r="U100" s="27"/>
      <c r="V100" s="28">
        <f t="shared" si="3"/>
        <v>114</v>
      </c>
    </row>
    <row r="101" spans="1:23" s="35" customFormat="1" ht="21" customHeight="1">
      <c r="A101" s="33"/>
      <c r="B101" s="31"/>
      <c r="C101" s="32"/>
      <c r="D101" s="18" t="s">
        <v>79</v>
      </c>
      <c r="E101" s="19" t="s">
        <v>41</v>
      </c>
      <c r="F101" s="20">
        <v>2.9990000000000001</v>
      </c>
      <c r="G101" s="19">
        <v>375</v>
      </c>
      <c r="H101" s="20">
        <v>110</v>
      </c>
      <c r="I101" s="19" t="s">
        <v>71</v>
      </c>
      <c r="J101" s="20">
        <v>2356</v>
      </c>
      <c r="K101" s="21">
        <v>4521</v>
      </c>
      <c r="L101" s="21">
        <v>2000</v>
      </c>
      <c r="M101" s="21" t="s">
        <v>31</v>
      </c>
      <c r="N101" s="22">
        <v>11.4</v>
      </c>
      <c r="O101" s="23">
        <f t="shared" si="2"/>
        <v>226.8614035087719</v>
      </c>
      <c r="P101" s="24">
        <v>10.35</v>
      </c>
      <c r="Q101" s="25" t="s">
        <v>63</v>
      </c>
      <c r="R101" s="26" t="s">
        <v>33</v>
      </c>
      <c r="S101" s="26" t="s">
        <v>34</v>
      </c>
      <c r="T101" s="26"/>
      <c r="U101" s="27"/>
      <c r="V101" s="28">
        <f t="shared" si="3"/>
        <v>110</v>
      </c>
    </row>
    <row r="102" spans="1:23" s="29" customFormat="1" ht="21" customHeight="1">
      <c r="A102" s="33"/>
      <c r="B102" s="31"/>
      <c r="C102" s="32"/>
      <c r="D102" s="18" t="s">
        <v>79</v>
      </c>
      <c r="E102" s="19" t="s">
        <v>41</v>
      </c>
      <c r="F102" s="20">
        <v>2.9990000000000001</v>
      </c>
      <c r="G102" s="19">
        <v>375</v>
      </c>
      <c r="H102" s="20">
        <v>110</v>
      </c>
      <c r="I102" s="19" t="s">
        <v>71</v>
      </c>
      <c r="J102" s="20">
        <v>2652</v>
      </c>
      <c r="K102" s="21">
        <v>5812</v>
      </c>
      <c r="L102" s="21">
        <v>2995</v>
      </c>
      <c r="M102" s="21" t="s">
        <v>31</v>
      </c>
      <c r="N102" s="22">
        <v>10.8</v>
      </c>
      <c r="O102" s="23">
        <f t="shared" si="2"/>
        <v>239.46481481481482</v>
      </c>
      <c r="P102" s="24">
        <v>9.51</v>
      </c>
      <c r="Q102" s="25" t="s">
        <v>43</v>
      </c>
      <c r="R102" s="26" t="s">
        <v>33</v>
      </c>
      <c r="S102" s="26" t="s">
        <v>34</v>
      </c>
      <c r="T102" s="26"/>
      <c r="U102" s="27"/>
      <c r="V102" s="28">
        <f t="shared" si="3"/>
        <v>113</v>
      </c>
      <c r="W102" s="35"/>
    </row>
    <row r="103" spans="1:23" s="29" customFormat="1" ht="21" customHeight="1">
      <c r="A103" s="33"/>
      <c r="B103" s="31"/>
      <c r="C103" s="32"/>
      <c r="D103" s="18" t="s">
        <v>79</v>
      </c>
      <c r="E103" s="19" t="s">
        <v>41</v>
      </c>
      <c r="F103" s="20">
        <v>2.9990000000000001</v>
      </c>
      <c r="G103" s="19">
        <v>375</v>
      </c>
      <c r="H103" s="20">
        <v>110</v>
      </c>
      <c r="I103" s="19" t="s">
        <v>71</v>
      </c>
      <c r="J103" s="20">
        <v>2652</v>
      </c>
      <c r="K103" s="21">
        <v>5812</v>
      </c>
      <c r="L103" s="21">
        <v>2995</v>
      </c>
      <c r="M103" s="21" t="s">
        <v>31</v>
      </c>
      <c r="N103" s="22">
        <v>10.6</v>
      </c>
      <c r="O103" s="23">
        <f t="shared" si="2"/>
        <v>243.98301886792456</v>
      </c>
      <c r="P103" s="24">
        <v>9.51</v>
      </c>
      <c r="Q103" s="25" t="s">
        <v>63</v>
      </c>
      <c r="R103" s="26" t="s">
        <v>33</v>
      </c>
      <c r="S103" s="26" t="s">
        <v>34</v>
      </c>
      <c r="T103" s="26"/>
      <c r="U103" s="27"/>
      <c r="V103" s="28">
        <f t="shared" si="3"/>
        <v>111</v>
      </c>
      <c r="W103" s="35"/>
    </row>
    <row r="104" spans="1:23" s="29" customFormat="1" ht="21" customHeight="1">
      <c r="A104" s="34"/>
      <c r="B104" s="31"/>
      <c r="C104" s="32"/>
      <c r="D104" s="18" t="s">
        <v>80</v>
      </c>
      <c r="E104" s="19" t="s">
        <v>41</v>
      </c>
      <c r="F104" s="20">
        <v>2.9990000000000001</v>
      </c>
      <c r="G104" s="19">
        <v>375</v>
      </c>
      <c r="H104" s="20">
        <v>110</v>
      </c>
      <c r="I104" s="19" t="s">
        <v>71</v>
      </c>
      <c r="J104" s="20">
        <v>2356</v>
      </c>
      <c r="K104" s="21">
        <v>4521</v>
      </c>
      <c r="L104" s="21">
        <v>2000</v>
      </c>
      <c r="M104" s="21" t="s">
        <v>31</v>
      </c>
      <c r="N104" s="22">
        <v>11.8</v>
      </c>
      <c r="O104" s="23">
        <f t="shared" si="2"/>
        <v>219.17118644067796</v>
      </c>
      <c r="P104" s="24">
        <v>10.35</v>
      </c>
      <c r="Q104" s="25" t="s">
        <v>43</v>
      </c>
      <c r="R104" s="26" t="s">
        <v>33</v>
      </c>
      <c r="S104" s="26" t="s">
        <v>34</v>
      </c>
      <c r="T104" s="26"/>
      <c r="U104" s="27"/>
      <c r="V104" s="28">
        <f t="shared" si="3"/>
        <v>114</v>
      </c>
    </row>
    <row r="105" spans="1:23" s="29" customFormat="1" ht="21" customHeight="1">
      <c r="A105" s="34"/>
      <c r="B105" s="31"/>
      <c r="C105" s="32"/>
      <c r="D105" s="18" t="s">
        <v>80</v>
      </c>
      <c r="E105" s="19" t="s">
        <v>41</v>
      </c>
      <c r="F105" s="20">
        <v>2.9990000000000001</v>
      </c>
      <c r="G105" s="19">
        <v>375</v>
      </c>
      <c r="H105" s="20">
        <v>110</v>
      </c>
      <c r="I105" s="19" t="s">
        <v>42</v>
      </c>
      <c r="J105" s="20">
        <v>2356</v>
      </c>
      <c r="K105" s="21">
        <v>4521</v>
      </c>
      <c r="L105" s="21">
        <v>2000</v>
      </c>
      <c r="M105" s="21" t="s">
        <v>31</v>
      </c>
      <c r="N105" s="22">
        <v>11.8</v>
      </c>
      <c r="O105" s="23">
        <f t="shared" si="2"/>
        <v>219.17118644067796</v>
      </c>
      <c r="P105" s="24">
        <v>10.35</v>
      </c>
      <c r="Q105" s="25" t="s">
        <v>63</v>
      </c>
      <c r="R105" s="26" t="s">
        <v>33</v>
      </c>
      <c r="S105" s="26" t="s">
        <v>34</v>
      </c>
      <c r="T105" s="26"/>
      <c r="U105" s="27"/>
      <c r="V105" s="28">
        <f t="shared" si="3"/>
        <v>114</v>
      </c>
    </row>
    <row r="106" spans="1:23" s="29" customFormat="1" ht="21" customHeight="1">
      <c r="A106" s="34"/>
      <c r="B106" s="31"/>
      <c r="C106" s="32"/>
      <c r="D106" s="18" t="s">
        <v>80</v>
      </c>
      <c r="E106" s="19" t="s">
        <v>41</v>
      </c>
      <c r="F106" s="20">
        <v>2.9990000000000001</v>
      </c>
      <c r="G106" s="19">
        <v>375</v>
      </c>
      <c r="H106" s="20">
        <v>110</v>
      </c>
      <c r="I106" s="19" t="s">
        <v>71</v>
      </c>
      <c r="J106" s="20">
        <v>2356</v>
      </c>
      <c r="K106" s="21">
        <v>4521</v>
      </c>
      <c r="L106" s="21">
        <v>2000</v>
      </c>
      <c r="M106" s="21" t="s">
        <v>31</v>
      </c>
      <c r="N106" s="22">
        <v>11.4</v>
      </c>
      <c r="O106" s="23">
        <f t="shared" si="2"/>
        <v>226.8614035087719</v>
      </c>
      <c r="P106" s="24">
        <v>10.35</v>
      </c>
      <c r="Q106" s="25" t="s">
        <v>63</v>
      </c>
      <c r="R106" s="26" t="s">
        <v>33</v>
      </c>
      <c r="S106" s="26" t="s">
        <v>34</v>
      </c>
      <c r="T106" s="26"/>
      <c r="U106" s="27"/>
      <c r="V106" s="28">
        <f t="shared" si="3"/>
        <v>110</v>
      </c>
    </row>
    <row r="107" spans="1:23" s="29" customFormat="1" ht="21" customHeight="1">
      <c r="A107" s="34"/>
      <c r="B107" s="31"/>
      <c r="C107" s="32"/>
      <c r="D107" s="18" t="s">
        <v>81</v>
      </c>
      <c r="E107" s="19" t="s">
        <v>41</v>
      </c>
      <c r="F107" s="20">
        <v>2.9990000000000001</v>
      </c>
      <c r="G107" s="19">
        <v>375</v>
      </c>
      <c r="H107" s="20">
        <v>110</v>
      </c>
      <c r="I107" s="19" t="s">
        <v>71</v>
      </c>
      <c r="J107" s="20">
        <v>2356</v>
      </c>
      <c r="K107" s="21">
        <v>4521</v>
      </c>
      <c r="L107" s="21">
        <v>2000</v>
      </c>
      <c r="M107" s="21" t="s">
        <v>31</v>
      </c>
      <c r="N107" s="22">
        <v>11.8</v>
      </c>
      <c r="O107" s="23">
        <f t="shared" si="2"/>
        <v>219.17118644067796</v>
      </c>
      <c r="P107" s="24">
        <v>10.35</v>
      </c>
      <c r="Q107" s="25" t="s">
        <v>43</v>
      </c>
      <c r="R107" s="26" t="s">
        <v>33</v>
      </c>
      <c r="S107" s="26" t="s">
        <v>34</v>
      </c>
      <c r="T107" s="26"/>
      <c r="U107" s="27"/>
      <c r="V107" s="28">
        <f t="shared" si="3"/>
        <v>114</v>
      </c>
    </row>
    <row r="108" spans="1:23" s="29" customFormat="1" ht="21" customHeight="1">
      <c r="A108" s="34"/>
      <c r="B108" s="31"/>
      <c r="C108" s="32"/>
      <c r="D108" s="18" t="s">
        <v>81</v>
      </c>
      <c r="E108" s="19" t="s">
        <v>41</v>
      </c>
      <c r="F108" s="20">
        <v>2.9990000000000001</v>
      </c>
      <c r="G108" s="19">
        <v>375</v>
      </c>
      <c r="H108" s="20">
        <v>110</v>
      </c>
      <c r="I108" s="19" t="s">
        <v>42</v>
      </c>
      <c r="J108" s="20">
        <v>2356</v>
      </c>
      <c r="K108" s="21">
        <v>4521</v>
      </c>
      <c r="L108" s="21">
        <v>2000</v>
      </c>
      <c r="M108" s="21" t="s">
        <v>31</v>
      </c>
      <c r="N108" s="22">
        <v>11.8</v>
      </c>
      <c r="O108" s="23">
        <f t="shared" si="2"/>
        <v>219.17118644067796</v>
      </c>
      <c r="P108" s="24">
        <v>10.35</v>
      </c>
      <c r="Q108" s="25" t="s">
        <v>63</v>
      </c>
      <c r="R108" s="26" t="s">
        <v>33</v>
      </c>
      <c r="S108" s="26" t="s">
        <v>34</v>
      </c>
      <c r="T108" s="26"/>
      <c r="U108" s="27"/>
      <c r="V108" s="28">
        <f t="shared" si="3"/>
        <v>114</v>
      </c>
    </row>
    <row r="109" spans="1:23" s="29" customFormat="1" ht="21" customHeight="1">
      <c r="A109" s="34"/>
      <c r="B109" s="31"/>
      <c r="C109" s="32"/>
      <c r="D109" s="18" t="s">
        <v>81</v>
      </c>
      <c r="E109" s="19" t="s">
        <v>41</v>
      </c>
      <c r="F109" s="20">
        <v>2.9990000000000001</v>
      </c>
      <c r="G109" s="19">
        <v>375</v>
      </c>
      <c r="H109" s="20">
        <v>110</v>
      </c>
      <c r="I109" s="19" t="s">
        <v>71</v>
      </c>
      <c r="J109" s="20">
        <v>2356</v>
      </c>
      <c r="K109" s="21">
        <v>4521</v>
      </c>
      <c r="L109" s="21">
        <v>2000</v>
      </c>
      <c r="M109" s="21" t="s">
        <v>31</v>
      </c>
      <c r="N109" s="22">
        <v>11.4</v>
      </c>
      <c r="O109" s="23">
        <f t="shared" si="2"/>
        <v>226.8614035087719</v>
      </c>
      <c r="P109" s="24">
        <v>10.35</v>
      </c>
      <c r="Q109" s="25" t="s">
        <v>63</v>
      </c>
      <c r="R109" s="26" t="s">
        <v>33</v>
      </c>
      <c r="S109" s="26" t="s">
        <v>34</v>
      </c>
      <c r="T109" s="26"/>
      <c r="U109" s="27"/>
      <c r="V109" s="28">
        <f t="shared" si="3"/>
        <v>110</v>
      </c>
    </row>
    <row r="110" spans="1:23" s="29" customFormat="1" ht="21" customHeight="1">
      <c r="A110" s="34"/>
      <c r="B110" s="31"/>
      <c r="C110" s="32"/>
      <c r="D110" s="18" t="s">
        <v>81</v>
      </c>
      <c r="E110" s="19" t="s">
        <v>41</v>
      </c>
      <c r="F110" s="20">
        <v>2.9990000000000001</v>
      </c>
      <c r="G110" s="19">
        <v>375</v>
      </c>
      <c r="H110" s="20">
        <v>110</v>
      </c>
      <c r="I110" s="19" t="s">
        <v>71</v>
      </c>
      <c r="J110" s="20">
        <v>2652</v>
      </c>
      <c r="K110" s="21">
        <v>5812</v>
      </c>
      <c r="L110" s="21">
        <v>2995</v>
      </c>
      <c r="M110" s="21" t="s">
        <v>31</v>
      </c>
      <c r="N110" s="22">
        <v>10.8</v>
      </c>
      <c r="O110" s="23">
        <f t="shared" si="2"/>
        <v>239.46481481481482</v>
      </c>
      <c r="P110" s="24">
        <v>9.51</v>
      </c>
      <c r="Q110" s="25" t="s">
        <v>43</v>
      </c>
      <c r="R110" s="26" t="s">
        <v>33</v>
      </c>
      <c r="S110" s="26" t="s">
        <v>34</v>
      </c>
      <c r="T110" s="26"/>
      <c r="U110" s="27"/>
      <c r="V110" s="28">
        <f t="shared" si="3"/>
        <v>113</v>
      </c>
    </row>
    <row r="111" spans="1:23" s="29" customFormat="1" ht="21" customHeight="1">
      <c r="A111" s="34"/>
      <c r="B111" s="31"/>
      <c r="C111" s="32"/>
      <c r="D111" s="18" t="s">
        <v>81</v>
      </c>
      <c r="E111" s="19" t="s">
        <v>41</v>
      </c>
      <c r="F111" s="20">
        <v>2.9990000000000001</v>
      </c>
      <c r="G111" s="19">
        <v>375</v>
      </c>
      <c r="H111" s="20">
        <v>110</v>
      </c>
      <c r="I111" s="19" t="s">
        <v>42</v>
      </c>
      <c r="J111" s="20">
        <v>2652</v>
      </c>
      <c r="K111" s="21">
        <v>5812</v>
      </c>
      <c r="L111" s="21">
        <v>2995</v>
      </c>
      <c r="M111" s="21" t="s">
        <v>31</v>
      </c>
      <c r="N111" s="22">
        <v>10.8</v>
      </c>
      <c r="O111" s="23">
        <f t="shared" si="2"/>
        <v>239.46481481481482</v>
      </c>
      <c r="P111" s="24">
        <v>9.51</v>
      </c>
      <c r="Q111" s="25" t="s">
        <v>63</v>
      </c>
      <c r="R111" s="26" t="s">
        <v>33</v>
      </c>
      <c r="S111" s="26" t="s">
        <v>34</v>
      </c>
      <c r="T111" s="26"/>
      <c r="U111" s="27"/>
      <c r="V111" s="28">
        <f t="shared" si="3"/>
        <v>113</v>
      </c>
    </row>
    <row r="112" spans="1:23" s="35" customFormat="1" ht="21" customHeight="1">
      <c r="A112" s="34"/>
      <c r="B112" s="31"/>
      <c r="C112" s="32"/>
      <c r="D112" s="18" t="s">
        <v>81</v>
      </c>
      <c r="E112" s="19" t="s">
        <v>41</v>
      </c>
      <c r="F112" s="20">
        <v>2.9990000000000001</v>
      </c>
      <c r="G112" s="19">
        <v>375</v>
      </c>
      <c r="H112" s="20">
        <v>110</v>
      </c>
      <c r="I112" s="19" t="s">
        <v>71</v>
      </c>
      <c r="J112" s="20">
        <v>2652</v>
      </c>
      <c r="K112" s="21">
        <v>5812</v>
      </c>
      <c r="L112" s="21">
        <v>2995</v>
      </c>
      <c r="M112" s="21" t="s">
        <v>31</v>
      </c>
      <c r="N112" s="22">
        <v>10.6</v>
      </c>
      <c r="O112" s="23">
        <f t="shared" si="2"/>
        <v>243.98301886792456</v>
      </c>
      <c r="P112" s="24">
        <v>9.51</v>
      </c>
      <c r="Q112" s="25" t="s">
        <v>63</v>
      </c>
      <c r="R112" s="26" t="s">
        <v>33</v>
      </c>
      <c r="S112" s="26" t="s">
        <v>34</v>
      </c>
      <c r="T112" s="26"/>
      <c r="U112" s="27"/>
      <c r="V112" s="28">
        <f t="shared" si="3"/>
        <v>111</v>
      </c>
      <c r="W112" s="29"/>
    </row>
    <row r="113" spans="1:23" s="35" customFormat="1" ht="21" customHeight="1">
      <c r="A113" s="34"/>
      <c r="B113" s="31"/>
      <c r="C113" s="32"/>
      <c r="D113" s="18" t="s">
        <v>82</v>
      </c>
      <c r="E113" s="19" t="s">
        <v>41</v>
      </c>
      <c r="F113" s="20">
        <v>2.9990000000000001</v>
      </c>
      <c r="G113" s="19">
        <v>375</v>
      </c>
      <c r="H113" s="20">
        <v>110</v>
      </c>
      <c r="I113" s="19" t="s">
        <v>71</v>
      </c>
      <c r="J113" s="20">
        <v>2356</v>
      </c>
      <c r="K113" s="21">
        <v>4521</v>
      </c>
      <c r="L113" s="21">
        <v>2000</v>
      </c>
      <c r="M113" s="21" t="s">
        <v>31</v>
      </c>
      <c r="N113" s="22">
        <v>11.8</v>
      </c>
      <c r="O113" s="23">
        <f t="shared" si="2"/>
        <v>219.17118644067796</v>
      </c>
      <c r="P113" s="24">
        <v>10.35</v>
      </c>
      <c r="Q113" s="25" t="s">
        <v>43</v>
      </c>
      <c r="R113" s="26" t="s">
        <v>33</v>
      </c>
      <c r="S113" s="26" t="s">
        <v>34</v>
      </c>
      <c r="T113" s="26"/>
      <c r="U113" s="27"/>
      <c r="V113" s="28">
        <f t="shared" si="3"/>
        <v>114</v>
      </c>
      <c r="W113" s="29"/>
    </row>
    <row r="114" spans="1:23" s="29" customFormat="1" ht="21" customHeight="1">
      <c r="A114" s="34"/>
      <c r="B114" s="31"/>
      <c r="C114" s="32"/>
      <c r="D114" s="18" t="s">
        <v>82</v>
      </c>
      <c r="E114" s="19" t="s">
        <v>41</v>
      </c>
      <c r="F114" s="20">
        <v>2.9990000000000001</v>
      </c>
      <c r="G114" s="19">
        <v>375</v>
      </c>
      <c r="H114" s="20">
        <v>110</v>
      </c>
      <c r="I114" s="19" t="s">
        <v>42</v>
      </c>
      <c r="J114" s="20">
        <v>2356</v>
      </c>
      <c r="K114" s="21">
        <v>4521</v>
      </c>
      <c r="L114" s="21">
        <v>2000</v>
      </c>
      <c r="M114" s="21" t="s">
        <v>31</v>
      </c>
      <c r="N114" s="22">
        <v>11.8</v>
      </c>
      <c r="O114" s="23">
        <f t="shared" si="2"/>
        <v>219.17118644067796</v>
      </c>
      <c r="P114" s="24">
        <v>10.35</v>
      </c>
      <c r="Q114" s="25" t="s">
        <v>63</v>
      </c>
      <c r="R114" s="26" t="s">
        <v>33</v>
      </c>
      <c r="S114" s="26" t="s">
        <v>34</v>
      </c>
      <c r="T114" s="26"/>
      <c r="U114" s="27"/>
      <c r="V114" s="28">
        <f t="shared" si="3"/>
        <v>114</v>
      </c>
    </row>
    <row r="115" spans="1:23" s="29" customFormat="1" ht="21" customHeight="1">
      <c r="A115" s="34"/>
      <c r="B115" s="31"/>
      <c r="C115" s="32"/>
      <c r="D115" s="18" t="s">
        <v>82</v>
      </c>
      <c r="E115" s="19" t="s">
        <v>41</v>
      </c>
      <c r="F115" s="20">
        <v>2.9990000000000001</v>
      </c>
      <c r="G115" s="19">
        <v>375</v>
      </c>
      <c r="H115" s="20">
        <v>110</v>
      </c>
      <c r="I115" s="19" t="s">
        <v>71</v>
      </c>
      <c r="J115" s="20">
        <v>2356</v>
      </c>
      <c r="K115" s="21">
        <v>4521</v>
      </c>
      <c r="L115" s="21">
        <v>2000</v>
      </c>
      <c r="M115" s="21" t="s">
        <v>31</v>
      </c>
      <c r="N115" s="22">
        <v>11.4</v>
      </c>
      <c r="O115" s="23">
        <f t="shared" si="2"/>
        <v>226.8614035087719</v>
      </c>
      <c r="P115" s="24">
        <v>10.35</v>
      </c>
      <c r="Q115" s="25" t="s">
        <v>63</v>
      </c>
      <c r="R115" s="26" t="s">
        <v>33</v>
      </c>
      <c r="S115" s="26" t="s">
        <v>34</v>
      </c>
      <c r="T115" s="26"/>
      <c r="U115" s="27"/>
      <c r="V115" s="28">
        <f t="shared" si="3"/>
        <v>110</v>
      </c>
    </row>
    <row r="116" spans="1:23" s="29" customFormat="1" ht="21" customHeight="1">
      <c r="A116" s="34"/>
      <c r="B116" s="31"/>
      <c r="C116" s="32"/>
      <c r="D116" s="18" t="s">
        <v>82</v>
      </c>
      <c r="E116" s="19" t="s">
        <v>41</v>
      </c>
      <c r="F116" s="20">
        <v>2.9990000000000001</v>
      </c>
      <c r="G116" s="19">
        <v>375</v>
      </c>
      <c r="H116" s="20">
        <v>110</v>
      </c>
      <c r="I116" s="19" t="s">
        <v>71</v>
      </c>
      <c r="J116" s="20">
        <v>2652</v>
      </c>
      <c r="K116" s="21">
        <v>5812</v>
      </c>
      <c r="L116" s="21">
        <v>2995</v>
      </c>
      <c r="M116" s="21" t="s">
        <v>31</v>
      </c>
      <c r="N116" s="22">
        <v>10.8</v>
      </c>
      <c r="O116" s="23">
        <f t="shared" si="2"/>
        <v>239.46481481481482</v>
      </c>
      <c r="P116" s="24">
        <v>9.51</v>
      </c>
      <c r="Q116" s="25" t="s">
        <v>43</v>
      </c>
      <c r="R116" s="26" t="s">
        <v>33</v>
      </c>
      <c r="S116" s="26" t="s">
        <v>34</v>
      </c>
      <c r="T116" s="26"/>
      <c r="U116" s="27"/>
      <c r="V116" s="28">
        <f t="shared" si="3"/>
        <v>113</v>
      </c>
    </row>
    <row r="117" spans="1:23" s="29" customFormat="1" ht="21" customHeight="1">
      <c r="A117" s="34"/>
      <c r="B117" s="31"/>
      <c r="C117" s="32"/>
      <c r="D117" s="18" t="s">
        <v>82</v>
      </c>
      <c r="E117" s="19" t="s">
        <v>41</v>
      </c>
      <c r="F117" s="20">
        <v>2.9990000000000001</v>
      </c>
      <c r="G117" s="19">
        <v>375</v>
      </c>
      <c r="H117" s="20">
        <v>110</v>
      </c>
      <c r="I117" s="19" t="s">
        <v>42</v>
      </c>
      <c r="J117" s="20">
        <v>2652</v>
      </c>
      <c r="K117" s="21">
        <v>5812</v>
      </c>
      <c r="L117" s="21">
        <v>2995</v>
      </c>
      <c r="M117" s="21" t="s">
        <v>31</v>
      </c>
      <c r="N117" s="22">
        <v>10.8</v>
      </c>
      <c r="O117" s="23">
        <f t="shared" si="2"/>
        <v>239.46481481481482</v>
      </c>
      <c r="P117" s="24">
        <v>9.51</v>
      </c>
      <c r="Q117" s="25" t="s">
        <v>63</v>
      </c>
      <c r="R117" s="26" t="s">
        <v>33</v>
      </c>
      <c r="S117" s="26" t="s">
        <v>34</v>
      </c>
      <c r="T117" s="26"/>
      <c r="U117" s="27"/>
      <c r="V117" s="28">
        <f t="shared" si="3"/>
        <v>113</v>
      </c>
    </row>
    <row r="118" spans="1:23" s="29" customFormat="1" ht="21" customHeight="1">
      <c r="A118" s="34"/>
      <c r="B118" s="31"/>
      <c r="C118" s="32"/>
      <c r="D118" s="18" t="s">
        <v>82</v>
      </c>
      <c r="E118" s="19" t="s">
        <v>41</v>
      </c>
      <c r="F118" s="20">
        <v>2.9990000000000001</v>
      </c>
      <c r="G118" s="19">
        <v>375</v>
      </c>
      <c r="H118" s="20">
        <v>110</v>
      </c>
      <c r="I118" s="19" t="s">
        <v>71</v>
      </c>
      <c r="J118" s="20">
        <v>2652</v>
      </c>
      <c r="K118" s="21">
        <v>5812</v>
      </c>
      <c r="L118" s="21">
        <v>2995</v>
      </c>
      <c r="M118" s="21" t="s">
        <v>31</v>
      </c>
      <c r="N118" s="22">
        <v>10.6</v>
      </c>
      <c r="O118" s="23">
        <f t="shared" si="2"/>
        <v>243.98301886792456</v>
      </c>
      <c r="P118" s="24">
        <v>9.51</v>
      </c>
      <c r="Q118" s="25" t="s">
        <v>63</v>
      </c>
      <c r="R118" s="26" t="s">
        <v>33</v>
      </c>
      <c r="S118" s="26" t="s">
        <v>34</v>
      </c>
      <c r="T118" s="26"/>
      <c r="U118" s="27"/>
      <c r="V118" s="28">
        <f t="shared" si="3"/>
        <v>111</v>
      </c>
    </row>
    <row r="119" spans="1:23" s="29" customFormat="1" ht="21" customHeight="1">
      <c r="A119" s="33"/>
      <c r="B119" s="31"/>
      <c r="C119" s="32"/>
      <c r="D119" s="18" t="s">
        <v>83</v>
      </c>
      <c r="E119" s="19" t="s">
        <v>41</v>
      </c>
      <c r="F119" s="20">
        <v>2.9990000000000001</v>
      </c>
      <c r="G119" s="19">
        <v>375</v>
      </c>
      <c r="H119" s="20">
        <v>110</v>
      </c>
      <c r="I119" s="19" t="s">
        <v>71</v>
      </c>
      <c r="J119" s="20">
        <v>2356</v>
      </c>
      <c r="K119" s="21">
        <v>4521</v>
      </c>
      <c r="L119" s="21">
        <v>2000</v>
      </c>
      <c r="M119" s="21" t="s">
        <v>31</v>
      </c>
      <c r="N119" s="22">
        <v>11.8</v>
      </c>
      <c r="O119" s="23">
        <f t="shared" si="2"/>
        <v>219.17118644067796</v>
      </c>
      <c r="P119" s="24">
        <v>10.35</v>
      </c>
      <c r="Q119" s="25" t="s">
        <v>43</v>
      </c>
      <c r="R119" s="26" t="s">
        <v>33</v>
      </c>
      <c r="S119" s="26" t="s">
        <v>34</v>
      </c>
      <c r="T119" s="26"/>
      <c r="U119" s="27"/>
      <c r="V119" s="28">
        <f t="shared" si="3"/>
        <v>114</v>
      </c>
      <c r="W119" s="35"/>
    </row>
    <row r="120" spans="1:23" s="29" customFormat="1" ht="21" customHeight="1">
      <c r="A120" s="33"/>
      <c r="B120" s="31"/>
      <c r="C120" s="32"/>
      <c r="D120" s="18" t="s">
        <v>83</v>
      </c>
      <c r="E120" s="19" t="s">
        <v>41</v>
      </c>
      <c r="F120" s="20">
        <v>2.9990000000000001</v>
      </c>
      <c r="G120" s="19">
        <v>375</v>
      </c>
      <c r="H120" s="20">
        <v>110</v>
      </c>
      <c r="I120" s="19" t="s">
        <v>71</v>
      </c>
      <c r="J120" s="20">
        <v>2356</v>
      </c>
      <c r="K120" s="21">
        <v>4521</v>
      </c>
      <c r="L120" s="21">
        <v>2000</v>
      </c>
      <c r="M120" s="21" t="s">
        <v>31</v>
      </c>
      <c r="N120" s="22">
        <v>11.4</v>
      </c>
      <c r="O120" s="23">
        <f t="shared" si="2"/>
        <v>226.8614035087719</v>
      </c>
      <c r="P120" s="24">
        <v>10.35</v>
      </c>
      <c r="Q120" s="25" t="s">
        <v>63</v>
      </c>
      <c r="R120" s="26" t="s">
        <v>33</v>
      </c>
      <c r="S120" s="26" t="s">
        <v>34</v>
      </c>
      <c r="T120" s="26"/>
      <c r="U120" s="27"/>
      <c r="V120" s="28">
        <f t="shared" si="3"/>
        <v>110</v>
      </c>
      <c r="W120" s="35"/>
    </row>
    <row r="121" spans="1:23" s="29" customFormat="1" ht="21" customHeight="1">
      <c r="A121" s="33"/>
      <c r="B121" s="31"/>
      <c r="C121" s="32"/>
      <c r="D121" s="18" t="s">
        <v>83</v>
      </c>
      <c r="E121" s="19" t="s">
        <v>41</v>
      </c>
      <c r="F121" s="20">
        <v>2.9990000000000001</v>
      </c>
      <c r="G121" s="19">
        <v>375</v>
      </c>
      <c r="H121" s="20">
        <v>110</v>
      </c>
      <c r="I121" s="19" t="s">
        <v>71</v>
      </c>
      <c r="J121" s="20">
        <v>2652</v>
      </c>
      <c r="K121" s="21">
        <v>5812</v>
      </c>
      <c r="L121" s="21">
        <v>2995</v>
      </c>
      <c r="M121" s="21" t="s">
        <v>31</v>
      </c>
      <c r="N121" s="22">
        <v>10.8</v>
      </c>
      <c r="O121" s="23">
        <f t="shared" si="2"/>
        <v>239.46481481481482</v>
      </c>
      <c r="P121" s="24">
        <v>9.51</v>
      </c>
      <c r="Q121" s="25" t="s">
        <v>43</v>
      </c>
      <c r="R121" s="26" t="s">
        <v>33</v>
      </c>
      <c r="S121" s="26" t="s">
        <v>34</v>
      </c>
      <c r="T121" s="26"/>
      <c r="U121" s="27"/>
      <c r="V121" s="28">
        <f t="shared" si="3"/>
        <v>113</v>
      </c>
      <c r="W121" s="35"/>
    </row>
    <row r="122" spans="1:23" s="29" customFormat="1" ht="21" customHeight="1">
      <c r="A122" s="33"/>
      <c r="B122" s="31"/>
      <c r="C122" s="32"/>
      <c r="D122" s="18" t="s">
        <v>83</v>
      </c>
      <c r="E122" s="19" t="s">
        <v>41</v>
      </c>
      <c r="F122" s="20">
        <v>2.9990000000000001</v>
      </c>
      <c r="G122" s="19">
        <v>375</v>
      </c>
      <c r="H122" s="20">
        <v>110</v>
      </c>
      <c r="I122" s="19" t="s">
        <v>71</v>
      </c>
      <c r="J122" s="20">
        <v>2652</v>
      </c>
      <c r="K122" s="21">
        <v>5812</v>
      </c>
      <c r="L122" s="21">
        <v>2995</v>
      </c>
      <c r="M122" s="21" t="s">
        <v>31</v>
      </c>
      <c r="N122" s="22">
        <v>10.6</v>
      </c>
      <c r="O122" s="23">
        <f t="shared" si="2"/>
        <v>243.98301886792456</v>
      </c>
      <c r="P122" s="24">
        <v>9.51</v>
      </c>
      <c r="Q122" s="25" t="s">
        <v>63</v>
      </c>
      <c r="R122" s="26" t="s">
        <v>33</v>
      </c>
      <c r="S122" s="26" t="s">
        <v>34</v>
      </c>
      <c r="T122" s="26"/>
      <c r="U122" s="27"/>
      <c r="V122" s="28">
        <f t="shared" si="3"/>
        <v>111</v>
      </c>
      <c r="W122" s="35"/>
    </row>
    <row r="123" spans="1:23" s="29" customFormat="1" ht="21" customHeight="1">
      <c r="A123" s="33"/>
      <c r="B123" s="31"/>
      <c r="C123" s="32"/>
      <c r="D123" s="18" t="s">
        <v>84</v>
      </c>
      <c r="E123" s="19" t="s">
        <v>41</v>
      </c>
      <c r="F123" s="20">
        <v>2.9990000000000001</v>
      </c>
      <c r="G123" s="19">
        <v>375</v>
      </c>
      <c r="H123" s="20">
        <v>110</v>
      </c>
      <c r="I123" s="19" t="s">
        <v>71</v>
      </c>
      <c r="J123" s="20">
        <v>2356</v>
      </c>
      <c r="K123" s="21">
        <v>4521</v>
      </c>
      <c r="L123" s="21">
        <v>2000</v>
      </c>
      <c r="M123" s="21" t="s">
        <v>31</v>
      </c>
      <c r="N123" s="22">
        <v>11.8</v>
      </c>
      <c r="O123" s="23">
        <f t="shared" si="2"/>
        <v>219.17118644067796</v>
      </c>
      <c r="P123" s="24">
        <v>10.35</v>
      </c>
      <c r="Q123" s="25" t="s">
        <v>43</v>
      </c>
      <c r="R123" s="26" t="s">
        <v>33</v>
      </c>
      <c r="S123" s="26" t="s">
        <v>34</v>
      </c>
      <c r="T123" s="26"/>
      <c r="U123" s="27"/>
      <c r="V123" s="28">
        <f t="shared" si="3"/>
        <v>114</v>
      </c>
      <c r="W123" s="35"/>
    </row>
    <row r="124" spans="1:23" s="29" customFormat="1" ht="21" customHeight="1">
      <c r="A124" s="33"/>
      <c r="B124" s="31"/>
      <c r="C124" s="32"/>
      <c r="D124" s="18" t="s">
        <v>84</v>
      </c>
      <c r="E124" s="19" t="s">
        <v>41</v>
      </c>
      <c r="F124" s="20">
        <v>2.9990000000000001</v>
      </c>
      <c r="G124" s="19">
        <v>375</v>
      </c>
      <c r="H124" s="20">
        <v>110</v>
      </c>
      <c r="I124" s="19" t="s">
        <v>71</v>
      </c>
      <c r="J124" s="20">
        <v>2356</v>
      </c>
      <c r="K124" s="21">
        <v>4521</v>
      </c>
      <c r="L124" s="21">
        <v>2000</v>
      </c>
      <c r="M124" s="21" t="s">
        <v>31</v>
      </c>
      <c r="N124" s="22">
        <v>11.4</v>
      </c>
      <c r="O124" s="23">
        <f t="shared" si="2"/>
        <v>226.8614035087719</v>
      </c>
      <c r="P124" s="24">
        <v>10.35</v>
      </c>
      <c r="Q124" s="25" t="s">
        <v>63</v>
      </c>
      <c r="R124" s="26" t="s">
        <v>33</v>
      </c>
      <c r="S124" s="26" t="s">
        <v>34</v>
      </c>
      <c r="T124" s="26"/>
      <c r="U124" s="27"/>
      <c r="V124" s="28">
        <f t="shared" si="3"/>
        <v>110</v>
      </c>
      <c r="W124" s="35"/>
    </row>
    <row r="125" spans="1:23" s="29" customFormat="1" ht="21" customHeight="1">
      <c r="A125" s="34"/>
      <c r="B125" s="31"/>
      <c r="C125" s="32"/>
      <c r="D125" s="18" t="s">
        <v>85</v>
      </c>
      <c r="E125" s="19" t="s">
        <v>41</v>
      </c>
      <c r="F125" s="20">
        <v>2.9990000000000001</v>
      </c>
      <c r="G125" s="19">
        <v>375</v>
      </c>
      <c r="H125" s="20">
        <v>110</v>
      </c>
      <c r="I125" s="19" t="s">
        <v>42</v>
      </c>
      <c r="J125" s="20">
        <v>2356</v>
      </c>
      <c r="K125" s="21">
        <v>4521</v>
      </c>
      <c r="L125" s="21">
        <v>2000</v>
      </c>
      <c r="M125" s="21" t="s">
        <v>31</v>
      </c>
      <c r="N125" s="22">
        <v>11.8</v>
      </c>
      <c r="O125" s="23">
        <f t="shared" si="2"/>
        <v>219.17118644067796</v>
      </c>
      <c r="P125" s="24">
        <v>10.35</v>
      </c>
      <c r="Q125" s="25" t="s">
        <v>63</v>
      </c>
      <c r="R125" s="26" t="s">
        <v>33</v>
      </c>
      <c r="S125" s="26" t="s">
        <v>34</v>
      </c>
      <c r="T125" s="26"/>
      <c r="U125" s="27"/>
      <c r="V125" s="28">
        <f t="shared" si="3"/>
        <v>114</v>
      </c>
    </row>
    <row r="126" spans="1:23" s="29" customFormat="1" ht="21" customHeight="1">
      <c r="A126" s="34"/>
      <c r="B126" s="31"/>
      <c r="C126" s="32"/>
      <c r="D126" s="18" t="s">
        <v>85</v>
      </c>
      <c r="E126" s="19" t="s">
        <v>41</v>
      </c>
      <c r="F126" s="20">
        <v>2.9990000000000001</v>
      </c>
      <c r="G126" s="19">
        <v>375</v>
      </c>
      <c r="H126" s="20">
        <v>110</v>
      </c>
      <c r="I126" s="19" t="s">
        <v>71</v>
      </c>
      <c r="J126" s="20">
        <v>2356</v>
      </c>
      <c r="K126" s="21">
        <v>4521</v>
      </c>
      <c r="L126" s="21">
        <v>2000</v>
      </c>
      <c r="M126" s="21" t="s">
        <v>31</v>
      </c>
      <c r="N126" s="22">
        <v>11.4</v>
      </c>
      <c r="O126" s="23">
        <f t="shared" si="2"/>
        <v>226.8614035087719</v>
      </c>
      <c r="P126" s="24">
        <v>10.35</v>
      </c>
      <c r="Q126" s="25" t="s">
        <v>63</v>
      </c>
      <c r="R126" s="26" t="s">
        <v>33</v>
      </c>
      <c r="S126" s="26" t="s">
        <v>34</v>
      </c>
      <c r="T126" s="26"/>
      <c r="U126" s="27"/>
      <c r="V126" s="28">
        <f t="shared" si="3"/>
        <v>110</v>
      </c>
    </row>
    <row r="127" spans="1:23" s="29" customFormat="1" ht="21" customHeight="1">
      <c r="A127" s="34"/>
      <c r="B127" s="31"/>
      <c r="C127" s="32"/>
      <c r="D127" s="18" t="s">
        <v>85</v>
      </c>
      <c r="E127" s="19" t="s">
        <v>41</v>
      </c>
      <c r="F127" s="20">
        <v>2.9990000000000001</v>
      </c>
      <c r="G127" s="19">
        <v>375</v>
      </c>
      <c r="H127" s="20">
        <v>110</v>
      </c>
      <c r="I127" s="19" t="s">
        <v>42</v>
      </c>
      <c r="J127" s="20">
        <v>2652</v>
      </c>
      <c r="K127" s="21">
        <v>5812</v>
      </c>
      <c r="L127" s="21">
        <v>2995</v>
      </c>
      <c r="M127" s="21" t="s">
        <v>31</v>
      </c>
      <c r="N127" s="22">
        <v>10.8</v>
      </c>
      <c r="O127" s="23">
        <f t="shared" si="2"/>
        <v>239.46481481481482</v>
      </c>
      <c r="P127" s="24">
        <v>9.51</v>
      </c>
      <c r="Q127" s="25" t="s">
        <v>63</v>
      </c>
      <c r="R127" s="26" t="s">
        <v>33</v>
      </c>
      <c r="S127" s="26" t="s">
        <v>34</v>
      </c>
      <c r="T127" s="26"/>
      <c r="U127" s="27"/>
      <c r="V127" s="28">
        <f t="shared" si="3"/>
        <v>113</v>
      </c>
    </row>
    <row r="128" spans="1:23" s="37" customFormat="1" ht="21" customHeight="1">
      <c r="A128" s="34"/>
      <c r="B128" s="31"/>
      <c r="C128" s="32"/>
      <c r="D128" s="18" t="s">
        <v>85</v>
      </c>
      <c r="E128" s="19" t="s">
        <v>41</v>
      </c>
      <c r="F128" s="20">
        <v>2.9990000000000001</v>
      </c>
      <c r="G128" s="19">
        <v>375</v>
      </c>
      <c r="H128" s="20">
        <v>110</v>
      </c>
      <c r="I128" s="19" t="s">
        <v>71</v>
      </c>
      <c r="J128" s="20">
        <v>2652</v>
      </c>
      <c r="K128" s="21">
        <v>5812</v>
      </c>
      <c r="L128" s="21">
        <v>2995</v>
      </c>
      <c r="M128" s="21" t="s">
        <v>31</v>
      </c>
      <c r="N128" s="22">
        <v>10.6</v>
      </c>
      <c r="O128" s="23">
        <f t="shared" si="2"/>
        <v>243.98301886792456</v>
      </c>
      <c r="P128" s="24">
        <v>9.51</v>
      </c>
      <c r="Q128" s="25" t="s">
        <v>63</v>
      </c>
      <c r="R128" s="26" t="s">
        <v>33</v>
      </c>
      <c r="S128" s="26" t="s">
        <v>34</v>
      </c>
      <c r="T128" s="26"/>
      <c r="U128" s="27"/>
      <c r="V128" s="28">
        <f t="shared" si="3"/>
        <v>111</v>
      </c>
      <c r="W128" s="29"/>
    </row>
    <row r="129" spans="1:23" s="37" customFormat="1" ht="21" customHeight="1">
      <c r="A129" s="34"/>
      <c r="B129" s="31"/>
      <c r="C129" s="32"/>
      <c r="D129" s="18" t="s">
        <v>86</v>
      </c>
      <c r="E129" s="19" t="s">
        <v>41</v>
      </c>
      <c r="F129" s="20">
        <v>2.9990000000000001</v>
      </c>
      <c r="G129" s="19">
        <v>375</v>
      </c>
      <c r="H129" s="20">
        <v>110</v>
      </c>
      <c r="I129" s="19" t="s">
        <v>71</v>
      </c>
      <c r="J129" s="20">
        <v>2356</v>
      </c>
      <c r="K129" s="21">
        <v>4521</v>
      </c>
      <c r="L129" s="21">
        <v>2000</v>
      </c>
      <c r="M129" s="21" t="s">
        <v>31</v>
      </c>
      <c r="N129" s="22">
        <v>11.8</v>
      </c>
      <c r="O129" s="23">
        <f t="shared" si="2"/>
        <v>219.17118644067796</v>
      </c>
      <c r="P129" s="24">
        <v>10.35</v>
      </c>
      <c r="Q129" s="25" t="s">
        <v>43</v>
      </c>
      <c r="R129" s="26" t="s">
        <v>33</v>
      </c>
      <c r="S129" s="26" t="s">
        <v>34</v>
      </c>
      <c r="T129" s="26"/>
      <c r="U129" s="27"/>
      <c r="V129" s="28">
        <f t="shared" si="3"/>
        <v>114</v>
      </c>
      <c r="W129" s="29"/>
    </row>
    <row r="130" spans="1:23" s="37" customFormat="1" ht="21" customHeight="1">
      <c r="A130" s="34"/>
      <c r="B130" s="31"/>
      <c r="C130" s="32"/>
      <c r="D130" s="18" t="s">
        <v>86</v>
      </c>
      <c r="E130" s="19" t="s">
        <v>41</v>
      </c>
      <c r="F130" s="20">
        <v>2.9990000000000001</v>
      </c>
      <c r="G130" s="19">
        <v>375</v>
      </c>
      <c r="H130" s="20">
        <v>110</v>
      </c>
      <c r="I130" s="19" t="s">
        <v>42</v>
      </c>
      <c r="J130" s="20">
        <v>2356</v>
      </c>
      <c r="K130" s="21">
        <v>4521</v>
      </c>
      <c r="L130" s="21">
        <v>2000</v>
      </c>
      <c r="M130" s="21" t="s">
        <v>31</v>
      </c>
      <c r="N130" s="22">
        <v>11.8</v>
      </c>
      <c r="O130" s="23">
        <f t="shared" si="2"/>
        <v>219.17118644067796</v>
      </c>
      <c r="P130" s="24">
        <v>10.35</v>
      </c>
      <c r="Q130" s="25" t="s">
        <v>63</v>
      </c>
      <c r="R130" s="26" t="s">
        <v>33</v>
      </c>
      <c r="S130" s="26" t="s">
        <v>34</v>
      </c>
      <c r="T130" s="26"/>
      <c r="U130" s="27"/>
      <c r="V130" s="28">
        <f t="shared" si="3"/>
        <v>114</v>
      </c>
      <c r="W130" s="29"/>
    </row>
    <row r="131" spans="1:23" s="37" customFormat="1" ht="21" customHeight="1">
      <c r="A131" s="34"/>
      <c r="B131" s="31"/>
      <c r="C131" s="32"/>
      <c r="D131" s="18" t="s">
        <v>86</v>
      </c>
      <c r="E131" s="19" t="s">
        <v>41</v>
      </c>
      <c r="F131" s="20">
        <v>2.9990000000000001</v>
      </c>
      <c r="G131" s="19">
        <v>375</v>
      </c>
      <c r="H131" s="20">
        <v>110</v>
      </c>
      <c r="I131" s="19" t="s">
        <v>71</v>
      </c>
      <c r="J131" s="20">
        <v>2356</v>
      </c>
      <c r="K131" s="21">
        <v>4521</v>
      </c>
      <c r="L131" s="21">
        <v>2000</v>
      </c>
      <c r="M131" s="21" t="s">
        <v>31</v>
      </c>
      <c r="N131" s="22">
        <v>11.4</v>
      </c>
      <c r="O131" s="23">
        <f t="shared" si="2"/>
        <v>226.8614035087719</v>
      </c>
      <c r="P131" s="24">
        <v>10.35</v>
      </c>
      <c r="Q131" s="25" t="s">
        <v>63</v>
      </c>
      <c r="R131" s="26" t="s">
        <v>33</v>
      </c>
      <c r="S131" s="26" t="s">
        <v>34</v>
      </c>
      <c r="T131" s="26"/>
      <c r="U131" s="27"/>
      <c r="V131" s="28">
        <f t="shared" si="3"/>
        <v>110</v>
      </c>
      <c r="W131" s="29"/>
    </row>
    <row r="132" spans="1:23" s="37" customFormat="1" ht="21" customHeight="1">
      <c r="A132" s="34"/>
      <c r="B132" s="31"/>
      <c r="C132" s="32"/>
      <c r="D132" s="18" t="s">
        <v>86</v>
      </c>
      <c r="E132" s="19" t="s">
        <v>41</v>
      </c>
      <c r="F132" s="20">
        <v>2.9990000000000001</v>
      </c>
      <c r="G132" s="19">
        <v>375</v>
      </c>
      <c r="H132" s="20">
        <v>110</v>
      </c>
      <c r="I132" s="19" t="s">
        <v>71</v>
      </c>
      <c r="J132" s="20">
        <v>2652</v>
      </c>
      <c r="K132" s="21">
        <v>5812</v>
      </c>
      <c r="L132" s="21">
        <v>2995</v>
      </c>
      <c r="M132" s="21" t="s">
        <v>31</v>
      </c>
      <c r="N132" s="22">
        <v>10.8</v>
      </c>
      <c r="O132" s="23">
        <f t="shared" si="2"/>
        <v>239.46481481481482</v>
      </c>
      <c r="P132" s="24">
        <v>9.51</v>
      </c>
      <c r="Q132" s="25" t="s">
        <v>43</v>
      </c>
      <c r="R132" s="26" t="s">
        <v>33</v>
      </c>
      <c r="S132" s="26" t="s">
        <v>34</v>
      </c>
      <c r="T132" s="26"/>
      <c r="U132" s="27"/>
      <c r="V132" s="28">
        <f t="shared" si="3"/>
        <v>113</v>
      </c>
      <c r="W132" s="29"/>
    </row>
    <row r="133" spans="1:23" s="37" customFormat="1" ht="21" customHeight="1">
      <c r="A133" s="34"/>
      <c r="B133" s="31"/>
      <c r="C133" s="32"/>
      <c r="D133" s="18" t="s">
        <v>86</v>
      </c>
      <c r="E133" s="19" t="s">
        <v>41</v>
      </c>
      <c r="F133" s="20">
        <v>2.9990000000000001</v>
      </c>
      <c r="G133" s="19">
        <v>375</v>
      </c>
      <c r="H133" s="20">
        <v>110</v>
      </c>
      <c r="I133" s="19" t="s">
        <v>42</v>
      </c>
      <c r="J133" s="20">
        <v>2652</v>
      </c>
      <c r="K133" s="21">
        <v>5812</v>
      </c>
      <c r="L133" s="21">
        <v>2995</v>
      </c>
      <c r="M133" s="21" t="s">
        <v>31</v>
      </c>
      <c r="N133" s="22">
        <v>10.8</v>
      </c>
      <c r="O133" s="23">
        <f t="shared" si="2"/>
        <v>239.46481481481482</v>
      </c>
      <c r="P133" s="24">
        <v>9.51</v>
      </c>
      <c r="Q133" s="25" t="s">
        <v>63</v>
      </c>
      <c r="R133" s="26" t="s">
        <v>33</v>
      </c>
      <c r="S133" s="26" t="s">
        <v>34</v>
      </c>
      <c r="T133" s="26"/>
      <c r="U133" s="27"/>
      <c r="V133" s="28">
        <f t="shared" si="3"/>
        <v>113</v>
      </c>
      <c r="W133" s="29"/>
    </row>
    <row r="134" spans="1:23" s="37" customFormat="1" ht="21" customHeight="1">
      <c r="A134" s="34"/>
      <c r="B134" s="31"/>
      <c r="C134" s="32"/>
      <c r="D134" s="18" t="s">
        <v>86</v>
      </c>
      <c r="E134" s="19" t="s">
        <v>41</v>
      </c>
      <c r="F134" s="20">
        <v>2.9990000000000001</v>
      </c>
      <c r="G134" s="19">
        <v>375</v>
      </c>
      <c r="H134" s="20">
        <v>110</v>
      </c>
      <c r="I134" s="19" t="s">
        <v>71</v>
      </c>
      <c r="J134" s="20">
        <v>2652</v>
      </c>
      <c r="K134" s="21">
        <v>5812</v>
      </c>
      <c r="L134" s="21">
        <v>2995</v>
      </c>
      <c r="M134" s="21" t="s">
        <v>31</v>
      </c>
      <c r="N134" s="22">
        <v>10.6</v>
      </c>
      <c r="O134" s="23">
        <f t="shared" si="2"/>
        <v>243.98301886792456</v>
      </c>
      <c r="P134" s="24">
        <v>9.51</v>
      </c>
      <c r="Q134" s="25" t="s">
        <v>63</v>
      </c>
      <c r="R134" s="26" t="s">
        <v>33</v>
      </c>
      <c r="S134" s="26" t="s">
        <v>34</v>
      </c>
      <c r="T134" s="26"/>
      <c r="U134" s="27"/>
      <c r="V134" s="28">
        <f t="shared" si="3"/>
        <v>111</v>
      </c>
      <c r="W134" s="29"/>
    </row>
    <row r="135" spans="1:23" s="37" customFormat="1" ht="21" customHeight="1">
      <c r="A135" s="34"/>
      <c r="B135" s="31"/>
      <c r="C135" s="32"/>
      <c r="D135" s="18" t="s">
        <v>86</v>
      </c>
      <c r="E135" s="19" t="s">
        <v>41</v>
      </c>
      <c r="F135" s="20">
        <v>2.9990000000000001</v>
      </c>
      <c r="G135" s="19">
        <v>375</v>
      </c>
      <c r="H135" s="20">
        <v>110</v>
      </c>
      <c r="I135" s="19" t="s">
        <v>42</v>
      </c>
      <c r="J135" s="20">
        <v>2979</v>
      </c>
      <c r="K135" s="21">
        <v>6893</v>
      </c>
      <c r="L135" s="21">
        <v>3749</v>
      </c>
      <c r="M135" s="21" t="s">
        <v>31</v>
      </c>
      <c r="N135" s="22">
        <v>9.1999999999999993</v>
      </c>
      <c r="O135" s="23">
        <f t="shared" si="2"/>
        <v>281.1108695652174</v>
      </c>
      <c r="P135" s="24">
        <v>8.1199999999999992</v>
      </c>
      <c r="Q135" s="25" t="s">
        <v>43</v>
      </c>
      <c r="R135" s="26" t="s">
        <v>33</v>
      </c>
      <c r="S135" s="26" t="s">
        <v>34</v>
      </c>
      <c r="T135" s="26"/>
      <c r="U135" s="27"/>
      <c r="V135" s="28">
        <f t="shared" si="3"/>
        <v>113</v>
      </c>
      <c r="W135" s="29"/>
    </row>
    <row r="136" spans="1:23" s="29" customFormat="1" ht="21" customHeight="1">
      <c r="A136" s="34"/>
      <c r="B136" s="31"/>
      <c r="C136" s="32"/>
      <c r="D136" s="18" t="s">
        <v>86</v>
      </c>
      <c r="E136" s="19" t="s">
        <v>41</v>
      </c>
      <c r="F136" s="20">
        <v>2.9990000000000001</v>
      </c>
      <c r="G136" s="19">
        <v>375</v>
      </c>
      <c r="H136" s="20">
        <v>110</v>
      </c>
      <c r="I136" s="19" t="s">
        <v>71</v>
      </c>
      <c r="J136" s="20">
        <v>2979</v>
      </c>
      <c r="K136" s="21">
        <v>6893</v>
      </c>
      <c r="L136" s="21">
        <v>3749</v>
      </c>
      <c r="M136" s="21" t="s">
        <v>31</v>
      </c>
      <c r="N136" s="22">
        <v>9</v>
      </c>
      <c r="O136" s="23">
        <f t="shared" si="2"/>
        <v>287.35777777777776</v>
      </c>
      <c r="P136" s="24">
        <v>8.1199999999999992</v>
      </c>
      <c r="Q136" s="25" t="s">
        <v>43</v>
      </c>
      <c r="R136" s="26" t="s">
        <v>33</v>
      </c>
      <c r="S136" s="26" t="s">
        <v>34</v>
      </c>
      <c r="T136" s="26"/>
      <c r="U136" s="27"/>
      <c r="V136" s="28">
        <f t="shared" si="3"/>
        <v>110</v>
      </c>
    </row>
    <row r="137" spans="1:23" s="29" customFormat="1" ht="21" customHeight="1">
      <c r="A137" s="34"/>
      <c r="B137" s="31"/>
      <c r="C137" s="32"/>
      <c r="D137" s="18" t="s">
        <v>86</v>
      </c>
      <c r="E137" s="19" t="s">
        <v>41</v>
      </c>
      <c r="F137" s="20">
        <v>2.9990000000000001</v>
      </c>
      <c r="G137" s="19">
        <v>375</v>
      </c>
      <c r="H137" s="20">
        <v>110</v>
      </c>
      <c r="I137" s="19" t="s">
        <v>42</v>
      </c>
      <c r="J137" s="20">
        <v>2979</v>
      </c>
      <c r="K137" s="21">
        <v>6893</v>
      </c>
      <c r="L137" s="21">
        <v>3749</v>
      </c>
      <c r="M137" s="21" t="s">
        <v>31</v>
      </c>
      <c r="N137" s="22">
        <v>9</v>
      </c>
      <c r="O137" s="23">
        <f t="shared" ref="O137:O200" si="4">IF(N137&gt;0,1/N137*37.7*68.6,"")</f>
        <v>287.35777777777776</v>
      </c>
      <c r="P137" s="24">
        <v>8.1199999999999992</v>
      </c>
      <c r="Q137" s="25" t="s">
        <v>63</v>
      </c>
      <c r="R137" s="26" t="s">
        <v>33</v>
      </c>
      <c r="S137" s="26" t="s">
        <v>34</v>
      </c>
      <c r="T137" s="26"/>
      <c r="U137" s="27"/>
      <c r="V137" s="28">
        <f t="shared" ref="V137:V200" si="5">IFERROR(IF(N137&lt;P137,"",(ROUNDDOWN(N137/P137*100,0))),"")</f>
        <v>110</v>
      </c>
    </row>
    <row r="138" spans="1:23" s="29" customFormat="1" ht="21" customHeight="1">
      <c r="A138" s="34"/>
      <c r="B138" s="31"/>
      <c r="C138" s="32"/>
      <c r="D138" s="18" t="s">
        <v>87</v>
      </c>
      <c r="E138" s="19" t="s">
        <v>41</v>
      </c>
      <c r="F138" s="20">
        <v>2.9990000000000001</v>
      </c>
      <c r="G138" s="19">
        <v>375</v>
      </c>
      <c r="H138" s="20">
        <v>110</v>
      </c>
      <c r="I138" s="19" t="s">
        <v>42</v>
      </c>
      <c r="J138" s="20">
        <v>2356</v>
      </c>
      <c r="K138" s="21">
        <v>4521</v>
      </c>
      <c r="L138" s="21">
        <v>2000</v>
      </c>
      <c r="M138" s="21" t="s">
        <v>31</v>
      </c>
      <c r="N138" s="22">
        <v>11.8</v>
      </c>
      <c r="O138" s="23">
        <f t="shared" si="4"/>
        <v>219.17118644067796</v>
      </c>
      <c r="P138" s="24">
        <v>10.35</v>
      </c>
      <c r="Q138" s="25" t="s">
        <v>63</v>
      </c>
      <c r="R138" s="26" t="s">
        <v>33</v>
      </c>
      <c r="S138" s="26" t="s">
        <v>34</v>
      </c>
      <c r="T138" s="26"/>
      <c r="U138" s="27"/>
      <c r="V138" s="28">
        <f t="shared" si="5"/>
        <v>114</v>
      </c>
    </row>
    <row r="139" spans="1:23" s="37" customFormat="1" ht="21" customHeight="1">
      <c r="A139" s="34"/>
      <c r="B139" s="31"/>
      <c r="C139" s="32"/>
      <c r="D139" s="18" t="s">
        <v>87</v>
      </c>
      <c r="E139" s="19" t="s">
        <v>41</v>
      </c>
      <c r="F139" s="20">
        <v>2.9990000000000001</v>
      </c>
      <c r="G139" s="19">
        <v>375</v>
      </c>
      <c r="H139" s="20">
        <v>110</v>
      </c>
      <c r="I139" s="19" t="s">
        <v>71</v>
      </c>
      <c r="J139" s="20">
        <v>2356</v>
      </c>
      <c r="K139" s="21">
        <v>4521</v>
      </c>
      <c r="L139" s="21">
        <v>2000</v>
      </c>
      <c r="M139" s="21" t="s">
        <v>31</v>
      </c>
      <c r="N139" s="22">
        <v>11.4</v>
      </c>
      <c r="O139" s="23">
        <f t="shared" si="4"/>
        <v>226.8614035087719</v>
      </c>
      <c r="P139" s="24">
        <v>10.35</v>
      </c>
      <c r="Q139" s="25" t="s">
        <v>63</v>
      </c>
      <c r="R139" s="26" t="s">
        <v>33</v>
      </c>
      <c r="S139" s="26" t="s">
        <v>34</v>
      </c>
      <c r="T139" s="26"/>
      <c r="U139" s="27"/>
      <c r="V139" s="28">
        <f t="shared" si="5"/>
        <v>110</v>
      </c>
      <c r="W139" s="29"/>
    </row>
    <row r="140" spans="1:23" s="29" customFormat="1" ht="21" customHeight="1">
      <c r="A140" s="34"/>
      <c r="B140" s="31"/>
      <c r="C140" s="32"/>
      <c r="D140" s="18" t="s">
        <v>87</v>
      </c>
      <c r="E140" s="19" t="s">
        <v>41</v>
      </c>
      <c r="F140" s="20">
        <v>2.9990000000000001</v>
      </c>
      <c r="G140" s="19">
        <v>375</v>
      </c>
      <c r="H140" s="20">
        <v>110</v>
      </c>
      <c r="I140" s="19" t="s">
        <v>71</v>
      </c>
      <c r="J140" s="20">
        <v>2652</v>
      </c>
      <c r="K140" s="21">
        <v>5812</v>
      </c>
      <c r="L140" s="21">
        <v>2995</v>
      </c>
      <c r="M140" s="21" t="s">
        <v>31</v>
      </c>
      <c r="N140" s="22">
        <v>10.8</v>
      </c>
      <c r="O140" s="23">
        <f t="shared" si="4"/>
        <v>239.46481481481482</v>
      </c>
      <c r="P140" s="24">
        <v>9.51</v>
      </c>
      <c r="Q140" s="25" t="s">
        <v>43</v>
      </c>
      <c r="R140" s="26" t="s">
        <v>33</v>
      </c>
      <c r="S140" s="26" t="s">
        <v>34</v>
      </c>
      <c r="T140" s="26"/>
      <c r="U140" s="27"/>
      <c r="V140" s="28">
        <f t="shared" si="5"/>
        <v>113</v>
      </c>
    </row>
    <row r="141" spans="1:23" s="37" customFormat="1" ht="21" customHeight="1">
      <c r="A141" s="34"/>
      <c r="B141" s="31"/>
      <c r="C141" s="32"/>
      <c r="D141" s="18" t="s">
        <v>87</v>
      </c>
      <c r="E141" s="19" t="s">
        <v>41</v>
      </c>
      <c r="F141" s="20">
        <v>2.9990000000000001</v>
      </c>
      <c r="G141" s="19">
        <v>375</v>
      </c>
      <c r="H141" s="20">
        <v>110</v>
      </c>
      <c r="I141" s="19" t="s">
        <v>42</v>
      </c>
      <c r="J141" s="20">
        <v>2652</v>
      </c>
      <c r="K141" s="21">
        <v>5812</v>
      </c>
      <c r="L141" s="21">
        <v>2995</v>
      </c>
      <c r="M141" s="21" t="s">
        <v>31</v>
      </c>
      <c r="N141" s="22">
        <v>10.8</v>
      </c>
      <c r="O141" s="23">
        <f t="shared" si="4"/>
        <v>239.46481481481482</v>
      </c>
      <c r="P141" s="24">
        <v>9.51</v>
      </c>
      <c r="Q141" s="25" t="s">
        <v>63</v>
      </c>
      <c r="R141" s="26" t="s">
        <v>33</v>
      </c>
      <c r="S141" s="26" t="s">
        <v>34</v>
      </c>
      <c r="T141" s="26"/>
      <c r="U141" s="27"/>
      <c r="V141" s="28">
        <f t="shared" si="5"/>
        <v>113</v>
      </c>
      <c r="W141" s="29"/>
    </row>
    <row r="142" spans="1:23" s="29" customFormat="1" ht="21" customHeight="1">
      <c r="A142" s="34"/>
      <c r="B142" s="31"/>
      <c r="C142" s="32"/>
      <c r="D142" s="18" t="s">
        <v>87</v>
      </c>
      <c r="E142" s="19" t="s">
        <v>41</v>
      </c>
      <c r="F142" s="20">
        <v>2.9990000000000001</v>
      </c>
      <c r="G142" s="19">
        <v>375</v>
      </c>
      <c r="H142" s="20">
        <v>110</v>
      </c>
      <c r="I142" s="19" t="s">
        <v>71</v>
      </c>
      <c r="J142" s="20">
        <v>2652</v>
      </c>
      <c r="K142" s="21">
        <v>5812</v>
      </c>
      <c r="L142" s="21">
        <v>2995</v>
      </c>
      <c r="M142" s="21" t="s">
        <v>31</v>
      </c>
      <c r="N142" s="22">
        <v>10.6</v>
      </c>
      <c r="O142" s="23">
        <f t="shared" si="4"/>
        <v>243.98301886792456</v>
      </c>
      <c r="P142" s="24">
        <v>9.51</v>
      </c>
      <c r="Q142" s="25" t="s">
        <v>63</v>
      </c>
      <c r="R142" s="26" t="s">
        <v>33</v>
      </c>
      <c r="S142" s="26" t="s">
        <v>34</v>
      </c>
      <c r="T142" s="26"/>
      <c r="U142" s="27"/>
      <c r="V142" s="28">
        <f t="shared" si="5"/>
        <v>111</v>
      </c>
    </row>
    <row r="143" spans="1:23" s="37" customFormat="1" ht="21" customHeight="1">
      <c r="A143" s="34"/>
      <c r="B143" s="31"/>
      <c r="C143" s="32"/>
      <c r="D143" s="18" t="s">
        <v>87</v>
      </c>
      <c r="E143" s="19" t="s">
        <v>41</v>
      </c>
      <c r="F143" s="20">
        <v>2.9990000000000001</v>
      </c>
      <c r="G143" s="19">
        <v>375</v>
      </c>
      <c r="H143" s="20">
        <v>110</v>
      </c>
      <c r="I143" s="19" t="s">
        <v>42</v>
      </c>
      <c r="J143" s="20">
        <v>2979</v>
      </c>
      <c r="K143" s="21">
        <v>6893</v>
      </c>
      <c r="L143" s="21">
        <v>3749</v>
      </c>
      <c r="M143" s="21" t="s">
        <v>31</v>
      </c>
      <c r="N143" s="22">
        <v>9.1999999999999993</v>
      </c>
      <c r="O143" s="23">
        <f t="shared" si="4"/>
        <v>281.1108695652174</v>
      </c>
      <c r="P143" s="24">
        <v>8.1199999999999992</v>
      </c>
      <c r="Q143" s="25" t="s">
        <v>43</v>
      </c>
      <c r="R143" s="26" t="s">
        <v>33</v>
      </c>
      <c r="S143" s="26" t="s">
        <v>34</v>
      </c>
      <c r="T143" s="26"/>
      <c r="U143" s="27"/>
      <c r="V143" s="28">
        <f t="shared" si="5"/>
        <v>113</v>
      </c>
      <c r="W143" s="29"/>
    </row>
    <row r="144" spans="1:23" s="29" customFormat="1" ht="21" customHeight="1">
      <c r="A144" s="34"/>
      <c r="B144" s="31"/>
      <c r="C144" s="32"/>
      <c r="D144" s="18" t="s">
        <v>87</v>
      </c>
      <c r="E144" s="19" t="s">
        <v>41</v>
      </c>
      <c r="F144" s="20">
        <v>2.9990000000000001</v>
      </c>
      <c r="G144" s="19">
        <v>375</v>
      </c>
      <c r="H144" s="20">
        <v>110</v>
      </c>
      <c r="I144" s="19" t="s">
        <v>71</v>
      </c>
      <c r="J144" s="20">
        <v>2979</v>
      </c>
      <c r="K144" s="21">
        <v>6893</v>
      </c>
      <c r="L144" s="21">
        <v>3749</v>
      </c>
      <c r="M144" s="21" t="s">
        <v>31</v>
      </c>
      <c r="N144" s="22">
        <v>9</v>
      </c>
      <c r="O144" s="23">
        <f t="shared" si="4"/>
        <v>287.35777777777776</v>
      </c>
      <c r="P144" s="24">
        <v>8.1199999999999992</v>
      </c>
      <c r="Q144" s="25" t="s">
        <v>43</v>
      </c>
      <c r="R144" s="26" t="s">
        <v>33</v>
      </c>
      <c r="S144" s="26" t="s">
        <v>34</v>
      </c>
      <c r="T144" s="26"/>
      <c r="U144" s="27"/>
      <c r="V144" s="28">
        <f t="shared" si="5"/>
        <v>110</v>
      </c>
    </row>
    <row r="145" spans="1:23" s="29" customFormat="1" ht="21" customHeight="1">
      <c r="A145" s="34"/>
      <c r="B145" s="31"/>
      <c r="C145" s="32"/>
      <c r="D145" s="18" t="s">
        <v>87</v>
      </c>
      <c r="E145" s="19" t="s">
        <v>41</v>
      </c>
      <c r="F145" s="20">
        <v>2.9990000000000001</v>
      </c>
      <c r="G145" s="19">
        <v>375</v>
      </c>
      <c r="H145" s="20">
        <v>110</v>
      </c>
      <c r="I145" s="19" t="s">
        <v>42</v>
      </c>
      <c r="J145" s="20">
        <v>2979</v>
      </c>
      <c r="K145" s="21">
        <v>6893</v>
      </c>
      <c r="L145" s="21">
        <v>3749</v>
      </c>
      <c r="M145" s="21" t="s">
        <v>31</v>
      </c>
      <c r="N145" s="22">
        <v>9</v>
      </c>
      <c r="O145" s="23">
        <f t="shared" si="4"/>
        <v>287.35777777777776</v>
      </c>
      <c r="P145" s="24">
        <v>8.1199999999999992</v>
      </c>
      <c r="Q145" s="25" t="s">
        <v>63</v>
      </c>
      <c r="R145" s="26" t="s">
        <v>33</v>
      </c>
      <c r="S145" s="26" t="s">
        <v>34</v>
      </c>
      <c r="T145" s="26"/>
      <c r="U145" s="27"/>
      <c r="V145" s="28">
        <f t="shared" si="5"/>
        <v>110</v>
      </c>
    </row>
    <row r="146" spans="1:23" s="29" customFormat="1" ht="21" customHeight="1">
      <c r="A146" s="33"/>
      <c r="B146" s="31"/>
      <c r="C146" s="32"/>
      <c r="D146" s="18" t="s">
        <v>88</v>
      </c>
      <c r="E146" s="19" t="s">
        <v>41</v>
      </c>
      <c r="F146" s="20">
        <v>2.9990000000000001</v>
      </c>
      <c r="G146" s="19">
        <v>375</v>
      </c>
      <c r="H146" s="20">
        <v>110</v>
      </c>
      <c r="I146" s="19" t="s">
        <v>71</v>
      </c>
      <c r="J146" s="20">
        <v>2356</v>
      </c>
      <c r="K146" s="21">
        <v>4521</v>
      </c>
      <c r="L146" s="21">
        <v>2000</v>
      </c>
      <c r="M146" s="21" t="s">
        <v>31</v>
      </c>
      <c r="N146" s="22">
        <v>11.8</v>
      </c>
      <c r="O146" s="23">
        <f t="shared" si="4"/>
        <v>219.17118644067796</v>
      </c>
      <c r="P146" s="24">
        <v>10.35</v>
      </c>
      <c r="Q146" s="25" t="s">
        <v>43</v>
      </c>
      <c r="R146" s="26" t="s">
        <v>33</v>
      </c>
      <c r="S146" s="26" t="s">
        <v>34</v>
      </c>
      <c r="T146" s="26"/>
      <c r="U146" s="27"/>
      <c r="V146" s="28">
        <f t="shared" si="5"/>
        <v>114</v>
      </c>
      <c r="W146" s="35"/>
    </row>
    <row r="147" spans="1:23" s="29" customFormat="1" ht="21" customHeight="1">
      <c r="A147" s="34"/>
      <c r="B147" s="31"/>
      <c r="C147" s="32"/>
      <c r="D147" s="18" t="s">
        <v>88</v>
      </c>
      <c r="E147" s="19" t="s">
        <v>41</v>
      </c>
      <c r="F147" s="20">
        <v>2.9990000000000001</v>
      </c>
      <c r="G147" s="19">
        <v>375</v>
      </c>
      <c r="H147" s="20">
        <v>110</v>
      </c>
      <c r="I147" s="19" t="s">
        <v>71</v>
      </c>
      <c r="J147" s="20">
        <v>2356</v>
      </c>
      <c r="K147" s="21">
        <v>4521</v>
      </c>
      <c r="L147" s="21">
        <v>2000</v>
      </c>
      <c r="M147" s="21" t="s">
        <v>31</v>
      </c>
      <c r="N147" s="22">
        <v>11.4</v>
      </c>
      <c r="O147" s="23">
        <f t="shared" si="4"/>
        <v>226.8614035087719</v>
      </c>
      <c r="P147" s="24">
        <v>10.35</v>
      </c>
      <c r="Q147" s="25" t="s">
        <v>63</v>
      </c>
      <c r="R147" s="26" t="s">
        <v>33</v>
      </c>
      <c r="S147" s="26" t="s">
        <v>34</v>
      </c>
      <c r="T147" s="26"/>
      <c r="U147" s="27"/>
      <c r="V147" s="28">
        <f t="shared" si="5"/>
        <v>110</v>
      </c>
      <c r="W147" s="35"/>
    </row>
    <row r="148" spans="1:23" s="40" customFormat="1" ht="21" customHeight="1">
      <c r="A148" s="33"/>
      <c r="B148" s="31"/>
      <c r="C148" s="32"/>
      <c r="D148" s="18" t="s">
        <v>88</v>
      </c>
      <c r="E148" s="19" t="s">
        <v>41</v>
      </c>
      <c r="F148" s="20">
        <v>2.9990000000000001</v>
      </c>
      <c r="G148" s="19">
        <v>375</v>
      </c>
      <c r="H148" s="20">
        <v>110</v>
      </c>
      <c r="I148" s="19" t="s">
        <v>71</v>
      </c>
      <c r="J148" s="20">
        <v>2652</v>
      </c>
      <c r="K148" s="21">
        <v>5812</v>
      </c>
      <c r="L148" s="21">
        <v>2995</v>
      </c>
      <c r="M148" s="21" t="s">
        <v>31</v>
      </c>
      <c r="N148" s="22">
        <v>10.8</v>
      </c>
      <c r="O148" s="23">
        <f t="shared" si="4"/>
        <v>239.46481481481482</v>
      </c>
      <c r="P148" s="24">
        <v>9.51</v>
      </c>
      <c r="Q148" s="38" t="s">
        <v>43</v>
      </c>
      <c r="R148" s="26" t="s">
        <v>33</v>
      </c>
      <c r="S148" s="26" t="s">
        <v>34</v>
      </c>
      <c r="T148" s="26"/>
      <c r="U148" s="39"/>
      <c r="V148" s="28">
        <f t="shared" si="5"/>
        <v>113</v>
      </c>
      <c r="W148" s="35"/>
    </row>
    <row r="149" spans="1:23" s="40" customFormat="1" ht="21" customHeight="1">
      <c r="A149" s="33"/>
      <c r="B149" s="31"/>
      <c r="C149" s="32"/>
      <c r="D149" s="18" t="s">
        <v>88</v>
      </c>
      <c r="E149" s="19" t="s">
        <v>41</v>
      </c>
      <c r="F149" s="20">
        <v>2.9990000000000001</v>
      </c>
      <c r="G149" s="19">
        <v>375</v>
      </c>
      <c r="H149" s="20">
        <v>110</v>
      </c>
      <c r="I149" s="19" t="s">
        <v>71</v>
      </c>
      <c r="J149" s="20">
        <v>2652</v>
      </c>
      <c r="K149" s="21">
        <v>5812</v>
      </c>
      <c r="L149" s="21">
        <v>2995</v>
      </c>
      <c r="M149" s="21" t="s">
        <v>31</v>
      </c>
      <c r="N149" s="22">
        <v>10.6</v>
      </c>
      <c r="O149" s="23">
        <f t="shared" si="4"/>
        <v>243.98301886792456</v>
      </c>
      <c r="P149" s="24">
        <v>9.51</v>
      </c>
      <c r="Q149" s="38" t="s">
        <v>63</v>
      </c>
      <c r="R149" s="26" t="s">
        <v>33</v>
      </c>
      <c r="S149" s="26" t="s">
        <v>34</v>
      </c>
      <c r="T149" s="26"/>
      <c r="U149" s="39"/>
      <c r="V149" s="28">
        <f t="shared" si="5"/>
        <v>111</v>
      </c>
      <c r="W149" s="35"/>
    </row>
    <row r="150" spans="1:23" s="40" customFormat="1" ht="21" customHeight="1">
      <c r="A150" s="33"/>
      <c r="B150" s="31"/>
      <c r="C150" s="32"/>
      <c r="D150" s="18" t="s">
        <v>88</v>
      </c>
      <c r="E150" s="19" t="s">
        <v>41</v>
      </c>
      <c r="F150" s="20">
        <v>2.9990000000000001</v>
      </c>
      <c r="G150" s="19">
        <v>375</v>
      </c>
      <c r="H150" s="20">
        <v>110</v>
      </c>
      <c r="I150" s="19" t="s">
        <v>71</v>
      </c>
      <c r="J150" s="20">
        <v>2979</v>
      </c>
      <c r="K150" s="21">
        <v>6893</v>
      </c>
      <c r="L150" s="21">
        <v>3749</v>
      </c>
      <c r="M150" s="21" t="s">
        <v>31</v>
      </c>
      <c r="N150" s="22">
        <v>9.1</v>
      </c>
      <c r="O150" s="23">
        <f t="shared" si="4"/>
        <v>284.2</v>
      </c>
      <c r="P150" s="24">
        <v>8.1199999999999992</v>
      </c>
      <c r="Q150" s="38" t="s">
        <v>43</v>
      </c>
      <c r="R150" s="26" t="s">
        <v>33</v>
      </c>
      <c r="S150" s="26" t="s">
        <v>34</v>
      </c>
      <c r="T150" s="26"/>
      <c r="U150" s="39"/>
      <c r="V150" s="28">
        <f t="shared" si="5"/>
        <v>112</v>
      </c>
      <c r="W150" s="35"/>
    </row>
    <row r="151" spans="1:23" s="40" customFormat="1" ht="21" customHeight="1">
      <c r="A151" s="30"/>
      <c r="B151" s="31"/>
      <c r="C151" s="32"/>
      <c r="D151" s="18" t="s">
        <v>88</v>
      </c>
      <c r="E151" s="19" t="s">
        <v>41</v>
      </c>
      <c r="F151" s="20">
        <v>2.9990000000000001</v>
      </c>
      <c r="G151" s="19">
        <v>375</v>
      </c>
      <c r="H151" s="20">
        <v>110</v>
      </c>
      <c r="I151" s="19" t="s">
        <v>71</v>
      </c>
      <c r="J151" s="20">
        <v>2979</v>
      </c>
      <c r="K151" s="21">
        <v>6893</v>
      </c>
      <c r="L151" s="21">
        <v>3749</v>
      </c>
      <c r="M151" s="21" t="s">
        <v>31</v>
      </c>
      <c r="N151" s="22">
        <v>9</v>
      </c>
      <c r="O151" s="23">
        <f t="shared" si="4"/>
        <v>287.35777777777776</v>
      </c>
      <c r="P151" s="24">
        <v>8.1199999999999992</v>
      </c>
      <c r="Q151" s="38" t="s">
        <v>43</v>
      </c>
      <c r="R151" s="26" t="s">
        <v>33</v>
      </c>
      <c r="S151" s="26" t="s">
        <v>34</v>
      </c>
      <c r="T151" s="26"/>
      <c r="U151" s="39"/>
      <c r="V151" s="28">
        <f t="shared" si="5"/>
        <v>110</v>
      </c>
      <c r="W151" s="29"/>
    </row>
    <row r="152" spans="1:23" s="40" customFormat="1" ht="21" customHeight="1">
      <c r="A152" s="34"/>
      <c r="B152" s="31"/>
      <c r="C152" s="32"/>
      <c r="D152" s="18" t="s">
        <v>89</v>
      </c>
      <c r="E152" s="19" t="s">
        <v>41</v>
      </c>
      <c r="F152" s="20">
        <v>2.9990000000000001</v>
      </c>
      <c r="G152" s="19">
        <v>375</v>
      </c>
      <c r="H152" s="20">
        <v>110</v>
      </c>
      <c r="I152" s="19" t="s">
        <v>70</v>
      </c>
      <c r="J152" s="20">
        <v>2356</v>
      </c>
      <c r="K152" s="21">
        <v>4521</v>
      </c>
      <c r="L152" s="21">
        <v>2000</v>
      </c>
      <c r="M152" s="21" t="s">
        <v>31</v>
      </c>
      <c r="N152" s="22">
        <v>11.8</v>
      </c>
      <c r="O152" s="23">
        <f t="shared" si="4"/>
        <v>219.17118644067796</v>
      </c>
      <c r="P152" s="24">
        <v>10.35</v>
      </c>
      <c r="Q152" s="38" t="s">
        <v>43</v>
      </c>
      <c r="R152" s="26" t="s">
        <v>33</v>
      </c>
      <c r="S152" s="26" t="s">
        <v>34</v>
      </c>
      <c r="T152" s="26"/>
      <c r="U152" s="39"/>
      <c r="V152" s="28">
        <f t="shared" si="5"/>
        <v>114</v>
      </c>
      <c r="W152" s="29"/>
    </row>
    <row r="153" spans="1:23" s="40" customFormat="1" ht="21" customHeight="1">
      <c r="A153" s="34"/>
      <c r="B153" s="31"/>
      <c r="C153" s="32"/>
      <c r="D153" s="18" t="s">
        <v>89</v>
      </c>
      <c r="E153" s="19" t="s">
        <v>41</v>
      </c>
      <c r="F153" s="20">
        <v>2.9990000000000001</v>
      </c>
      <c r="G153" s="19">
        <v>375</v>
      </c>
      <c r="H153" s="20">
        <v>110</v>
      </c>
      <c r="I153" s="19" t="s">
        <v>42</v>
      </c>
      <c r="J153" s="20">
        <v>2356</v>
      </c>
      <c r="K153" s="21">
        <v>4521</v>
      </c>
      <c r="L153" s="21">
        <v>2000</v>
      </c>
      <c r="M153" s="21" t="s">
        <v>31</v>
      </c>
      <c r="N153" s="22">
        <v>11.8</v>
      </c>
      <c r="O153" s="23">
        <f t="shared" si="4"/>
        <v>219.17118644067796</v>
      </c>
      <c r="P153" s="24">
        <v>10.35</v>
      </c>
      <c r="Q153" s="25" t="s">
        <v>63</v>
      </c>
      <c r="R153" s="26" t="s">
        <v>33</v>
      </c>
      <c r="S153" s="26" t="s">
        <v>34</v>
      </c>
      <c r="T153" s="26"/>
      <c r="U153" s="39"/>
      <c r="V153" s="28">
        <f t="shared" si="5"/>
        <v>114</v>
      </c>
      <c r="W153" s="29"/>
    </row>
    <row r="154" spans="1:23" s="40" customFormat="1" ht="21" customHeight="1">
      <c r="A154" s="34"/>
      <c r="B154" s="31"/>
      <c r="C154" s="32"/>
      <c r="D154" s="18" t="s">
        <v>89</v>
      </c>
      <c r="E154" s="19" t="s">
        <v>41</v>
      </c>
      <c r="F154" s="20">
        <v>2.9990000000000001</v>
      </c>
      <c r="G154" s="19">
        <v>375</v>
      </c>
      <c r="H154" s="20">
        <v>110</v>
      </c>
      <c r="I154" s="19" t="s">
        <v>70</v>
      </c>
      <c r="J154" s="20">
        <v>2356</v>
      </c>
      <c r="K154" s="21">
        <v>4521</v>
      </c>
      <c r="L154" s="21">
        <v>2000</v>
      </c>
      <c r="M154" s="21" t="s">
        <v>31</v>
      </c>
      <c r="N154" s="22">
        <v>11.4</v>
      </c>
      <c r="O154" s="23">
        <f t="shared" si="4"/>
        <v>226.8614035087719</v>
      </c>
      <c r="P154" s="24">
        <v>10.35</v>
      </c>
      <c r="Q154" s="25" t="s">
        <v>63</v>
      </c>
      <c r="R154" s="26" t="s">
        <v>33</v>
      </c>
      <c r="S154" s="26" t="s">
        <v>34</v>
      </c>
      <c r="T154" s="26"/>
      <c r="U154" s="39"/>
      <c r="V154" s="28">
        <f t="shared" si="5"/>
        <v>110</v>
      </c>
      <c r="W154" s="29"/>
    </row>
    <row r="155" spans="1:23" s="40" customFormat="1" ht="21" customHeight="1">
      <c r="A155" s="34"/>
      <c r="B155" s="31"/>
      <c r="C155" s="32"/>
      <c r="D155" s="18" t="s">
        <v>90</v>
      </c>
      <c r="E155" s="19" t="s">
        <v>41</v>
      </c>
      <c r="F155" s="20">
        <v>2.9990000000000001</v>
      </c>
      <c r="G155" s="19">
        <v>375</v>
      </c>
      <c r="H155" s="20">
        <v>110</v>
      </c>
      <c r="I155" s="19" t="s">
        <v>70</v>
      </c>
      <c r="J155" s="20">
        <v>2356</v>
      </c>
      <c r="K155" s="21">
        <v>4521</v>
      </c>
      <c r="L155" s="21">
        <v>2000</v>
      </c>
      <c r="M155" s="21" t="s">
        <v>31</v>
      </c>
      <c r="N155" s="22">
        <v>11.8</v>
      </c>
      <c r="O155" s="23">
        <f t="shared" si="4"/>
        <v>219.17118644067796</v>
      </c>
      <c r="P155" s="24">
        <v>10.35</v>
      </c>
      <c r="Q155" s="25" t="s">
        <v>43</v>
      </c>
      <c r="R155" s="26" t="s">
        <v>33</v>
      </c>
      <c r="S155" s="26" t="s">
        <v>34</v>
      </c>
      <c r="T155" s="26"/>
      <c r="U155" s="39"/>
      <c r="V155" s="28">
        <f t="shared" si="5"/>
        <v>114</v>
      </c>
      <c r="W155" s="29"/>
    </row>
    <row r="156" spans="1:23" s="40" customFormat="1" ht="21" customHeight="1">
      <c r="A156" s="34"/>
      <c r="B156" s="31"/>
      <c r="C156" s="32"/>
      <c r="D156" s="18" t="s">
        <v>90</v>
      </c>
      <c r="E156" s="19" t="s">
        <v>41</v>
      </c>
      <c r="F156" s="20">
        <v>2.9990000000000001</v>
      </c>
      <c r="G156" s="19">
        <v>375</v>
      </c>
      <c r="H156" s="20">
        <v>110</v>
      </c>
      <c r="I156" s="19" t="s">
        <v>42</v>
      </c>
      <c r="J156" s="20">
        <v>2356</v>
      </c>
      <c r="K156" s="21">
        <v>4521</v>
      </c>
      <c r="L156" s="21">
        <v>2000</v>
      </c>
      <c r="M156" s="21" t="s">
        <v>31</v>
      </c>
      <c r="N156" s="22">
        <v>11.8</v>
      </c>
      <c r="O156" s="23">
        <f t="shared" si="4"/>
        <v>219.17118644067796</v>
      </c>
      <c r="P156" s="24">
        <v>10.35</v>
      </c>
      <c r="Q156" s="25" t="s">
        <v>63</v>
      </c>
      <c r="R156" s="26" t="s">
        <v>33</v>
      </c>
      <c r="S156" s="26" t="s">
        <v>34</v>
      </c>
      <c r="T156" s="26"/>
      <c r="U156" s="39"/>
      <c r="V156" s="28">
        <f t="shared" si="5"/>
        <v>114</v>
      </c>
      <c r="W156" s="29"/>
    </row>
    <row r="157" spans="1:23" s="40" customFormat="1" ht="21" customHeight="1">
      <c r="A157" s="34"/>
      <c r="B157" s="31"/>
      <c r="C157" s="32"/>
      <c r="D157" s="18" t="s">
        <v>90</v>
      </c>
      <c r="E157" s="19" t="s">
        <v>41</v>
      </c>
      <c r="F157" s="20">
        <v>2.9990000000000001</v>
      </c>
      <c r="G157" s="19">
        <v>375</v>
      </c>
      <c r="H157" s="20">
        <v>110</v>
      </c>
      <c r="I157" s="19" t="s">
        <v>70</v>
      </c>
      <c r="J157" s="20">
        <v>2356</v>
      </c>
      <c r="K157" s="21">
        <v>4521</v>
      </c>
      <c r="L157" s="21">
        <v>2000</v>
      </c>
      <c r="M157" s="21" t="s">
        <v>31</v>
      </c>
      <c r="N157" s="22">
        <v>11.4</v>
      </c>
      <c r="O157" s="23">
        <f t="shared" si="4"/>
        <v>226.8614035087719</v>
      </c>
      <c r="P157" s="24">
        <v>10.35</v>
      </c>
      <c r="Q157" s="25" t="s">
        <v>63</v>
      </c>
      <c r="R157" s="26" t="s">
        <v>33</v>
      </c>
      <c r="S157" s="26" t="s">
        <v>34</v>
      </c>
      <c r="T157" s="26"/>
      <c r="U157" s="39"/>
      <c r="V157" s="28">
        <f t="shared" si="5"/>
        <v>110</v>
      </c>
      <c r="W157" s="29"/>
    </row>
    <row r="158" spans="1:23" s="40" customFormat="1" ht="21" customHeight="1">
      <c r="A158" s="33"/>
      <c r="B158" s="31"/>
      <c r="C158" s="32"/>
      <c r="D158" s="18" t="s">
        <v>91</v>
      </c>
      <c r="E158" s="19" t="s">
        <v>41</v>
      </c>
      <c r="F158" s="20">
        <v>2.9990000000000001</v>
      </c>
      <c r="G158" s="19">
        <v>375</v>
      </c>
      <c r="H158" s="20">
        <v>110</v>
      </c>
      <c r="I158" s="19" t="s">
        <v>70</v>
      </c>
      <c r="J158" s="20">
        <v>2356</v>
      </c>
      <c r="K158" s="21">
        <v>4521</v>
      </c>
      <c r="L158" s="21">
        <v>2000</v>
      </c>
      <c r="M158" s="21" t="s">
        <v>31</v>
      </c>
      <c r="N158" s="22">
        <v>11.8</v>
      </c>
      <c r="O158" s="23">
        <f t="shared" si="4"/>
        <v>219.17118644067796</v>
      </c>
      <c r="P158" s="24">
        <v>10.35</v>
      </c>
      <c r="Q158" s="25" t="s">
        <v>43</v>
      </c>
      <c r="R158" s="26" t="s">
        <v>33</v>
      </c>
      <c r="S158" s="26" t="s">
        <v>34</v>
      </c>
      <c r="T158" s="26"/>
      <c r="U158" s="39"/>
      <c r="V158" s="28">
        <f t="shared" si="5"/>
        <v>114</v>
      </c>
      <c r="W158" s="35"/>
    </row>
    <row r="159" spans="1:23" s="40" customFormat="1" ht="21" customHeight="1">
      <c r="A159" s="33"/>
      <c r="B159" s="31"/>
      <c r="C159" s="32"/>
      <c r="D159" s="18" t="s">
        <v>91</v>
      </c>
      <c r="E159" s="19" t="s">
        <v>41</v>
      </c>
      <c r="F159" s="20">
        <v>2.9990000000000001</v>
      </c>
      <c r="G159" s="19">
        <v>375</v>
      </c>
      <c r="H159" s="20">
        <v>110</v>
      </c>
      <c r="I159" s="19" t="s">
        <v>71</v>
      </c>
      <c r="J159" s="20">
        <v>2356</v>
      </c>
      <c r="K159" s="21">
        <v>4521</v>
      </c>
      <c r="L159" s="21">
        <v>2000</v>
      </c>
      <c r="M159" s="21" t="s">
        <v>31</v>
      </c>
      <c r="N159" s="22">
        <v>11.8</v>
      </c>
      <c r="O159" s="23">
        <f t="shared" si="4"/>
        <v>219.17118644067796</v>
      </c>
      <c r="P159" s="24">
        <v>10.35</v>
      </c>
      <c r="Q159" s="25" t="s">
        <v>43</v>
      </c>
      <c r="R159" s="26" t="s">
        <v>33</v>
      </c>
      <c r="S159" s="26" t="s">
        <v>34</v>
      </c>
      <c r="T159" s="26"/>
      <c r="U159" s="39"/>
      <c r="V159" s="28">
        <f t="shared" si="5"/>
        <v>114</v>
      </c>
      <c r="W159" s="35"/>
    </row>
    <row r="160" spans="1:23" s="29" customFormat="1" ht="21" customHeight="1">
      <c r="A160" s="33"/>
      <c r="B160" s="31"/>
      <c r="C160" s="32"/>
      <c r="D160" s="18" t="s">
        <v>91</v>
      </c>
      <c r="E160" s="19" t="s">
        <v>41</v>
      </c>
      <c r="F160" s="20">
        <v>2.9990000000000001</v>
      </c>
      <c r="G160" s="19">
        <v>375</v>
      </c>
      <c r="H160" s="20">
        <v>110</v>
      </c>
      <c r="I160" s="19" t="s">
        <v>70</v>
      </c>
      <c r="J160" s="20">
        <v>2356</v>
      </c>
      <c r="K160" s="21">
        <v>4521</v>
      </c>
      <c r="L160" s="21">
        <v>2000</v>
      </c>
      <c r="M160" s="21" t="s">
        <v>31</v>
      </c>
      <c r="N160" s="22">
        <v>11.4</v>
      </c>
      <c r="O160" s="23">
        <f t="shared" si="4"/>
        <v>226.8614035087719</v>
      </c>
      <c r="P160" s="24">
        <v>10.35</v>
      </c>
      <c r="Q160" s="25" t="s">
        <v>63</v>
      </c>
      <c r="R160" s="26" t="s">
        <v>33</v>
      </c>
      <c r="S160" s="26" t="s">
        <v>34</v>
      </c>
      <c r="T160" s="26"/>
      <c r="U160" s="27"/>
      <c r="V160" s="28">
        <f t="shared" si="5"/>
        <v>110</v>
      </c>
      <c r="W160" s="35"/>
    </row>
    <row r="161" spans="1:23" s="29" customFormat="1" ht="21" customHeight="1">
      <c r="A161" s="33"/>
      <c r="B161" s="31"/>
      <c r="C161" s="32"/>
      <c r="D161" s="18" t="s">
        <v>91</v>
      </c>
      <c r="E161" s="19" t="s">
        <v>41</v>
      </c>
      <c r="F161" s="20">
        <v>2.9990000000000001</v>
      </c>
      <c r="G161" s="19">
        <v>375</v>
      </c>
      <c r="H161" s="20">
        <v>110</v>
      </c>
      <c r="I161" s="19" t="s">
        <v>71</v>
      </c>
      <c r="J161" s="20">
        <v>2356</v>
      </c>
      <c r="K161" s="21">
        <v>4521</v>
      </c>
      <c r="L161" s="21">
        <v>2000</v>
      </c>
      <c r="M161" s="21" t="s">
        <v>31</v>
      </c>
      <c r="N161" s="22">
        <v>11.4</v>
      </c>
      <c r="O161" s="23">
        <f t="shared" si="4"/>
        <v>226.8614035087719</v>
      </c>
      <c r="P161" s="24">
        <v>10.35</v>
      </c>
      <c r="Q161" s="25" t="s">
        <v>63</v>
      </c>
      <c r="R161" s="26" t="s">
        <v>33</v>
      </c>
      <c r="S161" s="26" t="s">
        <v>34</v>
      </c>
      <c r="T161" s="26"/>
      <c r="U161" s="27"/>
      <c r="V161" s="28">
        <f t="shared" si="5"/>
        <v>110</v>
      </c>
      <c r="W161" s="35"/>
    </row>
    <row r="162" spans="1:23" s="29" customFormat="1" ht="21" customHeight="1">
      <c r="A162" s="33"/>
      <c r="B162" s="31"/>
      <c r="C162" s="32"/>
      <c r="D162" s="18" t="s">
        <v>92</v>
      </c>
      <c r="E162" s="19" t="s">
        <v>41</v>
      </c>
      <c r="F162" s="20">
        <v>2.9990000000000001</v>
      </c>
      <c r="G162" s="19">
        <v>375</v>
      </c>
      <c r="H162" s="20">
        <v>110</v>
      </c>
      <c r="I162" s="19" t="s">
        <v>70</v>
      </c>
      <c r="J162" s="20">
        <v>2356</v>
      </c>
      <c r="K162" s="21">
        <v>4521</v>
      </c>
      <c r="L162" s="21">
        <v>2000</v>
      </c>
      <c r="M162" s="21" t="s">
        <v>31</v>
      </c>
      <c r="N162" s="22">
        <v>11.8</v>
      </c>
      <c r="O162" s="23">
        <f t="shared" si="4"/>
        <v>219.17118644067796</v>
      </c>
      <c r="P162" s="24">
        <v>10.35</v>
      </c>
      <c r="Q162" s="25" t="s">
        <v>43</v>
      </c>
      <c r="R162" s="26" t="s">
        <v>33</v>
      </c>
      <c r="S162" s="26" t="s">
        <v>34</v>
      </c>
      <c r="T162" s="26"/>
      <c r="U162" s="27"/>
      <c r="V162" s="28">
        <f t="shared" si="5"/>
        <v>114</v>
      </c>
      <c r="W162" s="35"/>
    </row>
    <row r="163" spans="1:23" s="29" customFormat="1" ht="21" customHeight="1">
      <c r="A163" s="33"/>
      <c r="B163" s="31"/>
      <c r="C163" s="32"/>
      <c r="D163" s="18" t="s">
        <v>92</v>
      </c>
      <c r="E163" s="19" t="s">
        <v>41</v>
      </c>
      <c r="F163" s="20">
        <v>2.9990000000000001</v>
      </c>
      <c r="G163" s="19">
        <v>375</v>
      </c>
      <c r="H163" s="20">
        <v>110</v>
      </c>
      <c r="I163" s="19" t="s">
        <v>71</v>
      </c>
      <c r="J163" s="20">
        <v>2356</v>
      </c>
      <c r="K163" s="21">
        <v>4521</v>
      </c>
      <c r="L163" s="21">
        <v>2000</v>
      </c>
      <c r="M163" s="21" t="s">
        <v>31</v>
      </c>
      <c r="N163" s="22">
        <v>11.8</v>
      </c>
      <c r="O163" s="23">
        <f t="shared" si="4"/>
        <v>219.17118644067796</v>
      </c>
      <c r="P163" s="24">
        <v>10.35</v>
      </c>
      <c r="Q163" s="25" t="s">
        <v>43</v>
      </c>
      <c r="R163" s="26" t="s">
        <v>33</v>
      </c>
      <c r="S163" s="26" t="s">
        <v>34</v>
      </c>
      <c r="T163" s="26"/>
      <c r="U163" s="27"/>
      <c r="V163" s="28">
        <f t="shared" si="5"/>
        <v>114</v>
      </c>
      <c r="W163" s="35"/>
    </row>
    <row r="164" spans="1:23" s="29" customFormat="1" ht="21" customHeight="1">
      <c r="A164" s="33"/>
      <c r="B164" s="31"/>
      <c r="C164" s="32"/>
      <c r="D164" s="18" t="s">
        <v>92</v>
      </c>
      <c r="E164" s="19" t="s">
        <v>41</v>
      </c>
      <c r="F164" s="20">
        <v>2.9990000000000001</v>
      </c>
      <c r="G164" s="19">
        <v>375</v>
      </c>
      <c r="H164" s="20">
        <v>110</v>
      </c>
      <c r="I164" s="19" t="s">
        <v>70</v>
      </c>
      <c r="J164" s="20">
        <v>2356</v>
      </c>
      <c r="K164" s="21">
        <v>4521</v>
      </c>
      <c r="L164" s="21">
        <v>2000</v>
      </c>
      <c r="M164" s="21" t="s">
        <v>31</v>
      </c>
      <c r="N164" s="22">
        <v>11.4</v>
      </c>
      <c r="O164" s="23">
        <f t="shared" si="4"/>
        <v>226.8614035087719</v>
      </c>
      <c r="P164" s="24">
        <v>10.35</v>
      </c>
      <c r="Q164" s="25" t="s">
        <v>63</v>
      </c>
      <c r="R164" s="26" t="s">
        <v>33</v>
      </c>
      <c r="S164" s="26" t="s">
        <v>34</v>
      </c>
      <c r="T164" s="26"/>
      <c r="U164" s="27"/>
      <c r="V164" s="28">
        <f t="shared" si="5"/>
        <v>110</v>
      </c>
      <c r="W164" s="35"/>
    </row>
    <row r="165" spans="1:23" s="29" customFormat="1" ht="21" customHeight="1">
      <c r="A165" s="33"/>
      <c r="B165" s="31"/>
      <c r="C165" s="32"/>
      <c r="D165" s="18" t="s">
        <v>92</v>
      </c>
      <c r="E165" s="19" t="s">
        <v>41</v>
      </c>
      <c r="F165" s="20">
        <v>2.9990000000000001</v>
      </c>
      <c r="G165" s="19">
        <v>375</v>
      </c>
      <c r="H165" s="20">
        <v>110</v>
      </c>
      <c r="I165" s="19" t="s">
        <v>71</v>
      </c>
      <c r="J165" s="20">
        <v>2356</v>
      </c>
      <c r="K165" s="21">
        <v>4521</v>
      </c>
      <c r="L165" s="21">
        <v>2000</v>
      </c>
      <c r="M165" s="21" t="s">
        <v>31</v>
      </c>
      <c r="N165" s="22">
        <v>11.4</v>
      </c>
      <c r="O165" s="23">
        <f t="shared" si="4"/>
        <v>226.8614035087719</v>
      </c>
      <c r="P165" s="24">
        <v>10.35</v>
      </c>
      <c r="Q165" s="25" t="s">
        <v>63</v>
      </c>
      <c r="R165" s="26" t="s">
        <v>33</v>
      </c>
      <c r="S165" s="26" t="s">
        <v>34</v>
      </c>
      <c r="T165" s="26"/>
      <c r="U165" s="27"/>
      <c r="V165" s="28">
        <f t="shared" si="5"/>
        <v>110</v>
      </c>
      <c r="W165" s="35"/>
    </row>
    <row r="166" spans="1:23" s="29" customFormat="1" ht="21" customHeight="1">
      <c r="A166" s="33"/>
      <c r="B166" s="31"/>
      <c r="C166" s="32"/>
      <c r="D166" s="18" t="s">
        <v>93</v>
      </c>
      <c r="E166" s="19" t="s">
        <v>41</v>
      </c>
      <c r="F166" s="20">
        <v>2.9990000000000001</v>
      </c>
      <c r="G166" s="19">
        <v>375</v>
      </c>
      <c r="H166" s="20">
        <v>110</v>
      </c>
      <c r="I166" s="19" t="s">
        <v>70</v>
      </c>
      <c r="J166" s="20">
        <v>2356</v>
      </c>
      <c r="K166" s="21">
        <v>4521</v>
      </c>
      <c r="L166" s="21">
        <v>2000</v>
      </c>
      <c r="M166" s="21" t="s">
        <v>31</v>
      </c>
      <c r="N166" s="22">
        <v>11.8</v>
      </c>
      <c r="O166" s="23">
        <f t="shared" si="4"/>
        <v>219.17118644067796</v>
      </c>
      <c r="P166" s="24">
        <v>10.35</v>
      </c>
      <c r="Q166" s="25" t="s">
        <v>43</v>
      </c>
      <c r="R166" s="26" t="s">
        <v>33</v>
      </c>
      <c r="S166" s="26" t="s">
        <v>34</v>
      </c>
      <c r="T166" s="26"/>
      <c r="U166" s="27"/>
      <c r="V166" s="28">
        <f t="shared" si="5"/>
        <v>114</v>
      </c>
      <c r="W166" s="35"/>
    </row>
    <row r="167" spans="1:23" s="29" customFormat="1" ht="21" customHeight="1">
      <c r="A167" s="33"/>
      <c r="B167" s="31"/>
      <c r="C167" s="32"/>
      <c r="D167" s="18" t="s">
        <v>93</v>
      </c>
      <c r="E167" s="19" t="s">
        <v>41</v>
      </c>
      <c r="F167" s="20">
        <v>2.9990000000000001</v>
      </c>
      <c r="G167" s="19">
        <v>375</v>
      </c>
      <c r="H167" s="20">
        <v>110</v>
      </c>
      <c r="I167" s="19" t="s">
        <v>71</v>
      </c>
      <c r="J167" s="20">
        <v>2356</v>
      </c>
      <c r="K167" s="21">
        <v>4521</v>
      </c>
      <c r="L167" s="21">
        <v>2000</v>
      </c>
      <c r="M167" s="21" t="s">
        <v>31</v>
      </c>
      <c r="N167" s="22">
        <v>11.8</v>
      </c>
      <c r="O167" s="23">
        <f t="shared" si="4"/>
        <v>219.17118644067796</v>
      </c>
      <c r="P167" s="24">
        <v>10.35</v>
      </c>
      <c r="Q167" s="25" t="s">
        <v>43</v>
      </c>
      <c r="R167" s="26" t="s">
        <v>33</v>
      </c>
      <c r="S167" s="26" t="s">
        <v>34</v>
      </c>
      <c r="T167" s="26"/>
      <c r="U167" s="27"/>
      <c r="V167" s="28">
        <f t="shared" si="5"/>
        <v>114</v>
      </c>
      <c r="W167" s="35"/>
    </row>
    <row r="168" spans="1:23" s="29" customFormat="1" ht="21" customHeight="1">
      <c r="A168" s="33"/>
      <c r="B168" s="31"/>
      <c r="C168" s="32"/>
      <c r="D168" s="18" t="s">
        <v>93</v>
      </c>
      <c r="E168" s="19" t="s">
        <v>41</v>
      </c>
      <c r="F168" s="20">
        <v>2.9990000000000001</v>
      </c>
      <c r="G168" s="19">
        <v>375</v>
      </c>
      <c r="H168" s="20">
        <v>110</v>
      </c>
      <c r="I168" s="19" t="s">
        <v>70</v>
      </c>
      <c r="J168" s="20">
        <v>2356</v>
      </c>
      <c r="K168" s="21">
        <v>4521</v>
      </c>
      <c r="L168" s="21">
        <v>2000</v>
      </c>
      <c r="M168" s="21" t="s">
        <v>31</v>
      </c>
      <c r="N168" s="22">
        <v>11.4</v>
      </c>
      <c r="O168" s="23">
        <f t="shared" si="4"/>
        <v>226.8614035087719</v>
      </c>
      <c r="P168" s="24">
        <v>10.35</v>
      </c>
      <c r="Q168" s="25" t="s">
        <v>63</v>
      </c>
      <c r="R168" s="26" t="s">
        <v>33</v>
      </c>
      <c r="S168" s="26" t="s">
        <v>34</v>
      </c>
      <c r="T168" s="26"/>
      <c r="U168" s="27"/>
      <c r="V168" s="28">
        <f t="shared" si="5"/>
        <v>110</v>
      </c>
      <c r="W168" s="35"/>
    </row>
    <row r="169" spans="1:23" s="29" customFormat="1" ht="21" customHeight="1">
      <c r="A169" s="33"/>
      <c r="B169" s="31"/>
      <c r="C169" s="32"/>
      <c r="D169" s="18" t="s">
        <v>93</v>
      </c>
      <c r="E169" s="19" t="s">
        <v>41</v>
      </c>
      <c r="F169" s="20">
        <v>2.9990000000000001</v>
      </c>
      <c r="G169" s="19">
        <v>375</v>
      </c>
      <c r="H169" s="20">
        <v>110</v>
      </c>
      <c r="I169" s="19" t="s">
        <v>71</v>
      </c>
      <c r="J169" s="20">
        <v>2356</v>
      </c>
      <c r="K169" s="21">
        <v>4521</v>
      </c>
      <c r="L169" s="21">
        <v>2000</v>
      </c>
      <c r="M169" s="21" t="s">
        <v>31</v>
      </c>
      <c r="N169" s="22">
        <v>11.4</v>
      </c>
      <c r="O169" s="23">
        <f t="shared" si="4"/>
        <v>226.8614035087719</v>
      </c>
      <c r="P169" s="24">
        <v>10.35</v>
      </c>
      <c r="Q169" s="25" t="s">
        <v>63</v>
      </c>
      <c r="R169" s="26" t="s">
        <v>33</v>
      </c>
      <c r="S169" s="26" t="s">
        <v>34</v>
      </c>
      <c r="T169" s="26"/>
      <c r="U169" s="27"/>
      <c r="V169" s="28">
        <f t="shared" si="5"/>
        <v>110</v>
      </c>
      <c r="W169" s="35"/>
    </row>
    <row r="170" spans="1:23" s="29" customFormat="1" ht="21" customHeight="1">
      <c r="A170" s="34"/>
      <c r="B170" s="36"/>
      <c r="C170" s="32"/>
      <c r="D170" s="18" t="s">
        <v>94</v>
      </c>
      <c r="E170" s="19" t="s">
        <v>41</v>
      </c>
      <c r="F170" s="20">
        <v>2.9990000000000001</v>
      </c>
      <c r="G170" s="19">
        <v>375</v>
      </c>
      <c r="H170" s="20">
        <v>110</v>
      </c>
      <c r="I170" s="19" t="s">
        <v>70</v>
      </c>
      <c r="J170" s="20">
        <v>2356</v>
      </c>
      <c r="K170" s="21">
        <v>4521</v>
      </c>
      <c r="L170" s="21">
        <v>2000</v>
      </c>
      <c r="M170" s="21" t="s">
        <v>31</v>
      </c>
      <c r="N170" s="22">
        <v>11.8</v>
      </c>
      <c r="O170" s="23">
        <f t="shared" si="4"/>
        <v>219.17118644067796</v>
      </c>
      <c r="P170" s="24">
        <v>10.35</v>
      </c>
      <c r="Q170" s="25" t="s">
        <v>43</v>
      </c>
      <c r="R170" s="26" t="s">
        <v>33</v>
      </c>
      <c r="S170" s="26" t="s">
        <v>66</v>
      </c>
      <c r="T170" s="26"/>
      <c r="U170" s="27"/>
      <c r="V170" s="28">
        <f t="shared" si="5"/>
        <v>114</v>
      </c>
    </row>
    <row r="171" spans="1:23" s="29" customFormat="1" ht="21" customHeight="1">
      <c r="A171" s="34"/>
      <c r="B171" s="36"/>
      <c r="C171" s="32"/>
      <c r="D171" s="18" t="s">
        <v>94</v>
      </c>
      <c r="E171" s="19" t="s">
        <v>41</v>
      </c>
      <c r="F171" s="20">
        <v>2.9990000000000001</v>
      </c>
      <c r="G171" s="19">
        <v>375</v>
      </c>
      <c r="H171" s="20">
        <v>110</v>
      </c>
      <c r="I171" s="19" t="s">
        <v>70</v>
      </c>
      <c r="J171" s="20">
        <v>2356</v>
      </c>
      <c r="K171" s="21">
        <v>4521</v>
      </c>
      <c r="L171" s="21">
        <v>2000</v>
      </c>
      <c r="M171" s="21" t="s">
        <v>31</v>
      </c>
      <c r="N171" s="22">
        <v>11.4</v>
      </c>
      <c r="O171" s="23">
        <f t="shared" si="4"/>
        <v>226.8614035087719</v>
      </c>
      <c r="P171" s="24">
        <v>10.35</v>
      </c>
      <c r="Q171" s="25" t="s">
        <v>63</v>
      </c>
      <c r="R171" s="26" t="s">
        <v>33</v>
      </c>
      <c r="S171" s="26" t="s">
        <v>66</v>
      </c>
      <c r="T171" s="26"/>
      <c r="U171" s="27"/>
      <c r="V171" s="28">
        <f t="shared" si="5"/>
        <v>110</v>
      </c>
    </row>
    <row r="172" spans="1:23" s="29" customFormat="1" ht="21" customHeight="1">
      <c r="A172" s="34"/>
      <c r="B172" s="36"/>
      <c r="C172" s="32"/>
      <c r="D172" s="18" t="s">
        <v>95</v>
      </c>
      <c r="E172" s="19" t="s">
        <v>41</v>
      </c>
      <c r="F172" s="20">
        <v>2.9990000000000001</v>
      </c>
      <c r="G172" s="19">
        <v>375</v>
      </c>
      <c r="H172" s="20">
        <v>110</v>
      </c>
      <c r="I172" s="19" t="s">
        <v>70</v>
      </c>
      <c r="J172" s="20">
        <v>2356</v>
      </c>
      <c r="K172" s="21">
        <v>4521</v>
      </c>
      <c r="L172" s="21">
        <v>2000</v>
      </c>
      <c r="M172" s="21" t="s">
        <v>31</v>
      </c>
      <c r="N172" s="22">
        <v>11.8</v>
      </c>
      <c r="O172" s="23">
        <f t="shared" si="4"/>
        <v>219.17118644067796</v>
      </c>
      <c r="P172" s="24">
        <v>10.35</v>
      </c>
      <c r="Q172" s="25" t="s">
        <v>43</v>
      </c>
      <c r="R172" s="26" t="s">
        <v>33</v>
      </c>
      <c r="S172" s="26" t="s">
        <v>66</v>
      </c>
      <c r="T172" s="26"/>
      <c r="U172" s="27"/>
      <c r="V172" s="28">
        <f t="shared" si="5"/>
        <v>114</v>
      </c>
    </row>
    <row r="173" spans="1:23" s="40" customFormat="1" ht="21" customHeight="1">
      <c r="A173" s="34"/>
      <c r="B173" s="36"/>
      <c r="C173" s="32"/>
      <c r="D173" s="18" t="s">
        <v>95</v>
      </c>
      <c r="E173" s="19" t="s">
        <v>41</v>
      </c>
      <c r="F173" s="20">
        <v>2.9990000000000001</v>
      </c>
      <c r="G173" s="19">
        <v>375</v>
      </c>
      <c r="H173" s="20">
        <v>110</v>
      </c>
      <c r="I173" s="19" t="s">
        <v>70</v>
      </c>
      <c r="J173" s="20">
        <v>2356</v>
      </c>
      <c r="K173" s="21">
        <v>4521</v>
      </c>
      <c r="L173" s="21">
        <v>2000</v>
      </c>
      <c r="M173" s="21" t="s">
        <v>31</v>
      </c>
      <c r="N173" s="22">
        <v>11.4</v>
      </c>
      <c r="O173" s="23">
        <f t="shared" si="4"/>
        <v>226.8614035087719</v>
      </c>
      <c r="P173" s="24">
        <v>10.35</v>
      </c>
      <c r="Q173" s="25" t="s">
        <v>63</v>
      </c>
      <c r="R173" s="26" t="s">
        <v>33</v>
      </c>
      <c r="S173" s="26" t="s">
        <v>66</v>
      </c>
      <c r="T173" s="26"/>
      <c r="U173" s="39"/>
      <c r="V173" s="28">
        <f t="shared" si="5"/>
        <v>110</v>
      </c>
      <c r="W173" s="29"/>
    </row>
    <row r="174" spans="1:23" s="40" customFormat="1" ht="21" customHeight="1">
      <c r="A174" s="34"/>
      <c r="B174" s="31"/>
      <c r="C174" s="32"/>
      <c r="D174" s="18" t="s">
        <v>96</v>
      </c>
      <c r="E174" s="19" t="s">
        <v>41</v>
      </c>
      <c r="F174" s="20">
        <v>2.9990000000000001</v>
      </c>
      <c r="G174" s="19">
        <v>375</v>
      </c>
      <c r="H174" s="20">
        <v>110</v>
      </c>
      <c r="I174" s="19" t="s">
        <v>71</v>
      </c>
      <c r="J174" s="20">
        <v>2356</v>
      </c>
      <c r="K174" s="21">
        <v>4521</v>
      </c>
      <c r="L174" s="21">
        <v>2000</v>
      </c>
      <c r="M174" s="21" t="s">
        <v>31</v>
      </c>
      <c r="N174" s="22">
        <v>11.8</v>
      </c>
      <c r="O174" s="23">
        <f t="shared" si="4"/>
        <v>219.17118644067796</v>
      </c>
      <c r="P174" s="24">
        <v>10.35</v>
      </c>
      <c r="Q174" s="25" t="s">
        <v>43</v>
      </c>
      <c r="R174" s="26" t="s">
        <v>33</v>
      </c>
      <c r="S174" s="26" t="s">
        <v>34</v>
      </c>
      <c r="T174" s="26"/>
      <c r="U174" s="39"/>
      <c r="V174" s="28">
        <f t="shared" si="5"/>
        <v>114</v>
      </c>
      <c r="W174" s="29"/>
    </row>
    <row r="175" spans="1:23" s="40" customFormat="1" ht="21" customHeight="1">
      <c r="A175" s="34"/>
      <c r="B175" s="31"/>
      <c r="C175" s="32"/>
      <c r="D175" s="18" t="s">
        <v>96</v>
      </c>
      <c r="E175" s="19" t="s">
        <v>41</v>
      </c>
      <c r="F175" s="20">
        <v>2.9990000000000001</v>
      </c>
      <c r="G175" s="19">
        <v>375</v>
      </c>
      <c r="H175" s="20">
        <v>110</v>
      </c>
      <c r="I175" s="19" t="s">
        <v>42</v>
      </c>
      <c r="J175" s="20">
        <v>2356</v>
      </c>
      <c r="K175" s="21">
        <v>4521</v>
      </c>
      <c r="L175" s="21">
        <v>2000</v>
      </c>
      <c r="M175" s="21" t="s">
        <v>31</v>
      </c>
      <c r="N175" s="22">
        <v>11.8</v>
      </c>
      <c r="O175" s="23">
        <f t="shared" si="4"/>
        <v>219.17118644067796</v>
      </c>
      <c r="P175" s="24">
        <v>10.35</v>
      </c>
      <c r="Q175" s="25" t="s">
        <v>63</v>
      </c>
      <c r="R175" s="26" t="s">
        <v>33</v>
      </c>
      <c r="S175" s="26" t="s">
        <v>34</v>
      </c>
      <c r="T175" s="26"/>
      <c r="U175" s="39"/>
      <c r="V175" s="28">
        <f t="shared" si="5"/>
        <v>114</v>
      </c>
      <c r="W175" s="29"/>
    </row>
    <row r="176" spans="1:23" s="40" customFormat="1" ht="21" customHeight="1">
      <c r="A176" s="34"/>
      <c r="B176" s="31"/>
      <c r="C176" s="32"/>
      <c r="D176" s="18" t="s">
        <v>96</v>
      </c>
      <c r="E176" s="19" t="s">
        <v>41</v>
      </c>
      <c r="F176" s="20">
        <v>2.9990000000000001</v>
      </c>
      <c r="G176" s="19">
        <v>375</v>
      </c>
      <c r="H176" s="20">
        <v>110</v>
      </c>
      <c r="I176" s="19" t="s">
        <v>71</v>
      </c>
      <c r="J176" s="20">
        <v>2356</v>
      </c>
      <c r="K176" s="21">
        <v>4521</v>
      </c>
      <c r="L176" s="21">
        <v>2000</v>
      </c>
      <c r="M176" s="21" t="s">
        <v>31</v>
      </c>
      <c r="N176" s="22">
        <v>11.4</v>
      </c>
      <c r="O176" s="23">
        <f t="shared" si="4"/>
        <v>226.8614035087719</v>
      </c>
      <c r="P176" s="24">
        <v>10.35</v>
      </c>
      <c r="Q176" s="25" t="s">
        <v>63</v>
      </c>
      <c r="R176" s="26" t="s">
        <v>33</v>
      </c>
      <c r="S176" s="26" t="s">
        <v>34</v>
      </c>
      <c r="T176" s="26"/>
      <c r="U176" s="39"/>
      <c r="V176" s="28">
        <f t="shared" si="5"/>
        <v>110</v>
      </c>
      <c r="W176" s="29"/>
    </row>
    <row r="177" spans="1:23" s="40" customFormat="1" ht="21" customHeight="1">
      <c r="A177" s="34"/>
      <c r="B177" s="31"/>
      <c r="C177" s="32"/>
      <c r="D177" s="18" t="s">
        <v>96</v>
      </c>
      <c r="E177" s="19" t="s">
        <v>41</v>
      </c>
      <c r="F177" s="20">
        <v>2.9990000000000001</v>
      </c>
      <c r="G177" s="19">
        <v>375</v>
      </c>
      <c r="H177" s="20">
        <v>110</v>
      </c>
      <c r="I177" s="19" t="s">
        <v>71</v>
      </c>
      <c r="J177" s="20">
        <v>2652</v>
      </c>
      <c r="K177" s="21">
        <v>5812</v>
      </c>
      <c r="L177" s="21">
        <v>2995</v>
      </c>
      <c r="M177" s="21" t="s">
        <v>31</v>
      </c>
      <c r="N177" s="22">
        <v>10.8</v>
      </c>
      <c r="O177" s="23">
        <f t="shared" si="4"/>
        <v>239.46481481481482</v>
      </c>
      <c r="P177" s="24">
        <v>9.51</v>
      </c>
      <c r="Q177" s="25" t="s">
        <v>43</v>
      </c>
      <c r="R177" s="26" t="s">
        <v>33</v>
      </c>
      <c r="S177" s="26" t="s">
        <v>34</v>
      </c>
      <c r="T177" s="26"/>
      <c r="U177" s="39"/>
      <c r="V177" s="28">
        <f t="shared" si="5"/>
        <v>113</v>
      </c>
      <c r="W177" s="29"/>
    </row>
    <row r="178" spans="1:23" s="40" customFormat="1" ht="21" customHeight="1">
      <c r="A178" s="34"/>
      <c r="B178" s="31"/>
      <c r="C178" s="32"/>
      <c r="D178" s="18" t="s">
        <v>96</v>
      </c>
      <c r="E178" s="19" t="s">
        <v>41</v>
      </c>
      <c r="F178" s="20">
        <v>2.9990000000000001</v>
      </c>
      <c r="G178" s="19">
        <v>375</v>
      </c>
      <c r="H178" s="20">
        <v>110</v>
      </c>
      <c r="I178" s="19" t="s">
        <v>42</v>
      </c>
      <c r="J178" s="20">
        <v>2652</v>
      </c>
      <c r="K178" s="21">
        <v>5812</v>
      </c>
      <c r="L178" s="21">
        <v>2995</v>
      </c>
      <c r="M178" s="21" t="s">
        <v>31</v>
      </c>
      <c r="N178" s="22">
        <v>10.8</v>
      </c>
      <c r="O178" s="23">
        <f t="shared" si="4"/>
        <v>239.46481481481482</v>
      </c>
      <c r="P178" s="24">
        <v>9.51</v>
      </c>
      <c r="Q178" s="25" t="s">
        <v>63</v>
      </c>
      <c r="R178" s="26" t="s">
        <v>33</v>
      </c>
      <c r="S178" s="26" t="s">
        <v>34</v>
      </c>
      <c r="T178" s="26"/>
      <c r="U178" s="39"/>
      <c r="V178" s="28">
        <f t="shared" si="5"/>
        <v>113</v>
      </c>
      <c r="W178" s="29"/>
    </row>
    <row r="179" spans="1:23" s="40" customFormat="1" ht="21" customHeight="1">
      <c r="A179" s="34"/>
      <c r="B179" s="31"/>
      <c r="C179" s="32"/>
      <c r="D179" s="18" t="s">
        <v>96</v>
      </c>
      <c r="E179" s="19" t="s">
        <v>41</v>
      </c>
      <c r="F179" s="20">
        <v>2.9990000000000001</v>
      </c>
      <c r="G179" s="19">
        <v>375</v>
      </c>
      <c r="H179" s="20">
        <v>110</v>
      </c>
      <c r="I179" s="19" t="s">
        <v>71</v>
      </c>
      <c r="J179" s="20">
        <v>2652</v>
      </c>
      <c r="K179" s="21">
        <v>5812</v>
      </c>
      <c r="L179" s="21">
        <v>2995</v>
      </c>
      <c r="M179" s="21" t="s">
        <v>31</v>
      </c>
      <c r="N179" s="22">
        <v>10.6</v>
      </c>
      <c r="O179" s="23">
        <f t="shared" si="4"/>
        <v>243.98301886792456</v>
      </c>
      <c r="P179" s="24">
        <v>9.51</v>
      </c>
      <c r="Q179" s="25" t="s">
        <v>63</v>
      </c>
      <c r="R179" s="26" t="s">
        <v>33</v>
      </c>
      <c r="S179" s="26" t="s">
        <v>34</v>
      </c>
      <c r="T179" s="26"/>
      <c r="U179" s="39"/>
      <c r="V179" s="28">
        <f t="shared" si="5"/>
        <v>111</v>
      </c>
      <c r="W179" s="29"/>
    </row>
    <row r="180" spans="1:23" s="40" customFormat="1" ht="21" customHeight="1">
      <c r="A180" s="34"/>
      <c r="B180" s="31"/>
      <c r="C180" s="32"/>
      <c r="D180" s="18" t="s">
        <v>97</v>
      </c>
      <c r="E180" s="19" t="s">
        <v>41</v>
      </c>
      <c r="F180" s="20">
        <v>2.9990000000000001</v>
      </c>
      <c r="G180" s="19">
        <v>375</v>
      </c>
      <c r="H180" s="20">
        <v>110</v>
      </c>
      <c r="I180" s="19" t="s">
        <v>71</v>
      </c>
      <c r="J180" s="20">
        <v>2356</v>
      </c>
      <c r="K180" s="21">
        <v>4521</v>
      </c>
      <c r="L180" s="21">
        <v>2000</v>
      </c>
      <c r="M180" s="21" t="s">
        <v>31</v>
      </c>
      <c r="N180" s="22">
        <v>11.8</v>
      </c>
      <c r="O180" s="23">
        <f t="shared" si="4"/>
        <v>219.17118644067796</v>
      </c>
      <c r="P180" s="24">
        <v>10.35</v>
      </c>
      <c r="Q180" s="25" t="s">
        <v>43</v>
      </c>
      <c r="R180" s="26" t="s">
        <v>33</v>
      </c>
      <c r="S180" s="26" t="s">
        <v>34</v>
      </c>
      <c r="T180" s="26"/>
      <c r="U180" s="39"/>
      <c r="V180" s="28">
        <f t="shared" si="5"/>
        <v>114</v>
      </c>
      <c r="W180" s="29"/>
    </row>
    <row r="181" spans="1:23" s="40" customFormat="1" ht="21" customHeight="1">
      <c r="A181" s="34"/>
      <c r="B181" s="31"/>
      <c r="C181" s="32"/>
      <c r="D181" s="18" t="s">
        <v>97</v>
      </c>
      <c r="E181" s="19" t="s">
        <v>41</v>
      </c>
      <c r="F181" s="20">
        <v>2.9990000000000001</v>
      </c>
      <c r="G181" s="19">
        <v>375</v>
      </c>
      <c r="H181" s="20">
        <v>110</v>
      </c>
      <c r="I181" s="19" t="s">
        <v>42</v>
      </c>
      <c r="J181" s="20">
        <v>2356</v>
      </c>
      <c r="K181" s="21">
        <v>4521</v>
      </c>
      <c r="L181" s="21">
        <v>2000</v>
      </c>
      <c r="M181" s="21" t="s">
        <v>31</v>
      </c>
      <c r="N181" s="22">
        <v>11.8</v>
      </c>
      <c r="O181" s="23">
        <f t="shared" si="4"/>
        <v>219.17118644067796</v>
      </c>
      <c r="P181" s="24">
        <v>10.35</v>
      </c>
      <c r="Q181" s="25" t="s">
        <v>63</v>
      </c>
      <c r="R181" s="26" t="s">
        <v>33</v>
      </c>
      <c r="S181" s="26" t="s">
        <v>34</v>
      </c>
      <c r="T181" s="26"/>
      <c r="U181" s="39"/>
      <c r="V181" s="28">
        <f t="shared" si="5"/>
        <v>114</v>
      </c>
      <c r="W181" s="29"/>
    </row>
    <row r="182" spans="1:23" s="40" customFormat="1" ht="21" customHeight="1">
      <c r="A182" s="34"/>
      <c r="B182" s="31"/>
      <c r="C182" s="32"/>
      <c r="D182" s="18" t="s">
        <v>97</v>
      </c>
      <c r="E182" s="19" t="s">
        <v>41</v>
      </c>
      <c r="F182" s="20">
        <v>2.9990000000000001</v>
      </c>
      <c r="G182" s="19">
        <v>375</v>
      </c>
      <c r="H182" s="20">
        <v>110</v>
      </c>
      <c r="I182" s="19" t="s">
        <v>71</v>
      </c>
      <c r="J182" s="20">
        <v>2356</v>
      </c>
      <c r="K182" s="21">
        <v>4521</v>
      </c>
      <c r="L182" s="21">
        <v>2000</v>
      </c>
      <c r="M182" s="21" t="s">
        <v>31</v>
      </c>
      <c r="N182" s="22">
        <v>11.4</v>
      </c>
      <c r="O182" s="23">
        <f t="shared" si="4"/>
        <v>226.8614035087719</v>
      </c>
      <c r="P182" s="24">
        <v>10.35</v>
      </c>
      <c r="Q182" s="25" t="s">
        <v>63</v>
      </c>
      <c r="R182" s="26" t="s">
        <v>33</v>
      </c>
      <c r="S182" s="26" t="s">
        <v>34</v>
      </c>
      <c r="T182" s="26"/>
      <c r="U182" s="39"/>
      <c r="V182" s="28">
        <f t="shared" si="5"/>
        <v>110</v>
      </c>
      <c r="W182" s="29"/>
    </row>
    <row r="183" spans="1:23" s="40" customFormat="1" ht="21" customHeight="1">
      <c r="A183" s="34"/>
      <c r="B183" s="31"/>
      <c r="C183" s="32"/>
      <c r="D183" s="18" t="s">
        <v>97</v>
      </c>
      <c r="E183" s="19" t="s">
        <v>41</v>
      </c>
      <c r="F183" s="20">
        <v>2.9990000000000001</v>
      </c>
      <c r="G183" s="19">
        <v>375</v>
      </c>
      <c r="H183" s="20">
        <v>110</v>
      </c>
      <c r="I183" s="19" t="s">
        <v>71</v>
      </c>
      <c r="J183" s="20">
        <v>2652</v>
      </c>
      <c r="K183" s="21">
        <v>5812</v>
      </c>
      <c r="L183" s="21">
        <v>2995</v>
      </c>
      <c r="M183" s="21" t="s">
        <v>31</v>
      </c>
      <c r="N183" s="22">
        <v>10.8</v>
      </c>
      <c r="O183" s="23">
        <f t="shared" si="4"/>
        <v>239.46481481481482</v>
      </c>
      <c r="P183" s="24">
        <v>9.51</v>
      </c>
      <c r="Q183" s="25" t="s">
        <v>43</v>
      </c>
      <c r="R183" s="26" t="s">
        <v>33</v>
      </c>
      <c r="S183" s="26" t="s">
        <v>34</v>
      </c>
      <c r="T183" s="26"/>
      <c r="U183" s="39"/>
      <c r="V183" s="28">
        <f t="shared" si="5"/>
        <v>113</v>
      </c>
      <c r="W183" s="29"/>
    </row>
    <row r="184" spans="1:23" s="40" customFormat="1" ht="21" customHeight="1">
      <c r="A184" s="34"/>
      <c r="B184" s="31"/>
      <c r="C184" s="32"/>
      <c r="D184" s="18" t="s">
        <v>97</v>
      </c>
      <c r="E184" s="19" t="s">
        <v>41</v>
      </c>
      <c r="F184" s="20">
        <v>2.9990000000000001</v>
      </c>
      <c r="G184" s="19">
        <v>375</v>
      </c>
      <c r="H184" s="20">
        <v>110</v>
      </c>
      <c r="I184" s="19" t="s">
        <v>42</v>
      </c>
      <c r="J184" s="20">
        <v>2652</v>
      </c>
      <c r="K184" s="21">
        <v>5812</v>
      </c>
      <c r="L184" s="21">
        <v>2995</v>
      </c>
      <c r="M184" s="21" t="s">
        <v>31</v>
      </c>
      <c r="N184" s="22">
        <v>10.8</v>
      </c>
      <c r="O184" s="23">
        <f t="shared" si="4"/>
        <v>239.46481481481482</v>
      </c>
      <c r="P184" s="24">
        <v>9.51</v>
      </c>
      <c r="Q184" s="25" t="s">
        <v>63</v>
      </c>
      <c r="R184" s="26" t="s">
        <v>33</v>
      </c>
      <c r="S184" s="26" t="s">
        <v>34</v>
      </c>
      <c r="T184" s="26"/>
      <c r="U184" s="39"/>
      <c r="V184" s="28">
        <f t="shared" si="5"/>
        <v>113</v>
      </c>
      <c r="W184" s="29"/>
    </row>
    <row r="185" spans="1:23" s="40" customFormat="1" ht="21" customHeight="1">
      <c r="A185" s="34"/>
      <c r="B185" s="31"/>
      <c r="C185" s="32"/>
      <c r="D185" s="18" t="s">
        <v>97</v>
      </c>
      <c r="E185" s="19" t="s">
        <v>41</v>
      </c>
      <c r="F185" s="20">
        <v>2.9990000000000001</v>
      </c>
      <c r="G185" s="19">
        <v>375</v>
      </c>
      <c r="H185" s="20">
        <v>110</v>
      </c>
      <c r="I185" s="19" t="s">
        <v>71</v>
      </c>
      <c r="J185" s="20">
        <v>2652</v>
      </c>
      <c r="K185" s="21">
        <v>5812</v>
      </c>
      <c r="L185" s="21">
        <v>2995</v>
      </c>
      <c r="M185" s="21" t="s">
        <v>31</v>
      </c>
      <c r="N185" s="22">
        <v>10.6</v>
      </c>
      <c r="O185" s="23">
        <f t="shared" si="4"/>
        <v>243.98301886792456</v>
      </c>
      <c r="P185" s="24">
        <v>9.51</v>
      </c>
      <c r="Q185" s="25" t="s">
        <v>63</v>
      </c>
      <c r="R185" s="26" t="s">
        <v>33</v>
      </c>
      <c r="S185" s="26" t="s">
        <v>34</v>
      </c>
      <c r="T185" s="26"/>
      <c r="U185" s="39"/>
      <c r="V185" s="28">
        <f t="shared" si="5"/>
        <v>111</v>
      </c>
      <c r="W185" s="29"/>
    </row>
    <row r="186" spans="1:23" s="40" customFormat="1" ht="21" customHeight="1">
      <c r="A186" s="33"/>
      <c r="B186" s="31"/>
      <c r="C186" s="32"/>
      <c r="D186" s="18" t="s">
        <v>98</v>
      </c>
      <c r="E186" s="19" t="s">
        <v>41</v>
      </c>
      <c r="F186" s="20">
        <v>2.9990000000000001</v>
      </c>
      <c r="G186" s="19">
        <v>375</v>
      </c>
      <c r="H186" s="20">
        <v>110</v>
      </c>
      <c r="I186" s="19" t="s">
        <v>71</v>
      </c>
      <c r="J186" s="20">
        <v>2356</v>
      </c>
      <c r="K186" s="21">
        <v>4521</v>
      </c>
      <c r="L186" s="21">
        <v>2000</v>
      </c>
      <c r="M186" s="21" t="s">
        <v>31</v>
      </c>
      <c r="N186" s="22">
        <v>11.8</v>
      </c>
      <c r="O186" s="23">
        <f t="shared" si="4"/>
        <v>219.17118644067796</v>
      </c>
      <c r="P186" s="24">
        <v>10.35</v>
      </c>
      <c r="Q186" s="25" t="s">
        <v>43</v>
      </c>
      <c r="R186" s="26" t="s">
        <v>33</v>
      </c>
      <c r="S186" s="26" t="s">
        <v>34</v>
      </c>
      <c r="T186" s="26"/>
      <c r="U186" s="39"/>
      <c r="V186" s="28">
        <f t="shared" si="5"/>
        <v>114</v>
      </c>
      <c r="W186" s="29"/>
    </row>
    <row r="187" spans="1:23" s="40" customFormat="1" ht="21" customHeight="1">
      <c r="A187" s="33"/>
      <c r="B187" s="31"/>
      <c r="C187" s="32"/>
      <c r="D187" s="18" t="s">
        <v>98</v>
      </c>
      <c r="E187" s="19" t="s">
        <v>41</v>
      </c>
      <c r="F187" s="20">
        <v>2.9990000000000001</v>
      </c>
      <c r="G187" s="19">
        <v>375</v>
      </c>
      <c r="H187" s="20">
        <v>110</v>
      </c>
      <c r="I187" s="19" t="s">
        <v>71</v>
      </c>
      <c r="J187" s="20">
        <v>2356</v>
      </c>
      <c r="K187" s="21">
        <v>4521</v>
      </c>
      <c r="L187" s="21">
        <v>2000</v>
      </c>
      <c r="M187" s="21" t="s">
        <v>31</v>
      </c>
      <c r="N187" s="22">
        <v>11.4</v>
      </c>
      <c r="O187" s="23">
        <f t="shared" si="4"/>
        <v>226.8614035087719</v>
      </c>
      <c r="P187" s="24">
        <v>10.35</v>
      </c>
      <c r="Q187" s="25" t="s">
        <v>63</v>
      </c>
      <c r="R187" s="26" t="s">
        <v>33</v>
      </c>
      <c r="S187" s="26" t="s">
        <v>34</v>
      </c>
      <c r="T187" s="26"/>
      <c r="U187" s="39"/>
      <c r="V187" s="28">
        <f t="shared" si="5"/>
        <v>110</v>
      </c>
      <c r="W187" s="29"/>
    </row>
    <row r="188" spans="1:23" s="40" customFormat="1" ht="21" customHeight="1">
      <c r="A188" s="33"/>
      <c r="B188" s="31"/>
      <c r="C188" s="32"/>
      <c r="D188" s="18" t="s">
        <v>98</v>
      </c>
      <c r="E188" s="19" t="s">
        <v>41</v>
      </c>
      <c r="F188" s="20">
        <v>2.9990000000000001</v>
      </c>
      <c r="G188" s="19">
        <v>375</v>
      </c>
      <c r="H188" s="20">
        <v>110</v>
      </c>
      <c r="I188" s="19" t="s">
        <v>71</v>
      </c>
      <c r="J188" s="20">
        <v>2652</v>
      </c>
      <c r="K188" s="21">
        <v>5812</v>
      </c>
      <c r="L188" s="21">
        <v>2995</v>
      </c>
      <c r="M188" s="21" t="s">
        <v>31</v>
      </c>
      <c r="N188" s="22">
        <v>10.8</v>
      </c>
      <c r="O188" s="23">
        <f t="shared" si="4"/>
        <v>239.46481481481482</v>
      </c>
      <c r="P188" s="24">
        <v>9.51</v>
      </c>
      <c r="Q188" s="25" t="s">
        <v>43</v>
      </c>
      <c r="R188" s="26" t="s">
        <v>33</v>
      </c>
      <c r="S188" s="26" t="s">
        <v>34</v>
      </c>
      <c r="T188" s="26"/>
      <c r="U188" s="39"/>
      <c r="V188" s="28">
        <f t="shared" si="5"/>
        <v>113</v>
      </c>
      <c r="W188" s="29"/>
    </row>
    <row r="189" spans="1:23" s="40" customFormat="1" ht="21" customHeight="1">
      <c r="A189" s="33"/>
      <c r="B189" s="31"/>
      <c r="C189" s="32"/>
      <c r="D189" s="18" t="s">
        <v>98</v>
      </c>
      <c r="E189" s="19" t="s">
        <v>41</v>
      </c>
      <c r="F189" s="20">
        <v>2.9990000000000001</v>
      </c>
      <c r="G189" s="19">
        <v>375</v>
      </c>
      <c r="H189" s="20">
        <v>110</v>
      </c>
      <c r="I189" s="19" t="s">
        <v>71</v>
      </c>
      <c r="J189" s="20">
        <v>2652</v>
      </c>
      <c r="K189" s="21">
        <v>5812</v>
      </c>
      <c r="L189" s="21">
        <v>2995</v>
      </c>
      <c r="M189" s="21" t="s">
        <v>31</v>
      </c>
      <c r="N189" s="22">
        <v>10.6</v>
      </c>
      <c r="O189" s="23">
        <f t="shared" si="4"/>
        <v>243.98301886792456</v>
      </c>
      <c r="P189" s="24">
        <v>9.51</v>
      </c>
      <c r="Q189" s="25" t="s">
        <v>63</v>
      </c>
      <c r="R189" s="26" t="s">
        <v>33</v>
      </c>
      <c r="S189" s="26" t="s">
        <v>34</v>
      </c>
      <c r="T189" s="26"/>
      <c r="U189" s="39"/>
      <c r="V189" s="28">
        <f t="shared" si="5"/>
        <v>111</v>
      </c>
      <c r="W189" s="29"/>
    </row>
    <row r="190" spans="1:23" s="40" customFormat="1" ht="21" customHeight="1">
      <c r="A190" s="33"/>
      <c r="B190" s="31"/>
      <c r="C190" s="32"/>
      <c r="D190" s="18" t="s">
        <v>99</v>
      </c>
      <c r="E190" s="19" t="s">
        <v>41</v>
      </c>
      <c r="F190" s="20">
        <v>2.9990000000000001</v>
      </c>
      <c r="G190" s="19">
        <v>375</v>
      </c>
      <c r="H190" s="20">
        <v>110</v>
      </c>
      <c r="I190" s="19" t="s">
        <v>71</v>
      </c>
      <c r="J190" s="20">
        <v>2356</v>
      </c>
      <c r="K190" s="21">
        <v>4521</v>
      </c>
      <c r="L190" s="21">
        <v>2000</v>
      </c>
      <c r="M190" s="21" t="s">
        <v>31</v>
      </c>
      <c r="N190" s="22">
        <v>11.8</v>
      </c>
      <c r="O190" s="23">
        <f t="shared" si="4"/>
        <v>219.17118644067796</v>
      </c>
      <c r="P190" s="24">
        <v>10.35</v>
      </c>
      <c r="Q190" s="25" t="s">
        <v>43</v>
      </c>
      <c r="R190" s="26" t="s">
        <v>33</v>
      </c>
      <c r="S190" s="26" t="s">
        <v>34</v>
      </c>
      <c r="T190" s="26"/>
      <c r="U190" s="39"/>
      <c r="V190" s="28">
        <f t="shared" si="5"/>
        <v>114</v>
      </c>
      <c r="W190" s="29"/>
    </row>
    <row r="191" spans="1:23" s="40" customFormat="1" ht="21" customHeight="1">
      <c r="A191" s="33"/>
      <c r="B191" s="31"/>
      <c r="C191" s="32"/>
      <c r="D191" s="18" t="s">
        <v>99</v>
      </c>
      <c r="E191" s="19" t="s">
        <v>41</v>
      </c>
      <c r="F191" s="20">
        <v>2.9990000000000001</v>
      </c>
      <c r="G191" s="19">
        <v>375</v>
      </c>
      <c r="H191" s="20">
        <v>110</v>
      </c>
      <c r="I191" s="19" t="s">
        <v>71</v>
      </c>
      <c r="J191" s="20">
        <v>2356</v>
      </c>
      <c r="K191" s="21">
        <v>4521</v>
      </c>
      <c r="L191" s="21">
        <v>2000</v>
      </c>
      <c r="M191" s="21" t="s">
        <v>31</v>
      </c>
      <c r="N191" s="22">
        <v>11.4</v>
      </c>
      <c r="O191" s="23">
        <f t="shared" si="4"/>
        <v>226.8614035087719</v>
      </c>
      <c r="P191" s="24">
        <v>10.35</v>
      </c>
      <c r="Q191" s="25" t="s">
        <v>63</v>
      </c>
      <c r="R191" s="26" t="s">
        <v>33</v>
      </c>
      <c r="S191" s="26" t="s">
        <v>34</v>
      </c>
      <c r="T191" s="26"/>
      <c r="U191" s="39"/>
      <c r="V191" s="28">
        <f t="shared" si="5"/>
        <v>110</v>
      </c>
      <c r="W191" s="35"/>
    </row>
    <row r="192" spans="1:23" s="40" customFormat="1" ht="21" customHeight="1">
      <c r="A192" s="33"/>
      <c r="B192" s="31"/>
      <c r="C192" s="32"/>
      <c r="D192" s="18" t="s">
        <v>99</v>
      </c>
      <c r="E192" s="19" t="s">
        <v>41</v>
      </c>
      <c r="F192" s="20">
        <v>2.9990000000000001</v>
      </c>
      <c r="G192" s="19">
        <v>375</v>
      </c>
      <c r="H192" s="20">
        <v>110</v>
      </c>
      <c r="I192" s="19" t="s">
        <v>71</v>
      </c>
      <c r="J192" s="20">
        <v>2652</v>
      </c>
      <c r="K192" s="21">
        <v>5812</v>
      </c>
      <c r="L192" s="21">
        <v>2995</v>
      </c>
      <c r="M192" s="21" t="s">
        <v>31</v>
      </c>
      <c r="N192" s="22">
        <v>10.8</v>
      </c>
      <c r="O192" s="23">
        <f t="shared" si="4"/>
        <v>239.46481481481482</v>
      </c>
      <c r="P192" s="24">
        <v>9.51</v>
      </c>
      <c r="Q192" s="25" t="s">
        <v>43</v>
      </c>
      <c r="R192" s="26" t="s">
        <v>33</v>
      </c>
      <c r="S192" s="26" t="s">
        <v>34</v>
      </c>
      <c r="T192" s="26"/>
      <c r="U192" s="39"/>
      <c r="V192" s="28">
        <f t="shared" si="5"/>
        <v>113</v>
      </c>
      <c r="W192" s="35"/>
    </row>
    <row r="193" spans="1:23" s="40" customFormat="1" ht="21" customHeight="1">
      <c r="A193" s="33"/>
      <c r="B193" s="31"/>
      <c r="C193" s="32"/>
      <c r="D193" s="18" t="s">
        <v>99</v>
      </c>
      <c r="E193" s="19" t="s">
        <v>41</v>
      </c>
      <c r="F193" s="20">
        <v>2.9990000000000001</v>
      </c>
      <c r="G193" s="19">
        <v>375</v>
      </c>
      <c r="H193" s="20">
        <v>110</v>
      </c>
      <c r="I193" s="19" t="s">
        <v>71</v>
      </c>
      <c r="J193" s="20">
        <v>2652</v>
      </c>
      <c r="K193" s="21">
        <v>5812</v>
      </c>
      <c r="L193" s="21">
        <v>2995</v>
      </c>
      <c r="M193" s="21" t="s">
        <v>31</v>
      </c>
      <c r="N193" s="22">
        <v>10.6</v>
      </c>
      <c r="O193" s="23">
        <f t="shared" si="4"/>
        <v>243.98301886792456</v>
      </c>
      <c r="P193" s="24">
        <v>9.51</v>
      </c>
      <c r="Q193" s="25" t="s">
        <v>63</v>
      </c>
      <c r="R193" s="26" t="s">
        <v>33</v>
      </c>
      <c r="S193" s="26" t="s">
        <v>34</v>
      </c>
      <c r="T193" s="26"/>
      <c r="U193" s="39"/>
      <c r="V193" s="28">
        <f t="shared" si="5"/>
        <v>111</v>
      </c>
      <c r="W193" s="35"/>
    </row>
    <row r="194" spans="1:23" s="40" customFormat="1" ht="21" customHeight="1">
      <c r="A194" s="34"/>
      <c r="B194" s="31"/>
      <c r="C194" s="32"/>
      <c r="D194" s="18" t="s">
        <v>100</v>
      </c>
      <c r="E194" s="19" t="s">
        <v>41</v>
      </c>
      <c r="F194" s="20">
        <v>2.9990000000000001</v>
      </c>
      <c r="G194" s="19">
        <v>375</v>
      </c>
      <c r="H194" s="20">
        <v>110</v>
      </c>
      <c r="I194" s="19" t="s">
        <v>71</v>
      </c>
      <c r="J194" s="20">
        <v>2356</v>
      </c>
      <c r="K194" s="21">
        <v>4521</v>
      </c>
      <c r="L194" s="21">
        <v>2000</v>
      </c>
      <c r="M194" s="21" t="s">
        <v>31</v>
      </c>
      <c r="N194" s="22">
        <v>11.8</v>
      </c>
      <c r="O194" s="23">
        <f t="shared" si="4"/>
        <v>219.17118644067796</v>
      </c>
      <c r="P194" s="24">
        <v>10.35</v>
      </c>
      <c r="Q194" s="25" t="s">
        <v>43</v>
      </c>
      <c r="R194" s="26" t="s">
        <v>33</v>
      </c>
      <c r="S194" s="26" t="s">
        <v>34</v>
      </c>
      <c r="T194" s="26"/>
      <c r="U194" s="39"/>
      <c r="V194" s="28">
        <f t="shared" si="5"/>
        <v>114</v>
      </c>
      <c r="W194" s="29"/>
    </row>
    <row r="195" spans="1:23" s="40" customFormat="1" ht="21" customHeight="1">
      <c r="A195" s="34"/>
      <c r="B195" s="31"/>
      <c r="C195" s="32"/>
      <c r="D195" s="18" t="s">
        <v>100</v>
      </c>
      <c r="E195" s="19" t="s">
        <v>41</v>
      </c>
      <c r="F195" s="20">
        <v>2.9990000000000001</v>
      </c>
      <c r="G195" s="19">
        <v>375</v>
      </c>
      <c r="H195" s="20">
        <v>110</v>
      </c>
      <c r="I195" s="19" t="s">
        <v>42</v>
      </c>
      <c r="J195" s="20">
        <v>2356</v>
      </c>
      <c r="K195" s="21">
        <v>4521</v>
      </c>
      <c r="L195" s="21">
        <v>2000</v>
      </c>
      <c r="M195" s="21" t="s">
        <v>31</v>
      </c>
      <c r="N195" s="22">
        <v>11.8</v>
      </c>
      <c r="O195" s="23">
        <f t="shared" si="4"/>
        <v>219.17118644067796</v>
      </c>
      <c r="P195" s="24">
        <v>10.35</v>
      </c>
      <c r="Q195" s="25" t="s">
        <v>63</v>
      </c>
      <c r="R195" s="26" t="s">
        <v>33</v>
      </c>
      <c r="S195" s="26" t="s">
        <v>34</v>
      </c>
      <c r="T195" s="26"/>
      <c r="U195" s="39"/>
      <c r="V195" s="28">
        <f t="shared" si="5"/>
        <v>114</v>
      </c>
      <c r="W195" s="29"/>
    </row>
    <row r="196" spans="1:23" s="40" customFormat="1" ht="21" customHeight="1">
      <c r="A196" s="34"/>
      <c r="B196" s="31"/>
      <c r="C196" s="32"/>
      <c r="D196" s="18" t="s">
        <v>100</v>
      </c>
      <c r="E196" s="19" t="s">
        <v>41</v>
      </c>
      <c r="F196" s="20">
        <v>2.9990000000000001</v>
      </c>
      <c r="G196" s="19">
        <v>375</v>
      </c>
      <c r="H196" s="20">
        <v>110</v>
      </c>
      <c r="I196" s="19" t="s">
        <v>71</v>
      </c>
      <c r="J196" s="20">
        <v>2356</v>
      </c>
      <c r="K196" s="21">
        <v>4521</v>
      </c>
      <c r="L196" s="21">
        <v>2000</v>
      </c>
      <c r="M196" s="21" t="s">
        <v>31</v>
      </c>
      <c r="N196" s="22">
        <v>11.4</v>
      </c>
      <c r="O196" s="23">
        <f t="shared" si="4"/>
        <v>226.8614035087719</v>
      </c>
      <c r="P196" s="24">
        <v>10.35</v>
      </c>
      <c r="Q196" s="25" t="s">
        <v>63</v>
      </c>
      <c r="R196" s="26" t="s">
        <v>33</v>
      </c>
      <c r="S196" s="26" t="s">
        <v>34</v>
      </c>
      <c r="T196" s="26"/>
      <c r="U196" s="39"/>
      <c r="V196" s="28">
        <f t="shared" si="5"/>
        <v>110</v>
      </c>
      <c r="W196" s="29"/>
    </row>
    <row r="197" spans="1:23" s="40" customFormat="1" ht="21" customHeight="1">
      <c r="A197" s="34"/>
      <c r="B197" s="31"/>
      <c r="C197" s="32"/>
      <c r="D197" s="18" t="s">
        <v>100</v>
      </c>
      <c r="E197" s="19" t="s">
        <v>41</v>
      </c>
      <c r="F197" s="20">
        <v>2.9990000000000001</v>
      </c>
      <c r="G197" s="19">
        <v>375</v>
      </c>
      <c r="H197" s="20">
        <v>110</v>
      </c>
      <c r="I197" s="19" t="s">
        <v>71</v>
      </c>
      <c r="J197" s="20">
        <v>2652</v>
      </c>
      <c r="K197" s="21">
        <v>5812</v>
      </c>
      <c r="L197" s="21">
        <v>2995</v>
      </c>
      <c r="M197" s="21" t="s">
        <v>31</v>
      </c>
      <c r="N197" s="22">
        <v>10.8</v>
      </c>
      <c r="O197" s="23">
        <f t="shared" si="4"/>
        <v>239.46481481481482</v>
      </c>
      <c r="P197" s="24">
        <v>9.51</v>
      </c>
      <c r="Q197" s="25" t="s">
        <v>43</v>
      </c>
      <c r="R197" s="26" t="s">
        <v>33</v>
      </c>
      <c r="S197" s="26" t="s">
        <v>34</v>
      </c>
      <c r="T197" s="26"/>
      <c r="U197" s="39"/>
      <c r="V197" s="28">
        <f t="shared" si="5"/>
        <v>113</v>
      </c>
      <c r="W197" s="29"/>
    </row>
    <row r="198" spans="1:23" s="40" customFormat="1" ht="21" customHeight="1">
      <c r="A198" s="34"/>
      <c r="B198" s="31"/>
      <c r="C198" s="32"/>
      <c r="D198" s="18" t="s">
        <v>100</v>
      </c>
      <c r="E198" s="19" t="s">
        <v>41</v>
      </c>
      <c r="F198" s="20">
        <v>2.9990000000000001</v>
      </c>
      <c r="G198" s="19">
        <v>375</v>
      </c>
      <c r="H198" s="20">
        <v>110</v>
      </c>
      <c r="I198" s="19" t="s">
        <v>42</v>
      </c>
      <c r="J198" s="20">
        <v>2652</v>
      </c>
      <c r="K198" s="21">
        <v>5812</v>
      </c>
      <c r="L198" s="21">
        <v>2995</v>
      </c>
      <c r="M198" s="21" t="s">
        <v>31</v>
      </c>
      <c r="N198" s="22">
        <v>10.8</v>
      </c>
      <c r="O198" s="23">
        <f t="shared" si="4"/>
        <v>239.46481481481482</v>
      </c>
      <c r="P198" s="24">
        <v>9.51</v>
      </c>
      <c r="Q198" s="25" t="s">
        <v>63</v>
      </c>
      <c r="R198" s="26" t="s">
        <v>33</v>
      </c>
      <c r="S198" s="26" t="s">
        <v>34</v>
      </c>
      <c r="T198" s="26"/>
      <c r="U198" s="39"/>
      <c r="V198" s="28">
        <f t="shared" si="5"/>
        <v>113</v>
      </c>
      <c r="W198" s="29"/>
    </row>
    <row r="199" spans="1:23" s="40" customFormat="1" ht="21" customHeight="1">
      <c r="A199" s="34"/>
      <c r="B199" s="31"/>
      <c r="C199" s="32"/>
      <c r="D199" s="18" t="s">
        <v>100</v>
      </c>
      <c r="E199" s="19" t="s">
        <v>41</v>
      </c>
      <c r="F199" s="20">
        <v>2.9990000000000001</v>
      </c>
      <c r="G199" s="19">
        <v>375</v>
      </c>
      <c r="H199" s="20">
        <v>110</v>
      </c>
      <c r="I199" s="19" t="s">
        <v>71</v>
      </c>
      <c r="J199" s="20">
        <v>2652</v>
      </c>
      <c r="K199" s="21">
        <v>5812</v>
      </c>
      <c r="L199" s="21">
        <v>2995</v>
      </c>
      <c r="M199" s="21" t="s">
        <v>31</v>
      </c>
      <c r="N199" s="22">
        <v>10.6</v>
      </c>
      <c r="O199" s="23">
        <f t="shared" si="4"/>
        <v>243.98301886792456</v>
      </c>
      <c r="P199" s="24">
        <v>9.51</v>
      </c>
      <c r="Q199" s="25" t="s">
        <v>63</v>
      </c>
      <c r="R199" s="26" t="s">
        <v>33</v>
      </c>
      <c r="S199" s="26" t="s">
        <v>34</v>
      </c>
      <c r="T199" s="26"/>
      <c r="U199" s="39"/>
      <c r="V199" s="28">
        <f t="shared" si="5"/>
        <v>111</v>
      </c>
      <c r="W199" s="29"/>
    </row>
    <row r="200" spans="1:23" s="40" customFormat="1" ht="21" customHeight="1">
      <c r="A200" s="34"/>
      <c r="B200" s="31"/>
      <c r="C200" s="32"/>
      <c r="D200" s="18" t="s">
        <v>100</v>
      </c>
      <c r="E200" s="19" t="s">
        <v>41</v>
      </c>
      <c r="F200" s="20">
        <v>2.9990000000000001</v>
      </c>
      <c r="G200" s="19">
        <v>375</v>
      </c>
      <c r="H200" s="20">
        <v>110</v>
      </c>
      <c r="I200" s="19" t="s">
        <v>42</v>
      </c>
      <c r="J200" s="20">
        <v>2979</v>
      </c>
      <c r="K200" s="21">
        <v>6893</v>
      </c>
      <c r="L200" s="21">
        <v>3749</v>
      </c>
      <c r="M200" s="21" t="s">
        <v>31</v>
      </c>
      <c r="N200" s="22">
        <v>9.1999999999999993</v>
      </c>
      <c r="O200" s="23">
        <f t="shared" si="4"/>
        <v>281.1108695652174</v>
      </c>
      <c r="P200" s="24">
        <v>8.1199999999999992</v>
      </c>
      <c r="Q200" s="25" t="s">
        <v>43</v>
      </c>
      <c r="R200" s="26" t="s">
        <v>33</v>
      </c>
      <c r="S200" s="26" t="s">
        <v>34</v>
      </c>
      <c r="T200" s="26"/>
      <c r="U200" s="39"/>
      <c r="V200" s="28">
        <f t="shared" si="5"/>
        <v>113</v>
      </c>
      <c r="W200" s="29"/>
    </row>
    <row r="201" spans="1:23" s="40" customFormat="1" ht="21" customHeight="1">
      <c r="A201" s="34"/>
      <c r="B201" s="31"/>
      <c r="C201" s="32"/>
      <c r="D201" s="18" t="s">
        <v>100</v>
      </c>
      <c r="E201" s="19" t="s">
        <v>41</v>
      </c>
      <c r="F201" s="20">
        <v>2.9990000000000001</v>
      </c>
      <c r="G201" s="19">
        <v>375</v>
      </c>
      <c r="H201" s="20">
        <v>110</v>
      </c>
      <c r="I201" s="19" t="s">
        <v>71</v>
      </c>
      <c r="J201" s="20">
        <v>2979</v>
      </c>
      <c r="K201" s="21">
        <v>6893</v>
      </c>
      <c r="L201" s="21">
        <v>3749</v>
      </c>
      <c r="M201" s="21" t="s">
        <v>31</v>
      </c>
      <c r="N201" s="22">
        <v>9</v>
      </c>
      <c r="O201" s="23">
        <f t="shared" ref="O201:O264" si="6">IF(N201&gt;0,1/N201*37.7*68.6,"")</f>
        <v>287.35777777777776</v>
      </c>
      <c r="P201" s="24">
        <v>8.1199999999999992</v>
      </c>
      <c r="Q201" s="25" t="s">
        <v>43</v>
      </c>
      <c r="R201" s="26" t="s">
        <v>33</v>
      </c>
      <c r="S201" s="26" t="s">
        <v>34</v>
      </c>
      <c r="T201" s="26"/>
      <c r="U201" s="39"/>
      <c r="V201" s="28">
        <f t="shared" ref="V201:V264" si="7">IFERROR(IF(N201&lt;P201,"",(ROUNDDOWN(N201/P201*100,0))),"")</f>
        <v>110</v>
      </c>
      <c r="W201" s="29"/>
    </row>
    <row r="202" spans="1:23" s="40" customFormat="1" ht="21" customHeight="1">
      <c r="A202" s="34"/>
      <c r="B202" s="31"/>
      <c r="C202" s="32"/>
      <c r="D202" s="18" t="s">
        <v>100</v>
      </c>
      <c r="E202" s="19" t="s">
        <v>41</v>
      </c>
      <c r="F202" s="20">
        <v>2.9990000000000001</v>
      </c>
      <c r="G202" s="19">
        <v>375</v>
      </c>
      <c r="H202" s="20">
        <v>110</v>
      </c>
      <c r="I202" s="19" t="s">
        <v>42</v>
      </c>
      <c r="J202" s="20">
        <v>2979</v>
      </c>
      <c r="K202" s="21">
        <v>6893</v>
      </c>
      <c r="L202" s="21">
        <v>3749</v>
      </c>
      <c r="M202" s="21" t="s">
        <v>31</v>
      </c>
      <c r="N202" s="22">
        <v>9</v>
      </c>
      <c r="O202" s="23">
        <f t="shared" si="6"/>
        <v>287.35777777777776</v>
      </c>
      <c r="P202" s="24">
        <v>8.1199999999999992</v>
      </c>
      <c r="Q202" s="25" t="s">
        <v>63</v>
      </c>
      <c r="R202" s="26" t="s">
        <v>33</v>
      </c>
      <c r="S202" s="26" t="s">
        <v>34</v>
      </c>
      <c r="T202" s="26"/>
      <c r="U202" s="39"/>
      <c r="V202" s="28">
        <f t="shared" si="7"/>
        <v>110</v>
      </c>
      <c r="W202" s="29"/>
    </row>
    <row r="203" spans="1:23" s="40" customFormat="1" ht="21" customHeight="1">
      <c r="A203" s="34"/>
      <c r="B203" s="31"/>
      <c r="C203" s="32"/>
      <c r="D203" s="18" t="s">
        <v>101</v>
      </c>
      <c r="E203" s="19" t="s">
        <v>41</v>
      </c>
      <c r="F203" s="20">
        <v>2.9990000000000001</v>
      </c>
      <c r="G203" s="19">
        <v>375</v>
      </c>
      <c r="H203" s="20">
        <v>110</v>
      </c>
      <c r="I203" s="19" t="s">
        <v>71</v>
      </c>
      <c r="J203" s="20">
        <v>2356</v>
      </c>
      <c r="K203" s="21">
        <v>4521</v>
      </c>
      <c r="L203" s="21">
        <v>2000</v>
      </c>
      <c r="M203" s="21" t="s">
        <v>31</v>
      </c>
      <c r="N203" s="22">
        <v>11.8</v>
      </c>
      <c r="O203" s="23">
        <f t="shared" si="6"/>
        <v>219.17118644067796</v>
      </c>
      <c r="P203" s="24">
        <v>10.35</v>
      </c>
      <c r="Q203" s="25" t="s">
        <v>43</v>
      </c>
      <c r="R203" s="26" t="s">
        <v>33</v>
      </c>
      <c r="S203" s="26" t="s">
        <v>34</v>
      </c>
      <c r="T203" s="26"/>
      <c r="U203" s="39"/>
      <c r="V203" s="28">
        <f t="shared" si="7"/>
        <v>114</v>
      </c>
      <c r="W203" s="29"/>
    </row>
    <row r="204" spans="1:23" s="40" customFormat="1" ht="21" customHeight="1">
      <c r="A204" s="34"/>
      <c r="B204" s="31"/>
      <c r="C204" s="32"/>
      <c r="D204" s="18" t="s">
        <v>101</v>
      </c>
      <c r="E204" s="19" t="s">
        <v>41</v>
      </c>
      <c r="F204" s="20">
        <v>2.9990000000000001</v>
      </c>
      <c r="G204" s="19">
        <v>375</v>
      </c>
      <c r="H204" s="20">
        <v>110</v>
      </c>
      <c r="I204" s="19" t="s">
        <v>42</v>
      </c>
      <c r="J204" s="20">
        <v>2356</v>
      </c>
      <c r="K204" s="21">
        <v>4521</v>
      </c>
      <c r="L204" s="21">
        <v>2000</v>
      </c>
      <c r="M204" s="21" t="s">
        <v>31</v>
      </c>
      <c r="N204" s="22">
        <v>11.8</v>
      </c>
      <c r="O204" s="23">
        <f t="shared" si="6"/>
        <v>219.17118644067796</v>
      </c>
      <c r="P204" s="24">
        <v>10.35</v>
      </c>
      <c r="Q204" s="25" t="s">
        <v>63</v>
      </c>
      <c r="R204" s="26" t="s">
        <v>33</v>
      </c>
      <c r="S204" s="26" t="s">
        <v>34</v>
      </c>
      <c r="T204" s="26"/>
      <c r="U204" s="39"/>
      <c r="V204" s="28">
        <f t="shared" si="7"/>
        <v>114</v>
      </c>
      <c r="W204" s="29"/>
    </row>
    <row r="205" spans="1:23" s="40" customFormat="1" ht="21" customHeight="1">
      <c r="A205" s="34"/>
      <c r="B205" s="31"/>
      <c r="C205" s="32"/>
      <c r="D205" s="18" t="s">
        <v>101</v>
      </c>
      <c r="E205" s="19" t="s">
        <v>41</v>
      </c>
      <c r="F205" s="20">
        <v>2.9990000000000001</v>
      </c>
      <c r="G205" s="19">
        <v>375</v>
      </c>
      <c r="H205" s="20">
        <v>110</v>
      </c>
      <c r="I205" s="19" t="s">
        <v>71</v>
      </c>
      <c r="J205" s="20">
        <v>2356</v>
      </c>
      <c r="K205" s="21">
        <v>4521</v>
      </c>
      <c r="L205" s="21">
        <v>2000</v>
      </c>
      <c r="M205" s="21" t="s">
        <v>31</v>
      </c>
      <c r="N205" s="22">
        <v>11.4</v>
      </c>
      <c r="O205" s="23">
        <f t="shared" si="6"/>
        <v>226.8614035087719</v>
      </c>
      <c r="P205" s="24">
        <v>10.35</v>
      </c>
      <c r="Q205" s="25" t="s">
        <v>63</v>
      </c>
      <c r="R205" s="26" t="s">
        <v>33</v>
      </c>
      <c r="S205" s="26" t="s">
        <v>34</v>
      </c>
      <c r="T205" s="26"/>
      <c r="U205" s="39"/>
      <c r="V205" s="28">
        <f t="shared" si="7"/>
        <v>110</v>
      </c>
      <c r="W205" s="29"/>
    </row>
    <row r="206" spans="1:23" s="40" customFormat="1" ht="21" customHeight="1">
      <c r="A206" s="34"/>
      <c r="B206" s="31"/>
      <c r="C206" s="32"/>
      <c r="D206" s="18" t="s">
        <v>101</v>
      </c>
      <c r="E206" s="19" t="s">
        <v>41</v>
      </c>
      <c r="F206" s="20">
        <v>2.9990000000000001</v>
      </c>
      <c r="G206" s="19">
        <v>375</v>
      </c>
      <c r="H206" s="20">
        <v>110</v>
      </c>
      <c r="I206" s="19" t="s">
        <v>71</v>
      </c>
      <c r="J206" s="20">
        <v>2652</v>
      </c>
      <c r="K206" s="21">
        <v>5812</v>
      </c>
      <c r="L206" s="21">
        <v>2995</v>
      </c>
      <c r="M206" s="21" t="s">
        <v>31</v>
      </c>
      <c r="N206" s="22">
        <v>10.8</v>
      </c>
      <c r="O206" s="23">
        <f t="shared" si="6"/>
        <v>239.46481481481482</v>
      </c>
      <c r="P206" s="24">
        <v>9.51</v>
      </c>
      <c r="Q206" s="25" t="s">
        <v>43</v>
      </c>
      <c r="R206" s="26" t="s">
        <v>33</v>
      </c>
      <c r="S206" s="26" t="s">
        <v>34</v>
      </c>
      <c r="T206" s="26"/>
      <c r="U206" s="39"/>
      <c r="V206" s="28">
        <f t="shared" si="7"/>
        <v>113</v>
      </c>
      <c r="W206" s="29"/>
    </row>
    <row r="207" spans="1:23" s="40" customFormat="1" ht="21" customHeight="1">
      <c r="A207" s="34"/>
      <c r="B207" s="31"/>
      <c r="C207" s="32"/>
      <c r="D207" s="18" t="s">
        <v>101</v>
      </c>
      <c r="E207" s="19" t="s">
        <v>41</v>
      </c>
      <c r="F207" s="20">
        <v>2.9990000000000001</v>
      </c>
      <c r="G207" s="19">
        <v>375</v>
      </c>
      <c r="H207" s="20">
        <v>110</v>
      </c>
      <c r="I207" s="19" t="s">
        <v>42</v>
      </c>
      <c r="J207" s="20">
        <v>2652</v>
      </c>
      <c r="K207" s="21">
        <v>5812</v>
      </c>
      <c r="L207" s="21">
        <v>2995</v>
      </c>
      <c r="M207" s="21" t="s">
        <v>31</v>
      </c>
      <c r="N207" s="22">
        <v>10.8</v>
      </c>
      <c r="O207" s="23">
        <f t="shared" si="6"/>
        <v>239.46481481481482</v>
      </c>
      <c r="P207" s="24">
        <v>9.51</v>
      </c>
      <c r="Q207" s="25" t="s">
        <v>63</v>
      </c>
      <c r="R207" s="26" t="s">
        <v>33</v>
      </c>
      <c r="S207" s="26" t="s">
        <v>34</v>
      </c>
      <c r="T207" s="26"/>
      <c r="U207" s="39"/>
      <c r="V207" s="28">
        <f t="shared" si="7"/>
        <v>113</v>
      </c>
      <c r="W207" s="29"/>
    </row>
    <row r="208" spans="1:23" s="40" customFormat="1" ht="21" customHeight="1">
      <c r="A208" s="34"/>
      <c r="B208" s="31"/>
      <c r="C208" s="32"/>
      <c r="D208" s="18" t="s">
        <v>101</v>
      </c>
      <c r="E208" s="19" t="s">
        <v>41</v>
      </c>
      <c r="F208" s="20">
        <v>2.9990000000000001</v>
      </c>
      <c r="G208" s="19">
        <v>375</v>
      </c>
      <c r="H208" s="20">
        <v>110</v>
      </c>
      <c r="I208" s="19" t="s">
        <v>71</v>
      </c>
      <c r="J208" s="20">
        <v>2652</v>
      </c>
      <c r="K208" s="21">
        <v>5812</v>
      </c>
      <c r="L208" s="21">
        <v>2995</v>
      </c>
      <c r="M208" s="21" t="s">
        <v>31</v>
      </c>
      <c r="N208" s="22">
        <v>10.6</v>
      </c>
      <c r="O208" s="23">
        <f t="shared" si="6"/>
        <v>243.98301886792456</v>
      </c>
      <c r="P208" s="24">
        <v>9.51</v>
      </c>
      <c r="Q208" s="25" t="s">
        <v>63</v>
      </c>
      <c r="R208" s="26" t="s">
        <v>33</v>
      </c>
      <c r="S208" s="26" t="s">
        <v>34</v>
      </c>
      <c r="T208" s="26"/>
      <c r="U208" s="39"/>
      <c r="V208" s="28">
        <f t="shared" si="7"/>
        <v>111</v>
      </c>
      <c r="W208" s="29"/>
    </row>
    <row r="209" spans="1:23" s="40" customFormat="1" ht="21" customHeight="1">
      <c r="A209" s="34"/>
      <c r="B209" s="31"/>
      <c r="C209" s="32"/>
      <c r="D209" s="18" t="s">
        <v>101</v>
      </c>
      <c r="E209" s="19" t="s">
        <v>41</v>
      </c>
      <c r="F209" s="20">
        <v>2.9990000000000001</v>
      </c>
      <c r="G209" s="19">
        <v>375</v>
      </c>
      <c r="H209" s="20">
        <v>110</v>
      </c>
      <c r="I209" s="19" t="s">
        <v>42</v>
      </c>
      <c r="J209" s="20">
        <v>2979</v>
      </c>
      <c r="K209" s="21">
        <v>6893</v>
      </c>
      <c r="L209" s="21">
        <v>3749</v>
      </c>
      <c r="M209" s="21" t="s">
        <v>31</v>
      </c>
      <c r="N209" s="22">
        <v>9.1999999999999993</v>
      </c>
      <c r="O209" s="23">
        <f t="shared" si="6"/>
        <v>281.1108695652174</v>
      </c>
      <c r="P209" s="24">
        <v>8.1199999999999992</v>
      </c>
      <c r="Q209" s="25" t="s">
        <v>43</v>
      </c>
      <c r="R209" s="26" t="s">
        <v>33</v>
      </c>
      <c r="S209" s="26" t="s">
        <v>34</v>
      </c>
      <c r="T209" s="26"/>
      <c r="U209" s="39"/>
      <c r="V209" s="28">
        <f t="shared" si="7"/>
        <v>113</v>
      </c>
      <c r="W209" s="29"/>
    </row>
    <row r="210" spans="1:23" s="40" customFormat="1" ht="21" customHeight="1">
      <c r="A210" s="34"/>
      <c r="B210" s="31"/>
      <c r="C210" s="32"/>
      <c r="D210" s="18" t="s">
        <v>101</v>
      </c>
      <c r="E210" s="19" t="s">
        <v>41</v>
      </c>
      <c r="F210" s="20">
        <v>2.9990000000000001</v>
      </c>
      <c r="G210" s="19">
        <v>375</v>
      </c>
      <c r="H210" s="20">
        <v>110</v>
      </c>
      <c r="I210" s="19" t="s">
        <v>71</v>
      </c>
      <c r="J210" s="20">
        <v>2979</v>
      </c>
      <c r="K210" s="21">
        <v>6893</v>
      </c>
      <c r="L210" s="21">
        <v>3749</v>
      </c>
      <c r="M210" s="21" t="s">
        <v>31</v>
      </c>
      <c r="N210" s="22">
        <v>9</v>
      </c>
      <c r="O210" s="23">
        <f t="shared" si="6"/>
        <v>287.35777777777776</v>
      </c>
      <c r="P210" s="24">
        <v>8.1199999999999992</v>
      </c>
      <c r="Q210" s="25" t="s">
        <v>43</v>
      </c>
      <c r="R210" s="26" t="s">
        <v>33</v>
      </c>
      <c r="S210" s="26" t="s">
        <v>34</v>
      </c>
      <c r="T210" s="26"/>
      <c r="U210" s="39"/>
      <c r="V210" s="28">
        <f t="shared" si="7"/>
        <v>110</v>
      </c>
      <c r="W210" s="29"/>
    </row>
    <row r="211" spans="1:23" s="40" customFormat="1" ht="21" customHeight="1">
      <c r="A211" s="34"/>
      <c r="B211" s="31"/>
      <c r="C211" s="32"/>
      <c r="D211" s="18" t="s">
        <v>101</v>
      </c>
      <c r="E211" s="19" t="s">
        <v>41</v>
      </c>
      <c r="F211" s="20">
        <v>2.9990000000000001</v>
      </c>
      <c r="G211" s="19">
        <v>375</v>
      </c>
      <c r="H211" s="20">
        <v>110</v>
      </c>
      <c r="I211" s="19" t="s">
        <v>42</v>
      </c>
      <c r="J211" s="20">
        <v>2979</v>
      </c>
      <c r="K211" s="21">
        <v>6893</v>
      </c>
      <c r="L211" s="21">
        <v>3749</v>
      </c>
      <c r="M211" s="21" t="s">
        <v>31</v>
      </c>
      <c r="N211" s="22">
        <v>9</v>
      </c>
      <c r="O211" s="23">
        <f t="shared" si="6"/>
        <v>287.35777777777776</v>
      </c>
      <c r="P211" s="24">
        <v>8.1199999999999992</v>
      </c>
      <c r="Q211" s="25" t="s">
        <v>63</v>
      </c>
      <c r="R211" s="26" t="s">
        <v>33</v>
      </c>
      <c r="S211" s="26" t="s">
        <v>34</v>
      </c>
      <c r="T211" s="26"/>
      <c r="U211" s="39"/>
      <c r="V211" s="28">
        <f t="shared" si="7"/>
        <v>110</v>
      </c>
      <c r="W211" s="29"/>
    </row>
    <row r="212" spans="1:23" s="40" customFormat="1" ht="21" customHeight="1">
      <c r="A212" s="33"/>
      <c r="B212" s="31"/>
      <c r="C212" s="32"/>
      <c r="D212" s="18" t="s">
        <v>102</v>
      </c>
      <c r="E212" s="19" t="s">
        <v>41</v>
      </c>
      <c r="F212" s="20">
        <v>2.9990000000000001</v>
      </c>
      <c r="G212" s="19">
        <v>375</v>
      </c>
      <c r="H212" s="20">
        <v>110</v>
      </c>
      <c r="I212" s="19" t="s">
        <v>71</v>
      </c>
      <c r="J212" s="20">
        <v>2356</v>
      </c>
      <c r="K212" s="21">
        <v>4521</v>
      </c>
      <c r="L212" s="21">
        <v>2000</v>
      </c>
      <c r="M212" s="21" t="s">
        <v>31</v>
      </c>
      <c r="N212" s="22">
        <v>11.8</v>
      </c>
      <c r="O212" s="23">
        <f t="shared" si="6"/>
        <v>219.17118644067796</v>
      </c>
      <c r="P212" s="24">
        <v>10.35</v>
      </c>
      <c r="Q212" s="25" t="s">
        <v>43</v>
      </c>
      <c r="R212" s="26" t="s">
        <v>33</v>
      </c>
      <c r="S212" s="26" t="s">
        <v>34</v>
      </c>
      <c r="T212" s="26"/>
      <c r="U212" s="39"/>
      <c r="V212" s="28">
        <f t="shared" si="7"/>
        <v>114</v>
      </c>
      <c r="W212" s="35"/>
    </row>
    <row r="213" spans="1:23" s="40" customFormat="1" ht="21" customHeight="1">
      <c r="A213" s="33"/>
      <c r="B213" s="31"/>
      <c r="C213" s="32"/>
      <c r="D213" s="18" t="s">
        <v>102</v>
      </c>
      <c r="E213" s="19" t="s">
        <v>41</v>
      </c>
      <c r="F213" s="20">
        <v>2.9990000000000001</v>
      </c>
      <c r="G213" s="19">
        <v>375</v>
      </c>
      <c r="H213" s="20">
        <v>110</v>
      </c>
      <c r="I213" s="19" t="s">
        <v>71</v>
      </c>
      <c r="J213" s="20">
        <v>2356</v>
      </c>
      <c r="K213" s="21">
        <v>4521</v>
      </c>
      <c r="L213" s="21">
        <v>2000</v>
      </c>
      <c r="M213" s="21" t="s">
        <v>31</v>
      </c>
      <c r="N213" s="22">
        <v>11.4</v>
      </c>
      <c r="O213" s="23">
        <f t="shared" si="6"/>
        <v>226.8614035087719</v>
      </c>
      <c r="P213" s="24">
        <v>10.35</v>
      </c>
      <c r="Q213" s="25" t="s">
        <v>63</v>
      </c>
      <c r="R213" s="26" t="s">
        <v>33</v>
      </c>
      <c r="S213" s="26" t="s">
        <v>34</v>
      </c>
      <c r="T213" s="26"/>
      <c r="U213" s="39"/>
      <c r="V213" s="28">
        <f t="shared" si="7"/>
        <v>110</v>
      </c>
      <c r="W213" s="35"/>
    </row>
    <row r="214" spans="1:23" s="40" customFormat="1" ht="21" customHeight="1">
      <c r="A214" s="33"/>
      <c r="B214" s="31"/>
      <c r="C214" s="32"/>
      <c r="D214" s="18" t="s">
        <v>102</v>
      </c>
      <c r="E214" s="19" t="s">
        <v>41</v>
      </c>
      <c r="F214" s="20">
        <v>2.9990000000000001</v>
      </c>
      <c r="G214" s="19">
        <v>375</v>
      </c>
      <c r="H214" s="20">
        <v>110</v>
      </c>
      <c r="I214" s="19" t="s">
        <v>71</v>
      </c>
      <c r="J214" s="20">
        <v>2652</v>
      </c>
      <c r="K214" s="21">
        <v>5812</v>
      </c>
      <c r="L214" s="21">
        <v>2995</v>
      </c>
      <c r="M214" s="21" t="s">
        <v>31</v>
      </c>
      <c r="N214" s="22">
        <v>10.8</v>
      </c>
      <c r="O214" s="23">
        <f t="shared" si="6"/>
        <v>239.46481481481482</v>
      </c>
      <c r="P214" s="24">
        <v>9.51</v>
      </c>
      <c r="Q214" s="25" t="s">
        <v>43</v>
      </c>
      <c r="R214" s="26" t="s">
        <v>33</v>
      </c>
      <c r="S214" s="26" t="s">
        <v>34</v>
      </c>
      <c r="T214" s="26"/>
      <c r="U214" s="39"/>
      <c r="V214" s="28">
        <f t="shared" si="7"/>
        <v>113</v>
      </c>
      <c r="W214" s="35"/>
    </row>
    <row r="215" spans="1:23" s="40" customFormat="1" ht="21" customHeight="1">
      <c r="A215" s="33"/>
      <c r="B215" s="31"/>
      <c r="C215" s="32"/>
      <c r="D215" s="18" t="s">
        <v>102</v>
      </c>
      <c r="E215" s="19" t="s">
        <v>41</v>
      </c>
      <c r="F215" s="20">
        <v>2.9990000000000001</v>
      </c>
      <c r="G215" s="19">
        <v>375</v>
      </c>
      <c r="H215" s="20">
        <v>110</v>
      </c>
      <c r="I215" s="19" t="s">
        <v>71</v>
      </c>
      <c r="J215" s="20">
        <v>2652</v>
      </c>
      <c r="K215" s="21">
        <v>5812</v>
      </c>
      <c r="L215" s="21">
        <v>2995</v>
      </c>
      <c r="M215" s="21" t="s">
        <v>31</v>
      </c>
      <c r="N215" s="22">
        <v>10.6</v>
      </c>
      <c r="O215" s="23">
        <f t="shared" si="6"/>
        <v>243.98301886792456</v>
      </c>
      <c r="P215" s="24">
        <v>9.51</v>
      </c>
      <c r="Q215" s="25" t="s">
        <v>63</v>
      </c>
      <c r="R215" s="26" t="s">
        <v>33</v>
      </c>
      <c r="S215" s="26" t="s">
        <v>34</v>
      </c>
      <c r="T215" s="26"/>
      <c r="U215" s="39"/>
      <c r="V215" s="28">
        <f t="shared" si="7"/>
        <v>111</v>
      </c>
      <c r="W215" s="35"/>
    </row>
    <row r="216" spans="1:23" s="40" customFormat="1" ht="21" customHeight="1">
      <c r="A216" s="33"/>
      <c r="B216" s="31"/>
      <c r="C216" s="32"/>
      <c r="D216" s="18" t="s">
        <v>102</v>
      </c>
      <c r="E216" s="19" t="s">
        <v>41</v>
      </c>
      <c r="F216" s="20">
        <v>2.9990000000000001</v>
      </c>
      <c r="G216" s="19">
        <v>375</v>
      </c>
      <c r="H216" s="20">
        <v>110</v>
      </c>
      <c r="I216" s="19" t="s">
        <v>71</v>
      </c>
      <c r="J216" s="20">
        <v>2979</v>
      </c>
      <c r="K216" s="21">
        <v>6893</v>
      </c>
      <c r="L216" s="21">
        <v>3749</v>
      </c>
      <c r="M216" s="21" t="s">
        <v>31</v>
      </c>
      <c r="N216" s="22">
        <v>9.1</v>
      </c>
      <c r="O216" s="23">
        <f t="shared" si="6"/>
        <v>284.2</v>
      </c>
      <c r="P216" s="24">
        <v>8.1199999999999992</v>
      </c>
      <c r="Q216" s="25" t="s">
        <v>43</v>
      </c>
      <c r="R216" s="26" t="s">
        <v>33</v>
      </c>
      <c r="S216" s="26" t="s">
        <v>34</v>
      </c>
      <c r="T216" s="26"/>
      <c r="U216" s="39"/>
      <c r="V216" s="28">
        <f t="shared" si="7"/>
        <v>112</v>
      </c>
      <c r="W216" s="35"/>
    </row>
    <row r="217" spans="1:23" s="40" customFormat="1" ht="21" customHeight="1">
      <c r="A217" s="34"/>
      <c r="B217" s="31"/>
      <c r="C217" s="32"/>
      <c r="D217" s="18" t="s">
        <v>102</v>
      </c>
      <c r="E217" s="19" t="s">
        <v>41</v>
      </c>
      <c r="F217" s="20">
        <v>2.9990000000000001</v>
      </c>
      <c r="G217" s="19">
        <v>375</v>
      </c>
      <c r="H217" s="20">
        <v>110</v>
      </c>
      <c r="I217" s="19" t="s">
        <v>71</v>
      </c>
      <c r="J217" s="20">
        <v>2979</v>
      </c>
      <c r="K217" s="21">
        <v>6893</v>
      </c>
      <c r="L217" s="21">
        <v>3749</v>
      </c>
      <c r="M217" s="21" t="s">
        <v>31</v>
      </c>
      <c r="N217" s="22">
        <v>9</v>
      </c>
      <c r="O217" s="23">
        <f t="shared" si="6"/>
        <v>287.35777777777776</v>
      </c>
      <c r="P217" s="24">
        <v>8.1199999999999992</v>
      </c>
      <c r="Q217" s="25" t="s">
        <v>43</v>
      </c>
      <c r="R217" s="26" t="s">
        <v>33</v>
      </c>
      <c r="S217" s="26" t="s">
        <v>34</v>
      </c>
      <c r="T217" s="26"/>
      <c r="U217" s="39"/>
      <c r="V217" s="28">
        <f t="shared" si="7"/>
        <v>110</v>
      </c>
      <c r="W217" s="29"/>
    </row>
    <row r="218" spans="1:23" s="40" customFormat="1" ht="21" customHeight="1">
      <c r="A218" s="33"/>
      <c r="B218" s="31"/>
      <c r="C218" s="32"/>
      <c r="D218" s="18" t="s">
        <v>103</v>
      </c>
      <c r="E218" s="19" t="s">
        <v>41</v>
      </c>
      <c r="F218" s="20">
        <v>2.9990000000000001</v>
      </c>
      <c r="G218" s="19">
        <v>375</v>
      </c>
      <c r="H218" s="20">
        <v>110</v>
      </c>
      <c r="I218" s="19" t="s">
        <v>71</v>
      </c>
      <c r="J218" s="20">
        <v>2356</v>
      </c>
      <c r="K218" s="21">
        <v>4521</v>
      </c>
      <c r="L218" s="21">
        <v>2000</v>
      </c>
      <c r="M218" s="21" t="s">
        <v>31</v>
      </c>
      <c r="N218" s="22">
        <v>11.8</v>
      </c>
      <c r="O218" s="23">
        <f t="shared" si="6"/>
        <v>219.17118644067796</v>
      </c>
      <c r="P218" s="24">
        <v>10.35</v>
      </c>
      <c r="Q218" s="25" t="s">
        <v>43</v>
      </c>
      <c r="R218" s="26" t="s">
        <v>33</v>
      </c>
      <c r="S218" s="26" t="s">
        <v>34</v>
      </c>
      <c r="T218" s="26"/>
      <c r="U218" s="39"/>
      <c r="V218" s="28">
        <f t="shared" si="7"/>
        <v>114</v>
      </c>
      <c r="W218" s="35"/>
    </row>
    <row r="219" spans="1:23" s="40" customFormat="1" ht="21" customHeight="1">
      <c r="A219" s="33"/>
      <c r="B219" s="31"/>
      <c r="C219" s="32"/>
      <c r="D219" s="18" t="s">
        <v>103</v>
      </c>
      <c r="E219" s="19" t="s">
        <v>41</v>
      </c>
      <c r="F219" s="20">
        <v>2.9990000000000001</v>
      </c>
      <c r="G219" s="19">
        <v>375</v>
      </c>
      <c r="H219" s="20">
        <v>110</v>
      </c>
      <c r="I219" s="19" t="s">
        <v>71</v>
      </c>
      <c r="J219" s="20">
        <v>2356</v>
      </c>
      <c r="K219" s="21">
        <v>4521</v>
      </c>
      <c r="L219" s="21">
        <v>2000</v>
      </c>
      <c r="M219" s="21" t="s">
        <v>31</v>
      </c>
      <c r="N219" s="22">
        <v>11.4</v>
      </c>
      <c r="O219" s="23">
        <f t="shared" si="6"/>
        <v>226.8614035087719</v>
      </c>
      <c r="P219" s="24">
        <v>10.35</v>
      </c>
      <c r="Q219" s="25" t="s">
        <v>63</v>
      </c>
      <c r="R219" s="26" t="s">
        <v>33</v>
      </c>
      <c r="S219" s="26" t="s">
        <v>34</v>
      </c>
      <c r="T219" s="26"/>
      <c r="U219" s="39"/>
      <c r="V219" s="28">
        <f t="shared" si="7"/>
        <v>110</v>
      </c>
      <c r="W219" s="35"/>
    </row>
    <row r="220" spans="1:23" s="40" customFormat="1" ht="21" customHeight="1">
      <c r="A220" s="33"/>
      <c r="B220" s="31"/>
      <c r="C220" s="32"/>
      <c r="D220" s="18" t="s">
        <v>103</v>
      </c>
      <c r="E220" s="19" t="s">
        <v>41</v>
      </c>
      <c r="F220" s="20">
        <v>2.9990000000000001</v>
      </c>
      <c r="G220" s="19">
        <v>375</v>
      </c>
      <c r="H220" s="20">
        <v>110</v>
      </c>
      <c r="I220" s="19" t="s">
        <v>71</v>
      </c>
      <c r="J220" s="20">
        <v>2652</v>
      </c>
      <c r="K220" s="21">
        <v>5812</v>
      </c>
      <c r="L220" s="21">
        <v>2995</v>
      </c>
      <c r="M220" s="21" t="s">
        <v>31</v>
      </c>
      <c r="N220" s="22">
        <v>10.8</v>
      </c>
      <c r="O220" s="23">
        <f t="shared" si="6"/>
        <v>239.46481481481482</v>
      </c>
      <c r="P220" s="24">
        <v>9.51</v>
      </c>
      <c r="Q220" s="25" t="s">
        <v>43</v>
      </c>
      <c r="R220" s="26" t="s">
        <v>33</v>
      </c>
      <c r="S220" s="26" t="s">
        <v>34</v>
      </c>
      <c r="T220" s="26"/>
      <c r="U220" s="39"/>
      <c r="V220" s="28">
        <f t="shared" si="7"/>
        <v>113</v>
      </c>
      <c r="W220" s="35"/>
    </row>
    <row r="221" spans="1:23" s="40" customFormat="1" ht="21" customHeight="1">
      <c r="A221" s="33"/>
      <c r="B221" s="31"/>
      <c r="C221" s="32"/>
      <c r="D221" s="18" t="s">
        <v>103</v>
      </c>
      <c r="E221" s="19" t="s">
        <v>41</v>
      </c>
      <c r="F221" s="20">
        <v>2.9990000000000001</v>
      </c>
      <c r="G221" s="19">
        <v>375</v>
      </c>
      <c r="H221" s="20">
        <v>110</v>
      </c>
      <c r="I221" s="19" t="s">
        <v>71</v>
      </c>
      <c r="J221" s="20">
        <v>2652</v>
      </c>
      <c r="K221" s="21">
        <v>5812</v>
      </c>
      <c r="L221" s="21">
        <v>2995</v>
      </c>
      <c r="M221" s="21" t="s">
        <v>31</v>
      </c>
      <c r="N221" s="22">
        <v>10.6</v>
      </c>
      <c r="O221" s="23">
        <f t="shared" si="6"/>
        <v>243.98301886792456</v>
      </c>
      <c r="P221" s="24">
        <v>9.51</v>
      </c>
      <c r="Q221" s="25" t="s">
        <v>63</v>
      </c>
      <c r="R221" s="26" t="s">
        <v>33</v>
      </c>
      <c r="S221" s="26" t="s">
        <v>34</v>
      </c>
      <c r="T221" s="26"/>
      <c r="U221" s="39"/>
      <c r="V221" s="28">
        <f t="shared" si="7"/>
        <v>111</v>
      </c>
      <c r="W221" s="29"/>
    </row>
    <row r="222" spans="1:23" s="40" customFormat="1" ht="21" customHeight="1">
      <c r="A222" s="33"/>
      <c r="B222" s="31"/>
      <c r="C222" s="32"/>
      <c r="D222" s="18" t="s">
        <v>103</v>
      </c>
      <c r="E222" s="19" t="s">
        <v>41</v>
      </c>
      <c r="F222" s="20">
        <v>2.9990000000000001</v>
      </c>
      <c r="G222" s="19">
        <v>375</v>
      </c>
      <c r="H222" s="20">
        <v>110</v>
      </c>
      <c r="I222" s="19" t="s">
        <v>71</v>
      </c>
      <c r="J222" s="20">
        <v>2979</v>
      </c>
      <c r="K222" s="21">
        <v>6893</v>
      </c>
      <c r="L222" s="21">
        <v>3749</v>
      </c>
      <c r="M222" s="21" t="s">
        <v>31</v>
      </c>
      <c r="N222" s="22">
        <v>9.1</v>
      </c>
      <c r="O222" s="23">
        <f t="shared" si="6"/>
        <v>284.2</v>
      </c>
      <c r="P222" s="24">
        <v>8.1199999999999992</v>
      </c>
      <c r="Q222" s="25" t="s">
        <v>43</v>
      </c>
      <c r="R222" s="26" t="s">
        <v>33</v>
      </c>
      <c r="S222" s="26" t="s">
        <v>34</v>
      </c>
      <c r="T222" s="26"/>
      <c r="U222" s="39"/>
      <c r="V222" s="28">
        <f t="shared" si="7"/>
        <v>112</v>
      </c>
      <c r="W222" s="29"/>
    </row>
    <row r="223" spans="1:23" s="40" customFormat="1" ht="21" customHeight="1">
      <c r="A223" s="34"/>
      <c r="B223" s="31"/>
      <c r="C223" s="32"/>
      <c r="D223" s="18" t="s">
        <v>103</v>
      </c>
      <c r="E223" s="19" t="s">
        <v>41</v>
      </c>
      <c r="F223" s="20">
        <v>2.9990000000000001</v>
      </c>
      <c r="G223" s="19">
        <v>375</v>
      </c>
      <c r="H223" s="20">
        <v>110</v>
      </c>
      <c r="I223" s="19" t="s">
        <v>71</v>
      </c>
      <c r="J223" s="20">
        <v>2979</v>
      </c>
      <c r="K223" s="21">
        <v>6893</v>
      </c>
      <c r="L223" s="21">
        <v>3749</v>
      </c>
      <c r="M223" s="21" t="s">
        <v>31</v>
      </c>
      <c r="N223" s="22">
        <v>9</v>
      </c>
      <c r="O223" s="23">
        <f t="shared" si="6"/>
        <v>287.35777777777776</v>
      </c>
      <c r="P223" s="24">
        <v>8.1199999999999992</v>
      </c>
      <c r="Q223" s="25" t="s">
        <v>43</v>
      </c>
      <c r="R223" s="26" t="s">
        <v>33</v>
      </c>
      <c r="S223" s="26" t="s">
        <v>34</v>
      </c>
      <c r="T223" s="26"/>
      <c r="U223" s="39"/>
      <c r="V223" s="28">
        <f t="shared" si="7"/>
        <v>110</v>
      </c>
      <c r="W223" s="29"/>
    </row>
    <row r="224" spans="1:23" s="40" customFormat="1" ht="21" customHeight="1">
      <c r="A224" s="34"/>
      <c r="B224" s="31"/>
      <c r="C224" s="32"/>
      <c r="D224" s="18" t="s">
        <v>104</v>
      </c>
      <c r="E224" s="19" t="s">
        <v>41</v>
      </c>
      <c r="F224" s="20">
        <v>2.9990000000000001</v>
      </c>
      <c r="G224" s="19">
        <v>375</v>
      </c>
      <c r="H224" s="20">
        <v>110</v>
      </c>
      <c r="I224" s="19" t="s">
        <v>70</v>
      </c>
      <c r="J224" s="20">
        <v>2356</v>
      </c>
      <c r="K224" s="21">
        <v>4521</v>
      </c>
      <c r="L224" s="21">
        <v>2000</v>
      </c>
      <c r="M224" s="21" t="s">
        <v>31</v>
      </c>
      <c r="N224" s="22">
        <v>11.8</v>
      </c>
      <c r="O224" s="23">
        <f t="shared" si="6"/>
        <v>219.17118644067796</v>
      </c>
      <c r="P224" s="24">
        <v>10.35</v>
      </c>
      <c r="Q224" s="25" t="s">
        <v>43</v>
      </c>
      <c r="R224" s="26" t="s">
        <v>33</v>
      </c>
      <c r="S224" s="26" t="s">
        <v>34</v>
      </c>
      <c r="T224" s="26"/>
      <c r="U224" s="39"/>
      <c r="V224" s="28">
        <f t="shared" si="7"/>
        <v>114</v>
      </c>
      <c r="W224" s="29"/>
    </row>
    <row r="225" spans="1:23" s="40" customFormat="1" ht="21" customHeight="1">
      <c r="A225" s="34"/>
      <c r="B225" s="31"/>
      <c r="C225" s="32"/>
      <c r="D225" s="18" t="s">
        <v>104</v>
      </c>
      <c r="E225" s="19" t="s">
        <v>41</v>
      </c>
      <c r="F225" s="20">
        <v>2.9990000000000001</v>
      </c>
      <c r="G225" s="19">
        <v>375</v>
      </c>
      <c r="H225" s="20">
        <v>110</v>
      </c>
      <c r="I225" s="19" t="s">
        <v>42</v>
      </c>
      <c r="J225" s="20">
        <v>2356</v>
      </c>
      <c r="K225" s="21">
        <v>4521</v>
      </c>
      <c r="L225" s="21">
        <v>2000</v>
      </c>
      <c r="M225" s="21" t="s">
        <v>31</v>
      </c>
      <c r="N225" s="22">
        <v>11.8</v>
      </c>
      <c r="O225" s="23">
        <f t="shared" si="6"/>
        <v>219.17118644067796</v>
      </c>
      <c r="P225" s="24">
        <v>10.35</v>
      </c>
      <c r="Q225" s="25" t="s">
        <v>63</v>
      </c>
      <c r="R225" s="26" t="s">
        <v>33</v>
      </c>
      <c r="S225" s="26" t="s">
        <v>34</v>
      </c>
      <c r="T225" s="26"/>
      <c r="U225" s="39"/>
      <c r="V225" s="28">
        <f t="shared" si="7"/>
        <v>114</v>
      </c>
      <c r="W225" s="29"/>
    </row>
    <row r="226" spans="1:23" s="40" customFormat="1" ht="21" customHeight="1">
      <c r="A226" s="34"/>
      <c r="B226" s="31"/>
      <c r="C226" s="32"/>
      <c r="D226" s="18" t="s">
        <v>104</v>
      </c>
      <c r="E226" s="19" t="s">
        <v>41</v>
      </c>
      <c r="F226" s="20">
        <v>2.9990000000000001</v>
      </c>
      <c r="G226" s="19">
        <v>375</v>
      </c>
      <c r="H226" s="20">
        <v>110</v>
      </c>
      <c r="I226" s="19" t="s">
        <v>70</v>
      </c>
      <c r="J226" s="20">
        <v>2356</v>
      </c>
      <c r="K226" s="21">
        <v>4521</v>
      </c>
      <c r="L226" s="21">
        <v>2000</v>
      </c>
      <c r="M226" s="21" t="s">
        <v>31</v>
      </c>
      <c r="N226" s="22">
        <v>11.4</v>
      </c>
      <c r="O226" s="23">
        <f t="shared" si="6"/>
        <v>226.8614035087719</v>
      </c>
      <c r="P226" s="24">
        <v>10.35</v>
      </c>
      <c r="Q226" s="25" t="s">
        <v>63</v>
      </c>
      <c r="R226" s="26" t="s">
        <v>33</v>
      </c>
      <c r="S226" s="26" t="s">
        <v>34</v>
      </c>
      <c r="T226" s="26"/>
      <c r="U226" s="39"/>
      <c r="V226" s="28">
        <f t="shared" si="7"/>
        <v>110</v>
      </c>
      <c r="W226" s="29"/>
    </row>
    <row r="227" spans="1:23" s="40" customFormat="1" ht="21" customHeight="1">
      <c r="A227" s="34"/>
      <c r="B227" s="31"/>
      <c r="C227" s="32"/>
      <c r="D227" s="18" t="s">
        <v>105</v>
      </c>
      <c r="E227" s="19" t="s">
        <v>41</v>
      </c>
      <c r="F227" s="20">
        <v>2.9990000000000001</v>
      </c>
      <c r="G227" s="19">
        <v>375</v>
      </c>
      <c r="H227" s="20">
        <v>110</v>
      </c>
      <c r="I227" s="19" t="s">
        <v>70</v>
      </c>
      <c r="J227" s="20">
        <v>2356</v>
      </c>
      <c r="K227" s="21">
        <v>4521</v>
      </c>
      <c r="L227" s="21">
        <v>2000</v>
      </c>
      <c r="M227" s="21" t="s">
        <v>31</v>
      </c>
      <c r="N227" s="22">
        <v>11.8</v>
      </c>
      <c r="O227" s="23">
        <f t="shared" si="6"/>
        <v>219.17118644067796</v>
      </c>
      <c r="P227" s="24">
        <v>10.35</v>
      </c>
      <c r="Q227" s="25" t="s">
        <v>43</v>
      </c>
      <c r="R227" s="26" t="s">
        <v>33</v>
      </c>
      <c r="S227" s="26" t="s">
        <v>34</v>
      </c>
      <c r="T227" s="26"/>
      <c r="U227" s="39"/>
      <c r="V227" s="28">
        <f t="shared" si="7"/>
        <v>114</v>
      </c>
      <c r="W227" s="29"/>
    </row>
    <row r="228" spans="1:23" s="40" customFormat="1" ht="21" customHeight="1">
      <c r="A228" s="34"/>
      <c r="B228" s="31"/>
      <c r="C228" s="32"/>
      <c r="D228" s="18" t="s">
        <v>105</v>
      </c>
      <c r="E228" s="19" t="s">
        <v>41</v>
      </c>
      <c r="F228" s="20">
        <v>2.9990000000000001</v>
      </c>
      <c r="G228" s="19">
        <v>375</v>
      </c>
      <c r="H228" s="20">
        <v>110</v>
      </c>
      <c r="I228" s="19" t="s">
        <v>42</v>
      </c>
      <c r="J228" s="20">
        <v>2356</v>
      </c>
      <c r="K228" s="21">
        <v>4521</v>
      </c>
      <c r="L228" s="21">
        <v>2000</v>
      </c>
      <c r="M228" s="21" t="s">
        <v>31</v>
      </c>
      <c r="N228" s="22">
        <v>11.8</v>
      </c>
      <c r="O228" s="23">
        <f t="shared" si="6"/>
        <v>219.17118644067796</v>
      </c>
      <c r="P228" s="24">
        <v>10.35</v>
      </c>
      <c r="Q228" s="25" t="s">
        <v>63</v>
      </c>
      <c r="R228" s="26" t="s">
        <v>33</v>
      </c>
      <c r="S228" s="26" t="s">
        <v>34</v>
      </c>
      <c r="T228" s="26"/>
      <c r="U228" s="39"/>
      <c r="V228" s="28">
        <f t="shared" si="7"/>
        <v>114</v>
      </c>
      <c r="W228" s="29"/>
    </row>
    <row r="229" spans="1:23" s="40" customFormat="1" ht="21" customHeight="1">
      <c r="A229" s="34"/>
      <c r="B229" s="31"/>
      <c r="C229" s="32"/>
      <c r="D229" s="18" t="s">
        <v>105</v>
      </c>
      <c r="E229" s="19" t="s">
        <v>41</v>
      </c>
      <c r="F229" s="20">
        <v>2.9990000000000001</v>
      </c>
      <c r="G229" s="19">
        <v>375</v>
      </c>
      <c r="H229" s="20">
        <v>110</v>
      </c>
      <c r="I229" s="19" t="s">
        <v>70</v>
      </c>
      <c r="J229" s="20">
        <v>2356</v>
      </c>
      <c r="K229" s="21">
        <v>4521</v>
      </c>
      <c r="L229" s="21">
        <v>2000</v>
      </c>
      <c r="M229" s="21" t="s">
        <v>31</v>
      </c>
      <c r="N229" s="22">
        <v>11.4</v>
      </c>
      <c r="O229" s="23">
        <f t="shared" si="6"/>
        <v>226.8614035087719</v>
      </c>
      <c r="P229" s="24">
        <v>10.35</v>
      </c>
      <c r="Q229" s="25" t="s">
        <v>63</v>
      </c>
      <c r="R229" s="26" t="s">
        <v>33</v>
      </c>
      <c r="S229" s="26" t="s">
        <v>34</v>
      </c>
      <c r="T229" s="26"/>
      <c r="U229" s="39"/>
      <c r="V229" s="28">
        <f t="shared" si="7"/>
        <v>110</v>
      </c>
      <c r="W229" s="29"/>
    </row>
    <row r="230" spans="1:23" s="40" customFormat="1" ht="21" customHeight="1">
      <c r="A230" s="33"/>
      <c r="B230" s="31"/>
      <c r="C230" s="32"/>
      <c r="D230" s="18" t="s">
        <v>106</v>
      </c>
      <c r="E230" s="19" t="s">
        <v>41</v>
      </c>
      <c r="F230" s="20">
        <v>2.9990000000000001</v>
      </c>
      <c r="G230" s="19">
        <v>375</v>
      </c>
      <c r="H230" s="20">
        <v>110</v>
      </c>
      <c r="I230" s="19" t="s">
        <v>70</v>
      </c>
      <c r="J230" s="20">
        <v>2356</v>
      </c>
      <c r="K230" s="21">
        <v>4521</v>
      </c>
      <c r="L230" s="21">
        <v>2000</v>
      </c>
      <c r="M230" s="21" t="s">
        <v>31</v>
      </c>
      <c r="N230" s="22">
        <v>11.8</v>
      </c>
      <c r="O230" s="23">
        <f t="shared" si="6"/>
        <v>219.17118644067796</v>
      </c>
      <c r="P230" s="24">
        <v>10.35</v>
      </c>
      <c r="Q230" s="25" t="s">
        <v>43</v>
      </c>
      <c r="R230" s="26" t="s">
        <v>33</v>
      </c>
      <c r="S230" s="26" t="s">
        <v>34</v>
      </c>
      <c r="T230" s="26"/>
      <c r="U230" s="39"/>
      <c r="V230" s="28">
        <f t="shared" si="7"/>
        <v>114</v>
      </c>
      <c r="W230" s="29"/>
    </row>
    <row r="231" spans="1:23" s="40" customFormat="1" ht="21" customHeight="1">
      <c r="A231" s="33"/>
      <c r="B231" s="31"/>
      <c r="C231" s="32"/>
      <c r="D231" s="18" t="s">
        <v>106</v>
      </c>
      <c r="E231" s="19" t="s">
        <v>41</v>
      </c>
      <c r="F231" s="20">
        <v>2.9990000000000001</v>
      </c>
      <c r="G231" s="19">
        <v>375</v>
      </c>
      <c r="H231" s="20">
        <v>110</v>
      </c>
      <c r="I231" s="19" t="s">
        <v>71</v>
      </c>
      <c r="J231" s="20">
        <v>2356</v>
      </c>
      <c r="K231" s="21">
        <v>4521</v>
      </c>
      <c r="L231" s="21">
        <v>2000</v>
      </c>
      <c r="M231" s="21" t="s">
        <v>31</v>
      </c>
      <c r="N231" s="22">
        <v>11.8</v>
      </c>
      <c r="O231" s="23">
        <f t="shared" si="6"/>
        <v>219.17118644067796</v>
      </c>
      <c r="P231" s="24">
        <v>10.35</v>
      </c>
      <c r="Q231" s="25" t="s">
        <v>43</v>
      </c>
      <c r="R231" s="26" t="s">
        <v>33</v>
      </c>
      <c r="S231" s="26" t="s">
        <v>34</v>
      </c>
      <c r="T231" s="26"/>
      <c r="U231" s="39"/>
      <c r="V231" s="28">
        <f t="shared" si="7"/>
        <v>114</v>
      </c>
      <c r="W231" s="29"/>
    </row>
    <row r="232" spans="1:23" s="40" customFormat="1" ht="21" customHeight="1">
      <c r="A232" s="33"/>
      <c r="B232" s="31"/>
      <c r="C232" s="32"/>
      <c r="D232" s="18" t="s">
        <v>106</v>
      </c>
      <c r="E232" s="19" t="s">
        <v>41</v>
      </c>
      <c r="F232" s="20">
        <v>2.9990000000000001</v>
      </c>
      <c r="G232" s="19">
        <v>375</v>
      </c>
      <c r="H232" s="20">
        <v>110</v>
      </c>
      <c r="I232" s="19" t="s">
        <v>70</v>
      </c>
      <c r="J232" s="20">
        <v>2356</v>
      </c>
      <c r="K232" s="21">
        <v>4521</v>
      </c>
      <c r="L232" s="21">
        <v>2000</v>
      </c>
      <c r="M232" s="21" t="s">
        <v>31</v>
      </c>
      <c r="N232" s="22">
        <v>11.4</v>
      </c>
      <c r="O232" s="23">
        <f t="shared" si="6"/>
        <v>226.8614035087719</v>
      </c>
      <c r="P232" s="24">
        <v>10.35</v>
      </c>
      <c r="Q232" s="25" t="s">
        <v>63</v>
      </c>
      <c r="R232" s="26" t="s">
        <v>33</v>
      </c>
      <c r="S232" s="26" t="s">
        <v>34</v>
      </c>
      <c r="T232" s="26"/>
      <c r="U232" s="39"/>
      <c r="V232" s="28">
        <f t="shared" si="7"/>
        <v>110</v>
      </c>
      <c r="W232" s="29"/>
    </row>
    <row r="233" spans="1:23" s="40" customFormat="1" ht="21" customHeight="1">
      <c r="A233" s="33"/>
      <c r="B233" s="31"/>
      <c r="C233" s="32"/>
      <c r="D233" s="18" t="s">
        <v>106</v>
      </c>
      <c r="E233" s="19" t="s">
        <v>41</v>
      </c>
      <c r="F233" s="20">
        <v>2.9990000000000001</v>
      </c>
      <c r="G233" s="19">
        <v>375</v>
      </c>
      <c r="H233" s="20">
        <v>110</v>
      </c>
      <c r="I233" s="19" t="s">
        <v>71</v>
      </c>
      <c r="J233" s="20">
        <v>2356</v>
      </c>
      <c r="K233" s="21">
        <v>4521</v>
      </c>
      <c r="L233" s="21">
        <v>2000</v>
      </c>
      <c r="M233" s="21" t="s">
        <v>31</v>
      </c>
      <c r="N233" s="22">
        <v>11.4</v>
      </c>
      <c r="O233" s="23">
        <f t="shared" si="6"/>
        <v>226.8614035087719</v>
      </c>
      <c r="P233" s="24">
        <v>10.35</v>
      </c>
      <c r="Q233" s="25" t="s">
        <v>63</v>
      </c>
      <c r="R233" s="26" t="s">
        <v>33</v>
      </c>
      <c r="S233" s="26" t="s">
        <v>34</v>
      </c>
      <c r="T233" s="26"/>
      <c r="U233" s="39"/>
      <c r="V233" s="28">
        <f t="shared" si="7"/>
        <v>110</v>
      </c>
      <c r="W233" s="29"/>
    </row>
    <row r="234" spans="1:23" s="40" customFormat="1" ht="21" customHeight="1">
      <c r="A234" s="33"/>
      <c r="B234" s="31"/>
      <c r="C234" s="32"/>
      <c r="D234" s="18" t="s">
        <v>107</v>
      </c>
      <c r="E234" s="19" t="s">
        <v>41</v>
      </c>
      <c r="F234" s="20">
        <v>2.9990000000000001</v>
      </c>
      <c r="G234" s="19">
        <v>375</v>
      </c>
      <c r="H234" s="20">
        <v>110</v>
      </c>
      <c r="I234" s="19" t="s">
        <v>70</v>
      </c>
      <c r="J234" s="20">
        <v>2356</v>
      </c>
      <c r="K234" s="21">
        <v>4521</v>
      </c>
      <c r="L234" s="21">
        <v>2000</v>
      </c>
      <c r="M234" s="21" t="s">
        <v>31</v>
      </c>
      <c r="N234" s="22">
        <v>11.8</v>
      </c>
      <c r="O234" s="23">
        <f t="shared" si="6"/>
        <v>219.17118644067796</v>
      </c>
      <c r="P234" s="24">
        <v>10.35</v>
      </c>
      <c r="Q234" s="25" t="s">
        <v>43</v>
      </c>
      <c r="R234" s="26" t="s">
        <v>33</v>
      </c>
      <c r="S234" s="26" t="s">
        <v>34</v>
      </c>
      <c r="T234" s="26"/>
      <c r="U234" s="39"/>
      <c r="V234" s="28">
        <f t="shared" si="7"/>
        <v>114</v>
      </c>
      <c r="W234" s="29"/>
    </row>
    <row r="235" spans="1:23" s="40" customFormat="1" ht="21" customHeight="1">
      <c r="A235" s="33"/>
      <c r="B235" s="31"/>
      <c r="C235" s="32"/>
      <c r="D235" s="18" t="s">
        <v>107</v>
      </c>
      <c r="E235" s="19" t="s">
        <v>41</v>
      </c>
      <c r="F235" s="20">
        <v>2.9990000000000001</v>
      </c>
      <c r="G235" s="19">
        <v>375</v>
      </c>
      <c r="H235" s="20">
        <v>110</v>
      </c>
      <c r="I235" s="19" t="s">
        <v>71</v>
      </c>
      <c r="J235" s="20">
        <v>2356</v>
      </c>
      <c r="K235" s="21">
        <v>4521</v>
      </c>
      <c r="L235" s="21">
        <v>2000</v>
      </c>
      <c r="M235" s="21" t="s">
        <v>31</v>
      </c>
      <c r="N235" s="22">
        <v>11.8</v>
      </c>
      <c r="O235" s="23">
        <f t="shared" si="6"/>
        <v>219.17118644067796</v>
      </c>
      <c r="P235" s="24">
        <v>10.35</v>
      </c>
      <c r="Q235" s="25" t="s">
        <v>43</v>
      </c>
      <c r="R235" s="26" t="s">
        <v>33</v>
      </c>
      <c r="S235" s="26" t="s">
        <v>34</v>
      </c>
      <c r="T235" s="26"/>
      <c r="U235" s="39"/>
      <c r="V235" s="28">
        <f t="shared" si="7"/>
        <v>114</v>
      </c>
      <c r="W235" s="29"/>
    </row>
    <row r="236" spans="1:23" s="40" customFormat="1" ht="21" customHeight="1">
      <c r="A236" s="33"/>
      <c r="B236" s="31"/>
      <c r="C236" s="32"/>
      <c r="D236" s="18" t="s">
        <v>107</v>
      </c>
      <c r="E236" s="19" t="s">
        <v>41</v>
      </c>
      <c r="F236" s="20">
        <v>2.9990000000000001</v>
      </c>
      <c r="G236" s="19">
        <v>375</v>
      </c>
      <c r="H236" s="20">
        <v>110</v>
      </c>
      <c r="I236" s="19" t="s">
        <v>70</v>
      </c>
      <c r="J236" s="20">
        <v>2356</v>
      </c>
      <c r="K236" s="21">
        <v>4521</v>
      </c>
      <c r="L236" s="21">
        <v>2000</v>
      </c>
      <c r="M236" s="21" t="s">
        <v>31</v>
      </c>
      <c r="N236" s="22">
        <v>11.4</v>
      </c>
      <c r="O236" s="23">
        <f t="shared" si="6"/>
        <v>226.8614035087719</v>
      </c>
      <c r="P236" s="24">
        <v>10.35</v>
      </c>
      <c r="Q236" s="25" t="s">
        <v>63</v>
      </c>
      <c r="R236" s="26" t="s">
        <v>33</v>
      </c>
      <c r="S236" s="26" t="s">
        <v>34</v>
      </c>
      <c r="T236" s="26"/>
      <c r="U236" s="39"/>
      <c r="V236" s="28">
        <f t="shared" si="7"/>
        <v>110</v>
      </c>
      <c r="W236" s="29"/>
    </row>
    <row r="237" spans="1:23" s="40" customFormat="1" ht="21" customHeight="1">
      <c r="A237" s="33"/>
      <c r="B237" s="31"/>
      <c r="C237" s="32"/>
      <c r="D237" s="18" t="s">
        <v>107</v>
      </c>
      <c r="E237" s="19" t="s">
        <v>41</v>
      </c>
      <c r="F237" s="20">
        <v>2.9990000000000001</v>
      </c>
      <c r="G237" s="19">
        <v>375</v>
      </c>
      <c r="H237" s="20">
        <v>110</v>
      </c>
      <c r="I237" s="19" t="s">
        <v>71</v>
      </c>
      <c r="J237" s="20">
        <v>2356</v>
      </c>
      <c r="K237" s="21">
        <v>4521</v>
      </c>
      <c r="L237" s="21">
        <v>2000</v>
      </c>
      <c r="M237" s="21" t="s">
        <v>31</v>
      </c>
      <c r="N237" s="22">
        <v>11.4</v>
      </c>
      <c r="O237" s="23">
        <f t="shared" si="6"/>
        <v>226.8614035087719</v>
      </c>
      <c r="P237" s="24">
        <v>10.35</v>
      </c>
      <c r="Q237" s="25" t="s">
        <v>63</v>
      </c>
      <c r="R237" s="26" t="s">
        <v>33</v>
      </c>
      <c r="S237" s="26" t="s">
        <v>34</v>
      </c>
      <c r="T237" s="26"/>
      <c r="U237" s="39"/>
      <c r="V237" s="28">
        <f t="shared" si="7"/>
        <v>110</v>
      </c>
      <c r="W237" s="29"/>
    </row>
    <row r="238" spans="1:23" s="40" customFormat="1" ht="21" customHeight="1">
      <c r="A238" s="33"/>
      <c r="B238" s="31"/>
      <c r="C238" s="32"/>
      <c r="D238" s="18" t="s">
        <v>108</v>
      </c>
      <c r="E238" s="19" t="s">
        <v>41</v>
      </c>
      <c r="F238" s="20">
        <v>2.9990000000000001</v>
      </c>
      <c r="G238" s="19">
        <v>375</v>
      </c>
      <c r="H238" s="20">
        <v>110</v>
      </c>
      <c r="I238" s="19" t="s">
        <v>70</v>
      </c>
      <c r="J238" s="20">
        <v>2356</v>
      </c>
      <c r="K238" s="21">
        <v>4521</v>
      </c>
      <c r="L238" s="21">
        <v>2000</v>
      </c>
      <c r="M238" s="21" t="s">
        <v>31</v>
      </c>
      <c r="N238" s="22">
        <v>11.8</v>
      </c>
      <c r="O238" s="23">
        <f t="shared" si="6"/>
        <v>219.17118644067796</v>
      </c>
      <c r="P238" s="24">
        <v>10.35</v>
      </c>
      <c r="Q238" s="25" t="s">
        <v>43</v>
      </c>
      <c r="R238" s="26" t="s">
        <v>33</v>
      </c>
      <c r="S238" s="26" t="s">
        <v>34</v>
      </c>
      <c r="T238" s="26"/>
      <c r="U238" s="39"/>
      <c r="V238" s="28">
        <f t="shared" si="7"/>
        <v>114</v>
      </c>
      <c r="W238" s="35"/>
    </row>
    <row r="239" spans="1:23" s="40" customFormat="1" ht="21" customHeight="1">
      <c r="A239" s="33"/>
      <c r="B239" s="31"/>
      <c r="C239" s="32"/>
      <c r="D239" s="18" t="s">
        <v>108</v>
      </c>
      <c r="E239" s="19" t="s">
        <v>41</v>
      </c>
      <c r="F239" s="20">
        <v>2.9990000000000001</v>
      </c>
      <c r="G239" s="19">
        <v>375</v>
      </c>
      <c r="H239" s="20">
        <v>110</v>
      </c>
      <c r="I239" s="19" t="s">
        <v>71</v>
      </c>
      <c r="J239" s="20">
        <v>2356</v>
      </c>
      <c r="K239" s="21">
        <v>4521</v>
      </c>
      <c r="L239" s="21">
        <v>2000</v>
      </c>
      <c r="M239" s="21" t="s">
        <v>31</v>
      </c>
      <c r="N239" s="22">
        <v>11.8</v>
      </c>
      <c r="O239" s="23">
        <f t="shared" si="6"/>
        <v>219.17118644067796</v>
      </c>
      <c r="P239" s="24">
        <v>10.35</v>
      </c>
      <c r="Q239" s="25" t="s">
        <v>43</v>
      </c>
      <c r="R239" s="26" t="s">
        <v>33</v>
      </c>
      <c r="S239" s="26" t="s">
        <v>34</v>
      </c>
      <c r="T239" s="26"/>
      <c r="U239" s="39"/>
      <c r="V239" s="28">
        <f t="shared" si="7"/>
        <v>114</v>
      </c>
      <c r="W239" s="35"/>
    </row>
    <row r="240" spans="1:23" s="40" customFormat="1" ht="21" customHeight="1">
      <c r="A240" s="33"/>
      <c r="B240" s="31"/>
      <c r="C240" s="32"/>
      <c r="D240" s="18" t="s">
        <v>108</v>
      </c>
      <c r="E240" s="19" t="s">
        <v>41</v>
      </c>
      <c r="F240" s="20">
        <v>2.9990000000000001</v>
      </c>
      <c r="G240" s="19">
        <v>375</v>
      </c>
      <c r="H240" s="20">
        <v>110</v>
      </c>
      <c r="I240" s="19" t="s">
        <v>70</v>
      </c>
      <c r="J240" s="20">
        <v>2356</v>
      </c>
      <c r="K240" s="21">
        <v>4521</v>
      </c>
      <c r="L240" s="21">
        <v>2000</v>
      </c>
      <c r="M240" s="21" t="s">
        <v>31</v>
      </c>
      <c r="N240" s="22">
        <v>11.4</v>
      </c>
      <c r="O240" s="23">
        <f t="shared" si="6"/>
        <v>226.8614035087719</v>
      </c>
      <c r="P240" s="24">
        <v>10.35</v>
      </c>
      <c r="Q240" s="25" t="s">
        <v>63</v>
      </c>
      <c r="R240" s="26" t="s">
        <v>33</v>
      </c>
      <c r="S240" s="26" t="s">
        <v>34</v>
      </c>
      <c r="T240" s="26"/>
      <c r="U240" s="39"/>
      <c r="V240" s="28">
        <f t="shared" si="7"/>
        <v>110</v>
      </c>
      <c r="W240" s="29"/>
    </row>
    <row r="241" spans="1:23" s="40" customFormat="1" ht="21" customHeight="1">
      <c r="A241" s="33"/>
      <c r="B241" s="31"/>
      <c r="C241" s="32"/>
      <c r="D241" s="18" t="s">
        <v>108</v>
      </c>
      <c r="E241" s="19" t="s">
        <v>41</v>
      </c>
      <c r="F241" s="20">
        <v>2.9990000000000001</v>
      </c>
      <c r="G241" s="19">
        <v>375</v>
      </c>
      <c r="H241" s="20">
        <v>110</v>
      </c>
      <c r="I241" s="19" t="s">
        <v>71</v>
      </c>
      <c r="J241" s="20">
        <v>2356</v>
      </c>
      <c r="K241" s="21">
        <v>4521</v>
      </c>
      <c r="L241" s="21">
        <v>2000</v>
      </c>
      <c r="M241" s="21" t="s">
        <v>31</v>
      </c>
      <c r="N241" s="22">
        <v>11.4</v>
      </c>
      <c r="O241" s="23">
        <f t="shared" si="6"/>
        <v>226.8614035087719</v>
      </c>
      <c r="P241" s="24">
        <v>10.35</v>
      </c>
      <c r="Q241" s="25" t="s">
        <v>63</v>
      </c>
      <c r="R241" s="26" t="s">
        <v>33</v>
      </c>
      <c r="S241" s="26" t="s">
        <v>34</v>
      </c>
      <c r="T241" s="26"/>
      <c r="U241" s="39"/>
      <c r="V241" s="28">
        <f t="shared" si="7"/>
        <v>110</v>
      </c>
      <c r="W241" s="29"/>
    </row>
    <row r="242" spans="1:23" s="40" customFormat="1" ht="21" customHeight="1">
      <c r="A242" s="34"/>
      <c r="B242" s="36"/>
      <c r="C242" s="32"/>
      <c r="D242" s="18" t="s">
        <v>109</v>
      </c>
      <c r="E242" s="19" t="s">
        <v>41</v>
      </c>
      <c r="F242" s="20">
        <v>2.9990000000000001</v>
      </c>
      <c r="G242" s="19">
        <v>375</v>
      </c>
      <c r="H242" s="20">
        <v>110</v>
      </c>
      <c r="I242" s="19" t="s">
        <v>70</v>
      </c>
      <c r="J242" s="20">
        <v>2356</v>
      </c>
      <c r="K242" s="21">
        <v>4521</v>
      </c>
      <c r="L242" s="21">
        <v>2000</v>
      </c>
      <c r="M242" s="21" t="s">
        <v>31</v>
      </c>
      <c r="N242" s="22">
        <v>11.8</v>
      </c>
      <c r="O242" s="23">
        <f t="shared" si="6"/>
        <v>219.17118644067796</v>
      </c>
      <c r="P242" s="24">
        <v>10.35</v>
      </c>
      <c r="Q242" s="25" t="s">
        <v>43</v>
      </c>
      <c r="R242" s="26" t="s">
        <v>33</v>
      </c>
      <c r="S242" s="26" t="s">
        <v>110</v>
      </c>
      <c r="T242" s="26"/>
      <c r="U242" s="39"/>
      <c r="V242" s="28">
        <f t="shared" si="7"/>
        <v>114</v>
      </c>
      <c r="W242" s="29"/>
    </row>
    <row r="243" spans="1:23" s="40" customFormat="1" ht="21" customHeight="1">
      <c r="A243" s="34"/>
      <c r="B243" s="36"/>
      <c r="C243" s="32"/>
      <c r="D243" s="18" t="s">
        <v>109</v>
      </c>
      <c r="E243" s="19" t="s">
        <v>41</v>
      </c>
      <c r="F243" s="20">
        <v>2.9990000000000001</v>
      </c>
      <c r="G243" s="19">
        <v>375</v>
      </c>
      <c r="H243" s="20">
        <v>110</v>
      </c>
      <c r="I243" s="19" t="s">
        <v>70</v>
      </c>
      <c r="J243" s="20">
        <v>2356</v>
      </c>
      <c r="K243" s="21">
        <v>4521</v>
      </c>
      <c r="L243" s="21">
        <v>2000</v>
      </c>
      <c r="M243" s="21" t="s">
        <v>31</v>
      </c>
      <c r="N243" s="22">
        <v>11.4</v>
      </c>
      <c r="O243" s="23">
        <f t="shared" si="6"/>
        <v>226.8614035087719</v>
      </c>
      <c r="P243" s="24">
        <v>10.35</v>
      </c>
      <c r="Q243" s="25" t="s">
        <v>63</v>
      </c>
      <c r="R243" s="26" t="s">
        <v>33</v>
      </c>
      <c r="S243" s="26" t="s">
        <v>110</v>
      </c>
      <c r="T243" s="26"/>
      <c r="U243" s="39"/>
      <c r="V243" s="28">
        <f t="shared" si="7"/>
        <v>110</v>
      </c>
      <c r="W243" s="29"/>
    </row>
    <row r="244" spans="1:23" s="40" customFormat="1" ht="21" customHeight="1">
      <c r="A244" s="34"/>
      <c r="B244" s="31"/>
      <c r="C244" s="32"/>
      <c r="D244" s="18" t="s">
        <v>111</v>
      </c>
      <c r="E244" s="19" t="s">
        <v>41</v>
      </c>
      <c r="F244" s="20">
        <v>2.9990000000000001</v>
      </c>
      <c r="G244" s="19">
        <v>375</v>
      </c>
      <c r="H244" s="20">
        <v>110</v>
      </c>
      <c r="I244" s="19" t="s">
        <v>71</v>
      </c>
      <c r="J244" s="20">
        <v>2356</v>
      </c>
      <c r="K244" s="21">
        <v>4521</v>
      </c>
      <c r="L244" s="21">
        <v>2000</v>
      </c>
      <c r="M244" s="21" t="s">
        <v>31</v>
      </c>
      <c r="N244" s="22">
        <v>11.8</v>
      </c>
      <c r="O244" s="23">
        <f t="shared" si="6"/>
        <v>219.17118644067796</v>
      </c>
      <c r="P244" s="24">
        <v>10.35</v>
      </c>
      <c r="Q244" s="25" t="s">
        <v>43</v>
      </c>
      <c r="R244" s="26" t="s">
        <v>33</v>
      </c>
      <c r="S244" s="26" t="s">
        <v>34</v>
      </c>
      <c r="T244" s="26"/>
      <c r="U244" s="39"/>
      <c r="V244" s="28">
        <f t="shared" si="7"/>
        <v>114</v>
      </c>
      <c r="W244" s="29"/>
    </row>
    <row r="245" spans="1:23" s="40" customFormat="1" ht="21" customHeight="1">
      <c r="A245" s="34"/>
      <c r="B245" s="31"/>
      <c r="C245" s="32"/>
      <c r="D245" s="18" t="s">
        <v>111</v>
      </c>
      <c r="E245" s="19" t="s">
        <v>41</v>
      </c>
      <c r="F245" s="20">
        <v>2.9990000000000001</v>
      </c>
      <c r="G245" s="19">
        <v>375</v>
      </c>
      <c r="H245" s="20">
        <v>110</v>
      </c>
      <c r="I245" s="19" t="s">
        <v>42</v>
      </c>
      <c r="J245" s="20">
        <v>2356</v>
      </c>
      <c r="K245" s="21">
        <v>4521</v>
      </c>
      <c r="L245" s="21">
        <v>2000</v>
      </c>
      <c r="M245" s="21" t="s">
        <v>31</v>
      </c>
      <c r="N245" s="22">
        <v>11.8</v>
      </c>
      <c r="O245" s="23">
        <f t="shared" si="6"/>
        <v>219.17118644067796</v>
      </c>
      <c r="P245" s="24">
        <v>10.35</v>
      </c>
      <c r="Q245" s="25" t="s">
        <v>63</v>
      </c>
      <c r="R245" s="26" t="s">
        <v>33</v>
      </c>
      <c r="S245" s="26" t="s">
        <v>34</v>
      </c>
      <c r="T245" s="26"/>
      <c r="U245" s="39"/>
      <c r="V245" s="28">
        <f t="shared" si="7"/>
        <v>114</v>
      </c>
      <c r="W245" s="29"/>
    </row>
    <row r="246" spans="1:23" s="40" customFormat="1" ht="21" customHeight="1">
      <c r="A246" s="34"/>
      <c r="B246" s="31"/>
      <c r="C246" s="32"/>
      <c r="D246" s="18" t="s">
        <v>111</v>
      </c>
      <c r="E246" s="19" t="s">
        <v>41</v>
      </c>
      <c r="F246" s="20">
        <v>2.9990000000000001</v>
      </c>
      <c r="G246" s="19">
        <v>375</v>
      </c>
      <c r="H246" s="20">
        <v>110</v>
      </c>
      <c r="I246" s="19" t="s">
        <v>71</v>
      </c>
      <c r="J246" s="20">
        <v>2356</v>
      </c>
      <c r="K246" s="21">
        <v>4521</v>
      </c>
      <c r="L246" s="21">
        <v>2000</v>
      </c>
      <c r="M246" s="21" t="s">
        <v>31</v>
      </c>
      <c r="N246" s="22">
        <v>11.4</v>
      </c>
      <c r="O246" s="23">
        <f t="shared" si="6"/>
        <v>226.8614035087719</v>
      </c>
      <c r="P246" s="24">
        <v>10.35</v>
      </c>
      <c r="Q246" s="25" t="s">
        <v>63</v>
      </c>
      <c r="R246" s="26" t="s">
        <v>33</v>
      </c>
      <c r="S246" s="26" t="s">
        <v>34</v>
      </c>
      <c r="T246" s="26"/>
      <c r="U246" s="39"/>
      <c r="V246" s="28">
        <f t="shared" si="7"/>
        <v>110</v>
      </c>
      <c r="W246" s="29"/>
    </row>
    <row r="247" spans="1:23" s="40" customFormat="1" ht="21" customHeight="1">
      <c r="A247" s="34"/>
      <c r="B247" s="31"/>
      <c r="C247" s="32"/>
      <c r="D247" s="18" t="s">
        <v>111</v>
      </c>
      <c r="E247" s="19" t="s">
        <v>41</v>
      </c>
      <c r="F247" s="20">
        <v>2.9990000000000001</v>
      </c>
      <c r="G247" s="19">
        <v>375</v>
      </c>
      <c r="H247" s="20">
        <v>110</v>
      </c>
      <c r="I247" s="19" t="s">
        <v>71</v>
      </c>
      <c r="J247" s="20">
        <v>2652</v>
      </c>
      <c r="K247" s="21">
        <v>5812</v>
      </c>
      <c r="L247" s="21">
        <v>2995</v>
      </c>
      <c r="M247" s="21" t="s">
        <v>31</v>
      </c>
      <c r="N247" s="22">
        <v>10.8</v>
      </c>
      <c r="O247" s="23">
        <f t="shared" si="6"/>
        <v>239.46481481481482</v>
      </c>
      <c r="P247" s="24">
        <v>9.51</v>
      </c>
      <c r="Q247" s="25" t="s">
        <v>43</v>
      </c>
      <c r="R247" s="26" t="s">
        <v>33</v>
      </c>
      <c r="S247" s="26" t="s">
        <v>34</v>
      </c>
      <c r="T247" s="26"/>
      <c r="U247" s="39"/>
      <c r="V247" s="28">
        <f t="shared" si="7"/>
        <v>113</v>
      </c>
      <c r="W247" s="29"/>
    </row>
    <row r="248" spans="1:23" s="40" customFormat="1" ht="21" customHeight="1">
      <c r="A248" s="34"/>
      <c r="B248" s="31"/>
      <c r="C248" s="32"/>
      <c r="D248" s="18" t="s">
        <v>111</v>
      </c>
      <c r="E248" s="19" t="s">
        <v>41</v>
      </c>
      <c r="F248" s="20">
        <v>2.9990000000000001</v>
      </c>
      <c r="G248" s="19">
        <v>430</v>
      </c>
      <c r="H248" s="20">
        <v>129</v>
      </c>
      <c r="I248" s="19" t="s">
        <v>71</v>
      </c>
      <c r="J248" s="20">
        <v>2652</v>
      </c>
      <c r="K248" s="21">
        <v>5812</v>
      </c>
      <c r="L248" s="21">
        <v>2995</v>
      </c>
      <c r="M248" s="21" t="s">
        <v>31</v>
      </c>
      <c r="N248" s="22">
        <v>10.8</v>
      </c>
      <c r="O248" s="23">
        <f t="shared" si="6"/>
        <v>239.46481481481482</v>
      </c>
      <c r="P248" s="24">
        <v>9.51</v>
      </c>
      <c r="Q248" s="25" t="s">
        <v>43</v>
      </c>
      <c r="R248" s="26" t="s">
        <v>33</v>
      </c>
      <c r="S248" s="26" t="s">
        <v>34</v>
      </c>
      <c r="T248" s="26"/>
      <c r="U248" s="39"/>
      <c r="V248" s="28">
        <f t="shared" si="7"/>
        <v>113</v>
      </c>
      <c r="W248" s="29"/>
    </row>
    <row r="249" spans="1:23" s="40" customFormat="1" ht="21" customHeight="1">
      <c r="A249" s="34"/>
      <c r="B249" s="31"/>
      <c r="C249" s="32"/>
      <c r="D249" s="18" t="s">
        <v>111</v>
      </c>
      <c r="E249" s="19" t="s">
        <v>41</v>
      </c>
      <c r="F249" s="20">
        <v>2.9990000000000001</v>
      </c>
      <c r="G249" s="19">
        <v>375</v>
      </c>
      <c r="H249" s="20">
        <v>110</v>
      </c>
      <c r="I249" s="19" t="s">
        <v>42</v>
      </c>
      <c r="J249" s="20">
        <v>2652</v>
      </c>
      <c r="K249" s="21">
        <v>5812</v>
      </c>
      <c r="L249" s="21">
        <v>2995</v>
      </c>
      <c r="M249" s="21" t="s">
        <v>31</v>
      </c>
      <c r="N249" s="22">
        <v>10.8</v>
      </c>
      <c r="O249" s="23">
        <f t="shared" si="6"/>
        <v>239.46481481481482</v>
      </c>
      <c r="P249" s="24">
        <v>9.51</v>
      </c>
      <c r="Q249" s="25" t="s">
        <v>63</v>
      </c>
      <c r="R249" s="26" t="s">
        <v>33</v>
      </c>
      <c r="S249" s="26" t="s">
        <v>34</v>
      </c>
      <c r="T249" s="26"/>
      <c r="U249" s="39"/>
      <c r="V249" s="28">
        <f t="shared" si="7"/>
        <v>113</v>
      </c>
      <c r="W249" s="29"/>
    </row>
    <row r="250" spans="1:23" s="40" customFormat="1" ht="21" customHeight="1">
      <c r="A250" s="34"/>
      <c r="B250" s="31"/>
      <c r="C250" s="32"/>
      <c r="D250" s="18" t="s">
        <v>111</v>
      </c>
      <c r="E250" s="19" t="s">
        <v>41</v>
      </c>
      <c r="F250" s="20">
        <v>2.9990000000000001</v>
      </c>
      <c r="G250" s="19">
        <v>430</v>
      </c>
      <c r="H250" s="20">
        <v>129</v>
      </c>
      <c r="I250" s="19" t="s">
        <v>42</v>
      </c>
      <c r="J250" s="20">
        <v>2652</v>
      </c>
      <c r="K250" s="21">
        <v>5812</v>
      </c>
      <c r="L250" s="21">
        <v>2995</v>
      </c>
      <c r="M250" s="21" t="s">
        <v>31</v>
      </c>
      <c r="N250" s="22">
        <v>10.8</v>
      </c>
      <c r="O250" s="23">
        <f t="shared" si="6"/>
        <v>239.46481481481482</v>
      </c>
      <c r="P250" s="24">
        <v>9.51</v>
      </c>
      <c r="Q250" s="25" t="s">
        <v>63</v>
      </c>
      <c r="R250" s="26" t="s">
        <v>33</v>
      </c>
      <c r="S250" s="26" t="s">
        <v>34</v>
      </c>
      <c r="T250" s="26"/>
      <c r="U250" s="39"/>
      <c r="V250" s="28">
        <f t="shared" si="7"/>
        <v>113</v>
      </c>
      <c r="W250" s="29"/>
    </row>
    <row r="251" spans="1:23" s="40" customFormat="1" ht="21" customHeight="1">
      <c r="A251" s="34"/>
      <c r="B251" s="31"/>
      <c r="C251" s="32"/>
      <c r="D251" s="18" t="s">
        <v>111</v>
      </c>
      <c r="E251" s="19" t="s">
        <v>41</v>
      </c>
      <c r="F251" s="20">
        <v>2.9990000000000001</v>
      </c>
      <c r="G251" s="19">
        <v>375</v>
      </c>
      <c r="H251" s="20">
        <v>110</v>
      </c>
      <c r="I251" s="19" t="s">
        <v>71</v>
      </c>
      <c r="J251" s="20">
        <v>2652</v>
      </c>
      <c r="K251" s="21">
        <v>5812</v>
      </c>
      <c r="L251" s="21">
        <v>2995</v>
      </c>
      <c r="M251" s="21" t="s">
        <v>31</v>
      </c>
      <c r="N251" s="22">
        <v>10.6</v>
      </c>
      <c r="O251" s="23">
        <f t="shared" si="6"/>
        <v>243.98301886792456</v>
      </c>
      <c r="P251" s="24">
        <v>9.51</v>
      </c>
      <c r="Q251" s="25" t="s">
        <v>63</v>
      </c>
      <c r="R251" s="26" t="s">
        <v>33</v>
      </c>
      <c r="S251" s="26" t="s">
        <v>34</v>
      </c>
      <c r="T251" s="26"/>
      <c r="U251" s="39"/>
      <c r="V251" s="28">
        <f t="shared" si="7"/>
        <v>111</v>
      </c>
      <c r="W251" s="29"/>
    </row>
    <row r="252" spans="1:23" s="40" customFormat="1" ht="21" customHeight="1">
      <c r="A252" s="34"/>
      <c r="B252" s="31"/>
      <c r="C252" s="32"/>
      <c r="D252" s="18" t="s">
        <v>111</v>
      </c>
      <c r="E252" s="19" t="s">
        <v>41</v>
      </c>
      <c r="F252" s="20">
        <v>2.9990000000000001</v>
      </c>
      <c r="G252" s="19">
        <v>375</v>
      </c>
      <c r="H252" s="20">
        <v>110</v>
      </c>
      <c r="I252" s="19" t="s">
        <v>42</v>
      </c>
      <c r="J252" s="20">
        <v>2979</v>
      </c>
      <c r="K252" s="21">
        <v>6893</v>
      </c>
      <c r="L252" s="21">
        <v>3749</v>
      </c>
      <c r="M252" s="21" t="s">
        <v>31</v>
      </c>
      <c r="N252" s="22">
        <v>9.1999999999999993</v>
      </c>
      <c r="O252" s="23">
        <f t="shared" si="6"/>
        <v>281.1108695652174</v>
      </c>
      <c r="P252" s="24">
        <v>8.1199999999999992</v>
      </c>
      <c r="Q252" s="25" t="s">
        <v>43</v>
      </c>
      <c r="R252" s="26" t="s">
        <v>33</v>
      </c>
      <c r="S252" s="26" t="s">
        <v>34</v>
      </c>
      <c r="T252" s="26"/>
      <c r="U252" s="39"/>
      <c r="V252" s="28">
        <f t="shared" si="7"/>
        <v>113</v>
      </c>
      <c r="W252" s="29"/>
    </row>
    <row r="253" spans="1:23" s="40" customFormat="1" ht="21" customHeight="1">
      <c r="A253" s="34"/>
      <c r="B253" s="31"/>
      <c r="C253" s="32"/>
      <c r="D253" s="18" t="s">
        <v>111</v>
      </c>
      <c r="E253" s="19" t="s">
        <v>41</v>
      </c>
      <c r="F253" s="20">
        <v>2.9990000000000001</v>
      </c>
      <c r="G253" s="19">
        <v>430</v>
      </c>
      <c r="H253" s="20">
        <v>129</v>
      </c>
      <c r="I253" s="19" t="s">
        <v>42</v>
      </c>
      <c r="J253" s="20">
        <v>2979</v>
      </c>
      <c r="K253" s="21">
        <v>6893</v>
      </c>
      <c r="L253" s="21">
        <v>3749</v>
      </c>
      <c r="M253" s="21" t="s">
        <v>31</v>
      </c>
      <c r="N253" s="22">
        <v>9.1999999999999993</v>
      </c>
      <c r="O253" s="23">
        <f t="shared" si="6"/>
        <v>281.1108695652174</v>
      </c>
      <c r="P253" s="24">
        <v>8.1199999999999992</v>
      </c>
      <c r="Q253" s="25" t="s">
        <v>43</v>
      </c>
      <c r="R253" s="26" t="s">
        <v>33</v>
      </c>
      <c r="S253" s="26" t="s">
        <v>34</v>
      </c>
      <c r="T253" s="26"/>
      <c r="U253" s="39"/>
      <c r="V253" s="28">
        <f t="shared" si="7"/>
        <v>113</v>
      </c>
      <c r="W253" s="29"/>
    </row>
    <row r="254" spans="1:23" s="40" customFormat="1" ht="21" customHeight="1">
      <c r="A254" s="34"/>
      <c r="B254" s="31"/>
      <c r="C254" s="32"/>
      <c r="D254" s="18" t="s">
        <v>111</v>
      </c>
      <c r="E254" s="19" t="s">
        <v>41</v>
      </c>
      <c r="F254" s="20">
        <v>2.9990000000000001</v>
      </c>
      <c r="G254" s="19">
        <v>375</v>
      </c>
      <c r="H254" s="20">
        <v>110</v>
      </c>
      <c r="I254" s="19" t="s">
        <v>71</v>
      </c>
      <c r="J254" s="20">
        <v>2979</v>
      </c>
      <c r="K254" s="21">
        <v>6893</v>
      </c>
      <c r="L254" s="21">
        <v>3749</v>
      </c>
      <c r="M254" s="21" t="s">
        <v>31</v>
      </c>
      <c r="N254" s="22">
        <v>9</v>
      </c>
      <c r="O254" s="23">
        <f t="shared" si="6"/>
        <v>287.35777777777776</v>
      </c>
      <c r="P254" s="24">
        <v>8.1199999999999992</v>
      </c>
      <c r="Q254" s="25" t="s">
        <v>43</v>
      </c>
      <c r="R254" s="26" t="s">
        <v>33</v>
      </c>
      <c r="S254" s="26" t="s">
        <v>34</v>
      </c>
      <c r="T254" s="26"/>
      <c r="U254" s="39"/>
      <c r="V254" s="28">
        <f t="shared" si="7"/>
        <v>110</v>
      </c>
      <c r="W254" s="29"/>
    </row>
    <row r="255" spans="1:23" s="40" customFormat="1" ht="21" customHeight="1">
      <c r="A255" s="34"/>
      <c r="B255" s="31"/>
      <c r="C255" s="32"/>
      <c r="D255" s="18" t="s">
        <v>111</v>
      </c>
      <c r="E255" s="19" t="s">
        <v>41</v>
      </c>
      <c r="F255" s="20">
        <v>2.9990000000000001</v>
      </c>
      <c r="G255" s="19">
        <v>430</v>
      </c>
      <c r="H255" s="20">
        <v>129</v>
      </c>
      <c r="I255" s="19" t="s">
        <v>71</v>
      </c>
      <c r="J255" s="20">
        <v>2979</v>
      </c>
      <c r="K255" s="21">
        <v>6893</v>
      </c>
      <c r="L255" s="21">
        <v>3749</v>
      </c>
      <c r="M255" s="21" t="s">
        <v>31</v>
      </c>
      <c r="N255" s="22">
        <v>9</v>
      </c>
      <c r="O255" s="23">
        <f t="shared" si="6"/>
        <v>287.35777777777776</v>
      </c>
      <c r="P255" s="24">
        <v>8.1199999999999992</v>
      </c>
      <c r="Q255" s="25" t="s">
        <v>43</v>
      </c>
      <c r="R255" s="26" t="s">
        <v>33</v>
      </c>
      <c r="S255" s="26" t="s">
        <v>34</v>
      </c>
      <c r="T255" s="26"/>
      <c r="U255" s="39"/>
      <c r="V255" s="28">
        <f t="shared" si="7"/>
        <v>110</v>
      </c>
      <c r="W255" s="29"/>
    </row>
    <row r="256" spans="1:23" s="40" customFormat="1" ht="21" customHeight="1">
      <c r="A256" s="34"/>
      <c r="B256" s="31"/>
      <c r="C256" s="32"/>
      <c r="D256" s="18" t="s">
        <v>111</v>
      </c>
      <c r="E256" s="19" t="s">
        <v>41</v>
      </c>
      <c r="F256" s="20">
        <v>2.9990000000000001</v>
      </c>
      <c r="G256" s="19">
        <v>375</v>
      </c>
      <c r="H256" s="20">
        <v>110</v>
      </c>
      <c r="I256" s="19" t="s">
        <v>42</v>
      </c>
      <c r="J256" s="20">
        <v>2979</v>
      </c>
      <c r="K256" s="21">
        <v>6893</v>
      </c>
      <c r="L256" s="21">
        <v>3749</v>
      </c>
      <c r="M256" s="21" t="s">
        <v>31</v>
      </c>
      <c r="N256" s="22">
        <v>9</v>
      </c>
      <c r="O256" s="23">
        <f t="shared" si="6"/>
        <v>287.35777777777776</v>
      </c>
      <c r="P256" s="24">
        <v>8.1199999999999992</v>
      </c>
      <c r="Q256" s="25" t="s">
        <v>63</v>
      </c>
      <c r="R256" s="26" t="s">
        <v>33</v>
      </c>
      <c r="S256" s="26" t="s">
        <v>34</v>
      </c>
      <c r="T256" s="26"/>
      <c r="U256" s="39"/>
      <c r="V256" s="28">
        <f t="shared" si="7"/>
        <v>110</v>
      </c>
      <c r="W256" s="29"/>
    </row>
    <row r="257" spans="1:23" s="40" customFormat="1" ht="21" customHeight="1">
      <c r="A257" s="34"/>
      <c r="B257" s="31"/>
      <c r="C257" s="32"/>
      <c r="D257" s="18" t="s">
        <v>111</v>
      </c>
      <c r="E257" s="19" t="s">
        <v>41</v>
      </c>
      <c r="F257" s="20">
        <v>2.9990000000000001</v>
      </c>
      <c r="G257" s="19">
        <v>430</v>
      </c>
      <c r="H257" s="20">
        <v>129</v>
      </c>
      <c r="I257" s="19" t="s">
        <v>42</v>
      </c>
      <c r="J257" s="20">
        <v>2979</v>
      </c>
      <c r="K257" s="21">
        <v>6893</v>
      </c>
      <c r="L257" s="21">
        <v>3749</v>
      </c>
      <c r="M257" s="21" t="s">
        <v>31</v>
      </c>
      <c r="N257" s="22">
        <v>9</v>
      </c>
      <c r="O257" s="23">
        <f t="shared" si="6"/>
        <v>287.35777777777776</v>
      </c>
      <c r="P257" s="24">
        <v>8.1199999999999992</v>
      </c>
      <c r="Q257" s="25" t="s">
        <v>63</v>
      </c>
      <c r="R257" s="26" t="s">
        <v>33</v>
      </c>
      <c r="S257" s="26" t="s">
        <v>34</v>
      </c>
      <c r="T257" s="26"/>
      <c r="U257" s="39"/>
      <c r="V257" s="28">
        <f t="shared" si="7"/>
        <v>110</v>
      </c>
      <c r="W257" s="29"/>
    </row>
    <row r="258" spans="1:23" s="40" customFormat="1" ht="21" customHeight="1">
      <c r="A258" s="34"/>
      <c r="B258" s="31"/>
      <c r="C258" s="32"/>
      <c r="D258" s="18" t="s">
        <v>112</v>
      </c>
      <c r="E258" s="19" t="s">
        <v>41</v>
      </c>
      <c r="F258" s="20">
        <v>2.9990000000000001</v>
      </c>
      <c r="G258" s="19">
        <v>375</v>
      </c>
      <c r="H258" s="20">
        <v>110</v>
      </c>
      <c r="I258" s="19" t="s">
        <v>71</v>
      </c>
      <c r="J258" s="20">
        <v>2356</v>
      </c>
      <c r="K258" s="21">
        <v>4521</v>
      </c>
      <c r="L258" s="21">
        <v>2000</v>
      </c>
      <c r="M258" s="21" t="s">
        <v>31</v>
      </c>
      <c r="N258" s="22">
        <v>11.8</v>
      </c>
      <c r="O258" s="23">
        <f t="shared" si="6"/>
        <v>219.17118644067796</v>
      </c>
      <c r="P258" s="24">
        <v>10.35</v>
      </c>
      <c r="Q258" s="25" t="s">
        <v>43</v>
      </c>
      <c r="R258" s="26" t="s">
        <v>33</v>
      </c>
      <c r="S258" s="26" t="s">
        <v>34</v>
      </c>
      <c r="T258" s="26"/>
      <c r="U258" s="39"/>
      <c r="V258" s="28">
        <f t="shared" si="7"/>
        <v>114</v>
      </c>
      <c r="W258" s="29"/>
    </row>
    <row r="259" spans="1:23" s="40" customFormat="1" ht="21" customHeight="1">
      <c r="A259" s="34"/>
      <c r="B259" s="31"/>
      <c r="C259" s="32"/>
      <c r="D259" s="18" t="s">
        <v>112</v>
      </c>
      <c r="E259" s="19" t="s">
        <v>41</v>
      </c>
      <c r="F259" s="20">
        <v>2.9990000000000001</v>
      </c>
      <c r="G259" s="19">
        <v>375</v>
      </c>
      <c r="H259" s="20">
        <v>110</v>
      </c>
      <c r="I259" s="19" t="s">
        <v>42</v>
      </c>
      <c r="J259" s="20">
        <v>2356</v>
      </c>
      <c r="K259" s="21">
        <v>4521</v>
      </c>
      <c r="L259" s="21">
        <v>2000</v>
      </c>
      <c r="M259" s="21" t="s">
        <v>31</v>
      </c>
      <c r="N259" s="22">
        <v>11.8</v>
      </c>
      <c r="O259" s="23">
        <f t="shared" si="6"/>
        <v>219.17118644067796</v>
      </c>
      <c r="P259" s="24">
        <v>10.35</v>
      </c>
      <c r="Q259" s="25" t="s">
        <v>63</v>
      </c>
      <c r="R259" s="26" t="s">
        <v>33</v>
      </c>
      <c r="S259" s="26" t="s">
        <v>34</v>
      </c>
      <c r="T259" s="26"/>
      <c r="U259" s="39"/>
      <c r="V259" s="28">
        <f t="shared" si="7"/>
        <v>114</v>
      </c>
      <c r="W259" s="29"/>
    </row>
    <row r="260" spans="1:23" s="40" customFormat="1" ht="21" customHeight="1">
      <c r="A260" s="34"/>
      <c r="B260" s="31"/>
      <c r="C260" s="32"/>
      <c r="D260" s="18" t="s">
        <v>112</v>
      </c>
      <c r="E260" s="19" t="s">
        <v>41</v>
      </c>
      <c r="F260" s="20">
        <v>2.9990000000000001</v>
      </c>
      <c r="G260" s="19">
        <v>375</v>
      </c>
      <c r="H260" s="20">
        <v>110</v>
      </c>
      <c r="I260" s="19" t="s">
        <v>71</v>
      </c>
      <c r="J260" s="20">
        <v>2356</v>
      </c>
      <c r="K260" s="21">
        <v>4521</v>
      </c>
      <c r="L260" s="21">
        <v>2000</v>
      </c>
      <c r="M260" s="21" t="s">
        <v>31</v>
      </c>
      <c r="N260" s="22">
        <v>11.4</v>
      </c>
      <c r="O260" s="23">
        <f t="shared" si="6"/>
        <v>226.8614035087719</v>
      </c>
      <c r="P260" s="24">
        <v>10.35</v>
      </c>
      <c r="Q260" s="25" t="s">
        <v>63</v>
      </c>
      <c r="R260" s="26" t="s">
        <v>33</v>
      </c>
      <c r="S260" s="26" t="s">
        <v>34</v>
      </c>
      <c r="T260" s="26"/>
      <c r="U260" s="39"/>
      <c r="V260" s="28">
        <f t="shared" si="7"/>
        <v>110</v>
      </c>
      <c r="W260" s="29"/>
    </row>
    <row r="261" spans="1:23" s="40" customFormat="1" ht="21" customHeight="1">
      <c r="A261" s="34"/>
      <c r="B261" s="31"/>
      <c r="C261" s="32"/>
      <c r="D261" s="18" t="s">
        <v>112</v>
      </c>
      <c r="E261" s="19" t="s">
        <v>41</v>
      </c>
      <c r="F261" s="20">
        <v>2.9990000000000001</v>
      </c>
      <c r="G261" s="19">
        <v>375</v>
      </c>
      <c r="H261" s="20">
        <v>110</v>
      </c>
      <c r="I261" s="19" t="s">
        <v>71</v>
      </c>
      <c r="J261" s="20">
        <v>2652</v>
      </c>
      <c r="K261" s="21">
        <v>5812</v>
      </c>
      <c r="L261" s="21">
        <v>2995</v>
      </c>
      <c r="M261" s="21" t="s">
        <v>31</v>
      </c>
      <c r="N261" s="22">
        <v>10.8</v>
      </c>
      <c r="O261" s="23">
        <f t="shared" si="6"/>
        <v>239.46481481481482</v>
      </c>
      <c r="P261" s="24">
        <v>9.51</v>
      </c>
      <c r="Q261" s="25" t="s">
        <v>43</v>
      </c>
      <c r="R261" s="26" t="s">
        <v>33</v>
      </c>
      <c r="S261" s="26" t="s">
        <v>34</v>
      </c>
      <c r="T261" s="26"/>
      <c r="U261" s="39"/>
      <c r="V261" s="28">
        <f t="shared" si="7"/>
        <v>113</v>
      </c>
      <c r="W261" s="29"/>
    </row>
    <row r="262" spans="1:23" s="40" customFormat="1" ht="21" customHeight="1">
      <c r="A262" s="34"/>
      <c r="B262" s="31"/>
      <c r="C262" s="32"/>
      <c r="D262" s="18" t="s">
        <v>112</v>
      </c>
      <c r="E262" s="19" t="s">
        <v>41</v>
      </c>
      <c r="F262" s="20">
        <v>2.9990000000000001</v>
      </c>
      <c r="G262" s="19">
        <v>430</v>
      </c>
      <c r="H262" s="20">
        <v>129</v>
      </c>
      <c r="I262" s="19" t="s">
        <v>71</v>
      </c>
      <c r="J262" s="20">
        <v>2652</v>
      </c>
      <c r="K262" s="21">
        <v>5812</v>
      </c>
      <c r="L262" s="21">
        <v>2995</v>
      </c>
      <c r="M262" s="21" t="s">
        <v>31</v>
      </c>
      <c r="N262" s="22">
        <v>10.8</v>
      </c>
      <c r="O262" s="23">
        <f t="shared" si="6"/>
        <v>239.46481481481482</v>
      </c>
      <c r="P262" s="24">
        <v>9.51</v>
      </c>
      <c r="Q262" s="25" t="s">
        <v>43</v>
      </c>
      <c r="R262" s="26" t="s">
        <v>33</v>
      </c>
      <c r="S262" s="26" t="s">
        <v>34</v>
      </c>
      <c r="T262" s="26"/>
      <c r="U262" s="39"/>
      <c r="V262" s="28">
        <f t="shared" si="7"/>
        <v>113</v>
      </c>
      <c r="W262" s="29"/>
    </row>
    <row r="263" spans="1:23" s="40" customFormat="1" ht="21" customHeight="1">
      <c r="A263" s="34"/>
      <c r="B263" s="31"/>
      <c r="C263" s="32"/>
      <c r="D263" s="18" t="s">
        <v>112</v>
      </c>
      <c r="E263" s="19" t="s">
        <v>41</v>
      </c>
      <c r="F263" s="20">
        <v>2.9990000000000001</v>
      </c>
      <c r="G263" s="19">
        <v>375</v>
      </c>
      <c r="H263" s="20">
        <v>110</v>
      </c>
      <c r="I263" s="19" t="s">
        <v>42</v>
      </c>
      <c r="J263" s="20">
        <v>2652</v>
      </c>
      <c r="K263" s="21">
        <v>5812</v>
      </c>
      <c r="L263" s="21">
        <v>2995</v>
      </c>
      <c r="M263" s="21" t="s">
        <v>31</v>
      </c>
      <c r="N263" s="22">
        <v>10.8</v>
      </c>
      <c r="O263" s="23">
        <f t="shared" si="6"/>
        <v>239.46481481481482</v>
      </c>
      <c r="P263" s="24">
        <v>9.51</v>
      </c>
      <c r="Q263" s="25" t="s">
        <v>63</v>
      </c>
      <c r="R263" s="26" t="s">
        <v>33</v>
      </c>
      <c r="S263" s="26" t="s">
        <v>34</v>
      </c>
      <c r="T263" s="26"/>
      <c r="U263" s="39"/>
      <c r="V263" s="28">
        <f t="shared" si="7"/>
        <v>113</v>
      </c>
      <c r="W263" s="29"/>
    </row>
    <row r="264" spans="1:23" s="40" customFormat="1" ht="21" customHeight="1">
      <c r="A264" s="34"/>
      <c r="B264" s="31"/>
      <c r="C264" s="32"/>
      <c r="D264" s="18" t="s">
        <v>112</v>
      </c>
      <c r="E264" s="19" t="s">
        <v>41</v>
      </c>
      <c r="F264" s="20">
        <v>2.9990000000000001</v>
      </c>
      <c r="G264" s="19">
        <v>430</v>
      </c>
      <c r="H264" s="20">
        <v>129</v>
      </c>
      <c r="I264" s="19" t="s">
        <v>42</v>
      </c>
      <c r="J264" s="20">
        <v>2652</v>
      </c>
      <c r="K264" s="21">
        <v>5812</v>
      </c>
      <c r="L264" s="21">
        <v>2995</v>
      </c>
      <c r="M264" s="21" t="s">
        <v>31</v>
      </c>
      <c r="N264" s="22">
        <v>10.8</v>
      </c>
      <c r="O264" s="23">
        <f t="shared" si="6"/>
        <v>239.46481481481482</v>
      </c>
      <c r="P264" s="24">
        <v>9.51</v>
      </c>
      <c r="Q264" s="25" t="s">
        <v>63</v>
      </c>
      <c r="R264" s="26" t="s">
        <v>33</v>
      </c>
      <c r="S264" s="26" t="s">
        <v>34</v>
      </c>
      <c r="T264" s="26"/>
      <c r="U264" s="39"/>
      <c r="V264" s="28">
        <f t="shared" si="7"/>
        <v>113</v>
      </c>
      <c r="W264" s="29"/>
    </row>
    <row r="265" spans="1:23" s="40" customFormat="1" ht="21" customHeight="1">
      <c r="A265" s="34"/>
      <c r="B265" s="31"/>
      <c r="C265" s="32"/>
      <c r="D265" s="18" t="s">
        <v>112</v>
      </c>
      <c r="E265" s="19" t="s">
        <v>41</v>
      </c>
      <c r="F265" s="20">
        <v>2.9990000000000001</v>
      </c>
      <c r="G265" s="19">
        <v>375</v>
      </c>
      <c r="H265" s="20">
        <v>110</v>
      </c>
      <c r="I265" s="19" t="s">
        <v>71</v>
      </c>
      <c r="J265" s="20">
        <v>2652</v>
      </c>
      <c r="K265" s="21">
        <v>5812</v>
      </c>
      <c r="L265" s="21">
        <v>2995</v>
      </c>
      <c r="M265" s="21" t="s">
        <v>31</v>
      </c>
      <c r="N265" s="22">
        <v>10.6</v>
      </c>
      <c r="O265" s="23">
        <f t="shared" ref="O265:O328" si="8">IF(N265&gt;0,1/N265*37.7*68.6,"")</f>
        <v>243.98301886792456</v>
      </c>
      <c r="P265" s="24">
        <v>9.51</v>
      </c>
      <c r="Q265" s="25" t="s">
        <v>63</v>
      </c>
      <c r="R265" s="26" t="s">
        <v>33</v>
      </c>
      <c r="S265" s="26" t="s">
        <v>34</v>
      </c>
      <c r="T265" s="26"/>
      <c r="U265" s="39"/>
      <c r="V265" s="28">
        <f t="shared" ref="V265:V328" si="9">IFERROR(IF(N265&lt;P265,"",(ROUNDDOWN(N265/P265*100,0))),"")</f>
        <v>111</v>
      </c>
      <c r="W265" s="29"/>
    </row>
    <row r="266" spans="1:23" s="40" customFormat="1" ht="21" customHeight="1">
      <c r="A266" s="34"/>
      <c r="B266" s="31"/>
      <c r="C266" s="32"/>
      <c r="D266" s="18" t="s">
        <v>112</v>
      </c>
      <c r="E266" s="19" t="s">
        <v>41</v>
      </c>
      <c r="F266" s="20">
        <v>2.9990000000000001</v>
      </c>
      <c r="G266" s="19">
        <v>375</v>
      </c>
      <c r="H266" s="20">
        <v>110</v>
      </c>
      <c r="I266" s="19" t="s">
        <v>42</v>
      </c>
      <c r="J266" s="20">
        <v>2979</v>
      </c>
      <c r="K266" s="21">
        <v>6893</v>
      </c>
      <c r="L266" s="21">
        <v>3749</v>
      </c>
      <c r="M266" s="21" t="s">
        <v>31</v>
      </c>
      <c r="N266" s="22">
        <v>9.1999999999999993</v>
      </c>
      <c r="O266" s="23">
        <f t="shared" si="8"/>
        <v>281.1108695652174</v>
      </c>
      <c r="P266" s="24">
        <v>8.1199999999999992</v>
      </c>
      <c r="Q266" s="25" t="s">
        <v>43</v>
      </c>
      <c r="R266" s="26" t="s">
        <v>33</v>
      </c>
      <c r="S266" s="26" t="s">
        <v>34</v>
      </c>
      <c r="T266" s="26"/>
      <c r="U266" s="39"/>
      <c r="V266" s="28">
        <f t="shared" si="9"/>
        <v>113</v>
      </c>
      <c r="W266" s="29"/>
    </row>
    <row r="267" spans="1:23" s="29" customFormat="1" ht="21" customHeight="1">
      <c r="A267" s="34"/>
      <c r="B267" s="31"/>
      <c r="C267" s="32"/>
      <c r="D267" s="18" t="s">
        <v>112</v>
      </c>
      <c r="E267" s="19" t="s">
        <v>41</v>
      </c>
      <c r="F267" s="20">
        <v>2.9990000000000001</v>
      </c>
      <c r="G267" s="19">
        <v>430</v>
      </c>
      <c r="H267" s="20">
        <v>129</v>
      </c>
      <c r="I267" s="19" t="s">
        <v>42</v>
      </c>
      <c r="J267" s="20">
        <v>2979</v>
      </c>
      <c r="K267" s="21">
        <v>6893</v>
      </c>
      <c r="L267" s="21">
        <v>3749</v>
      </c>
      <c r="M267" s="21" t="s">
        <v>31</v>
      </c>
      <c r="N267" s="22">
        <v>9.1999999999999993</v>
      </c>
      <c r="O267" s="23">
        <f t="shared" si="8"/>
        <v>281.1108695652174</v>
      </c>
      <c r="P267" s="24">
        <v>8.1199999999999992</v>
      </c>
      <c r="Q267" s="25" t="s">
        <v>43</v>
      </c>
      <c r="R267" s="26" t="s">
        <v>33</v>
      </c>
      <c r="S267" s="26" t="s">
        <v>34</v>
      </c>
      <c r="T267" s="26"/>
      <c r="U267" s="27"/>
      <c r="V267" s="28">
        <f t="shared" si="9"/>
        <v>113</v>
      </c>
    </row>
    <row r="268" spans="1:23" s="29" customFormat="1" ht="21" customHeight="1">
      <c r="A268" s="34"/>
      <c r="B268" s="41"/>
      <c r="C268" s="32"/>
      <c r="D268" s="18" t="s">
        <v>112</v>
      </c>
      <c r="E268" s="19" t="s">
        <v>41</v>
      </c>
      <c r="F268" s="20">
        <v>2.9990000000000001</v>
      </c>
      <c r="G268" s="19">
        <v>375</v>
      </c>
      <c r="H268" s="20">
        <v>110</v>
      </c>
      <c r="I268" s="19" t="s">
        <v>71</v>
      </c>
      <c r="J268" s="20">
        <v>2979</v>
      </c>
      <c r="K268" s="21">
        <v>6893</v>
      </c>
      <c r="L268" s="21">
        <v>3749</v>
      </c>
      <c r="M268" s="21" t="s">
        <v>31</v>
      </c>
      <c r="N268" s="22">
        <v>9</v>
      </c>
      <c r="O268" s="23">
        <f t="shared" si="8"/>
        <v>287.35777777777776</v>
      </c>
      <c r="P268" s="24">
        <v>8.1199999999999992</v>
      </c>
      <c r="Q268" s="25" t="s">
        <v>43</v>
      </c>
      <c r="R268" s="26" t="s">
        <v>33</v>
      </c>
      <c r="S268" s="26" t="s">
        <v>34</v>
      </c>
      <c r="T268" s="26"/>
      <c r="U268" s="27"/>
      <c r="V268" s="28">
        <f t="shared" si="9"/>
        <v>110</v>
      </c>
    </row>
    <row r="269" spans="1:23" s="29" customFormat="1" ht="21" customHeight="1">
      <c r="A269" s="34"/>
      <c r="B269" s="31"/>
      <c r="C269" s="32"/>
      <c r="D269" s="18" t="s">
        <v>112</v>
      </c>
      <c r="E269" s="19" t="s">
        <v>41</v>
      </c>
      <c r="F269" s="20">
        <v>2.9990000000000001</v>
      </c>
      <c r="G269" s="19">
        <v>430</v>
      </c>
      <c r="H269" s="20">
        <v>129</v>
      </c>
      <c r="I269" s="19" t="s">
        <v>71</v>
      </c>
      <c r="J269" s="20">
        <v>2979</v>
      </c>
      <c r="K269" s="21">
        <v>6893</v>
      </c>
      <c r="L269" s="21">
        <v>3749</v>
      </c>
      <c r="M269" s="21" t="s">
        <v>31</v>
      </c>
      <c r="N269" s="22">
        <v>9</v>
      </c>
      <c r="O269" s="23">
        <f t="shared" si="8"/>
        <v>287.35777777777776</v>
      </c>
      <c r="P269" s="24">
        <v>8.1199999999999992</v>
      </c>
      <c r="Q269" s="25" t="s">
        <v>43</v>
      </c>
      <c r="R269" s="26" t="s">
        <v>33</v>
      </c>
      <c r="S269" s="26" t="s">
        <v>34</v>
      </c>
      <c r="T269" s="26"/>
      <c r="U269" s="27"/>
      <c r="V269" s="28">
        <f t="shared" si="9"/>
        <v>110</v>
      </c>
    </row>
    <row r="270" spans="1:23" s="29" customFormat="1" ht="21" customHeight="1">
      <c r="A270" s="34"/>
      <c r="B270" s="31"/>
      <c r="C270" s="32"/>
      <c r="D270" s="18" t="s">
        <v>112</v>
      </c>
      <c r="E270" s="19" t="s">
        <v>41</v>
      </c>
      <c r="F270" s="20">
        <v>2.9990000000000001</v>
      </c>
      <c r="G270" s="19">
        <v>375</v>
      </c>
      <c r="H270" s="20">
        <v>110</v>
      </c>
      <c r="I270" s="19" t="s">
        <v>42</v>
      </c>
      <c r="J270" s="20">
        <v>2979</v>
      </c>
      <c r="K270" s="21">
        <v>6893</v>
      </c>
      <c r="L270" s="21">
        <v>3749</v>
      </c>
      <c r="M270" s="21" t="s">
        <v>31</v>
      </c>
      <c r="N270" s="22">
        <v>9</v>
      </c>
      <c r="O270" s="23">
        <f t="shared" si="8"/>
        <v>287.35777777777776</v>
      </c>
      <c r="P270" s="24">
        <v>8.1199999999999992</v>
      </c>
      <c r="Q270" s="25" t="s">
        <v>63</v>
      </c>
      <c r="R270" s="26" t="s">
        <v>33</v>
      </c>
      <c r="S270" s="26" t="s">
        <v>34</v>
      </c>
      <c r="T270" s="26"/>
      <c r="U270" s="27"/>
      <c r="V270" s="28">
        <f t="shared" si="9"/>
        <v>110</v>
      </c>
    </row>
    <row r="271" spans="1:23" s="29" customFormat="1" ht="21" customHeight="1">
      <c r="A271" s="34"/>
      <c r="B271" s="31"/>
      <c r="C271" s="32"/>
      <c r="D271" s="18" t="s">
        <v>112</v>
      </c>
      <c r="E271" s="19" t="s">
        <v>41</v>
      </c>
      <c r="F271" s="20">
        <v>2.9990000000000001</v>
      </c>
      <c r="G271" s="19">
        <v>430</v>
      </c>
      <c r="H271" s="20">
        <v>129</v>
      </c>
      <c r="I271" s="19" t="s">
        <v>42</v>
      </c>
      <c r="J271" s="20">
        <v>2979</v>
      </c>
      <c r="K271" s="21">
        <v>6893</v>
      </c>
      <c r="L271" s="21">
        <v>3749</v>
      </c>
      <c r="M271" s="21" t="s">
        <v>31</v>
      </c>
      <c r="N271" s="22">
        <v>9</v>
      </c>
      <c r="O271" s="23">
        <f t="shared" si="8"/>
        <v>287.35777777777776</v>
      </c>
      <c r="P271" s="24">
        <v>8.1199999999999992</v>
      </c>
      <c r="Q271" s="25" t="s">
        <v>63</v>
      </c>
      <c r="R271" s="26" t="s">
        <v>33</v>
      </c>
      <c r="S271" s="26" t="s">
        <v>34</v>
      </c>
      <c r="T271" s="26"/>
      <c r="U271" s="27"/>
      <c r="V271" s="28">
        <f t="shared" si="9"/>
        <v>110</v>
      </c>
    </row>
    <row r="272" spans="1:23" s="29" customFormat="1" ht="21" customHeight="1">
      <c r="A272" s="33"/>
      <c r="B272" s="31"/>
      <c r="C272" s="32"/>
      <c r="D272" s="18" t="s">
        <v>113</v>
      </c>
      <c r="E272" s="19" t="s">
        <v>41</v>
      </c>
      <c r="F272" s="20">
        <v>2.9990000000000001</v>
      </c>
      <c r="G272" s="19">
        <v>375</v>
      </c>
      <c r="H272" s="20">
        <v>110</v>
      </c>
      <c r="I272" s="19" t="s">
        <v>71</v>
      </c>
      <c r="J272" s="20">
        <v>2356</v>
      </c>
      <c r="K272" s="21">
        <v>4521</v>
      </c>
      <c r="L272" s="21">
        <v>2000</v>
      </c>
      <c r="M272" s="21" t="s">
        <v>31</v>
      </c>
      <c r="N272" s="22">
        <v>11.8</v>
      </c>
      <c r="O272" s="23">
        <f t="shared" si="8"/>
        <v>219.17118644067796</v>
      </c>
      <c r="P272" s="24">
        <v>10.35</v>
      </c>
      <c r="Q272" s="25" t="s">
        <v>43</v>
      </c>
      <c r="R272" s="26" t="s">
        <v>33</v>
      </c>
      <c r="S272" s="26" t="s">
        <v>34</v>
      </c>
      <c r="T272" s="26"/>
      <c r="U272" s="27"/>
      <c r="V272" s="28">
        <f t="shared" si="9"/>
        <v>114</v>
      </c>
    </row>
    <row r="273" spans="1:23" s="29" customFormat="1" ht="21" customHeight="1">
      <c r="A273" s="33"/>
      <c r="B273" s="31"/>
      <c r="C273" s="32"/>
      <c r="D273" s="18" t="s">
        <v>113</v>
      </c>
      <c r="E273" s="19" t="s">
        <v>41</v>
      </c>
      <c r="F273" s="20">
        <v>2.9990000000000001</v>
      </c>
      <c r="G273" s="19">
        <v>375</v>
      </c>
      <c r="H273" s="20">
        <v>110</v>
      </c>
      <c r="I273" s="19" t="s">
        <v>71</v>
      </c>
      <c r="J273" s="20">
        <v>2356</v>
      </c>
      <c r="K273" s="21">
        <v>4521</v>
      </c>
      <c r="L273" s="21">
        <v>2000</v>
      </c>
      <c r="M273" s="21" t="s">
        <v>31</v>
      </c>
      <c r="N273" s="22">
        <v>11.4</v>
      </c>
      <c r="O273" s="23">
        <f t="shared" si="8"/>
        <v>226.8614035087719</v>
      </c>
      <c r="P273" s="24">
        <v>10.35</v>
      </c>
      <c r="Q273" s="25" t="s">
        <v>63</v>
      </c>
      <c r="R273" s="26" t="s">
        <v>33</v>
      </c>
      <c r="S273" s="26" t="s">
        <v>34</v>
      </c>
      <c r="T273" s="26"/>
      <c r="U273" s="27"/>
      <c r="V273" s="28">
        <f t="shared" si="9"/>
        <v>110</v>
      </c>
    </row>
    <row r="274" spans="1:23" s="29" customFormat="1" ht="21" customHeight="1">
      <c r="A274" s="33"/>
      <c r="B274" s="31"/>
      <c r="C274" s="32"/>
      <c r="D274" s="18" t="s">
        <v>113</v>
      </c>
      <c r="E274" s="19" t="s">
        <v>41</v>
      </c>
      <c r="F274" s="20">
        <v>2.9990000000000001</v>
      </c>
      <c r="G274" s="19">
        <v>375</v>
      </c>
      <c r="H274" s="20">
        <v>110</v>
      </c>
      <c r="I274" s="19" t="s">
        <v>71</v>
      </c>
      <c r="J274" s="20">
        <v>2652</v>
      </c>
      <c r="K274" s="21">
        <v>5812</v>
      </c>
      <c r="L274" s="21">
        <v>2995</v>
      </c>
      <c r="M274" s="21" t="s">
        <v>31</v>
      </c>
      <c r="N274" s="22">
        <v>10.8</v>
      </c>
      <c r="O274" s="23">
        <f t="shared" si="8"/>
        <v>239.46481481481482</v>
      </c>
      <c r="P274" s="24">
        <v>9.51</v>
      </c>
      <c r="Q274" s="25" t="s">
        <v>43</v>
      </c>
      <c r="R274" s="26" t="s">
        <v>33</v>
      </c>
      <c r="S274" s="26" t="s">
        <v>34</v>
      </c>
      <c r="T274" s="26"/>
      <c r="U274" s="27"/>
      <c r="V274" s="28">
        <f t="shared" si="9"/>
        <v>113</v>
      </c>
    </row>
    <row r="275" spans="1:23" s="29" customFormat="1" ht="21" customHeight="1">
      <c r="A275" s="34"/>
      <c r="B275" s="31"/>
      <c r="C275" s="32"/>
      <c r="D275" s="18" t="s">
        <v>113</v>
      </c>
      <c r="E275" s="19" t="s">
        <v>41</v>
      </c>
      <c r="F275" s="20">
        <v>2.9990000000000001</v>
      </c>
      <c r="G275" s="19">
        <v>430</v>
      </c>
      <c r="H275" s="20">
        <v>129</v>
      </c>
      <c r="I275" s="19" t="s">
        <v>71</v>
      </c>
      <c r="J275" s="20">
        <v>2652</v>
      </c>
      <c r="K275" s="21">
        <v>5812</v>
      </c>
      <c r="L275" s="21">
        <v>2995</v>
      </c>
      <c r="M275" s="21" t="s">
        <v>31</v>
      </c>
      <c r="N275" s="22">
        <v>10.8</v>
      </c>
      <c r="O275" s="23">
        <f t="shared" si="8"/>
        <v>239.46481481481482</v>
      </c>
      <c r="P275" s="24">
        <v>9.51</v>
      </c>
      <c r="Q275" s="25" t="s">
        <v>43</v>
      </c>
      <c r="R275" s="26" t="s">
        <v>33</v>
      </c>
      <c r="S275" s="26" t="s">
        <v>34</v>
      </c>
      <c r="T275" s="26"/>
      <c r="U275" s="27"/>
      <c r="V275" s="28">
        <f t="shared" si="9"/>
        <v>113</v>
      </c>
    </row>
    <row r="276" spans="1:23" s="29" customFormat="1" ht="21" customHeight="1">
      <c r="A276" s="33"/>
      <c r="B276" s="31"/>
      <c r="C276" s="32"/>
      <c r="D276" s="18" t="s">
        <v>113</v>
      </c>
      <c r="E276" s="19" t="s">
        <v>41</v>
      </c>
      <c r="F276" s="20">
        <v>2.9990000000000001</v>
      </c>
      <c r="G276" s="19">
        <v>375</v>
      </c>
      <c r="H276" s="20">
        <v>110</v>
      </c>
      <c r="I276" s="19" t="s">
        <v>71</v>
      </c>
      <c r="J276" s="20">
        <v>2652</v>
      </c>
      <c r="K276" s="21">
        <v>5812</v>
      </c>
      <c r="L276" s="21">
        <v>2995</v>
      </c>
      <c r="M276" s="21" t="s">
        <v>31</v>
      </c>
      <c r="N276" s="22">
        <v>10.6</v>
      </c>
      <c r="O276" s="23">
        <f t="shared" si="8"/>
        <v>243.98301886792456</v>
      </c>
      <c r="P276" s="24">
        <v>9.51</v>
      </c>
      <c r="Q276" s="25" t="s">
        <v>63</v>
      </c>
      <c r="R276" s="26" t="s">
        <v>33</v>
      </c>
      <c r="S276" s="26" t="s">
        <v>34</v>
      </c>
      <c r="T276" s="26"/>
      <c r="U276" s="27"/>
      <c r="V276" s="28">
        <f t="shared" si="9"/>
        <v>111</v>
      </c>
    </row>
    <row r="277" spans="1:23" s="29" customFormat="1" ht="21" customHeight="1">
      <c r="A277" s="34"/>
      <c r="B277" s="31"/>
      <c r="C277" s="32"/>
      <c r="D277" s="18" t="s">
        <v>113</v>
      </c>
      <c r="E277" s="19" t="s">
        <v>41</v>
      </c>
      <c r="F277" s="20">
        <v>2.9990000000000001</v>
      </c>
      <c r="G277" s="19">
        <v>430</v>
      </c>
      <c r="H277" s="20">
        <v>129</v>
      </c>
      <c r="I277" s="19" t="s">
        <v>71</v>
      </c>
      <c r="J277" s="20">
        <v>2652</v>
      </c>
      <c r="K277" s="21">
        <v>5812</v>
      </c>
      <c r="L277" s="21">
        <v>2995</v>
      </c>
      <c r="M277" s="21" t="s">
        <v>31</v>
      </c>
      <c r="N277" s="22">
        <v>10.6</v>
      </c>
      <c r="O277" s="23">
        <f t="shared" si="8"/>
        <v>243.98301886792456</v>
      </c>
      <c r="P277" s="24">
        <v>9.51</v>
      </c>
      <c r="Q277" s="25" t="s">
        <v>63</v>
      </c>
      <c r="R277" s="26" t="s">
        <v>33</v>
      </c>
      <c r="S277" s="26" t="s">
        <v>34</v>
      </c>
      <c r="T277" s="26"/>
      <c r="U277" s="27"/>
      <c r="V277" s="28">
        <f t="shared" si="9"/>
        <v>111</v>
      </c>
    </row>
    <row r="278" spans="1:23" s="29" customFormat="1" ht="21" customHeight="1">
      <c r="A278" s="33"/>
      <c r="B278" s="31"/>
      <c r="C278" s="32"/>
      <c r="D278" s="18" t="s">
        <v>113</v>
      </c>
      <c r="E278" s="19" t="s">
        <v>41</v>
      </c>
      <c r="F278" s="20">
        <v>2.9990000000000001</v>
      </c>
      <c r="G278" s="19">
        <v>375</v>
      </c>
      <c r="H278" s="20">
        <v>110</v>
      </c>
      <c r="I278" s="19" t="s">
        <v>71</v>
      </c>
      <c r="J278" s="20">
        <v>2979</v>
      </c>
      <c r="K278" s="21">
        <v>6893</v>
      </c>
      <c r="L278" s="21">
        <v>3749</v>
      </c>
      <c r="M278" s="21" t="s">
        <v>31</v>
      </c>
      <c r="N278" s="22">
        <v>9.1</v>
      </c>
      <c r="O278" s="23">
        <f t="shared" si="8"/>
        <v>284.2</v>
      </c>
      <c r="P278" s="24">
        <v>8.1199999999999992</v>
      </c>
      <c r="Q278" s="25" t="s">
        <v>43</v>
      </c>
      <c r="R278" s="26" t="s">
        <v>33</v>
      </c>
      <c r="S278" s="26" t="s">
        <v>34</v>
      </c>
      <c r="T278" s="26"/>
      <c r="U278" s="27"/>
      <c r="V278" s="28">
        <f t="shared" si="9"/>
        <v>112</v>
      </c>
    </row>
    <row r="279" spans="1:23" s="29" customFormat="1" ht="21" customHeight="1">
      <c r="A279" s="34"/>
      <c r="B279" s="31"/>
      <c r="C279" s="32"/>
      <c r="D279" s="18" t="s">
        <v>113</v>
      </c>
      <c r="E279" s="19" t="s">
        <v>41</v>
      </c>
      <c r="F279" s="20">
        <v>2.9990000000000001</v>
      </c>
      <c r="G279" s="19">
        <v>430</v>
      </c>
      <c r="H279" s="20">
        <v>129</v>
      </c>
      <c r="I279" s="19" t="s">
        <v>71</v>
      </c>
      <c r="J279" s="20">
        <v>2979</v>
      </c>
      <c r="K279" s="21">
        <v>6893</v>
      </c>
      <c r="L279" s="21">
        <v>3749</v>
      </c>
      <c r="M279" s="21" t="s">
        <v>31</v>
      </c>
      <c r="N279" s="22">
        <v>9.1</v>
      </c>
      <c r="O279" s="23">
        <f t="shared" si="8"/>
        <v>284.2</v>
      </c>
      <c r="P279" s="24">
        <v>8.1199999999999992</v>
      </c>
      <c r="Q279" s="25" t="s">
        <v>43</v>
      </c>
      <c r="R279" s="26" t="s">
        <v>33</v>
      </c>
      <c r="S279" s="26" t="s">
        <v>34</v>
      </c>
      <c r="T279" s="26"/>
      <c r="U279" s="27"/>
      <c r="V279" s="28">
        <f t="shared" si="9"/>
        <v>112</v>
      </c>
    </row>
    <row r="280" spans="1:23" s="29" customFormat="1" ht="21" customHeight="1">
      <c r="A280" s="34"/>
      <c r="B280" s="31"/>
      <c r="C280" s="32"/>
      <c r="D280" s="18" t="s">
        <v>113</v>
      </c>
      <c r="E280" s="19" t="s">
        <v>41</v>
      </c>
      <c r="F280" s="20">
        <v>2.9990000000000001</v>
      </c>
      <c r="G280" s="19">
        <v>375</v>
      </c>
      <c r="H280" s="20">
        <v>110</v>
      </c>
      <c r="I280" s="19" t="s">
        <v>71</v>
      </c>
      <c r="J280" s="20">
        <v>2979</v>
      </c>
      <c r="K280" s="21">
        <v>6893</v>
      </c>
      <c r="L280" s="21">
        <v>3749</v>
      </c>
      <c r="M280" s="21" t="s">
        <v>31</v>
      </c>
      <c r="N280" s="22">
        <v>9</v>
      </c>
      <c r="O280" s="23">
        <f t="shared" si="8"/>
        <v>287.35777777777776</v>
      </c>
      <c r="P280" s="24">
        <v>8.1199999999999992</v>
      </c>
      <c r="Q280" s="25" t="s">
        <v>43</v>
      </c>
      <c r="R280" s="26" t="s">
        <v>33</v>
      </c>
      <c r="S280" s="26" t="s">
        <v>34</v>
      </c>
      <c r="T280" s="26"/>
      <c r="U280" s="27"/>
      <c r="V280" s="28">
        <f t="shared" si="9"/>
        <v>110</v>
      </c>
    </row>
    <row r="281" spans="1:23" s="29" customFormat="1" ht="21" customHeight="1">
      <c r="A281" s="33"/>
      <c r="B281" s="31"/>
      <c r="C281" s="32"/>
      <c r="D281" s="18" t="s">
        <v>114</v>
      </c>
      <c r="E281" s="19" t="s">
        <v>41</v>
      </c>
      <c r="F281" s="20">
        <v>2.9990000000000001</v>
      </c>
      <c r="G281" s="19">
        <v>375</v>
      </c>
      <c r="H281" s="20">
        <v>110</v>
      </c>
      <c r="I281" s="19" t="s">
        <v>71</v>
      </c>
      <c r="J281" s="20">
        <v>2356</v>
      </c>
      <c r="K281" s="21">
        <v>4521</v>
      </c>
      <c r="L281" s="21">
        <v>2000</v>
      </c>
      <c r="M281" s="21" t="s">
        <v>31</v>
      </c>
      <c r="N281" s="22">
        <v>11.8</v>
      </c>
      <c r="O281" s="23">
        <f t="shared" si="8"/>
        <v>219.17118644067796</v>
      </c>
      <c r="P281" s="24">
        <v>10.35</v>
      </c>
      <c r="Q281" s="25" t="s">
        <v>43</v>
      </c>
      <c r="R281" s="26" t="s">
        <v>33</v>
      </c>
      <c r="S281" s="26" t="s">
        <v>34</v>
      </c>
      <c r="T281" s="26"/>
      <c r="U281" s="27"/>
      <c r="V281" s="28">
        <f t="shared" si="9"/>
        <v>114</v>
      </c>
    </row>
    <row r="282" spans="1:23" s="29" customFormat="1" ht="21" customHeight="1">
      <c r="A282" s="33"/>
      <c r="B282" s="31"/>
      <c r="C282" s="32"/>
      <c r="D282" s="18" t="s">
        <v>114</v>
      </c>
      <c r="E282" s="19" t="s">
        <v>41</v>
      </c>
      <c r="F282" s="20">
        <v>2.9990000000000001</v>
      </c>
      <c r="G282" s="19">
        <v>375</v>
      </c>
      <c r="H282" s="20">
        <v>110</v>
      </c>
      <c r="I282" s="19" t="s">
        <v>71</v>
      </c>
      <c r="J282" s="20">
        <v>2356</v>
      </c>
      <c r="K282" s="21">
        <v>4521</v>
      </c>
      <c r="L282" s="21">
        <v>2000</v>
      </c>
      <c r="M282" s="21" t="s">
        <v>31</v>
      </c>
      <c r="N282" s="22">
        <v>11.4</v>
      </c>
      <c r="O282" s="23">
        <f t="shared" si="8"/>
        <v>226.8614035087719</v>
      </c>
      <c r="P282" s="24">
        <v>10.35</v>
      </c>
      <c r="Q282" s="25" t="s">
        <v>63</v>
      </c>
      <c r="R282" s="26" t="s">
        <v>33</v>
      </c>
      <c r="S282" s="26" t="s">
        <v>34</v>
      </c>
      <c r="T282" s="26"/>
      <c r="U282" s="27"/>
      <c r="V282" s="28">
        <f t="shared" si="9"/>
        <v>110</v>
      </c>
    </row>
    <row r="283" spans="1:23" s="29" customFormat="1" ht="21" customHeight="1">
      <c r="A283" s="33"/>
      <c r="B283" s="31"/>
      <c r="C283" s="32"/>
      <c r="D283" s="18" t="s">
        <v>114</v>
      </c>
      <c r="E283" s="19" t="s">
        <v>41</v>
      </c>
      <c r="F283" s="20">
        <v>2.9990000000000001</v>
      </c>
      <c r="G283" s="19">
        <v>375</v>
      </c>
      <c r="H283" s="20">
        <v>110</v>
      </c>
      <c r="I283" s="19" t="s">
        <v>71</v>
      </c>
      <c r="J283" s="20">
        <v>2652</v>
      </c>
      <c r="K283" s="21">
        <v>5812</v>
      </c>
      <c r="L283" s="21">
        <v>2995</v>
      </c>
      <c r="M283" s="21" t="s">
        <v>31</v>
      </c>
      <c r="N283" s="22">
        <v>10.8</v>
      </c>
      <c r="O283" s="23">
        <f t="shared" si="8"/>
        <v>239.46481481481482</v>
      </c>
      <c r="P283" s="24">
        <v>9.51</v>
      </c>
      <c r="Q283" s="25" t="s">
        <v>43</v>
      </c>
      <c r="R283" s="26" t="s">
        <v>33</v>
      </c>
      <c r="S283" s="26" t="s">
        <v>34</v>
      </c>
      <c r="T283" s="26"/>
      <c r="U283" s="27"/>
      <c r="V283" s="28">
        <f t="shared" si="9"/>
        <v>113</v>
      </c>
      <c r="W283" s="37"/>
    </row>
    <row r="284" spans="1:23" s="29" customFormat="1" ht="21" customHeight="1">
      <c r="A284" s="34"/>
      <c r="B284" s="31"/>
      <c r="C284" s="32"/>
      <c r="D284" s="18" t="s">
        <v>114</v>
      </c>
      <c r="E284" s="19" t="s">
        <v>41</v>
      </c>
      <c r="F284" s="20">
        <v>2.9990000000000001</v>
      </c>
      <c r="G284" s="19">
        <v>430</v>
      </c>
      <c r="H284" s="20">
        <v>129</v>
      </c>
      <c r="I284" s="19" t="s">
        <v>71</v>
      </c>
      <c r="J284" s="20">
        <v>2652</v>
      </c>
      <c r="K284" s="21">
        <v>5812</v>
      </c>
      <c r="L284" s="21">
        <v>2995</v>
      </c>
      <c r="M284" s="21" t="s">
        <v>31</v>
      </c>
      <c r="N284" s="22">
        <v>10.8</v>
      </c>
      <c r="O284" s="23">
        <f t="shared" si="8"/>
        <v>239.46481481481482</v>
      </c>
      <c r="P284" s="24">
        <v>9.51</v>
      </c>
      <c r="Q284" s="25" t="s">
        <v>43</v>
      </c>
      <c r="R284" s="26" t="s">
        <v>33</v>
      </c>
      <c r="S284" s="26" t="s">
        <v>34</v>
      </c>
      <c r="T284" s="26"/>
      <c r="U284" s="27"/>
      <c r="V284" s="28">
        <f t="shared" si="9"/>
        <v>113</v>
      </c>
      <c r="W284" s="37"/>
    </row>
    <row r="285" spans="1:23" s="29" customFormat="1" ht="21" customHeight="1">
      <c r="A285" s="33"/>
      <c r="B285" s="31"/>
      <c r="C285" s="32"/>
      <c r="D285" s="18" t="s">
        <v>114</v>
      </c>
      <c r="E285" s="19" t="s">
        <v>41</v>
      </c>
      <c r="F285" s="20">
        <v>2.9990000000000001</v>
      </c>
      <c r="G285" s="19">
        <v>375</v>
      </c>
      <c r="H285" s="20">
        <v>110</v>
      </c>
      <c r="I285" s="19" t="s">
        <v>71</v>
      </c>
      <c r="J285" s="20">
        <v>2652</v>
      </c>
      <c r="K285" s="21">
        <v>5812</v>
      </c>
      <c r="L285" s="21">
        <v>2995</v>
      </c>
      <c r="M285" s="21" t="s">
        <v>31</v>
      </c>
      <c r="N285" s="22">
        <v>10.6</v>
      </c>
      <c r="O285" s="23">
        <f t="shared" si="8"/>
        <v>243.98301886792456</v>
      </c>
      <c r="P285" s="24">
        <v>9.51</v>
      </c>
      <c r="Q285" s="25" t="s">
        <v>63</v>
      </c>
      <c r="R285" s="26" t="s">
        <v>33</v>
      </c>
      <c r="S285" s="26" t="s">
        <v>34</v>
      </c>
      <c r="T285" s="26"/>
      <c r="U285" s="27"/>
      <c r="V285" s="28">
        <f t="shared" si="9"/>
        <v>111</v>
      </c>
      <c r="W285" s="37"/>
    </row>
    <row r="286" spans="1:23" s="29" customFormat="1" ht="21" customHeight="1">
      <c r="A286" s="34"/>
      <c r="B286" s="31"/>
      <c r="C286" s="32"/>
      <c r="D286" s="18" t="s">
        <v>115</v>
      </c>
      <c r="E286" s="19" t="s">
        <v>41</v>
      </c>
      <c r="F286" s="20">
        <v>2.9990000000000001</v>
      </c>
      <c r="G286" s="19">
        <v>430</v>
      </c>
      <c r="H286" s="20">
        <v>129</v>
      </c>
      <c r="I286" s="19" t="s">
        <v>71</v>
      </c>
      <c r="J286" s="20">
        <v>2652</v>
      </c>
      <c r="K286" s="21">
        <v>5812</v>
      </c>
      <c r="L286" s="21">
        <v>2995</v>
      </c>
      <c r="M286" s="21" t="s">
        <v>31</v>
      </c>
      <c r="N286" s="22">
        <v>10.6</v>
      </c>
      <c r="O286" s="23">
        <f t="shared" si="8"/>
        <v>243.98301886792456</v>
      </c>
      <c r="P286" s="24">
        <v>9.51</v>
      </c>
      <c r="Q286" s="25" t="s">
        <v>63</v>
      </c>
      <c r="R286" s="26" t="s">
        <v>33</v>
      </c>
      <c r="S286" s="26" t="s">
        <v>34</v>
      </c>
      <c r="T286" s="26"/>
      <c r="U286" s="27"/>
      <c r="V286" s="28">
        <f t="shared" si="9"/>
        <v>111</v>
      </c>
      <c r="W286" s="37"/>
    </row>
    <row r="287" spans="1:23" s="29" customFormat="1" ht="21" customHeight="1">
      <c r="A287" s="33"/>
      <c r="B287" s="31"/>
      <c r="C287" s="32"/>
      <c r="D287" s="18" t="s">
        <v>114</v>
      </c>
      <c r="E287" s="19" t="s">
        <v>41</v>
      </c>
      <c r="F287" s="20">
        <v>2.9990000000000001</v>
      </c>
      <c r="G287" s="19">
        <v>375</v>
      </c>
      <c r="H287" s="20">
        <v>110</v>
      </c>
      <c r="I287" s="19" t="s">
        <v>71</v>
      </c>
      <c r="J287" s="20">
        <v>2979</v>
      </c>
      <c r="K287" s="21">
        <v>6893</v>
      </c>
      <c r="L287" s="21">
        <v>3749</v>
      </c>
      <c r="M287" s="21" t="s">
        <v>31</v>
      </c>
      <c r="N287" s="22">
        <v>9.1</v>
      </c>
      <c r="O287" s="23">
        <f t="shared" si="8"/>
        <v>284.2</v>
      </c>
      <c r="P287" s="24">
        <v>8.1199999999999992</v>
      </c>
      <c r="Q287" s="25" t="s">
        <v>43</v>
      </c>
      <c r="R287" s="26" t="s">
        <v>33</v>
      </c>
      <c r="S287" s="26" t="s">
        <v>34</v>
      </c>
      <c r="T287" s="26"/>
      <c r="U287" s="27"/>
      <c r="V287" s="28">
        <f t="shared" si="9"/>
        <v>112</v>
      </c>
      <c r="W287" s="37"/>
    </row>
    <row r="288" spans="1:23" s="29" customFormat="1" ht="21" customHeight="1">
      <c r="A288" s="34"/>
      <c r="B288" s="31"/>
      <c r="C288" s="32"/>
      <c r="D288" s="18" t="s">
        <v>114</v>
      </c>
      <c r="E288" s="19" t="s">
        <v>41</v>
      </c>
      <c r="F288" s="20">
        <v>2.9990000000000001</v>
      </c>
      <c r="G288" s="19">
        <v>430</v>
      </c>
      <c r="H288" s="20">
        <v>129</v>
      </c>
      <c r="I288" s="19" t="s">
        <v>71</v>
      </c>
      <c r="J288" s="20">
        <v>2979</v>
      </c>
      <c r="K288" s="21">
        <v>6893</v>
      </c>
      <c r="L288" s="21">
        <v>3749</v>
      </c>
      <c r="M288" s="21" t="s">
        <v>31</v>
      </c>
      <c r="N288" s="22">
        <v>9.1</v>
      </c>
      <c r="O288" s="23">
        <f t="shared" si="8"/>
        <v>284.2</v>
      </c>
      <c r="P288" s="24">
        <v>8.1199999999999992</v>
      </c>
      <c r="Q288" s="25" t="s">
        <v>43</v>
      </c>
      <c r="R288" s="26" t="s">
        <v>33</v>
      </c>
      <c r="S288" s="26" t="s">
        <v>34</v>
      </c>
      <c r="T288" s="26"/>
      <c r="U288" s="27"/>
      <c r="V288" s="28">
        <f t="shared" si="9"/>
        <v>112</v>
      </c>
      <c r="W288" s="37"/>
    </row>
    <row r="289" spans="1:23" s="29" customFormat="1" ht="21" customHeight="1">
      <c r="A289" s="34"/>
      <c r="B289" s="31"/>
      <c r="C289" s="32"/>
      <c r="D289" s="18" t="s">
        <v>114</v>
      </c>
      <c r="E289" s="19" t="s">
        <v>41</v>
      </c>
      <c r="F289" s="20">
        <v>2.9990000000000001</v>
      </c>
      <c r="G289" s="19">
        <v>375</v>
      </c>
      <c r="H289" s="20">
        <v>110</v>
      </c>
      <c r="I289" s="19" t="s">
        <v>71</v>
      </c>
      <c r="J289" s="20">
        <v>2979</v>
      </c>
      <c r="K289" s="21">
        <v>6893</v>
      </c>
      <c r="L289" s="21">
        <v>3749</v>
      </c>
      <c r="M289" s="21" t="s">
        <v>31</v>
      </c>
      <c r="N289" s="22">
        <v>9</v>
      </c>
      <c r="O289" s="23">
        <f t="shared" si="8"/>
        <v>287.35777777777776</v>
      </c>
      <c r="P289" s="24">
        <v>8.1199999999999992</v>
      </c>
      <c r="Q289" s="25" t="s">
        <v>43</v>
      </c>
      <c r="R289" s="26" t="s">
        <v>33</v>
      </c>
      <c r="S289" s="26" t="s">
        <v>34</v>
      </c>
      <c r="T289" s="26"/>
      <c r="U289" s="27"/>
      <c r="V289" s="28">
        <f t="shared" si="9"/>
        <v>110</v>
      </c>
    </row>
    <row r="290" spans="1:23" s="29" customFormat="1" ht="21" customHeight="1">
      <c r="A290" s="33"/>
      <c r="B290" s="31"/>
      <c r="C290" s="32"/>
      <c r="D290" s="18" t="s">
        <v>116</v>
      </c>
      <c r="E290" s="19" t="s">
        <v>41</v>
      </c>
      <c r="F290" s="20">
        <v>2.9990000000000001</v>
      </c>
      <c r="G290" s="19">
        <v>375</v>
      </c>
      <c r="H290" s="20">
        <v>110</v>
      </c>
      <c r="I290" s="19" t="s">
        <v>70</v>
      </c>
      <c r="J290" s="20">
        <v>2356</v>
      </c>
      <c r="K290" s="21">
        <v>4521</v>
      </c>
      <c r="L290" s="21">
        <v>2000</v>
      </c>
      <c r="M290" s="21" t="s">
        <v>31</v>
      </c>
      <c r="N290" s="22">
        <v>11.4</v>
      </c>
      <c r="O290" s="23">
        <f t="shared" si="8"/>
        <v>226.8614035087719</v>
      </c>
      <c r="P290" s="24">
        <v>10.35</v>
      </c>
      <c r="Q290" s="25" t="s">
        <v>63</v>
      </c>
      <c r="R290" s="26" t="s">
        <v>33</v>
      </c>
      <c r="S290" s="26" t="s">
        <v>34</v>
      </c>
      <c r="T290" s="26"/>
      <c r="U290" s="27"/>
      <c r="V290" s="28">
        <f t="shared" si="9"/>
        <v>110</v>
      </c>
      <c r="W290" s="37"/>
    </row>
    <row r="291" spans="1:23" s="29" customFormat="1" ht="21" customHeight="1">
      <c r="A291" s="33"/>
      <c r="B291" s="31"/>
      <c r="C291" s="32"/>
      <c r="D291" s="18" t="s">
        <v>116</v>
      </c>
      <c r="E291" s="19" t="s">
        <v>41</v>
      </c>
      <c r="F291" s="20">
        <v>2.9990000000000001</v>
      </c>
      <c r="G291" s="19">
        <v>375</v>
      </c>
      <c r="H291" s="20">
        <v>110</v>
      </c>
      <c r="I291" s="19" t="s">
        <v>30</v>
      </c>
      <c r="J291" s="20">
        <v>2356</v>
      </c>
      <c r="K291" s="21">
        <v>4521</v>
      </c>
      <c r="L291" s="21">
        <v>2000</v>
      </c>
      <c r="M291" s="21" t="s">
        <v>31</v>
      </c>
      <c r="N291" s="22">
        <v>11.4</v>
      </c>
      <c r="O291" s="23">
        <f t="shared" si="8"/>
        <v>226.8614035087719</v>
      </c>
      <c r="P291" s="24">
        <v>10.35</v>
      </c>
      <c r="Q291" s="25" t="s">
        <v>63</v>
      </c>
      <c r="R291" s="26" t="s">
        <v>33</v>
      </c>
      <c r="S291" s="26" t="s">
        <v>117</v>
      </c>
      <c r="T291" s="26"/>
      <c r="U291" s="27"/>
      <c r="V291" s="28">
        <f t="shared" si="9"/>
        <v>110</v>
      </c>
      <c r="W291" s="37"/>
    </row>
    <row r="292" spans="1:23" s="29" customFormat="1" ht="21" customHeight="1">
      <c r="A292" s="34"/>
      <c r="B292" s="31"/>
      <c r="C292" s="32"/>
      <c r="D292" s="18" t="s">
        <v>118</v>
      </c>
      <c r="E292" s="19" t="s">
        <v>41</v>
      </c>
      <c r="F292" s="20">
        <v>2.9990000000000001</v>
      </c>
      <c r="G292" s="19">
        <v>375</v>
      </c>
      <c r="H292" s="20">
        <v>110</v>
      </c>
      <c r="I292" s="19" t="s">
        <v>70</v>
      </c>
      <c r="J292" s="20">
        <v>2356</v>
      </c>
      <c r="K292" s="21">
        <v>4521</v>
      </c>
      <c r="L292" s="21">
        <v>2000</v>
      </c>
      <c r="M292" s="21" t="s">
        <v>31</v>
      </c>
      <c r="N292" s="22">
        <v>11.4</v>
      </c>
      <c r="O292" s="23">
        <f t="shared" si="8"/>
        <v>226.8614035087719</v>
      </c>
      <c r="P292" s="24">
        <v>10.35</v>
      </c>
      <c r="Q292" s="25" t="s">
        <v>63</v>
      </c>
      <c r="R292" s="26" t="s">
        <v>33</v>
      </c>
      <c r="S292" s="26" t="s">
        <v>34</v>
      </c>
      <c r="T292" s="26"/>
      <c r="U292" s="27"/>
      <c r="V292" s="28">
        <f t="shared" si="9"/>
        <v>110</v>
      </c>
    </row>
    <row r="293" spans="1:23" s="29" customFormat="1" ht="21" customHeight="1">
      <c r="A293" s="33"/>
      <c r="B293" s="31"/>
      <c r="C293" s="32"/>
      <c r="D293" s="18" t="s">
        <v>119</v>
      </c>
      <c r="E293" s="19" t="s">
        <v>41</v>
      </c>
      <c r="F293" s="20">
        <v>2.9990000000000001</v>
      </c>
      <c r="G293" s="19">
        <v>375</v>
      </c>
      <c r="H293" s="20">
        <v>110</v>
      </c>
      <c r="I293" s="19" t="s">
        <v>71</v>
      </c>
      <c r="J293" s="20">
        <v>2356</v>
      </c>
      <c r="K293" s="21">
        <v>4521</v>
      </c>
      <c r="L293" s="21">
        <v>2000</v>
      </c>
      <c r="M293" s="21" t="s">
        <v>31</v>
      </c>
      <c r="N293" s="22">
        <v>11.4</v>
      </c>
      <c r="O293" s="23">
        <f t="shared" si="8"/>
        <v>226.8614035087719</v>
      </c>
      <c r="P293" s="24">
        <v>10.35</v>
      </c>
      <c r="Q293" s="25" t="s">
        <v>63</v>
      </c>
      <c r="R293" s="26" t="s">
        <v>33</v>
      </c>
      <c r="S293" s="26" t="s">
        <v>34</v>
      </c>
      <c r="T293" s="26"/>
      <c r="U293" s="27"/>
      <c r="V293" s="28">
        <f t="shared" si="9"/>
        <v>110</v>
      </c>
    </row>
    <row r="294" spans="1:23" s="29" customFormat="1" ht="21" customHeight="1">
      <c r="A294" s="33"/>
      <c r="B294" s="31"/>
      <c r="C294" s="32"/>
      <c r="D294" s="18" t="s">
        <v>119</v>
      </c>
      <c r="E294" s="19" t="s">
        <v>41</v>
      </c>
      <c r="F294" s="20">
        <v>2.9990000000000001</v>
      </c>
      <c r="G294" s="19">
        <v>375</v>
      </c>
      <c r="H294" s="20">
        <v>110</v>
      </c>
      <c r="I294" s="19" t="s">
        <v>71</v>
      </c>
      <c r="J294" s="20">
        <v>2652</v>
      </c>
      <c r="K294" s="21">
        <v>5812</v>
      </c>
      <c r="L294" s="21">
        <v>2995</v>
      </c>
      <c r="M294" s="21" t="s">
        <v>31</v>
      </c>
      <c r="N294" s="22">
        <v>10.6</v>
      </c>
      <c r="O294" s="23">
        <f t="shared" si="8"/>
        <v>243.98301886792456</v>
      </c>
      <c r="P294" s="24">
        <v>9.51</v>
      </c>
      <c r="Q294" s="25" t="s">
        <v>63</v>
      </c>
      <c r="R294" s="26" t="s">
        <v>33</v>
      </c>
      <c r="S294" s="26" t="s">
        <v>34</v>
      </c>
      <c r="T294" s="26"/>
      <c r="U294" s="27"/>
      <c r="V294" s="28">
        <f t="shared" si="9"/>
        <v>111</v>
      </c>
    </row>
    <row r="295" spans="1:23" s="29" customFormat="1" ht="21" customHeight="1">
      <c r="A295" s="33"/>
      <c r="B295" s="31"/>
      <c r="C295" s="32"/>
      <c r="D295" s="18" t="s">
        <v>120</v>
      </c>
      <c r="E295" s="19" t="s">
        <v>41</v>
      </c>
      <c r="F295" s="20">
        <v>2.9990000000000001</v>
      </c>
      <c r="G295" s="19">
        <v>375</v>
      </c>
      <c r="H295" s="20">
        <v>110</v>
      </c>
      <c r="I295" s="19" t="s">
        <v>71</v>
      </c>
      <c r="J295" s="20">
        <v>2356</v>
      </c>
      <c r="K295" s="21">
        <v>4521</v>
      </c>
      <c r="L295" s="21">
        <v>2000</v>
      </c>
      <c r="M295" s="21" t="s">
        <v>31</v>
      </c>
      <c r="N295" s="22">
        <v>11.4</v>
      </c>
      <c r="O295" s="23">
        <f t="shared" si="8"/>
        <v>226.8614035087719</v>
      </c>
      <c r="P295" s="24">
        <v>10.35</v>
      </c>
      <c r="Q295" s="25" t="s">
        <v>63</v>
      </c>
      <c r="R295" s="26" t="s">
        <v>33</v>
      </c>
      <c r="S295" s="26" t="s">
        <v>34</v>
      </c>
      <c r="T295" s="26"/>
      <c r="U295" s="27"/>
      <c r="V295" s="28">
        <f t="shared" si="9"/>
        <v>110</v>
      </c>
    </row>
    <row r="296" spans="1:23" s="29" customFormat="1" ht="21" customHeight="1">
      <c r="A296" s="33"/>
      <c r="B296" s="31"/>
      <c r="C296" s="32"/>
      <c r="D296" s="18" t="s">
        <v>120</v>
      </c>
      <c r="E296" s="19" t="s">
        <v>41</v>
      </c>
      <c r="F296" s="20">
        <v>2.9990000000000001</v>
      </c>
      <c r="G296" s="19">
        <v>375</v>
      </c>
      <c r="H296" s="20">
        <v>110</v>
      </c>
      <c r="I296" s="19" t="s">
        <v>71</v>
      </c>
      <c r="J296" s="20">
        <v>2652</v>
      </c>
      <c r="K296" s="21">
        <v>5812</v>
      </c>
      <c r="L296" s="21">
        <v>2995</v>
      </c>
      <c r="M296" s="21" t="s">
        <v>31</v>
      </c>
      <c r="N296" s="22">
        <v>10.8</v>
      </c>
      <c r="O296" s="23">
        <f t="shared" si="8"/>
        <v>239.46481481481482</v>
      </c>
      <c r="P296" s="24">
        <v>9.51</v>
      </c>
      <c r="Q296" s="25" t="s">
        <v>43</v>
      </c>
      <c r="R296" s="26" t="s">
        <v>33</v>
      </c>
      <c r="S296" s="26" t="s">
        <v>34</v>
      </c>
      <c r="T296" s="26"/>
      <c r="U296" s="27"/>
      <c r="V296" s="28">
        <f t="shared" si="9"/>
        <v>113</v>
      </c>
      <c r="W296" s="37"/>
    </row>
    <row r="297" spans="1:23" s="29" customFormat="1" ht="21" customHeight="1">
      <c r="A297" s="33"/>
      <c r="B297" s="31"/>
      <c r="C297" s="32"/>
      <c r="D297" s="18" t="s">
        <v>120</v>
      </c>
      <c r="E297" s="19" t="s">
        <v>41</v>
      </c>
      <c r="F297" s="20">
        <v>2.9990000000000001</v>
      </c>
      <c r="G297" s="19">
        <v>375</v>
      </c>
      <c r="H297" s="20">
        <v>110</v>
      </c>
      <c r="I297" s="19" t="s">
        <v>71</v>
      </c>
      <c r="J297" s="20">
        <v>2652</v>
      </c>
      <c r="K297" s="21">
        <v>5812</v>
      </c>
      <c r="L297" s="21">
        <v>2995</v>
      </c>
      <c r="M297" s="21" t="s">
        <v>31</v>
      </c>
      <c r="N297" s="22">
        <v>10.6</v>
      </c>
      <c r="O297" s="23">
        <f t="shared" si="8"/>
        <v>243.98301886792456</v>
      </c>
      <c r="P297" s="24">
        <v>9.51</v>
      </c>
      <c r="Q297" s="25" t="s">
        <v>63</v>
      </c>
      <c r="R297" s="26" t="s">
        <v>33</v>
      </c>
      <c r="S297" s="26" t="s">
        <v>34</v>
      </c>
      <c r="T297" s="26"/>
      <c r="U297" s="27"/>
      <c r="V297" s="28">
        <f t="shared" si="9"/>
        <v>111</v>
      </c>
    </row>
    <row r="298" spans="1:23" s="29" customFormat="1" ht="21" customHeight="1">
      <c r="A298" s="33"/>
      <c r="B298" s="31"/>
      <c r="C298" s="32"/>
      <c r="D298" s="18" t="s">
        <v>120</v>
      </c>
      <c r="E298" s="19" t="s">
        <v>41</v>
      </c>
      <c r="F298" s="20">
        <v>2.9990000000000001</v>
      </c>
      <c r="G298" s="19">
        <v>375</v>
      </c>
      <c r="H298" s="20">
        <v>110</v>
      </c>
      <c r="I298" s="19" t="s">
        <v>71</v>
      </c>
      <c r="J298" s="20">
        <v>2979</v>
      </c>
      <c r="K298" s="21">
        <v>6893</v>
      </c>
      <c r="L298" s="21">
        <v>3749</v>
      </c>
      <c r="M298" s="21" t="s">
        <v>31</v>
      </c>
      <c r="N298" s="22">
        <v>9.1</v>
      </c>
      <c r="O298" s="23">
        <f t="shared" si="8"/>
        <v>284.2</v>
      </c>
      <c r="P298" s="24">
        <v>8.1199999999999992</v>
      </c>
      <c r="Q298" s="25" t="s">
        <v>43</v>
      </c>
      <c r="R298" s="26" t="s">
        <v>33</v>
      </c>
      <c r="S298" s="26" t="s">
        <v>34</v>
      </c>
      <c r="T298" s="26"/>
      <c r="U298" s="27"/>
      <c r="V298" s="28">
        <f t="shared" si="9"/>
        <v>112</v>
      </c>
      <c r="W298" s="37"/>
    </row>
    <row r="299" spans="1:23" s="29" customFormat="1" ht="21" customHeight="1">
      <c r="A299" s="34"/>
      <c r="B299" s="31"/>
      <c r="C299" s="32"/>
      <c r="D299" s="18" t="s">
        <v>120</v>
      </c>
      <c r="E299" s="19" t="s">
        <v>41</v>
      </c>
      <c r="F299" s="20">
        <v>2.9990000000000001</v>
      </c>
      <c r="G299" s="19">
        <v>375</v>
      </c>
      <c r="H299" s="20">
        <v>110</v>
      </c>
      <c r="I299" s="19" t="s">
        <v>71</v>
      </c>
      <c r="J299" s="20">
        <v>2979</v>
      </c>
      <c r="K299" s="21">
        <v>6893</v>
      </c>
      <c r="L299" s="21">
        <v>3749</v>
      </c>
      <c r="M299" s="21" t="s">
        <v>31</v>
      </c>
      <c r="N299" s="22">
        <v>9</v>
      </c>
      <c r="O299" s="23">
        <f t="shared" si="8"/>
        <v>287.35777777777776</v>
      </c>
      <c r="P299" s="24">
        <v>8.1199999999999992</v>
      </c>
      <c r="Q299" s="25" t="s">
        <v>43</v>
      </c>
      <c r="R299" s="26" t="s">
        <v>33</v>
      </c>
      <c r="S299" s="26" t="s">
        <v>34</v>
      </c>
      <c r="T299" s="26"/>
      <c r="U299" s="27"/>
      <c r="V299" s="28">
        <f t="shared" si="9"/>
        <v>110</v>
      </c>
    </row>
    <row r="300" spans="1:23" s="29" customFormat="1" ht="21" customHeight="1">
      <c r="A300" s="34"/>
      <c r="B300" s="36"/>
      <c r="C300" s="32"/>
      <c r="D300" s="18" t="s">
        <v>121</v>
      </c>
      <c r="E300" s="19" t="s">
        <v>41</v>
      </c>
      <c r="F300" s="20">
        <v>2.9990000000000001</v>
      </c>
      <c r="G300" s="19">
        <v>375</v>
      </c>
      <c r="H300" s="20">
        <v>110</v>
      </c>
      <c r="I300" s="19" t="s">
        <v>70</v>
      </c>
      <c r="J300" s="20">
        <v>2356</v>
      </c>
      <c r="K300" s="21">
        <v>4521</v>
      </c>
      <c r="L300" s="21">
        <v>2000</v>
      </c>
      <c r="M300" s="21" t="s">
        <v>31</v>
      </c>
      <c r="N300" s="22">
        <v>11.4</v>
      </c>
      <c r="O300" s="23">
        <f t="shared" si="8"/>
        <v>226.8614035087719</v>
      </c>
      <c r="P300" s="24">
        <v>10.35</v>
      </c>
      <c r="Q300" s="25" t="s">
        <v>43</v>
      </c>
      <c r="R300" s="26" t="s">
        <v>33</v>
      </c>
      <c r="S300" s="26" t="s">
        <v>66</v>
      </c>
      <c r="T300" s="26"/>
      <c r="U300" s="27"/>
      <c r="V300" s="28">
        <f t="shared" si="9"/>
        <v>110</v>
      </c>
    </row>
    <row r="301" spans="1:23" s="29" customFormat="1" ht="21" customHeight="1">
      <c r="A301" s="34"/>
      <c r="B301" s="36"/>
      <c r="C301" s="32"/>
      <c r="D301" s="18" t="s">
        <v>122</v>
      </c>
      <c r="E301" s="19" t="s">
        <v>41</v>
      </c>
      <c r="F301" s="20">
        <v>2.9990000000000001</v>
      </c>
      <c r="G301" s="19">
        <v>375</v>
      </c>
      <c r="H301" s="20">
        <v>110</v>
      </c>
      <c r="I301" s="19" t="s">
        <v>70</v>
      </c>
      <c r="J301" s="20">
        <v>2356</v>
      </c>
      <c r="K301" s="21">
        <v>4521</v>
      </c>
      <c r="L301" s="21">
        <v>2000</v>
      </c>
      <c r="M301" s="21" t="s">
        <v>31</v>
      </c>
      <c r="N301" s="22">
        <v>11.4</v>
      </c>
      <c r="O301" s="23">
        <f t="shared" si="8"/>
        <v>226.8614035087719</v>
      </c>
      <c r="P301" s="24">
        <v>10.35</v>
      </c>
      <c r="Q301" s="25" t="s">
        <v>43</v>
      </c>
      <c r="R301" s="26" t="s">
        <v>33</v>
      </c>
      <c r="S301" s="26" t="s">
        <v>66</v>
      </c>
      <c r="T301" s="26"/>
      <c r="U301" s="27"/>
      <c r="V301" s="28">
        <f t="shared" si="9"/>
        <v>110</v>
      </c>
      <c r="W301" s="37"/>
    </row>
    <row r="302" spans="1:23" s="29" customFormat="1" ht="21" customHeight="1">
      <c r="A302" s="34"/>
      <c r="B302" s="31"/>
      <c r="C302" s="32"/>
      <c r="D302" s="18" t="s">
        <v>123</v>
      </c>
      <c r="E302" s="19" t="s">
        <v>41</v>
      </c>
      <c r="F302" s="20">
        <v>2.9990000000000001</v>
      </c>
      <c r="G302" s="19">
        <v>375</v>
      </c>
      <c r="H302" s="20">
        <v>110</v>
      </c>
      <c r="I302" s="19" t="s">
        <v>70</v>
      </c>
      <c r="J302" s="20">
        <v>2356</v>
      </c>
      <c r="K302" s="21">
        <v>4521</v>
      </c>
      <c r="L302" s="21">
        <v>2000</v>
      </c>
      <c r="M302" s="21" t="s">
        <v>31</v>
      </c>
      <c r="N302" s="22">
        <v>11.4</v>
      </c>
      <c r="O302" s="23">
        <f t="shared" si="8"/>
        <v>226.8614035087719</v>
      </c>
      <c r="P302" s="24">
        <v>10.35</v>
      </c>
      <c r="Q302" s="25" t="s">
        <v>63</v>
      </c>
      <c r="R302" s="26" t="s">
        <v>33</v>
      </c>
      <c r="S302" s="26" t="s">
        <v>34</v>
      </c>
      <c r="T302" s="26"/>
      <c r="U302" s="27"/>
      <c r="V302" s="28">
        <f t="shared" si="9"/>
        <v>110</v>
      </c>
    </row>
    <row r="303" spans="1:23" s="29" customFormat="1" ht="21" customHeight="1">
      <c r="A303" s="34"/>
      <c r="B303" s="36"/>
      <c r="C303" s="32"/>
      <c r="D303" s="18" t="s">
        <v>124</v>
      </c>
      <c r="E303" s="19" t="s">
        <v>41</v>
      </c>
      <c r="F303" s="20">
        <v>2.9990000000000001</v>
      </c>
      <c r="G303" s="19">
        <v>375</v>
      </c>
      <c r="H303" s="20">
        <v>110</v>
      </c>
      <c r="I303" s="19" t="s">
        <v>70</v>
      </c>
      <c r="J303" s="20">
        <v>2356</v>
      </c>
      <c r="K303" s="21">
        <v>4521</v>
      </c>
      <c r="L303" s="21">
        <v>2000</v>
      </c>
      <c r="M303" s="21" t="s">
        <v>31</v>
      </c>
      <c r="N303" s="22">
        <v>11.4</v>
      </c>
      <c r="O303" s="23">
        <f t="shared" si="8"/>
        <v>226.8614035087719</v>
      </c>
      <c r="P303" s="24">
        <v>10.35</v>
      </c>
      <c r="Q303" s="25" t="s">
        <v>43</v>
      </c>
      <c r="R303" s="26" t="s">
        <v>33</v>
      </c>
      <c r="S303" s="26" t="s">
        <v>66</v>
      </c>
      <c r="T303" s="26"/>
      <c r="U303" s="27"/>
      <c r="V303" s="28">
        <f t="shared" si="9"/>
        <v>110</v>
      </c>
    </row>
    <row r="304" spans="1:23" s="29" customFormat="1" ht="21" customHeight="1">
      <c r="A304" s="34"/>
      <c r="B304" s="36"/>
      <c r="C304" s="32"/>
      <c r="D304" s="18" t="s">
        <v>125</v>
      </c>
      <c r="E304" s="19" t="s">
        <v>41</v>
      </c>
      <c r="F304" s="20">
        <v>2.9990000000000001</v>
      </c>
      <c r="G304" s="19">
        <v>375</v>
      </c>
      <c r="H304" s="20">
        <v>110</v>
      </c>
      <c r="I304" s="19" t="s">
        <v>70</v>
      </c>
      <c r="J304" s="20">
        <v>2356</v>
      </c>
      <c r="K304" s="21">
        <v>4521</v>
      </c>
      <c r="L304" s="21">
        <v>2000</v>
      </c>
      <c r="M304" s="21" t="s">
        <v>31</v>
      </c>
      <c r="N304" s="22">
        <v>11.4</v>
      </c>
      <c r="O304" s="23">
        <f t="shared" si="8"/>
        <v>226.8614035087719</v>
      </c>
      <c r="P304" s="24">
        <v>10.35</v>
      </c>
      <c r="Q304" s="25" t="s">
        <v>43</v>
      </c>
      <c r="R304" s="26" t="s">
        <v>33</v>
      </c>
      <c r="S304" s="26" t="s">
        <v>66</v>
      </c>
      <c r="T304" s="26"/>
      <c r="U304" s="27"/>
      <c r="V304" s="28">
        <f t="shared" si="9"/>
        <v>110</v>
      </c>
    </row>
    <row r="305" spans="1:23" s="29" customFormat="1" ht="21" customHeight="1">
      <c r="A305" s="34"/>
      <c r="B305" s="36"/>
      <c r="C305" s="32"/>
      <c r="D305" s="18" t="s">
        <v>126</v>
      </c>
      <c r="E305" s="19" t="s">
        <v>41</v>
      </c>
      <c r="F305" s="20">
        <v>2.9990000000000001</v>
      </c>
      <c r="G305" s="19">
        <v>375</v>
      </c>
      <c r="H305" s="20">
        <v>110</v>
      </c>
      <c r="I305" s="19" t="s">
        <v>70</v>
      </c>
      <c r="J305" s="20">
        <v>2356</v>
      </c>
      <c r="K305" s="21">
        <v>4521</v>
      </c>
      <c r="L305" s="21">
        <v>2000</v>
      </c>
      <c r="M305" s="21" t="s">
        <v>31</v>
      </c>
      <c r="N305" s="22">
        <v>11.4</v>
      </c>
      <c r="O305" s="23">
        <f t="shared" si="8"/>
        <v>226.8614035087719</v>
      </c>
      <c r="P305" s="24">
        <v>10.35</v>
      </c>
      <c r="Q305" s="25" t="s">
        <v>43</v>
      </c>
      <c r="R305" s="26" t="s">
        <v>33</v>
      </c>
      <c r="S305" s="26" t="s">
        <v>110</v>
      </c>
      <c r="T305" s="26"/>
      <c r="U305" s="27"/>
      <c r="V305" s="28">
        <f t="shared" si="9"/>
        <v>110</v>
      </c>
    </row>
    <row r="306" spans="1:23" s="29" customFormat="1" ht="21" customHeight="1">
      <c r="A306" s="34"/>
      <c r="B306" s="36"/>
      <c r="C306" s="32"/>
      <c r="D306" s="18" t="s">
        <v>127</v>
      </c>
      <c r="E306" s="19" t="s">
        <v>41</v>
      </c>
      <c r="F306" s="20">
        <v>2.9990000000000001</v>
      </c>
      <c r="G306" s="19">
        <v>375</v>
      </c>
      <c r="H306" s="20">
        <v>110</v>
      </c>
      <c r="I306" s="19" t="s">
        <v>70</v>
      </c>
      <c r="J306" s="20">
        <v>2356</v>
      </c>
      <c r="K306" s="21">
        <v>4521</v>
      </c>
      <c r="L306" s="21">
        <v>2000</v>
      </c>
      <c r="M306" s="21" t="s">
        <v>31</v>
      </c>
      <c r="N306" s="22">
        <v>11.4</v>
      </c>
      <c r="O306" s="23">
        <f t="shared" si="8"/>
        <v>226.8614035087719</v>
      </c>
      <c r="P306" s="24">
        <v>10.35</v>
      </c>
      <c r="Q306" s="25" t="s">
        <v>43</v>
      </c>
      <c r="R306" s="26" t="s">
        <v>33</v>
      </c>
      <c r="S306" s="26" t="s">
        <v>110</v>
      </c>
      <c r="T306" s="26"/>
      <c r="U306" s="27"/>
      <c r="V306" s="28">
        <f t="shared" si="9"/>
        <v>110</v>
      </c>
    </row>
    <row r="307" spans="1:23" s="29" customFormat="1" ht="21" customHeight="1">
      <c r="A307" s="34"/>
      <c r="B307" s="36"/>
      <c r="C307" s="32"/>
      <c r="D307" s="18" t="s">
        <v>128</v>
      </c>
      <c r="E307" s="19" t="s">
        <v>41</v>
      </c>
      <c r="F307" s="20">
        <v>2.9990000000000001</v>
      </c>
      <c r="G307" s="19">
        <v>375</v>
      </c>
      <c r="H307" s="20">
        <v>110</v>
      </c>
      <c r="I307" s="19" t="s">
        <v>70</v>
      </c>
      <c r="J307" s="20">
        <v>2356</v>
      </c>
      <c r="K307" s="21">
        <v>4521</v>
      </c>
      <c r="L307" s="21">
        <v>2000</v>
      </c>
      <c r="M307" s="21" t="s">
        <v>31</v>
      </c>
      <c r="N307" s="22">
        <v>11</v>
      </c>
      <c r="O307" s="23">
        <f t="shared" si="8"/>
        <v>235.1109090909091</v>
      </c>
      <c r="P307" s="24">
        <v>10.35</v>
      </c>
      <c r="Q307" s="25" t="s">
        <v>63</v>
      </c>
      <c r="R307" s="26" t="s">
        <v>33</v>
      </c>
      <c r="S307" s="26" t="s">
        <v>66</v>
      </c>
      <c r="T307" s="26"/>
      <c r="U307" s="27"/>
      <c r="V307" s="28">
        <f t="shared" si="9"/>
        <v>106</v>
      </c>
      <c r="W307" s="40"/>
    </row>
    <row r="308" spans="1:23" s="29" customFormat="1" ht="21" customHeight="1">
      <c r="A308" s="34"/>
      <c r="B308" s="36"/>
      <c r="C308" s="32"/>
      <c r="D308" s="18" t="s">
        <v>129</v>
      </c>
      <c r="E308" s="19" t="s">
        <v>41</v>
      </c>
      <c r="F308" s="20">
        <v>2.9990000000000001</v>
      </c>
      <c r="G308" s="19">
        <v>375</v>
      </c>
      <c r="H308" s="20">
        <v>110</v>
      </c>
      <c r="I308" s="19" t="s">
        <v>70</v>
      </c>
      <c r="J308" s="20">
        <v>2356</v>
      </c>
      <c r="K308" s="21">
        <v>4521</v>
      </c>
      <c r="L308" s="21">
        <v>2000</v>
      </c>
      <c r="M308" s="21" t="s">
        <v>31</v>
      </c>
      <c r="N308" s="22">
        <v>11</v>
      </c>
      <c r="O308" s="23">
        <f t="shared" si="8"/>
        <v>235.1109090909091</v>
      </c>
      <c r="P308" s="24">
        <v>10.35</v>
      </c>
      <c r="Q308" s="25" t="s">
        <v>63</v>
      </c>
      <c r="R308" s="26" t="s">
        <v>33</v>
      </c>
      <c r="S308" s="26" t="s">
        <v>66</v>
      </c>
      <c r="T308" s="26"/>
      <c r="U308" s="27"/>
      <c r="V308" s="28">
        <f t="shared" si="9"/>
        <v>106</v>
      </c>
      <c r="W308" s="40"/>
    </row>
    <row r="309" spans="1:23" s="29" customFormat="1" ht="21" customHeight="1">
      <c r="A309" s="34"/>
      <c r="B309" s="36"/>
      <c r="C309" s="32"/>
      <c r="D309" s="18" t="s">
        <v>130</v>
      </c>
      <c r="E309" s="19" t="s">
        <v>41</v>
      </c>
      <c r="F309" s="20">
        <v>2.9990000000000001</v>
      </c>
      <c r="G309" s="19">
        <v>375</v>
      </c>
      <c r="H309" s="20">
        <v>110</v>
      </c>
      <c r="I309" s="19" t="s">
        <v>70</v>
      </c>
      <c r="J309" s="20">
        <v>2356</v>
      </c>
      <c r="K309" s="21">
        <v>4521</v>
      </c>
      <c r="L309" s="21">
        <v>2000</v>
      </c>
      <c r="M309" s="21" t="s">
        <v>31</v>
      </c>
      <c r="N309" s="22">
        <v>11</v>
      </c>
      <c r="O309" s="23">
        <f t="shared" si="8"/>
        <v>235.1109090909091</v>
      </c>
      <c r="P309" s="24">
        <v>10.35</v>
      </c>
      <c r="Q309" s="25" t="s">
        <v>63</v>
      </c>
      <c r="R309" s="26" t="s">
        <v>33</v>
      </c>
      <c r="S309" s="26" t="s">
        <v>66</v>
      </c>
      <c r="T309" s="26"/>
      <c r="U309" s="27"/>
      <c r="V309" s="28">
        <f t="shared" si="9"/>
        <v>106</v>
      </c>
      <c r="W309" s="40"/>
    </row>
    <row r="310" spans="1:23" s="29" customFormat="1" ht="21" customHeight="1">
      <c r="A310" s="34"/>
      <c r="B310" s="36"/>
      <c r="C310" s="32"/>
      <c r="D310" s="18" t="s">
        <v>130</v>
      </c>
      <c r="E310" s="19" t="s">
        <v>41</v>
      </c>
      <c r="F310" s="20">
        <v>2.9990000000000001</v>
      </c>
      <c r="G310" s="19">
        <v>375</v>
      </c>
      <c r="H310" s="20">
        <v>110</v>
      </c>
      <c r="I310" s="19" t="s">
        <v>70</v>
      </c>
      <c r="J310" s="20">
        <v>2652</v>
      </c>
      <c r="K310" s="21">
        <v>5812</v>
      </c>
      <c r="L310" s="21">
        <v>2995</v>
      </c>
      <c r="M310" s="21" t="s">
        <v>31</v>
      </c>
      <c r="N310" s="22">
        <v>10.4</v>
      </c>
      <c r="O310" s="23">
        <f t="shared" si="8"/>
        <v>248.67499999999998</v>
      </c>
      <c r="P310" s="24">
        <v>9.51</v>
      </c>
      <c r="Q310" s="25" t="s">
        <v>43</v>
      </c>
      <c r="R310" s="26" t="s">
        <v>33</v>
      </c>
      <c r="S310" s="26" t="s">
        <v>66</v>
      </c>
      <c r="T310" s="26"/>
      <c r="U310" s="27"/>
      <c r="V310" s="28">
        <f t="shared" si="9"/>
        <v>109</v>
      </c>
      <c r="W310" s="40"/>
    </row>
    <row r="311" spans="1:23" s="29" customFormat="1" ht="21" customHeight="1">
      <c r="A311" s="34"/>
      <c r="B311" s="36"/>
      <c r="C311" s="32"/>
      <c r="D311" s="18" t="s">
        <v>130</v>
      </c>
      <c r="E311" s="19" t="s">
        <v>41</v>
      </c>
      <c r="F311" s="20">
        <v>2.9990000000000001</v>
      </c>
      <c r="G311" s="19">
        <v>375</v>
      </c>
      <c r="H311" s="20">
        <v>110</v>
      </c>
      <c r="I311" s="19" t="s">
        <v>70</v>
      </c>
      <c r="J311" s="20">
        <v>2652</v>
      </c>
      <c r="K311" s="21">
        <v>5812</v>
      </c>
      <c r="L311" s="21">
        <v>2995</v>
      </c>
      <c r="M311" s="21" t="s">
        <v>31</v>
      </c>
      <c r="N311" s="22">
        <v>10.199999999999999</v>
      </c>
      <c r="O311" s="23">
        <f t="shared" si="8"/>
        <v>253.55098039215687</v>
      </c>
      <c r="P311" s="24">
        <v>9.51</v>
      </c>
      <c r="Q311" s="25" t="s">
        <v>63</v>
      </c>
      <c r="R311" s="26" t="s">
        <v>33</v>
      </c>
      <c r="S311" s="26" t="s">
        <v>66</v>
      </c>
      <c r="T311" s="26"/>
      <c r="U311" s="27"/>
      <c r="V311" s="28">
        <f t="shared" si="9"/>
        <v>107</v>
      </c>
      <c r="W311" s="40"/>
    </row>
    <row r="312" spans="1:23" s="29" customFormat="1" ht="21" customHeight="1">
      <c r="A312" s="34"/>
      <c r="B312" s="36"/>
      <c r="C312" s="32"/>
      <c r="D312" s="18" t="s">
        <v>131</v>
      </c>
      <c r="E312" s="19" t="s">
        <v>41</v>
      </c>
      <c r="F312" s="20">
        <v>2.9990000000000001</v>
      </c>
      <c r="G312" s="19">
        <v>375</v>
      </c>
      <c r="H312" s="20">
        <v>110</v>
      </c>
      <c r="I312" s="19" t="s">
        <v>70</v>
      </c>
      <c r="J312" s="20">
        <v>2356</v>
      </c>
      <c r="K312" s="21">
        <v>4521</v>
      </c>
      <c r="L312" s="21">
        <v>2000</v>
      </c>
      <c r="M312" s="21" t="s">
        <v>31</v>
      </c>
      <c r="N312" s="22">
        <v>11</v>
      </c>
      <c r="O312" s="23">
        <f t="shared" si="8"/>
        <v>235.1109090909091</v>
      </c>
      <c r="P312" s="24">
        <v>10.35</v>
      </c>
      <c r="Q312" s="25" t="s">
        <v>63</v>
      </c>
      <c r="R312" s="26" t="s">
        <v>33</v>
      </c>
      <c r="S312" s="26" t="s">
        <v>66</v>
      </c>
      <c r="T312" s="26"/>
      <c r="U312" s="27"/>
      <c r="V312" s="28">
        <f t="shared" si="9"/>
        <v>106</v>
      </c>
      <c r="W312" s="40"/>
    </row>
    <row r="313" spans="1:23" s="29" customFormat="1" ht="21" customHeight="1">
      <c r="A313" s="34"/>
      <c r="B313" s="36"/>
      <c r="C313" s="32"/>
      <c r="D313" s="18" t="s">
        <v>131</v>
      </c>
      <c r="E313" s="19" t="s">
        <v>41</v>
      </c>
      <c r="F313" s="20">
        <v>2.9990000000000001</v>
      </c>
      <c r="G313" s="19">
        <v>375</v>
      </c>
      <c r="H313" s="20">
        <v>110</v>
      </c>
      <c r="I313" s="19" t="s">
        <v>70</v>
      </c>
      <c r="J313" s="20">
        <v>2652</v>
      </c>
      <c r="K313" s="21">
        <v>5812</v>
      </c>
      <c r="L313" s="21">
        <v>2995</v>
      </c>
      <c r="M313" s="21" t="s">
        <v>31</v>
      </c>
      <c r="N313" s="22">
        <v>10.4</v>
      </c>
      <c r="O313" s="23">
        <f t="shared" si="8"/>
        <v>248.67499999999998</v>
      </c>
      <c r="P313" s="24">
        <v>9.51</v>
      </c>
      <c r="Q313" s="25" t="s">
        <v>62</v>
      </c>
      <c r="R313" s="26" t="s">
        <v>33</v>
      </c>
      <c r="S313" s="26" t="s">
        <v>66</v>
      </c>
      <c r="T313" s="26"/>
      <c r="U313" s="27"/>
      <c r="V313" s="28">
        <f t="shared" si="9"/>
        <v>109</v>
      </c>
      <c r="W313" s="40"/>
    </row>
    <row r="314" spans="1:23" s="29" customFormat="1" ht="21" customHeight="1">
      <c r="A314" s="34"/>
      <c r="B314" s="36"/>
      <c r="C314" s="32"/>
      <c r="D314" s="18" t="s">
        <v>131</v>
      </c>
      <c r="E314" s="19" t="s">
        <v>41</v>
      </c>
      <c r="F314" s="20">
        <v>2.9990000000000001</v>
      </c>
      <c r="G314" s="19">
        <v>375</v>
      </c>
      <c r="H314" s="20">
        <v>110</v>
      </c>
      <c r="I314" s="19" t="s">
        <v>70</v>
      </c>
      <c r="J314" s="20">
        <v>2652</v>
      </c>
      <c r="K314" s="21">
        <v>5812</v>
      </c>
      <c r="L314" s="21">
        <v>2995</v>
      </c>
      <c r="M314" s="21" t="s">
        <v>31</v>
      </c>
      <c r="N314" s="22">
        <v>10.199999999999999</v>
      </c>
      <c r="O314" s="23">
        <f t="shared" si="8"/>
        <v>253.55098039215687</v>
      </c>
      <c r="P314" s="24">
        <v>9.51</v>
      </c>
      <c r="Q314" s="25" t="s">
        <v>63</v>
      </c>
      <c r="R314" s="26" t="s">
        <v>33</v>
      </c>
      <c r="S314" s="26" t="s">
        <v>66</v>
      </c>
      <c r="T314" s="26"/>
      <c r="U314" s="27"/>
      <c r="V314" s="28">
        <f t="shared" si="9"/>
        <v>107</v>
      </c>
      <c r="W314" s="40"/>
    </row>
    <row r="315" spans="1:23" s="29" customFormat="1" ht="21" customHeight="1">
      <c r="A315" s="34"/>
      <c r="B315" s="36"/>
      <c r="C315" s="32"/>
      <c r="D315" s="18" t="s">
        <v>132</v>
      </c>
      <c r="E315" s="19" t="s">
        <v>41</v>
      </c>
      <c r="F315" s="20">
        <v>2.9990000000000001</v>
      </c>
      <c r="G315" s="19">
        <v>375</v>
      </c>
      <c r="H315" s="20">
        <v>110</v>
      </c>
      <c r="I315" s="19" t="s">
        <v>70</v>
      </c>
      <c r="J315" s="20">
        <v>2356</v>
      </c>
      <c r="K315" s="21">
        <v>4521</v>
      </c>
      <c r="L315" s="21">
        <v>2000</v>
      </c>
      <c r="M315" s="21" t="s">
        <v>31</v>
      </c>
      <c r="N315" s="22">
        <v>11</v>
      </c>
      <c r="O315" s="23">
        <f t="shared" si="8"/>
        <v>235.1109090909091</v>
      </c>
      <c r="P315" s="24">
        <v>10.35</v>
      </c>
      <c r="Q315" s="25" t="s">
        <v>63</v>
      </c>
      <c r="R315" s="26" t="s">
        <v>33</v>
      </c>
      <c r="S315" s="26" t="s">
        <v>66</v>
      </c>
      <c r="T315" s="26"/>
      <c r="U315" s="27"/>
      <c r="V315" s="28">
        <f t="shared" si="9"/>
        <v>106</v>
      </c>
      <c r="W315" s="40"/>
    </row>
    <row r="316" spans="1:23" s="29" customFormat="1" ht="21" customHeight="1">
      <c r="A316" s="34"/>
      <c r="B316" s="36"/>
      <c r="C316" s="32"/>
      <c r="D316" s="18" t="s">
        <v>133</v>
      </c>
      <c r="E316" s="19" t="s">
        <v>41</v>
      </c>
      <c r="F316" s="20">
        <v>2.9990000000000001</v>
      </c>
      <c r="G316" s="19">
        <v>375</v>
      </c>
      <c r="H316" s="20">
        <v>110</v>
      </c>
      <c r="I316" s="19" t="s">
        <v>70</v>
      </c>
      <c r="J316" s="20">
        <v>2356</v>
      </c>
      <c r="K316" s="21">
        <v>4521</v>
      </c>
      <c r="L316" s="21">
        <v>2000</v>
      </c>
      <c r="M316" s="21" t="s">
        <v>31</v>
      </c>
      <c r="N316" s="22">
        <v>11</v>
      </c>
      <c r="O316" s="23">
        <f t="shared" si="8"/>
        <v>235.1109090909091</v>
      </c>
      <c r="P316" s="24">
        <v>10.35</v>
      </c>
      <c r="Q316" s="25" t="s">
        <v>63</v>
      </c>
      <c r="R316" s="26" t="s">
        <v>33</v>
      </c>
      <c r="S316" s="26" t="s">
        <v>110</v>
      </c>
      <c r="T316" s="26"/>
      <c r="U316" s="27"/>
      <c r="V316" s="28">
        <f t="shared" si="9"/>
        <v>106</v>
      </c>
      <c r="W316" s="40"/>
    </row>
    <row r="317" spans="1:23" s="29" customFormat="1" ht="21" customHeight="1">
      <c r="A317" s="34"/>
      <c r="B317" s="31"/>
      <c r="C317" s="32"/>
      <c r="D317" s="18" t="s">
        <v>133</v>
      </c>
      <c r="E317" s="19" t="s">
        <v>41</v>
      </c>
      <c r="F317" s="20">
        <v>2.9990000000000001</v>
      </c>
      <c r="G317" s="19">
        <v>375</v>
      </c>
      <c r="H317" s="20">
        <v>110</v>
      </c>
      <c r="I317" s="19" t="s">
        <v>70</v>
      </c>
      <c r="J317" s="20">
        <v>2652</v>
      </c>
      <c r="K317" s="21">
        <v>5812</v>
      </c>
      <c r="L317" s="21">
        <v>2995</v>
      </c>
      <c r="M317" s="21" t="s">
        <v>31</v>
      </c>
      <c r="N317" s="22">
        <v>10.4</v>
      </c>
      <c r="O317" s="23">
        <f t="shared" si="8"/>
        <v>248.67499999999998</v>
      </c>
      <c r="P317" s="24">
        <v>9.51</v>
      </c>
      <c r="Q317" s="25" t="s">
        <v>43</v>
      </c>
      <c r="R317" s="26" t="s">
        <v>33</v>
      </c>
      <c r="S317" s="26" t="s">
        <v>110</v>
      </c>
      <c r="T317" s="26"/>
      <c r="U317" s="27"/>
      <c r="V317" s="28">
        <f t="shared" si="9"/>
        <v>109</v>
      </c>
      <c r="W317" s="40"/>
    </row>
    <row r="318" spans="1:23" s="29" customFormat="1" ht="21" customHeight="1">
      <c r="A318" s="34"/>
      <c r="B318" s="36"/>
      <c r="C318" s="32"/>
      <c r="D318" s="18" t="s">
        <v>133</v>
      </c>
      <c r="E318" s="19" t="s">
        <v>41</v>
      </c>
      <c r="F318" s="20">
        <v>2.9990000000000001</v>
      </c>
      <c r="G318" s="19">
        <v>375</v>
      </c>
      <c r="H318" s="20">
        <v>110</v>
      </c>
      <c r="I318" s="19" t="s">
        <v>70</v>
      </c>
      <c r="J318" s="20">
        <v>2652</v>
      </c>
      <c r="K318" s="21">
        <v>5812</v>
      </c>
      <c r="L318" s="21">
        <v>2995</v>
      </c>
      <c r="M318" s="21" t="s">
        <v>31</v>
      </c>
      <c r="N318" s="22">
        <v>10.199999999999999</v>
      </c>
      <c r="O318" s="23">
        <f t="shared" si="8"/>
        <v>253.55098039215687</v>
      </c>
      <c r="P318" s="24">
        <v>9.51</v>
      </c>
      <c r="Q318" s="25" t="s">
        <v>63</v>
      </c>
      <c r="R318" s="26" t="s">
        <v>33</v>
      </c>
      <c r="S318" s="26" t="s">
        <v>110</v>
      </c>
      <c r="T318" s="26"/>
      <c r="U318" s="27"/>
      <c r="V318" s="28">
        <f t="shared" si="9"/>
        <v>107</v>
      </c>
      <c r="W318" s="40"/>
    </row>
    <row r="319" spans="1:23" s="29" customFormat="1" ht="21" customHeight="1">
      <c r="A319" s="34"/>
      <c r="B319" s="36"/>
      <c r="C319" s="32"/>
      <c r="D319" s="18" t="s">
        <v>134</v>
      </c>
      <c r="E319" s="19" t="s">
        <v>41</v>
      </c>
      <c r="F319" s="20">
        <v>2.9990000000000001</v>
      </c>
      <c r="G319" s="19">
        <v>375</v>
      </c>
      <c r="H319" s="20">
        <v>110</v>
      </c>
      <c r="I319" s="19" t="s">
        <v>70</v>
      </c>
      <c r="J319" s="20">
        <v>2356</v>
      </c>
      <c r="K319" s="21">
        <v>4521</v>
      </c>
      <c r="L319" s="21">
        <v>2000</v>
      </c>
      <c r="M319" s="21" t="s">
        <v>31</v>
      </c>
      <c r="N319" s="22">
        <v>11</v>
      </c>
      <c r="O319" s="23">
        <f t="shared" si="8"/>
        <v>235.1109090909091</v>
      </c>
      <c r="P319" s="24">
        <v>10.35</v>
      </c>
      <c r="Q319" s="25" t="s">
        <v>63</v>
      </c>
      <c r="R319" s="26" t="s">
        <v>33</v>
      </c>
      <c r="S319" s="26" t="s">
        <v>110</v>
      </c>
      <c r="T319" s="26"/>
      <c r="U319" s="27"/>
      <c r="V319" s="28">
        <f t="shared" si="9"/>
        <v>106</v>
      </c>
    </row>
    <row r="320" spans="1:23" s="29" customFormat="1" ht="21" customHeight="1">
      <c r="A320" s="34"/>
      <c r="B320" s="36"/>
      <c r="C320" s="32"/>
      <c r="D320" s="18" t="s">
        <v>134</v>
      </c>
      <c r="E320" s="19" t="s">
        <v>41</v>
      </c>
      <c r="F320" s="20">
        <v>2.9990000000000001</v>
      </c>
      <c r="G320" s="19">
        <v>375</v>
      </c>
      <c r="H320" s="20">
        <v>110</v>
      </c>
      <c r="I320" s="19" t="s">
        <v>70</v>
      </c>
      <c r="J320" s="20">
        <v>2652</v>
      </c>
      <c r="K320" s="21">
        <v>5812</v>
      </c>
      <c r="L320" s="21">
        <v>2995</v>
      </c>
      <c r="M320" s="21" t="s">
        <v>31</v>
      </c>
      <c r="N320" s="22">
        <v>10.4</v>
      </c>
      <c r="O320" s="23">
        <f t="shared" si="8"/>
        <v>248.67499999999998</v>
      </c>
      <c r="P320" s="24">
        <v>9.51</v>
      </c>
      <c r="Q320" s="25" t="s">
        <v>43</v>
      </c>
      <c r="R320" s="26" t="s">
        <v>33</v>
      </c>
      <c r="S320" s="26" t="s">
        <v>110</v>
      </c>
      <c r="T320" s="26"/>
      <c r="U320" s="27"/>
      <c r="V320" s="28">
        <f t="shared" si="9"/>
        <v>109</v>
      </c>
    </row>
    <row r="321" spans="1:22" s="29" customFormat="1" ht="21" customHeight="1">
      <c r="A321" s="34"/>
      <c r="B321" s="36"/>
      <c r="C321" s="32"/>
      <c r="D321" s="18" t="s">
        <v>134</v>
      </c>
      <c r="E321" s="19" t="s">
        <v>41</v>
      </c>
      <c r="F321" s="20">
        <v>2.9990000000000001</v>
      </c>
      <c r="G321" s="19">
        <v>375</v>
      </c>
      <c r="H321" s="20">
        <v>110</v>
      </c>
      <c r="I321" s="19" t="s">
        <v>70</v>
      </c>
      <c r="J321" s="20">
        <v>2652</v>
      </c>
      <c r="K321" s="21">
        <v>5812</v>
      </c>
      <c r="L321" s="21">
        <v>2995</v>
      </c>
      <c r="M321" s="21" t="s">
        <v>31</v>
      </c>
      <c r="N321" s="22">
        <v>10.199999999999999</v>
      </c>
      <c r="O321" s="23">
        <f t="shared" si="8"/>
        <v>253.55098039215687</v>
      </c>
      <c r="P321" s="24">
        <v>9.51</v>
      </c>
      <c r="Q321" s="25" t="s">
        <v>63</v>
      </c>
      <c r="R321" s="26" t="s">
        <v>33</v>
      </c>
      <c r="S321" s="26" t="s">
        <v>110</v>
      </c>
      <c r="T321" s="26"/>
      <c r="U321" s="27"/>
      <c r="V321" s="28">
        <f t="shared" si="9"/>
        <v>107</v>
      </c>
    </row>
    <row r="322" spans="1:22" s="29" customFormat="1" ht="21" customHeight="1">
      <c r="A322" s="34"/>
      <c r="B322" s="31"/>
      <c r="C322" s="32"/>
      <c r="D322" s="18" t="s">
        <v>135</v>
      </c>
      <c r="E322" s="19" t="s">
        <v>41</v>
      </c>
      <c r="F322" s="20">
        <v>2.9990000000000001</v>
      </c>
      <c r="G322" s="19">
        <v>375</v>
      </c>
      <c r="H322" s="20">
        <v>110</v>
      </c>
      <c r="I322" s="19" t="s">
        <v>42</v>
      </c>
      <c r="J322" s="20">
        <v>2652</v>
      </c>
      <c r="K322" s="21">
        <v>5812</v>
      </c>
      <c r="L322" s="21">
        <v>2995</v>
      </c>
      <c r="M322" s="21" t="s">
        <v>31</v>
      </c>
      <c r="N322" s="22">
        <v>11</v>
      </c>
      <c r="O322" s="23">
        <f t="shared" si="8"/>
        <v>235.1109090909091</v>
      </c>
      <c r="P322" s="24">
        <v>9.51</v>
      </c>
      <c r="Q322" s="25" t="s">
        <v>43</v>
      </c>
      <c r="R322" s="26" t="s">
        <v>33</v>
      </c>
      <c r="S322" s="26" t="s">
        <v>34</v>
      </c>
      <c r="T322" s="26"/>
      <c r="U322" s="27"/>
      <c r="V322" s="28">
        <f t="shared" si="9"/>
        <v>115</v>
      </c>
    </row>
    <row r="323" spans="1:22" s="29" customFormat="1" ht="21" customHeight="1">
      <c r="A323" s="34"/>
      <c r="B323" s="31"/>
      <c r="C323" s="32"/>
      <c r="D323" s="18" t="s">
        <v>136</v>
      </c>
      <c r="E323" s="19" t="s">
        <v>41</v>
      </c>
      <c r="F323" s="20">
        <v>2.9990000000000001</v>
      </c>
      <c r="G323" s="19">
        <v>430</v>
      </c>
      <c r="H323" s="20">
        <v>129</v>
      </c>
      <c r="I323" s="19" t="s">
        <v>71</v>
      </c>
      <c r="J323" s="20">
        <v>2652</v>
      </c>
      <c r="K323" s="21">
        <v>5812</v>
      </c>
      <c r="L323" s="21">
        <v>2995</v>
      </c>
      <c r="M323" s="21" t="s">
        <v>31</v>
      </c>
      <c r="N323" s="22">
        <v>10.4</v>
      </c>
      <c r="O323" s="23">
        <f t="shared" si="8"/>
        <v>248.67499999999998</v>
      </c>
      <c r="P323" s="24">
        <v>9.51</v>
      </c>
      <c r="Q323" s="25" t="s">
        <v>63</v>
      </c>
      <c r="R323" s="26" t="s">
        <v>33</v>
      </c>
      <c r="S323" s="26" t="s">
        <v>34</v>
      </c>
      <c r="T323" s="26"/>
      <c r="U323" s="27"/>
      <c r="V323" s="28">
        <f t="shared" si="9"/>
        <v>109</v>
      </c>
    </row>
    <row r="324" spans="1:22" s="29" customFormat="1" ht="21" customHeight="1">
      <c r="A324" s="34"/>
      <c r="B324" s="31"/>
      <c r="C324" s="32"/>
      <c r="D324" s="18" t="s">
        <v>136</v>
      </c>
      <c r="E324" s="19" t="s">
        <v>41</v>
      </c>
      <c r="F324" s="20">
        <v>2.9990000000000001</v>
      </c>
      <c r="G324" s="19">
        <v>375</v>
      </c>
      <c r="H324" s="20">
        <v>110</v>
      </c>
      <c r="I324" s="19" t="s">
        <v>71</v>
      </c>
      <c r="J324" s="20">
        <v>2979</v>
      </c>
      <c r="K324" s="21">
        <v>6893</v>
      </c>
      <c r="L324" s="20">
        <v>3749</v>
      </c>
      <c r="M324" s="21" t="s">
        <v>31</v>
      </c>
      <c r="N324" s="22">
        <v>8.8000000000000007</v>
      </c>
      <c r="O324" s="23">
        <f t="shared" si="8"/>
        <v>293.88863636363635</v>
      </c>
      <c r="P324" s="24">
        <v>8.1199999999999992</v>
      </c>
      <c r="Q324" s="25" t="s">
        <v>63</v>
      </c>
      <c r="R324" s="26" t="s">
        <v>33</v>
      </c>
      <c r="S324" s="26" t="s">
        <v>34</v>
      </c>
      <c r="T324" s="26"/>
      <c r="U324" s="27"/>
      <c r="V324" s="28">
        <f t="shared" si="9"/>
        <v>108</v>
      </c>
    </row>
    <row r="325" spans="1:22" s="29" customFormat="1" ht="21" customHeight="1">
      <c r="A325" s="34"/>
      <c r="B325" s="31"/>
      <c r="C325" s="32"/>
      <c r="D325" s="18" t="s">
        <v>136</v>
      </c>
      <c r="E325" s="19" t="s">
        <v>41</v>
      </c>
      <c r="F325" s="20">
        <v>2.9990000000000001</v>
      </c>
      <c r="G325" s="19">
        <v>430</v>
      </c>
      <c r="H325" s="20">
        <v>129</v>
      </c>
      <c r="I325" s="19" t="s">
        <v>71</v>
      </c>
      <c r="J325" s="20">
        <v>2979</v>
      </c>
      <c r="K325" s="21">
        <v>6893</v>
      </c>
      <c r="L325" s="21">
        <v>3749</v>
      </c>
      <c r="M325" s="21" t="s">
        <v>31</v>
      </c>
      <c r="N325" s="22">
        <v>8.8000000000000007</v>
      </c>
      <c r="O325" s="23">
        <f t="shared" si="8"/>
        <v>293.88863636363635</v>
      </c>
      <c r="P325" s="24">
        <v>8.1199999999999992</v>
      </c>
      <c r="Q325" s="25" t="s">
        <v>63</v>
      </c>
      <c r="R325" s="26" t="s">
        <v>33</v>
      </c>
      <c r="S325" s="26" t="s">
        <v>34</v>
      </c>
      <c r="T325" s="26"/>
      <c r="U325" s="27"/>
      <c r="V325" s="28">
        <f t="shared" si="9"/>
        <v>108</v>
      </c>
    </row>
    <row r="326" spans="1:22" s="29" customFormat="1" ht="21" customHeight="1">
      <c r="A326" s="34"/>
      <c r="B326" s="31"/>
      <c r="C326" s="32"/>
      <c r="D326" s="18" t="s">
        <v>137</v>
      </c>
      <c r="E326" s="19" t="s">
        <v>41</v>
      </c>
      <c r="F326" s="20">
        <v>2.9990000000000001</v>
      </c>
      <c r="G326" s="19">
        <v>430</v>
      </c>
      <c r="H326" s="20">
        <v>129</v>
      </c>
      <c r="I326" s="19" t="s">
        <v>71</v>
      </c>
      <c r="J326" s="20">
        <v>2652</v>
      </c>
      <c r="K326" s="21">
        <v>5812</v>
      </c>
      <c r="L326" s="21">
        <v>2995</v>
      </c>
      <c r="M326" s="21" t="s">
        <v>31</v>
      </c>
      <c r="N326" s="22">
        <v>10.4</v>
      </c>
      <c r="O326" s="23">
        <f t="shared" si="8"/>
        <v>248.67499999999998</v>
      </c>
      <c r="P326" s="24">
        <v>9.51</v>
      </c>
      <c r="Q326" s="25" t="s">
        <v>63</v>
      </c>
      <c r="R326" s="26" t="s">
        <v>33</v>
      </c>
      <c r="S326" s="26" t="s">
        <v>34</v>
      </c>
      <c r="T326" s="26"/>
      <c r="U326" s="27"/>
      <c r="V326" s="28">
        <f t="shared" si="9"/>
        <v>109</v>
      </c>
    </row>
    <row r="327" spans="1:22" s="29" customFormat="1" ht="21" customHeight="1">
      <c r="A327" s="34"/>
      <c r="B327" s="31"/>
      <c r="C327" s="32"/>
      <c r="D327" s="18" t="s">
        <v>137</v>
      </c>
      <c r="E327" s="19" t="s">
        <v>41</v>
      </c>
      <c r="F327" s="20">
        <v>2.9990000000000001</v>
      </c>
      <c r="G327" s="19">
        <v>375</v>
      </c>
      <c r="H327" s="20">
        <v>110</v>
      </c>
      <c r="I327" s="19" t="s">
        <v>71</v>
      </c>
      <c r="J327" s="20">
        <v>2979</v>
      </c>
      <c r="K327" s="21">
        <v>6893</v>
      </c>
      <c r="L327" s="21">
        <v>3749</v>
      </c>
      <c r="M327" s="21" t="s">
        <v>31</v>
      </c>
      <c r="N327" s="22">
        <v>8.8000000000000007</v>
      </c>
      <c r="O327" s="23">
        <f t="shared" si="8"/>
        <v>293.88863636363635</v>
      </c>
      <c r="P327" s="24">
        <v>8.1199999999999992</v>
      </c>
      <c r="Q327" s="25" t="s">
        <v>63</v>
      </c>
      <c r="R327" s="26" t="s">
        <v>33</v>
      </c>
      <c r="S327" s="26" t="s">
        <v>34</v>
      </c>
      <c r="T327" s="26"/>
      <c r="U327" s="27"/>
      <c r="V327" s="28">
        <f t="shared" si="9"/>
        <v>108</v>
      </c>
    </row>
    <row r="328" spans="1:22" s="29" customFormat="1" ht="21" customHeight="1">
      <c r="A328" s="34"/>
      <c r="B328" s="31"/>
      <c r="C328" s="32"/>
      <c r="D328" s="18" t="s">
        <v>137</v>
      </c>
      <c r="E328" s="19" t="s">
        <v>41</v>
      </c>
      <c r="F328" s="20">
        <v>2.9990000000000001</v>
      </c>
      <c r="G328" s="19">
        <v>430</v>
      </c>
      <c r="H328" s="20">
        <v>129</v>
      </c>
      <c r="I328" s="19" t="s">
        <v>71</v>
      </c>
      <c r="J328" s="20">
        <v>2979</v>
      </c>
      <c r="K328" s="21">
        <v>6893</v>
      </c>
      <c r="L328" s="21">
        <v>3749</v>
      </c>
      <c r="M328" s="21" t="s">
        <v>31</v>
      </c>
      <c r="N328" s="22">
        <v>8.8000000000000007</v>
      </c>
      <c r="O328" s="23">
        <f t="shared" si="8"/>
        <v>293.88863636363635</v>
      </c>
      <c r="P328" s="24">
        <v>8.1199999999999992</v>
      </c>
      <c r="Q328" s="25" t="s">
        <v>63</v>
      </c>
      <c r="R328" s="26" t="s">
        <v>33</v>
      </c>
      <c r="S328" s="26" t="s">
        <v>34</v>
      </c>
      <c r="T328" s="26"/>
      <c r="U328" s="27"/>
      <c r="V328" s="28">
        <f t="shared" si="9"/>
        <v>108</v>
      </c>
    </row>
    <row r="329" spans="1:22" s="29" customFormat="1" ht="21" customHeight="1">
      <c r="A329" s="34"/>
      <c r="B329" s="31"/>
      <c r="C329" s="32"/>
      <c r="D329" s="18" t="s">
        <v>138</v>
      </c>
      <c r="E329" s="19" t="s">
        <v>41</v>
      </c>
      <c r="F329" s="20">
        <v>2.9990000000000001</v>
      </c>
      <c r="G329" s="19">
        <v>375</v>
      </c>
      <c r="H329" s="20">
        <v>110</v>
      </c>
      <c r="I329" s="19" t="s">
        <v>42</v>
      </c>
      <c r="J329" s="20">
        <v>2979</v>
      </c>
      <c r="K329" s="21">
        <v>6893</v>
      </c>
      <c r="L329" s="21">
        <v>3749</v>
      </c>
      <c r="M329" s="21" t="s">
        <v>31</v>
      </c>
      <c r="N329" s="22">
        <v>9.1999999999999993</v>
      </c>
      <c r="O329" s="23">
        <f t="shared" ref="O329:O392" si="10">IF(N329&gt;0,1/N329*37.7*68.6,"")</f>
        <v>281.1108695652174</v>
      </c>
      <c r="P329" s="24">
        <v>8.1199999999999992</v>
      </c>
      <c r="Q329" s="25" t="s">
        <v>43</v>
      </c>
      <c r="R329" s="26" t="s">
        <v>33</v>
      </c>
      <c r="S329" s="26" t="s">
        <v>34</v>
      </c>
      <c r="T329" s="26"/>
      <c r="U329" s="27"/>
      <c r="V329" s="28">
        <f t="shared" ref="V329:V392" si="11">IFERROR(IF(N329&lt;P329,"",(ROUNDDOWN(N329/P329*100,0))),"")</f>
        <v>113</v>
      </c>
    </row>
    <row r="330" spans="1:22" s="29" customFormat="1" ht="21" customHeight="1">
      <c r="A330" s="34"/>
      <c r="B330" s="31"/>
      <c r="C330" s="32"/>
      <c r="D330" s="18" t="s">
        <v>138</v>
      </c>
      <c r="E330" s="19" t="s">
        <v>41</v>
      </c>
      <c r="F330" s="20">
        <v>2.9990000000000001</v>
      </c>
      <c r="G330" s="19">
        <v>430</v>
      </c>
      <c r="H330" s="20">
        <v>129</v>
      </c>
      <c r="I330" s="19" t="s">
        <v>42</v>
      </c>
      <c r="J330" s="20">
        <v>2979</v>
      </c>
      <c r="K330" s="21">
        <v>6893</v>
      </c>
      <c r="L330" s="21">
        <v>3749</v>
      </c>
      <c r="M330" s="21" t="s">
        <v>31</v>
      </c>
      <c r="N330" s="22">
        <v>9.1999999999999993</v>
      </c>
      <c r="O330" s="23">
        <f t="shared" si="10"/>
        <v>281.1108695652174</v>
      </c>
      <c r="P330" s="24">
        <v>8.1199999999999992</v>
      </c>
      <c r="Q330" s="25" t="s">
        <v>43</v>
      </c>
      <c r="R330" s="26" t="s">
        <v>33</v>
      </c>
      <c r="S330" s="26" t="s">
        <v>34</v>
      </c>
      <c r="T330" s="26"/>
      <c r="U330" s="27"/>
      <c r="V330" s="28">
        <f t="shared" si="11"/>
        <v>113</v>
      </c>
    </row>
    <row r="331" spans="1:22" s="29" customFormat="1" ht="21" customHeight="1">
      <c r="A331" s="34"/>
      <c r="B331" s="31"/>
      <c r="C331" s="32"/>
      <c r="D331" s="18" t="s">
        <v>138</v>
      </c>
      <c r="E331" s="19" t="s">
        <v>41</v>
      </c>
      <c r="F331" s="20">
        <v>2.9990000000000001</v>
      </c>
      <c r="G331" s="19">
        <v>375</v>
      </c>
      <c r="H331" s="20">
        <v>110</v>
      </c>
      <c r="I331" s="19" t="s">
        <v>71</v>
      </c>
      <c r="J331" s="20">
        <v>2979</v>
      </c>
      <c r="K331" s="21">
        <v>6893</v>
      </c>
      <c r="L331" s="21">
        <v>3749</v>
      </c>
      <c r="M331" s="21" t="s">
        <v>31</v>
      </c>
      <c r="N331" s="22">
        <v>9</v>
      </c>
      <c r="O331" s="23">
        <f t="shared" si="10"/>
        <v>287.35777777777776</v>
      </c>
      <c r="P331" s="24">
        <v>8.1199999999999992</v>
      </c>
      <c r="Q331" s="25" t="s">
        <v>43</v>
      </c>
      <c r="R331" s="26" t="s">
        <v>33</v>
      </c>
      <c r="S331" s="26" t="s">
        <v>34</v>
      </c>
      <c r="T331" s="26"/>
      <c r="U331" s="27"/>
      <c r="V331" s="28">
        <f t="shared" si="11"/>
        <v>110</v>
      </c>
    </row>
    <row r="332" spans="1:22" s="29" customFormat="1" ht="21" customHeight="1">
      <c r="A332" s="34"/>
      <c r="B332" s="31"/>
      <c r="C332" s="32"/>
      <c r="D332" s="18" t="s">
        <v>138</v>
      </c>
      <c r="E332" s="19" t="s">
        <v>41</v>
      </c>
      <c r="F332" s="20">
        <v>2.9990000000000001</v>
      </c>
      <c r="G332" s="19">
        <v>430</v>
      </c>
      <c r="H332" s="20">
        <v>129</v>
      </c>
      <c r="I332" s="19" t="s">
        <v>71</v>
      </c>
      <c r="J332" s="20">
        <v>2979</v>
      </c>
      <c r="K332" s="21">
        <v>6893</v>
      </c>
      <c r="L332" s="21">
        <v>3749</v>
      </c>
      <c r="M332" s="21" t="s">
        <v>31</v>
      </c>
      <c r="N332" s="22">
        <v>9</v>
      </c>
      <c r="O332" s="23">
        <f t="shared" si="10"/>
        <v>287.35777777777776</v>
      </c>
      <c r="P332" s="24">
        <v>8.1199999999999992</v>
      </c>
      <c r="Q332" s="25" t="s">
        <v>43</v>
      </c>
      <c r="R332" s="26" t="s">
        <v>33</v>
      </c>
      <c r="S332" s="26" t="s">
        <v>34</v>
      </c>
      <c r="T332" s="26"/>
      <c r="U332" s="27"/>
      <c r="V332" s="28">
        <f t="shared" si="11"/>
        <v>110</v>
      </c>
    </row>
    <row r="333" spans="1:22" s="29" customFormat="1" ht="21" customHeight="1">
      <c r="A333" s="34"/>
      <c r="B333" s="31"/>
      <c r="C333" s="32"/>
      <c r="D333" s="18" t="s">
        <v>138</v>
      </c>
      <c r="E333" s="19" t="s">
        <v>41</v>
      </c>
      <c r="F333" s="20">
        <v>2.9990000000000001</v>
      </c>
      <c r="G333" s="19">
        <v>375</v>
      </c>
      <c r="H333" s="20">
        <v>110</v>
      </c>
      <c r="I333" s="19" t="s">
        <v>42</v>
      </c>
      <c r="J333" s="20">
        <v>2979</v>
      </c>
      <c r="K333" s="21">
        <v>6893</v>
      </c>
      <c r="L333" s="21">
        <v>3749</v>
      </c>
      <c r="M333" s="21" t="s">
        <v>31</v>
      </c>
      <c r="N333" s="22">
        <v>9</v>
      </c>
      <c r="O333" s="23">
        <f t="shared" si="10"/>
        <v>287.35777777777776</v>
      </c>
      <c r="P333" s="24">
        <v>8.1199999999999992</v>
      </c>
      <c r="Q333" s="25" t="s">
        <v>63</v>
      </c>
      <c r="R333" s="26" t="s">
        <v>33</v>
      </c>
      <c r="S333" s="26" t="s">
        <v>34</v>
      </c>
      <c r="T333" s="26"/>
      <c r="U333" s="27"/>
      <c r="V333" s="28">
        <f t="shared" si="11"/>
        <v>110</v>
      </c>
    </row>
    <row r="334" spans="1:22" s="29" customFormat="1" ht="21" customHeight="1">
      <c r="A334" s="34"/>
      <c r="B334" s="31"/>
      <c r="C334" s="32"/>
      <c r="D334" s="18" t="s">
        <v>138</v>
      </c>
      <c r="E334" s="19" t="s">
        <v>41</v>
      </c>
      <c r="F334" s="20">
        <v>2.9990000000000001</v>
      </c>
      <c r="G334" s="19">
        <v>430</v>
      </c>
      <c r="H334" s="20">
        <v>129</v>
      </c>
      <c r="I334" s="19" t="s">
        <v>42</v>
      </c>
      <c r="J334" s="20">
        <v>2979</v>
      </c>
      <c r="K334" s="21">
        <v>6893</v>
      </c>
      <c r="L334" s="21">
        <v>3749</v>
      </c>
      <c r="M334" s="21" t="s">
        <v>31</v>
      </c>
      <c r="N334" s="22">
        <v>9</v>
      </c>
      <c r="O334" s="23">
        <f t="shared" si="10"/>
        <v>287.35777777777776</v>
      </c>
      <c r="P334" s="24">
        <v>8.1199999999999992</v>
      </c>
      <c r="Q334" s="25" t="s">
        <v>63</v>
      </c>
      <c r="R334" s="26" t="s">
        <v>33</v>
      </c>
      <c r="S334" s="26" t="s">
        <v>34</v>
      </c>
      <c r="T334" s="26"/>
      <c r="U334" s="27"/>
      <c r="V334" s="28">
        <f t="shared" si="11"/>
        <v>110</v>
      </c>
    </row>
    <row r="335" spans="1:22" s="29" customFormat="1" ht="21" customHeight="1">
      <c r="A335" s="33"/>
      <c r="B335" s="31"/>
      <c r="C335" s="32"/>
      <c r="D335" s="18" t="s">
        <v>139</v>
      </c>
      <c r="E335" s="19" t="s">
        <v>41</v>
      </c>
      <c r="F335" s="20">
        <v>2.9990000000000001</v>
      </c>
      <c r="G335" s="19">
        <v>375</v>
      </c>
      <c r="H335" s="20">
        <v>110</v>
      </c>
      <c r="I335" s="19" t="s">
        <v>71</v>
      </c>
      <c r="J335" s="20">
        <v>2979</v>
      </c>
      <c r="K335" s="21">
        <v>6893</v>
      </c>
      <c r="L335" s="21">
        <v>3749</v>
      </c>
      <c r="M335" s="21" t="s">
        <v>31</v>
      </c>
      <c r="N335" s="22">
        <v>9.1</v>
      </c>
      <c r="O335" s="23">
        <f t="shared" si="10"/>
        <v>284.2</v>
      </c>
      <c r="P335" s="24">
        <v>8.1199999999999992</v>
      </c>
      <c r="Q335" s="25" t="s">
        <v>43</v>
      </c>
      <c r="R335" s="26" t="s">
        <v>33</v>
      </c>
      <c r="S335" s="26" t="s">
        <v>34</v>
      </c>
      <c r="T335" s="26"/>
      <c r="U335" s="27"/>
      <c r="V335" s="28">
        <f t="shared" si="11"/>
        <v>112</v>
      </c>
    </row>
    <row r="336" spans="1:22" s="29" customFormat="1" ht="21" customHeight="1">
      <c r="A336" s="34"/>
      <c r="B336" s="31"/>
      <c r="C336" s="32"/>
      <c r="D336" s="18" t="s">
        <v>140</v>
      </c>
      <c r="E336" s="19" t="s">
        <v>41</v>
      </c>
      <c r="F336" s="20">
        <v>2.9990000000000001</v>
      </c>
      <c r="G336" s="19">
        <v>430</v>
      </c>
      <c r="H336" s="20">
        <v>129</v>
      </c>
      <c r="I336" s="19" t="s">
        <v>71</v>
      </c>
      <c r="J336" s="20">
        <v>2979</v>
      </c>
      <c r="K336" s="21">
        <v>6893</v>
      </c>
      <c r="L336" s="21">
        <v>3749</v>
      </c>
      <c r="M336" s="21" t="s">
        <v>31</v>
      </c>
      <c r="N336" s="22">
        <v>9.1</v>
      </c>
      <c r="O336" s="23">
        <f t="shared" si="10"/>
        <v>284.2</v>
      </c>
      <c r="P336" s="24">
        <v>8.1199999999999992</v>
      </c>
      <c r="Q336" s="25" t="s">
        <v>43</v>
      </c>
      <c r="R336" s="26" t="s">
        <v>33</v>
      </c>
      <c r="S336" s="26" t="s">
        <v>34</v>
      </c>
      <c r="T336" s="26"/>
      <c r="U336" s="27"/>
      <c r="V336" s="28">
        <f t="shared" si="11"/>
        <v>112</v>
      </c>
    </row>
    <row r="337" spans="1:23" s="29" customFormat="1" ht="21" customHeight="1">
      <c r="A337" s="34"/>
      <c r="B337" s="31"/>
      <c r="C337" s="32"/>
      <c r="D337" s="18" t="s">
        <v>139</v>
      </c>
      <c r="E337" s="19" t="s">
        <v>41</v>
      </c>
      <c r="F337" s="20">
        <v>2.9990000000000001</v>
      </c>
      <c r="G337" s="19">
        <v>375</v>
      </c>
      <c r="H337" s="20">
        <v>110</v>
      </c>
      <c r="I337" s="19" t="s">
        <v>71</v>
      </c>
      <c r="J337" s="20">
        <v>2979</v>
      </c>
      <c r="K337" s="21">
        <v>6893</v>
      </c>
      <c r="L337" s="21">
        <v>3749</v>
      </c>
      <c r="M337" s="21" t="s">
        <v>31</v>
      </c>
      <c r="N337" s="22">
        <v>9</v>
      </c>
      <c r="O337" s="23">
        <f t="shared" si="10"/>
        <v>287.35777777777776</v>
      </c>
      <c r="P337" s="24">
        <v>8.1199999999999992</v>
      </c>
      <c r="Q337" s="25" t="s">
        <v>43</v>
      </c>
      <c r="R337" s="26" t="s">
        <v>33</v>
      </c>
      <c r="S337" s="26" t="s">
        <v>34</v>
      </c>
      <c r="T337" s="26"/>
      <c r="U337" s="27"/>
      <c r="V337" s="28">
        <f t="shared" si="11"/>
        <v>110</v>
      </c>
    </row>
    <row r="338" spans="1:23" s="29" customFormat="1" ht="21" customHeight="1">
      <c r="A338" s="33"/>
      <c r="B338" s="31"/>
      <c r="C338" s="32"/>
      <c r="D338" s="18" t="s">
        <v>141</v>
      </c>
      <c r="E338" s="19" t="s">
        <v>41</v>
      </c>
      <c r="F338" s="20">
        <v>2.9990000000000001</v>
      </c>
      <c r="G338" s="19">
        <v>375</v>
      </c>
      <c r="H338" s="20">
        <v>110</v>
      </c>
      <c r="I338" s="19" t="s">
        <v>71</v>
      </c>
      <c r="J338" s="20">
        <v>2979</v>
      </c>
      <c r="K338" s="21">
        <v>6893</v>
      </c>
      <c r="L338" s="21">
        <v>3749</v>
      </c>
      <c r="M338" s="21" t="s">
        <v>31</v>
      </c>
      <c r="N338" s="22">
        <v>8.9</v>
      </c>
      <c r="O338" s="23">
        <f t="shared" si="10"/>
        <v>290.58651685393255</v>
      </c>
      <c r="P338" s="24">
        <v>8.1199999999999992</v>
      </c>
      <c r="Q338" s="25" t="s">
        <v>63</v>
      </c>
      <c r="R338" s="26" t="s">
        <v>33</v>
      </c>
      <c r="S338" s="26" t="s">
        <v>34</v>
      </c>
      <c r="T338" s="26"/>
      <c r="U338" s="27"/>
      <c r="V338" s="28">
        <f t="shared" si="11"/>
        <v>109</v>
      </c>
    </row>
    <row r="339" spans="1:23" s="29" customFormat="1" ht="21" customHeight="1">
      <c r="A339" s="34"/>
      <c r="B339" s="31"/>
      <c r="C339" s="32"/>
      <c r="D339" s="18" t="s">
        <v>141</v>
      </c>
      <c r="E339" s="19" t="s">
        <v>41</v>
      </c>
      <c r="F339" s="20">
        <v>2.9990000000000001</v>
      </c>
      <c r="G339" s="19">
        <v>375</v>
      </c>
      <c r="H339" s="20">
        <v>110</v>
      </c>
      <c r="I339" s="19" t="s">
        <v>71</v>
      </c>
      <c r="J339" s="20">
        <v>2979</v>
      </c>
      <c r="K339" s="21">
        <v>6893</v>
      </c>
      <c r="L339" s="21">
        <v>3749</v>
      </c>
      <c r="M339" s="21" t="s">
        <v>31</v>
      </c>
      <c r="N339" s="22">
        <v>8.8000000000000007</v>
      </c>
      <c r="O339" s="23">
        <f t="shared" si="10"/>
        <v>293.88863636363635</v>
      </c>
      <c r="P339" s="24">
        <v>8.1199999999999992</v>
      </c>
      <c r="Q339" s="25" t="s">
        <v>63</v>
      </c>
      <c r="R339" s="26" t="s">
        <v>33</v>
      </c>
      <c r="S339" s="26" t="s">
        <v>34</v>
      </c>
      <c r="T339" s="26"/>
      <c r="U339" s="27"/>
      <c r="V339" s="28">
        <f t="shared" si="11"/>
        <v>108</v>
      </c>
    </row>
    <row r="340" spans="1:23" s="29" customFormat="1" ht="21" customHeight="1">
      <c r="A340" s="33"/>
      <c r="B340" s="31"/>
      <c r="C340" s="32"/>
      <c r="D340" s="18" t="s">
        <v>142</v>
      </c>
      <c r="E340" s="19" t="s">
        <v>41</v>
      </c>
      <c r="F340" s="20">
        <v>2.9990000000000001</v>
      </c>
      <c r="G340" s="19">
        <v>375</v>
      </c>
      <c r="H340" s="20">
        <v>110</v>
      </c>
      <c r="I340" s="19" t="s">
        <v>71</v>
      </c>
      <c r="J340" s="20">
        <v>2979</v>
      </c>
      <c r="K340" s="21">
        <v>6893</v>
      </c>
      <c r="L340" s="21">
        <v>3749</v>
      </c>
      <c r="M340" s="21" t="s">
        <v>31</v>
      </c>
      <c r="N340" s="22">
        <v>8.9</v>
      </c>
      <c r="O340" s="23">
        <f t="shared" si="10"/>
        <v>290.58651685393255</v>
      </c>
      <c r="P340" s="24">
        <v>8.1199999999999992</v>
      </c>
      <c r="Q340" s="25" t="s">
        <v>63</v>
      </c>
      <c r="R340" s="26" t="s">
        <v>33</v>
      </c>
      <c r="S340" s="26" t="s">
        <v>34</v>
      </c>
      <c r="T340" s="26"/>
      <c r="U340" s="27"/>
      <c r="V340" s="28">
        <f t="shared" si="11"/>
        <v>109</v>
      </c>
    </row>
    <row r="341" spans="1:23" s="29" customFormat="1" ht="21" customHeight="1">
      <c r="A341" s="34"/>
      <c r="B341" s="31"/>
      <c r="C341" s="32"/>
      <c r="D341" s="18" t="s">
        <v>142</v>
      </c>
      <c r="E341" s="19" t="s">
        <v>41</v>
      </c>
      <c r="F341" s="20">
        <v>2.9990000000000001</v>
      </c>
      <c r="G341" s="19">
        <v>375</v>
      </c>
      <c r="H341" s="20">
        <v>110</v>
      </c>
      <c r="I341" s="19" t="s">
        <v>71</v>
      </c>
      <c r="J341" s="20">
        <v>2979</v>
      </c>
      <c r="K341" s="21">
        <v>6893</v>
      </c>
      <c r="L341" s="21">
        <v>3749</v>
      </c>
      <c r="M341" s="21" t="s">
        <v>31</v>
      </c>
      <c r="N341" s="22">
        <v>8.8000000000000007</v>
      </c>
      <c r="O341" s="23">
        <f t="shared" si="10"/>
        <v>293.88863636363635</v>
      </c>
      <c r="P341" s="24">
        <v>8.1199999999999992</v>
      </c>
      <c r="Q341" s="25" t="s">
        <v>63</v>
      </c>
      <c r="R341" s="26" t="s">
        <v>33</v>
      </c>
      <c r="S341" s="26" t="s">
        <v>34</v>
      </c>
      <c r="T341" s="26"/>
      <c r="U341" s="27"/>
      <c r="V341" s="28">
        <f t="shared" si="11"/>
        <v>108</v>
      </c>
    </row>
    <row r="342" spans="1:23" s="29" customFormat="1" ht="21" customHeight="1">
      <c r="A342" s="33"/>
      <c r="B342" s="31"/>
      <c r="C342" s="32"/>
      <c r="D342" s="18" t="s">
        <v>143</v>
      </c>
      <c r="E342" s="19" t="s">
        <v>41</v>
      </c>
      <c r="F342" s="20">
        <v>2.9990000000000001</v>
      </c>
      <c r="G342" s="19">
        <v>375</v>
      </c>
      <c r="H342" s="20">
        <v>110</v>
      </c>
      <c r="I342" s="19" t="s">
        <v>71</v>
      </c>
      <c r="J342" s="20">
        <v>2979</v>
      </c>
      <c r="K342" s="21">
        <v>6893</v>
      </c>
      <c r="L342" s="21">
        <v>3749</v>
      </c>
      <c r="M342" s="21" t="s">
        <v>31</v>
      </c>
      <c r="N342" s="22">
        <v>8.9</v>
      </c>
      <c r="O342" s="23">
        <f t="shared" si="10"/>
        <v>290.58651685393255</v>
      </c>
      <c r="P342" s="24">
        <v>8.1199999999999992</v>
      </c>
      <c r="Q342" s="25" t="s">
        <v>63</v>
      </c>
      <c r="R342" s="26" t="s">
        <v>33</v>
      </c>
      <c r="S342" s="26" t="s">
        <v>34</v>
      </c>
      <c r="T342" s="26"/>
      <c r="U342" s="27"/>
      <c r="V342" s="28">
        <f t="shared" si="11"/>
        <v>109</v>
      </c>
    </row>
    <row r="343" spans="1:23" s="29" customFormat="1" ht="21" customHeight="1">
      <c r="A343" s="34"/>
      <c r="B343" s="31"/>
      <c r="C343" s="32"/>
      <c r="D343" s="18" t="s">
        <v>143</v>
      </c>
      <c r="E343" s="19" t="s">
        <v>41</v>
      </c>
      <c r="F343" s="20">
        <v>2.9990000000000001</v>
      </c>
      <c r="G343" s="19">
        <v>375</v>
      </c>
      <c r="H343" s="20">
        <v>110</v>
      </c>
      <c r="I343" s="19" t="s">
        <v>71</v>
      </c>
      <c r="J343" s="20">
        <v>2979</v>
      </c>
      <c r="K343" s="21">
        <v>6893</v>
      </c>
      <c r="L343" s="21">
        <v>3749</v>
      </c>
      <c r="M343" s="21" t="s">
        <v>31</v>
      </c>
      <c r="N343" s="22">
        <v>8.8000000000000007</v>
      </c>
      <c r="O343" s="23">
        <f t="shared" si="10"/>
        <v>293.88863636363635</v>
      </c>
      <c r="P343" s="24">
        <v>8.1199999999999992</v>
      </c>
      <c r="Q343" s="25" t="s">
        <v>63</v>
      </c>
      <c r="R343" s="26" t="s">
        <v>33</v>
      </c>
      <c r="S343" s="26" t="s">
        <v>34</v>
      </c>
      <c r="T343" s="26"/>
      <c r="U343" s="27"/>
      <c r="V343" s="28">
        <f t="shared" si="11"/>
        <v>108</v>
      </c>
    </row>
    <row r="344" spans="1:23" s="29" customFormat="1" ht="21" customHeight="1">
      <c r="A344" s="33"/>
      <c r="B344" s="31"/>
      <c r="C344" s="32"/>
      <c r="D344" s="18" t="s">
        <v>144</v>
      </c>
      <c r="E344" s="19" t="s">
        <v>41</v>
      </c>
      <c r="F344" s="20">
        <v>2.9990000000000001</v>
      </c>
      <c r="G344" s="19">
        <v>375</v>
      </c>
      <c r="H344" s="20">
        <v>110</v>
      </c>
      <c r="I344" s="19" t="s">
        <v>71</v>
      </c>
      <c r="J344" s="20">
        <v>2979</v>
      </c>
      <c r="K344" s="21">
        <v>6893</v>
      </c>
      <c r="L344" s="21">
        <v>3749</v>
      </c>
      <c r="M344" s="21" t="s">
        <v>31</v>
      </c>
      <c r="N344" s="22">
        <v>8.9</v>
      </c>
      <c r="O344" s="23">
        <f t="shared" si="10"/>
        <v>290.58651685393255</v>
      </c>
      <c r="P344" s="24">
        <v>8.1199999999999992</v>
      </c>
      <c r="Q344" s="25" t="s">
        <v>63</v>
      </c>
      <c r="R344" s="26" t="s">
        <v>33</v>
      </c>
      <c r="S344" s="26" t="s">
        <v>34</v>
      </c>
      <c r="T344" s="26"/>
      <c r="U344" s="27"/>
      <c r="V344" s="28">
        <f t="shared" si="11"/>
        <v>109</v>
      </c>
    </row>
    <row r="345" spans="1:23" s="29" customFormat="1" ht="21" customHeight="1">
      <c r="A345" s="34"/>
      <c r="B345" s="31"/>
      <c r="C345" s="32"/>
      <c r="D345" s="18" t="s">
        <v>144</v>
      </c>
      <c r="E345" s="19" t="s">
        <v>41</v>
      </c>
      <c r="F345" s="20">
        <v>2.9990000000000001</v>
      </c>
      <c r="G345" s="19">
        <v>375</v>
      </c>
      <c r="H345" s="20">
        <v>110</v>
      </c>
      <c r="I345" s="19" t="s">
        <v>71</v>
      </c>
      <c r="J345" s="20">
        <v>2979</v>
      </c>
      <c r="K345" s="21">
        <v>6893</v>
      </c>
      <c r="L345" s="21">
        <v>3749</v>
      </c>
      <c r="M345" s="21" t="s">
        <v>31</v>
      </c>
      <c r="N345" s="22">
        <v>8.8000000000000007</v>
      </c>
      <c r="O345" s="23">
        <f t="shared" si="10"/>
        <v>293.88863636363635</v>
      </c>
      <c r="P345" s="24">
        <v>8.1199999999999992</v>
      </c>
      <c r="Q345" s="25" t="s">
        <v>63</v>
      </c>
      <c r="R345" s="26" t="s">
        <v>33</v>
      </c>
      <c r="S345" s="26" t="s">
        <v>34</v>
      </c>
      <c r="T345" s="26"/>
      <c r="U345" s="27"/>
      <c r="V345" s="28">
        <f t="shared" si="11"/>
        <v>108</v>
      </c>
    </row>
    <row r="346" spans="1:23" s="29" customFormat="1" ht="21" customHeight="1">
      <c r="A346" s="33"/>
      <c r="B346" s="31"/>
      <c r="C346" s="32"/>
      <c r="D346" s="18" t="s">
        <v>145</v>
      </c>
      <c r="E346" s="19" t="s">
        <v>41</v>
      </c>
      <c r="F346" s="20">
        <v>2.9990000000000001</v>
      </c>
      <c r="G346" s="19">
        <v>375</v>
      </c>
      <c r="H346" s="20">
        <v>110</v>
      </c>
      <c r="I346" s="19" t="s">
        <v>71</v>
      </c>
      <c r="J346" s="20">
        <v>2979</v>
      </c>
      <c r="K346" s="21">
        <v>6893</v>
      </c>
      <c r="L346" s="21">
        <v>3749</v>
      </c>
      <c r="M346" s="21" t="s">
        <v>31</v>
      </c>
      <c r="N346" s="22">
        <v>8.9</v>
      </c>
      <c r="O346" s="23">
        <f t="shared" si="10"/>
        <v>290.58651685393255</v>
      </c>
      <c r="P346" s="24">
        <v>8.1199999999999992</v>
      </c>
      <c r="Q346" s="25" t="s">
        <v>63</v>
      </c>
      <c r="R346" s="26" t="s">
        <v>33</v>
      </c>
      <c r="S346" s="26" t="s">
        <v>34</v>
      </c>
      <c r="T346" s="26"/>
      <c r="U346" s="27"/>
      <c r="V346" s="28">
        <f t="shared" si="11"/>
        <v>109</v>
      </c>
    </row>
    <row r="347" spans="1:23" s="29" customFormat="1" ht="21" customHeight="1">
      <c r="A347" s="34"/>
      <c r="B347" s="31"/>
      <c r="C347" s="32"/>
      <c r="D347" s="18" t="s">
        <v>145</v>
      </c>
      <c r="E347" s="19" t="s">
        <v>41</v>
      </c>
      <c r="F347" s="20">
        <v>2.9990000000000001</v>
      </c>
      <c r="G347" s="19">
        <v>430</v>
      </c>
      <c r="H347" s="20">
        <v>129</v>
      </c>
      <c r="I347" s="19" t="s">
        <v>71</v>
      </c>
      <c r="J347" s="20">
        <v>2979</v>
      </c>
      <c r="K347" s="21">
        <v>6893</v>
      </c>
      <c r="L347" s="21">
        <v>3749</v>
      </c>
      <c r="M347" s="21" t="s">
        <v>31</v>
      </c>
      <c r="N347" s="22">
        <v>8.9</v>
      </c>
      <c r="O347" s="23">
        <f t="shared" si="10"/>
        <v>290.58651685393255</v>
      </c>
      <c r="P347" s="24">
        <v>8.1199999999999992</v>
      </c>
      <c r="Q347" s="25" t="s">
        <v>63</v>
      </c>
      <c r="R347" s="26" t="s">
        <v>33</v>
      </c>
      <c r="S347" s="26" t="s">
        <v>34</v>
      </c>
      <c r="T347" s="26"/>
      <c r="U347" s="27"/>
      <c r="V347" s="28">
        <f t="shared" si="11"/>
        <v>109</v>
      </c>
    </row>
    <row r="348" spans="1:23" s="29" customFormat="1" ht="21" customHeight="1">
      <c r="A348" s="34"/>
      <c r="B348" s="31"/>
      <c r="C348" s="32"/>
      <c r="D348" s="18" t="s">
        <v>145</v>
      </c>
      <c r="E348" s="19" t="s">
        <v>41</v>
      </c>
      <c r="F348" s="20">
        <v>2.9990000000000001</v>
      </c>
      <c r="G348" s="19">
        <v>375</v>
      </c>
      <c r="H348" s="20">
        <v>110</v>
      </c>
      <c r="I348" s="19" t="s">
        <v>71</v>
      </c>
      <c r="J348" s="20">
        <v>2979</v>
      </c>
      <c r="K348" s="21">
        <v>6893</v>
      </c>
      <c r="L348" s="21">
        <v>3749</v>
      </c>
      <c r="M348" s="21" t="s">
        <v>31</v>
      </c>
      <c r="N348" s="22">
        <v>8.8000000000000007</v>
      </c>
      <c r="O348" s="23">
        <f t="shared" si="10"/>
        <v>293.88863636363635</v>
      </c>
      <c r="P348" s="24">
        <v>8.1199999999999992</v>
      </c>
      <c r="Q348" s="42" t="s">
        <v>63</v>
      </c>
      <c r="R348" s="26" t="s">
        <v>33</v>
      </c>
      <c r="S348" s="26" t="s">
        <v>34</v>
      </c>
      <c r="T348" s="26"/>
      <c r="U348" s="27"/>
      <c r="V348" s="28">
        <f t="shared" si="11"/>
        <v>108</v>
      </c>
    </row>
    <row r="349" spans="1:23" s="29" customFormat="1" ht="21" customHeight="1">
      <c r="A349" s="33"/>
      <c r="B349" s="31"/>
      <c r="C349" s="32"/>
      <c r="D349" s="18" t="s">
        <v>146</v>
      </c>
      <c r="E349" s="19" t="s">
        <v>41</v>
      </c>
      <c r="F349" s="20">
        <v>2.9990000000000001</v>
      </c>
      <c r="G349" s="19">
        <v>375</v>
      </c>
      <c r="H349" s="20">
        <v>110</v>
      </c>
      <c r="I349" s="19" t="s">
        <v>71</v>
      </c>
      <c r="J349" s="20">
        <v>2979</v>
      </c>
      <c r="K349" s="21">
        <v>6893</v>
      </c>
      <c r="L349" s="21">
        <v>3749</v>
      </c>
      <c r="M349" s="21" t="s">
        <v>31</v>
      </c>
      <c r="N349" s="22">
        <v>8.9</v>
      </c>
      <c r="O349" s="23">
        <f t="shared" si="10"/>
        <v>290.58651685393255</v>
      </c>
      <c r="P349" s="24">
        <v>8.1199999999999992</v>
      </c>
      <c r="Q349" s="25" t="s">
        <v>63</v>
      </c>
      <c r="R349" s="26" t="s">
        <v>33</v>
      </c>
      <c r="S349" s="26" t="s">
        <v>34</v>
      </c>
      <c r="T349" s="26"/>
      <c r="U349" s="27"/>
      <c r="V349" s="28">
        <f t="shared" si="11"/>
        <v>109</v>
      </c>
    </row>
    <row r="350" spans="1:23" s="29" customFormat="1" ht="21" customHeight="1">
      <c r="A350" s="34"/>
      <c r="B350" s="31"/>
      <c r="C350" s="32"/>
      <c r="D350" s="18" t="s">
        <v>146</v>
      </c>
      <c r="E350" s="19" t="s">
        <v>41</v>
      </c>
      <c r="F350" s="20">
        <v>2.9990000000000001</v>
      </c>
      <c r="G350" s="19">
        <v>430</v>
      </c>
      <c r="H350" s="20">
        <v>129</v>
      </c>
      <c r="I350" s="19" t="s">
        <v>71</v>
      </c>
      <c r="J350" s="20">
        <v>2979</v>
      </c>
      <c r="K350" s="21">
        <v>6893</v>
      </c>
      <c r="L350" s="21">
        <v>3749</v>
      </c>
      <c r="M350" s="21" t="s">
        <v>31</v>
      </c>
      <c r="N350" s="22">
        <v>8.9</v>
      </c>
      <c r="O350" s="23">
        <f t="shared" si="10"/>
        <v>290.58651685393255</v>
      </c>
      <c r="P350" s="24">
        <v>8.1199999999999992</v>
      </c>
      <c r="Q350" s="25" t="s">
        <v>63</v>
      </c>
      <c r="R350" s="26" t="s">
        <v>33</v>
      </c>
      <c r="S350" s="26" t="s">
        <v>34</v>
      </c>
      <c r="T350" s="26"/>
      <c r="U350" s="27"/>
      <c r="V350" s="28">
        <f t="shared" si="11"/>
        <v>109</v>
      </c>
    </row>
    <row r="351" spans="1:23" s="29" customFormat="1" ht="21" customHeight="1">
      <c r="A351" s="34"/>
      <c r="B351" s="31"/>
      <c r="C351" s="32"/>
      <c r="D351" s="18" t="s">
        <v>146</v>
      </c>
      <c r="E351" s="19" t="s">
        <v>41</v>
      </c>
      <c r="F351" s="20">
        <v>2.9990000000000001</v>
      </c>
      <c r="G351" s="19">
        <v>375</v>
      </c>
      <c r="H351" s="20">
        <v>110</v>
      </c>
      <c r="I351" s="19" t="s">
        <v>71</v>
      </c>
      <c r="J351" s="20">
        <v>2979</v>
      </c>
      <c r="K351" s="21">
        <v>6893</v>
      </c>
      <c r="L351" s="21">
        <v>3749</v>
      </c>
      <c r="M351" s="21" t="s">
        <v>31</v>
      </c>
      <c r="N351" s="22">
        <v>8.8000000000000007</v>
      </c>
      <c r="O351" s="23">
        <f t="shared" si="10"/>
        <v>293.88863636363635</v>
      </c>
      <c r="P351" s="24">
        <v>8.1199999999999992</v>
      </c>
      <c r="Q351" s="25" t="s">
        <v>63</v>
      </c>
      <c r="R351" s="26" t="s">
        <v>33</v>
      </c>
      <c r="S351" s="26" t="s">
        <v>34</v>
      </c>
      <c r="T351" s="26"/>
      <c r="U351" s="27"/>
      <c r="V351" s="28">
        <f t="shared" si="11"/>
        <v>108</v>
      </c>
    </row>
    <row r="352" spans="1:23" s="29" customFormat="1" ht="21" customHeight="1">
      <c r="A352" s="33"/>
      <c r="B352" s="31"/>
      <c r="C352" s="32"/>
      <c r="D352" s="18" t="s">
        <v>147</v>
      </c>
      <c r="E352" s="19" t="s">
        <v>41</v>
      </c>
      <c r="F352" s="20">
        <v>2.9990000000000001</v>
      </c>
      <c r="G352" s="19">
        <v>375</v>
      </c>
      <c r="H352" s="20">
        <v>110</v>
      </c>
      <c r="I352" s="19" t="s">
        <v>71</v>
      </c>
      <c r="J352" s="20">
        <v>2979</v>
      </c>
      <c r="K352" s="21">
        <v>6893</v>
      </c>
      <c r="L352" s="21">
        <v>3749</v>
      </c>
      <c r="M352" s="21" t="s">
        <v>31</v>
      </c>
      <c r="N352" s="22">
        <v>8.9</v>
      </c>
      <c r="O352" s="23">
        <f t="shared" si="10"/>
        <v>290.58651685393255</v>
      </c>
      <c r="P352" s="24">
        <v>8.1199999999999992</v>
      </c>
      <c r="Q352" s="25" t="s">
        <v>63</v>
      </c>
      <c r="R352" s="26" t="s">
        <v>33</v>
      </c>
      <c r="S352" s="26" t="s">
        <v>34</v>
      </c>
      <c r="T352" s="26"/>
      <c r="U352" s="27"/>
      <c r="V352" s="28">
        <f t="shared" si="11"/>
        <v>109</v>
      </c>
      <c r="W352" s="40"/>
    </row>
    <row r="353" spans="1:23" s="29" customFormat="1" ht="21" customHeight="1">
      <c r="A353" s="34"/>
      <c r="B353" s="31"/>
      <c r="C353" s="32"/>
      <c r="D353" s="18" t="s">
        <v>147</v>
      </c>
      <c r="E353" s="19" t="s">
        <v>41</v>
      </c>
      <c r="F353" s="20">
        <v>2.9990000000000001</v>
      </c>
      <c r="G353" s="19">
        <v>430</v>
      </c>
      <c r="H353" s="20">
        <v>129</v>
      </c>
      <c r="I353" s="19" t="s">
        <v>71</v>
      </c>
      <c r="J353" s="20">
        <v>2979</v>
      </c>
      <c r="K353" s="21">
        <v>6893</v>
      </c>
      <c r="L353" s="21">
        <v>3749</v>
      </c>
      <c r="M353" s="21" t="s">
        <v>31</v>
      </c>
      <c r="N353" s="22">
        <v>8.9</v>
      </c>
      <c r="O353" s="23">
        <f t="shared" si="10"/>
        <v>290.58651685393255</v>
      </c>
      <c r="P353" s="24">
        <v>8.1199999999999992</v>
      </c>
      <c r="Q353" s="25" t="s">
        <v>63</v>
      </c>
      <c r="R353" s="26" t="s">
        <v>33</v>
      </c>
      <c r="S353" s="26" t="s">
        <v>34</v>
      </c>
      <c r="T353" s="26"/>
      <c r="U353" s="27"/>
      <c r="V353" s="28">
        <f t="shared" si="11"/>
        <v>109</v>
      </c>
      <c r="W353" s="40"/>
    </row>
    <row r="354" spans="1:23" s="29" customFormat="1" ht="21" customHeight="1">
      <c r="A354" s="34"/>
      <c r="B354" s="31"/>
      <c r="C354" s="32"/>
      <c r="D354" s="18" t="s">
        <v>147</v>
      </c>
      <c r="E354" s="19" t="s">
        <v>41</v>
      </c>
      <c r="F354" s="20">
        <v>2.9990000000000001</v>
      </c>
      <c r="G354" s="19">
        <v>375</v>
      </c>
      <c r="H354" s="20">
        <v>110</v>
      </c>
      <c r="I354" s="19" t="s">
        <v>71</v>
      </c>
      <c r="J354" s="20">
        <v>2979</v>
      </c>
      <c r="K354" s="21">
        <v>6893</v>
      </c>
      <c r="L354" s="21">
        <v>3749</v>
      </c>
      <c r="M354" s="20" t="s">
        <v>31</v>
      </c>
      <c r="N354" s="22">
        <v>8.8000000000000007</v>
      </c>
      <c r="O354" s="23">
        <f t="shared" si="10"/>
        <v>293.88863636363635</v>
      </c>
      <c r="P354" s="24">
        <v>8.1199999999999992</v>
      </c>
      <c r="Q354" s="25" t="s">
        <v>63</v>
      </c>
      <c r="R354" s="26" t="s">
        <v>33</v>
      </c>
      <c r="S354" s="26" t="s">
        <v>34</v>
      </c>
      <c r="T354" s="26"/>
      <c r="U354" s="27"/>
      <c r="V354" s="28">
        <f t="shared" si="11"/>
        <v>108</v>
      </c>
    </row>
    <row r="355" spans="1:23" s="29" customFormat="1" ht="21" customHeight="1">
      <c r="A355" s="34"/>
      <c r="B355" s="31"/>
      <c r="C355" s="32"/>
      <c r="D355" s="18" t="s">
        <v>148</v>
      </c>
      <c r="E355" s="19" t="s">
        <v>41</v>
      </c>
      <c r="F355" s="20">
        <v>2.9990000000000001</v>
      </c>
      <c r="G355" s="19">
        <v>375</v>
      </c>
      <c r="H355" s="20">
        <v>110</v>
      </c>
      <c r="I355" s="19" t="s">
        <v>71</v>
      </c>
      <c r="J355" s="20">
        <v>2979</v>
      </c>
      <c r="K355" s="21">
        <v>6893</v>
      </c>
      <c r="L355" s="21">
        <v>3749</v>
      </c>
      <c r="M355" s="21" t="s">
        <v>31</v>
      </c>
      <c r="N355" s="22">
        <v>8.8000000000000007</v>
      </c>
      <c r="O355" s="23">
        <f t="shared" si="10"/>
        <v>293.88863636363635</v>
      </c>
      <c r="P355" s="24">
        <v>8.1199999999999992</v>
      </c>
      <c r="Q355" s="25" t="s">
        <v>63</v>
      </c>
      <c r="R355" s="26" t="s">
        <v>33</v>
      </c>
      <c r="S355" s="26" t="s">
        <v>34</v>
      </c>
      <c r="T355" s="26"/>
      <c r="U355" s="27"/>
      <c r="V355" s="28">
        <f t="shared" si="11"/>
        <v>108</v>
      </c>
    </row>
    <row r="356" spans="1:23" s="29" customFormat="1" ht="21" customHeight="1">
      <c r="A356" s="34"/>
      <c r="B356" s="31"/>
      <c r="C356" s="32"/>
      <c r="D356" s="18" t="s">
        <v>149</v>
      </c>
      <c r="E356" s="19" t="s">
        <v>41</v>
      </c>
      <c r="F356" s="20">
        <v>2.9990000000000001</v>
      </c>
      <c r="G356" s="19">
        <v>375</v>
      </c>
      <c r="H356" s="20">
        <v>110</v>
      </c>
      <c r="I356" s="19" t="s">
        <v>71</v>
      </c>
      <c r="J356" s="20">
        <v>2979</v>
      </c>
      <c r="K356" s="21">
        <v>6893</v>
      </c>
      <c r="L356" s="21">
        <v>3749</v>
      </c>
      <c r="M356" s="21" t="s">
        <v>31</v>
      </c>
      <c r="N356" s="22">
        <v>8.8000000000000007</v>
      </c>
      <c r="O356" s="23">
        <f t="shared" si="10"/>
        <v>293.88863636363635</v>
      </c>
      <c r="P356" s="24">
        <v>8.1199999999999992</v>
      </c>
      <c r="Q356" s="25" t="s">
        <v>63</v>
      </c>
      <c r="R356" s="26" t="s">
        <v>33</v>
      </c>
      <c r="S356" s="26" t="s">
        <v>34</v>
      </c>
      <c r="T356" s="26"/>
      <c r="U356" s="27"/>
      <c r="V356" s="28">
        <f t="shared" si="11"/>
        <v>108</v>
      </c>
    </row>
    <row r="357" spans="1:23" s="29" customFormat="1" ht="21" customHeight="1">
      <c r="A357" s="34"/>
      <c r="B357" s="31"/>
      <c r="C357" s="32"/>
      <c r="D357" s="18" t="s">
        <v>150</v>
      </c>
      <c r="E357" s="19" t="s">
        <v>41</v>
      </c>
      <c r="F357" s="20">
        <v>2.9990000000000001</v>
      </c>
      <c r="G357" s="19">
        <v>375</v>
      </c>
      <c r="H357" s="20">
        <v>110</v>
      </c>
      <c r="I357" s="19" t="s">
        <v>71</v>
      </c>
      <c r="J357" s="20">
        <v>2979</v>
      </c>
      <c r="K357" s="21">
        <v>6893</v>
      </c>
      <c r="L357" s="21">
        <v>3749</v>
      </c>
      <c r="M357" s="21" t="s">
        <v>31</v>
      </c>
      <c r="N357" s="22">
        <v>8.8000000000000007</v>
      </c>
      <c r="O357" s="23">
        <f t="shared" si="10"/>
        <v>293.88863636363635</v>
      </c>
      <c r="P357" s="24">
        <v>8.1199999999999992</v>
      </c>
      <c r="Q357" s="25" t="s">
        <v>63</v>
      </c>
      <c r="R357" s="26" t="s">
        <v>33</v>
      </c>
      <c r="S357" s="26" t="s">
        <v>34</v>
      </c>
      <c r="T357" s="26"/>
      <c r="U357" s="27"/>
      <c r="V357" s="28">
        <f t="shared" si="11"/>
        <v>108</v>
      </c>
    </row>
    <row r="358" spans="1:23" s="29" customFormat="1" ht="21" customHeight="1">
      <c r="A358" s="34"/>
      <c r="B358" s="31"/>
      <c r="C358" s="32"/>
      <c r="D358" s="18" t="s">
        <v>151</v>
      </c>
      <c r="E358" s="19" t="s">
        <v>41</v>
      </c>
      <c r="F358" s="20">
        <v>2.9990000000000001</v>
      </c>
      <c r="G358" s="19">
        <v>375</v>
      </c>
      <c r="H358" s="20">
        <v>110</v>
      </c>
      <c r="I358" s="19" t="s">
        <v>71</v>
      </c>
      <c r="J358" s="20">
        <v>2979</v>
      </c>
      <c r="K358" s="21">
        <v>6893</v>
      </c>
      <c r="L358" s="21">
        <v>3749</v>
      </c>
      <c r="M358" s="21" t="s">
        <v>31</v>
      </c>
      <c r="N358" s="22">
        <v>8.8000000000000007</v>
      </c>
      <c r="O358" s="23">
        <f t="shared" si="10"/>
        <v>293.88863636363635</v>
      </c>
      <c r="P358" s="24">
        <v>8.1199999999999992</v>
      </c>
      <c r="Q358" s="25" t="s">
        <v>63</v>
      </c>
      <c r="R358" s="26" t="s">
        <v>33</v>
      </c>
      <c r="S358" s="26" t="s">
        <v>34</v>
      </c>
      <c r="T358" s="26"/>
      <c r="U358" s="27"/>
      <c r="V358" s="28">
        <f t="shared" si="11"/>
        <v>108</v>
      </c>
    </row>
    <row r="359" spans="1:23" s="29" customFormat="1" ht="21" customHeight="1">
      <c r="A359" s="34"/>
      <c r="B359" s="31"/>
      <c r="C359" s="32"/>
      <c r="D359" s="18" t="s">
        <v>152</v>
      </c>
      <c r="E359" s="19" t="s">
        <v>41</v>
      </c>
      <c r="F359" s="20">
        <v>2.9990000000000001</v>
      </c>
      <c r="G359" s="19">
        <v>375</v>
      </c>
      <c r="H359" s="20">
        <v>110</v>
      </c>
      <c r="I359" s="19" t="s">
        <v>71</v>
      </c>
      <c r="J359" s="20">
        <v>2979</v>
      </c>
      <c r="K359" s="21">
        <v>6893</v>
      </c>
      <c r="L359" s="21">
        <v>3749</v>
      </c>
      <c r="M359" s="21" t="s">
        <v>31</v>
      </c>
      <c r="N359" s="22">
        <v>8.8000000000000007</v>
      </c>
      <c r="O359" s="23">
        <f t="shared" si="10"/>
        <v>293.88863636363635</v>
      </c>
      <c r="P359" s="24">
        <v>8.1199999999999992</v>
      </c>
      <c r="Q359" s="25" t="s">
        <v>63</v>
      </c>
      <c r="R359" s="26" t="s">
        <v>33</v>
      </c>
      <c r="S359" s="26" t="s">
        <v>34</v>
      </c>
      <c r="T359" s="26"/>
      <c r="U359" s="27"/>
      <c r="V359" s="28">
        <f t="shared" si="11"/>
        <v>108</v>
      </c>
    </row>
    <row r="360" spans="1:23" s="29" customFormat="1" ht="21" customHeight="1">
      <c r="A360" s="34"/>
      <c r="B360" s="31"/>
      <c r="C360" s="32"/>
      <c r="D360" s="18" t="s">
        <v>152</v>
      </c>
      <c r="E360" s="19" t="s">
        <v>41</v>
      </c>
      <c r="F360" s="20">
        <v>2.9990000000000001</v>
      </c>
      <c r="G360" s="19">
        <v>430</v>
      </c>
      <c r="H360" s="20">
        <v>129</v>
      </c>
      <c r="I360" s="19" t="s">
        <v>71</v>
      </c>
      <c r="J360" s="20">
        <v>2979</v>
      </c>
      <c r="K360" s="21">
        <v>6893</v>
      </c>
      <c r="L360" s="21">
        <v>3749</v>
      </c>
      <c r="M360" s="21" t="s">
        <v>31</v>
      </c>
      <c r="N360" s="22">
        <v>8.8000000000000007</v>
      </c>
      <c r="O360" s="23">
        <f t="shared" si="10"/>
        <v>293.88863636363635</v>
      </c>
      <c r="P360" s="24">
        <v>8.1199999999999992</v>
      </c>
      <c r="Q360" s="25" t="s">
        <v>63</v>
      </c>
      <c r="R360" s="26" t="s">
        <v>33</v>
      </c>
      <c r="S360" s="26" t="s">
        <v>34</v>
      </c>
      <c r="T360" s="26"/>
      <c r="U360" s="27"/>
      <c r="V360" s="28">
        <f t="shared" si="11"/>
        <v>108</v>
      </c>
    </row>
    <row r="361" spans="1:23" s="29" customFormat="1" ht="21" customHeight="1">
      <c r="A361" s="34"/>
      <c r="B361" s="31"/>
      <c r="C361" s="32"/>
      <c r="D361" s="18" t="s">
        <v>153</v>
      </c>
      <c r="E361" s="19" t="s">
        <v>41</v>
      </c>
      <c r="F361" s="20">
        <v>2.9990000000000001</v>
      </c>
      <c r="G361" s="19">
        <v>375</v>
      </c>
      <c r="H361" s="20">
        <v>110</v>
      </c>
      <c r="I361" s="19" t="s">
        <v>42</v>
      </c>
      <c r="J361" s="20">
        <v>3543</v>
      </c>
      <c r="K361" s="21">
        <v>7928</v>
      </c>
      <c r="L361" s="21">
        <v>4275</v>
      </c>
      <c r="M361" s="21" t="s">
        <v>31</v>
      </c>
      <c r="N361" s="22">
        <v>8.1999999999999993</v>
      </c>
      <c r="O361" s="23">
        <f t="shared" si="10"/>
        <v>315.39268292682931</v>
      </c>
      <c r="P361" s="24">
        <v>7.24</v>
      </c>
      <c r="Q361" s="25" t="s">
        <v>43</v>
      </c>
      <c r="R361" s="26" t="s">
        <v>33</v>
      </c>
      <c r="S361" s="26" t="s">
        <v>34</v>
      </c>
      <c r="T361" s="26"/>
      <c r="U361" s="27"/>
      <c r="V361" s="28">
        <f t="shared" si="11"/>
        <v>113</v>
      </c>
    </row>
    <row r="362" spans="1:23" s="29" customFormat="1" ht="21" customHeight="1">
      <c r="A362" s="34"/>
      <c r="B362" s="31"/>
      <c r="C362" s="32"/>
      <c r="D362" s="18" t="s">
        <v>153</v>
      </c>
      <c r="E362" s="19" t="s">
        <v>41</v>
      </c>
      <c r="F362" s="20">
        <v>2.9990000000000001</v>
      </c>
      <c r="G362" s="19">
        <v>375</v>
      </c>
      <c r="H362" s="20">
        <v>110</v>
      </c>
      <c r="I362" s="19" t="s">
        <v>42</v>
      </c>
      <c r="J362" s="20">
        <v>3543</v>
      </c>
      <c r="K362" s="21">
        <v>7928</v>
      </c>
      <c r="L362" s="21">
        <v>4275</v>
      </c>
      <c r="M362" s="21" t="s">
        <v>31</v>
      </c>
      <c r="N362" s="22">
        <v>8.1</v>
      </c>
      <c r="O362" s="23">
        <f t="shared" si="10"/>
        <v>319.28641975308642</v>
      </c>
      <c r="P362" s="24">
        <v>7.24</v>
      </c>
      <c r="Q362" s="25" t="s">
        <v>63</v>
      </c>
      <c r="R362" s="26" t="s">
        <v>33</v>
      </c>
      <c r="S362" s="26" t="s">
        <v>34</v>
      </c>
      <c r="T362" s="26"/>
      <c r="U362" s="27"/>
      <c r="V362" s="28">
        <f t="shared" si="11"/>
        <v>111</v>
      </c>
    </row>
    <row r="363" spans="1:23" s="29" customFormat="1" ht="21" customHeight="1">
      <c r="A363" s="34"/>
      <c r="B363" s="31"/>
      <c r="C363" s="32"/>
      <c r="D363" s="18" t="s">
        <v>153</v>
      </c>
      <c r="E363" s="19" t="s">
        <v>41</v>
      </c>
      <c r="F363" s="20">
        <v>2.9990000000000001</v>
      </c>
      <c r="G363" s="19">
        <v>375</v>
      </c>
      <c r="H363" s="20">
        <v>110</v>
      </c>
      <c r="I363" s="19" t="s">
        <v>71</v>
      </c>
      <c r="J363" s="20">
        <v>3543</v>
      </c>
      <c r="K363" s="21">
        <v>7928</v>
      </c>
      <c r="L363" s="21">
        <v>4275</v>
      </c>
      <c r="M363" s="21" t="s">
        <v>31</v>
      </c>
      <c r="N363" s="22">
        <v>8</v>
      </c>
      <c r="O363" s="23">
        <f t="shared" si="10"/>
        <v>323.27749999999997</v>
      </c>
      <c r="P363" s="24">
        <v>7.24</v>
      </c>
      <c r="Q363" s="25" t="s">
        <v>43</v>
      </c>
      <c r="R363" s="26" t="s">
        <v>33</v>
      </c>
      <c r="S363" s="26" t="s">
        <v>34</v>
      </c>
      <c r="T363" s="26"/>
      <c r="U363" s="27"/>
      <c r="V363" s="28">
        <f t="shared" si="11"/>
        <v>110</v>
      </c>
    </row>
    <row r="364" spans="1:23" s="29" customFormat="1" ht="21" customHeight="1">
      <c r="A364" s="34"/>
      <c r="B364" s="31"/>
      <c r="C364" s="43"/>
      <c r="D364" s="18" t="s">
        <v>154</v>
      </c>
      <c r="E364" s="19" t="s">
        <v>41</v>
      </c>
      <c r="F364" s="20">
        <v>2.9990000000000001</v>
      </c>
      <c r="G364" s="19">
        <v>375</v>
      </c>
      <c r="H364" s="20">
        <v>110</v>
      </c>
      <c r="I364" s="19" t="s">
        <v>42</v>
      </c>
      <c r="J364" s="20">
        <v>3543</v>
      </c>
      <c r="K364" s="21">
        <v>7928</v>
      </c>
      <c r="L364" s="21">
        <v>4275</v>
      </c>
      <c r="M364" s="21" t="s">
        <v>31</v>
      </c>
      <c r="N364" s="22">
        <v>8.1999999999999993</v>
      </c>
      <c r="O364" s="23">
        <f t="shared" si="10"/>
        <v>315.39268292682931</v>
      </c>
      <c r="P364" s="24">
        <v>7.24</v>
      </c>
      <c r="Q364" s="25" t="s">
        <v>43</v>
      </c>
      <c r="R364" s="26" t="s">
        <v>33</v>
      </c>
      <c r="S364" s="26" t="s">
        <v>34</v>
      </c>
      <c r="T364" s="26"/>
      <c r="U364" s="27"/>
      <c r="V364" s="28">
        <f t="shared" si="11"/>
        <v>113</v>
      </c>
    </row>
    <row r="365" spans="1:23" s="29" customFormat="1" ht="21" customHeight="1">
      <c r="A365" s="34"/>
      <c r="B365" s="31"/>
      <c r="C365" s="32"/>
      <c r="D365" s="18" t="s">
        <v>154</v>
      </c>
      <c r="E365" s="19" t="s">
        <v>41</v>
      </c>
      <c r="F365" s="20">
        <v>2.9990000000000001</v>
      </c>
      <c r="G365" s="19">
        <v>430</v>
      </c>
      <c r="H365" s="20">
        <v>129</v>
      </c>
      <c r="I365" s="19" t="s">
        <v>71</v>
      </c>
      <c r="J365" s="20">
        <v>3543</v>
      </c>
      <c r="K365" s="21">
        <v>7928</v>
      </c>
      <c r="L365" s="21">
        <v>4275</v>
      </c>
      <c r="M365" s="21" t="s">
        <v>31</v>
      </c>
      <c r="N365" s="22">
        <v>8.1</v>
      </c>
      <c r="O365" s="23">
        <f t="shared" si="10"/>
        <v>319.28641975308642</v>
      </c>
      <c r="P365" s="24">
        <v>7.24</v>
      </c>
      <c r="Q365" s="25" t="s">
        <v>43</v>
      </c>
      <c r="R365" s="26" t="s">
        <v>33</v>
      </c>
      <c r="S365" s="26" t="s">
        <v>34</v>
      </c>
      <c r="T365" s="26"/>
      <c r="U365" s="27"/>
      <c r="V365" s="28">
        <f t="shared" si="11"/>
        <v>111</v>
      </c>
    </row>
    <row r="366" spans="1:23" s="29" customFormat="1" ht="21" customHeight="1">
      <c r="A366" s="34"/>
      <c r="B366" s="31"/>
      <c r="C366" s="32"/>
      <c r="D366" s="18" t="s">
        <v>154</v>
      </c>
      <c r="E366" s="19" t="s">
        <v>41</v>
      </c>
      <c r="F366" s="20">
        <v>2.9990000000000001</v>
      </c>
      <c r="G366" s="19">
        <v>430</v>
      </c>
      <c r="H366" s="20">
        <v>129</v>
      </c>
      <c r="I366" s="19" t="s">
        <v>42</v>
      </c>
      <c r="J366" s="20">
        <v>3543</v>
      </c>
      <c r="K366" s="21">
        <v>7928</v>
      </c>
      <c r="L366" s="21">
        <v>4275</v>
      </c>
      <c r="M366" s="21" t="s">
        <v>31</v>
      </c>
      <c r="N366" s="22">
        <v>8.1</v>
      </c>
      <c r="O366" s="23">
        <f t="shared" si="10"/>
        <v>319.28641975308642</v>
      </c>
      <c r="P366" s="24">
        <v>7.24</v>
      </c>
      <c r="Q366" s="25" t="s">
        <v>43</v>
      </c>
      <c r="R366" s="26" t="s">
        <v>33</v>
      </c>
      <c r="S366" s="26" t="s">
        <v>34</v>
      </c>
      <c r="T366" s="26"/>
      <c r="U366" s="27"/>
      <c r="V366" s="28">
        <f t="shared" si="11"/>
        <v>111</v>
      </c>
    </row>
    <row r="367" spans="1:23" s="29" customFormat="1" ht="21" customHeight="1">
      <c r="A367" s="34"/>
      <c r="B367" s="31"/>
      <c r="C367" s="32"/>
      <c r="D367" s="18" t="s">
        <v>154</v>
      </c>
      <c r="E367" s="19" t="s">
        <v>41</v>
      </c>
      <c r="F367" s="20">
        <v>2.9990000000000001</v>
      </c>
      <c r="G367" s="19">
        <v>375</v>
      </c>
      <c r="H367" s="20">
        <v>110</v>
      </c>
      <c r="I367" s="19" t="s">
        <v>42</v>
      </c>
      <c r="J367" s="20">
        <v>3543</v>
      </c>
      <c r="K367" s="21">
        <v>7928</v>
      </c>
      <c r="L367" s="21">
        <v>4275</v>
      </c>
      <c r="M367" s="21" t="s">
        <v>31</v>
      </c>
      <c r="N367" s="22">
        <v>8.1</v>
      </c>
      <c r="O367" s="23">
        <f t="shared" si="10"/>
        <v>319.28641975308642</v>
      </c>
      <c r="P367" s="24">
        <v>7.24</v>
      </c>
      <c r="Q367" s="25" t="s">
        <v>63</v>
      </c>
      <c r="R367" s="26" t="s">
        <v>33</v>
      </c>
      <c r="S367" s="26" t="s">
        <v>34</v>
      </c>
      <c r="T367" s="26"/>
      <c r="U367" s="27"/>
      <c r="V367" s="28">
        <f t="shared" si="11"/>
        <v>111</v>
      </c>
    </row>
    <row r="368" spans="1:23" s="29" customFormat="1" ht="21" customHeight="1">
      <c r="A368" s="34"/>
      <c r="B368" s="31"/>
      <c r="C368" s="32"/>
      <c r="D368" s="18" t="s">
        <v>154</v>
      </c>
      <c r="E368" s="19" t="s">
        <v>41</v>
      </c>
      <c r="F368" s="20">
        <v>2.9990000000000001</v>
      </c>
      <c r="G368" s="19">
        <v>375</v>
      </c>
      <c r="H368" s="20">
        <v>110</v>
      </c>
      <c r="I368" s="19" t="s">
        <v>71</v>
      </c>
      <c r="J368" s="20">
        <v>3543</v>
      </c>
      <c r="K368" s="21">
        <v>7928</v>
      </c>
      <c r="L368" s="21">
        <v>4275</v>
      </c>
      <c r="M368" s="21" t="s">
        <v>31</v>
      </c>
      <c r="N368" s="22">
        <v>8</v>
      </c>
      <c r="O368" s="23">
        <f t="shared" si="10"/>
        <v>323.27749999999997</v>
      </c>
      <c r="P368" s="24">
        <v>7.24</v>
      </c>
      <c r="Q368" s="25" t="s">
        <v>43</v>
      </c>
      <c r="R368" s="26" t="s">
        <v>33</v>
      </c>
      <c r="S368" s="26" t="s">
        <v>34</v>
      </c>
      <c r="T368" s="26"/>
      <c r="U368" s="27"/>
      <c r="V368" s="28">
        <f t="shared" si="11"/>
        <v>110</v>
      </c>
    </row>
    <row r="369" spans="1:23" s="29" customFormat="1" ht="21" customHeight="1">
      <c r="A369" s="34"/>
      <c r="B369" s="31"/>
      <c r="C369" s="32"/>
      <c r="D369" s="18" t="s">
        <v>154</v>
      </c>
      <c r="E369" s="19" t="s">
        <v>41</v>
      </c>
      <c r="F369" s="20">
        <v>2.9990000000000001</v>
      </c>
      <c r="G369" s="19">
        <v>430</v>
      </c>
      <c r="H369" s="20">
        <v>129</v>
      </c>
      <c r="I369" s="19" t="s">
        <v>71</v>
      </c>
      <c r="J369" s="20">
        <v>3543</v>
      </c>
      <c r="K369" s="21">
        <v>7928</v>
      </c>
      <c r="L369" s="21">
        <v>4275</v>
      </c>
      <c r="M369" s="21" t="s">
        <v>31</v>
      </c>
      <c r="N369" s="22">
        <v>8</v>
      </c>
      <c r="O369" s="23">
        <f t="shared" si="10"/>
        <v>323.27749999999997</v>
      </c>
      <c r="P369" s="24">
        <v>7.24</v>
      </c>
      <c r="Q369" s="25" t="s">
        <v>63</v>
      </c>
      <c r="R369" s="26" t="s">
        <v>33</v>
      </c>
      <c r="S369" s="26" t="s">
        <v>34</v>
      </c>
      <c r="T369" s="26"/>
      <c r="U369" s="27"/>
      <c r="V369" s="28">
        <f t="shared" si="11"/>
        <v>110</v>
      </c>
    </row>
    <row r="370" spans="1:23" s="29" customFormat="1" ht="21" customHeight="1">
      <c r="A370" s="34"/>
      <c r="B370" s="31"/>
      <c r="C370" s="32"/>
      <c r="D370" s="18" t="s">
        <v>155</v>
      </c>
      <c r="E370" s="19" t="s">
        <v>41</v>
      </c>
      <c r="F370" s="20">
        <v>2.9990000000000001</v>
      </c>
      <c r="G370" s="19">
        <v>375</v>
      </c>
      <c r="H370" s="20">
        <v>110</v>
      </c>
      <c r="I370" s="19" t="s">
        <v>42</v>
      </c>
      <c r="J370" s="20">
        <v>3543</v>
      </c>
      <c r="K370" s="21">
        <v>7928</v>
      </c>
      <c r="L370" s="21">
        <v>4275</v>
      </c>
      <c r="M370" s="21" t="s">
        <v>31</v>
      </c>
      <c r="N370" s="22">
        <v>8.1999999999999993</v>
      </c>
      <c r="O370" s="23">
        <f t="shared" si="10"/>
        <v>315.39268292682931</v>
      </c>
      <c r="P370" s="24">
        <v>7.24</v>
      </c>
      <c r="Q370" s="25" t="s">
        <v>43</v>
      </c>
      <c r="R370" s="26" t="s">
        <v>33</v>
      </c>
      <c r="S370" s="26" t="s">
        <v>34</v>
      </c>
      <c r="T370" s="26"/>
      <c r="U370" s="27"/>
      <c r="V370" s="28">
        <f t="shared" si="11"/>
        <v>113</v>
      </c>
    </row>
    <row r="371" spans="1:23" s="29" customFormat="1" ht="21" customHeight="1">
      <c r="A371" s="34"/>
      <c r="B371" s="31"/>
      <c r="C371" s="32"/>
      <c r="D371" s="18" t="s">
        <v>155</v>
      </c>
      <c r="E371" s="19" t="s">
        <v>41</v>
      </c>
      <c r="F371" s="20">
        <v>2.9990000000000001</v>
      </c>
      <c r="G371" s="19">
        <v>430</v>
      </c>
      <c r="H371" s="20">
        <v>129</v>
      </c>
      <c r="I371" s="19" t="s">
        <v>71</v>
      </c>
      <c r="J371" s="20">
        <v>3543</v>
      </c>
      <c r="K371" s="21">
        <v>7928</v>
      </c>
      <c r="L371" s="21">
        <v>4275</v>
      </c>
      <c r="M371" s="21" t="s">
        <v>31</v>
      </c>
      <c r="N371" s="22">
        <v>8.1</v>
      </c>
      <c r="O371" s="23">
        <f t="shared" si="10"/>
        <v>319.28641975308642</v>
      </c>
      <c r="P371" s="24">
        <v>7.24</v>
      </c>
      <c r="Q371" s="25" t="s">
        <v>43</v>
      </c>
      <c r="R371" s="26" t="s">
        <v>33</v>
      </c>
      <c r="S371" s="26" t="s">
        <v>34</v>
      </c>
      <c r="T371" s="26"/>
      <c r="U371" s="27"/>
      <c r="V371" s="28">
        <f t="shared" si="11"/>
        <v>111</v>
      </c>
    </row>
    <row r="372" spans="1:23" s="29" customFormat="1" ht="21" customHeight="1">
      <c r="A372" s="34"/>
      <c r="B372" s="31"/>
      <c r="C372" s="32"/>
      <c r="D372" s="18" t="s">
        <v>155</v>
      </c>
      <c r="E372" s="19" t="s">
        <v>41</v>
      </c>
      <c r="F372" s="20">
        <v>2.9990000000000001</v>
      </c>
      <c r="G372" s="19">
        <v>430</v>
      </c>
      <c r="H372" s="20">
        <v>129</v>
      </c>
      <c r="I372" s="19" t="s">
        <v>42</v>
      </c>
      <c r="J372" s="20">
        <v>3543</v>
      </c>
      <c r="K372" s="21">
        <v>7928</v>
      </c>
      <c r="L372" s="21">
        <v>4275</v>
      </c>
      <c r="M372" s="21" t="s">
        <v>31</v>
      </c>
      <c r="N372" s="22">
        <v>8.1</v>
      </c>
      <c r="O372" s="23">
        <f t="shared" si="10"/>
        <v>319.28641975308642</v>
      </c>
      <c r="P372" s="24">
        <v>7.24</v>
      </c>
      <c r="Q372" s="25" t="s">
        <v>43</v>
      </c>
      <c r="R372" s="26" t="s">
        <v>33</v>
      </c>
      <c r="S372" s="26" t="s">
        <v>34</v>
      </c>
      <c r="T372" s="26"/>
      <c r="U372" s="27"/>
      <c r="V372" s="28">
        <f t="shared" si="11"/>
        <v>111</v>
      </c>
    </row>
    <row r="373" spans="1:23" s="29" customFormat="1" ht="21" customHeight="1">
      <c r="A373" s="34"/>
      <c r="B373" s="31"/>
      <c r="C373" s="32"/>
      <c r="D373" s="18" t="s">
        <v>155</v>
      </c>
      <c r="E373" s="19" t="s">
        <v>41</v>
      </c>
      <c r="F373" s="20">
        <v>2.9990000000000001</v>
      </c>
      <c r="G373" s="19">
        <v>375</v>
      </c>
      <c r="H373" s="20">
        <v>110</v>
      </c>
      <c r="I373" s="19" t="s">
        <v>42</v>
      </c>
      <c r="J373" s="20">
        <v>3543</v>
      </c>
      <c r="K373" s="21">
        <v>7928</v>
      </c>
      <c r="L373" s="21">
        <v>4275</v>
      </c>
      <c r="M373" s="21" t="s">
        <v>31</v>
      </c>
      <c r="N373" s="22">
        <v>8.1</v>
      </c>
      <c r="O373" s="23">
        <f t="shared" si="10"/>
        <v>319.28641975308642</v>
      </c>
      <c r="P373" s="24">
        <v>7.24</v>
      </c>
      <c r="Q373" s="25" t="s">
        <v>63</v>
      </c>
      <c r="R373" s="26" t="s">
        <v>33</v>
      </c>
      <c r="S373" s="26" t="s">
        <v>34</v>
      </c>
      <c r="T373" s="26"/>
      <c r="U373" s="27"/>
      <c r="V373" s="28">
        <f t="shared" si="11"/>
        <v>111</v>
      </c>
    </row>
    <row r="374" spans="1:23" s="29" customFormat="1" ht="21" customHeight="1">
      <c r="A374" s="34"/>
      <c r="B374" s="31"/>
      <c r="C374" s="32"/>
      <c r="D374" s="18" t="s">
        <v>155</v>
      </c>
      <c r="E374" s="19" t="s">
        <v>41</v>
      </c>
      <c r="F374" s="20">
        <v>2.9990000000000001</v>
      </c>
      <c r="G374" s="19">
        <v>375</v>
      </c>
      <c r="H374" s="20">
        <v>110</v>
      </c>
      <c r="I374" s="19" t="s">
        <v>71</v>
      </c>
      <c r="J374" s="20">
        <v>3543</v>
      </c>
      <c r="K374" s="21">
        <v>7928</v>
      </c>
      <c r="L374" s="21">
        <v>4275</v>
      </c>
      <c r="M374" s="21" t="s">
        <v>31</v>
      </c>
      <c r="N374" s="22">
        <v>8</v>
      </c>
      <c r="O374" s="23">
        <f t="shared" si="10"/>
        <v>323.27749999999997</v>
      </c>
      <c r="P374" s="24">
        <v>7.24</v>
      </c>
      <c r="Q374" s="25" t="s">
        <v>43</v>
      </c>
      <c r="R374" s="26" t="s">
        <v>33</v>
      </c>
      <c r="S374" s="26" t="s">
        <v>34</v>
      </c>
      <c r="T374" s="26"/>
      <c r="U374" s="27"/>
      <c r="V374" s="28">
        <f t="shared" si="11"/>
        <v>110</v>
      </c>
    </row>
    <row r="375" spans="1:23" s="29" customFormat="1" ht="21" customHeight="1">
      <c r="A375" s="34"/>
      <c r="B375" s="31"/>
      <c r="C375" s="32"/>
      <c r="D375" s="18" t="s">
        <v>155</v>
      </c>
      <c r="E375" s="19" t="s">
        <v>41</v>
      </c>
      <c r="F375" s="20">
        <v>2.9990000000000001</v>
      </c>
      <c r="G375" s="19">
        <v>430</v>
      </c>
      <c r="H375" s="20">
        <v>129</v>
      </c>
      <c r="I375" s="19" t="s">
        <v>71</v>
      </c>
      <c r="J375" s="20">
        <v>3543</v>
      </c>
      <c r="K375" s="21">
        <v>7928</v>
      </c>
      <c r="L375" s="21">
        <v>4275</v>
      </c>
      <c r="M375" s="21" t="s">
        <v>31</v>
      </c>
      <c r="N375" s="22">
        <v>8</v>
      </c>
      <c r="O375" s="23">
        <f t="shared" si="10"/>
        <v>323.27749999999997</v>
      </c>
      <c r="P375" s="24">
        <v>7.24</v>
      </c>
      <c r="Q375" s="25" t="s">
        <v>63</v>
      </c>
      <c r="R375" s="26" t="s">
        <v>33</v>
      </c>
      <c r="S375" s="26" t="s">
        <v>34</v>
      </c>
      <c r="T375" s="26"/>
      <c r="U375" s="27"/>
      <c r="V375" s="28">
        <f t="shared" si="11"/>
        <v>110</v>
      </c>
    </row>
    <row r="376" spans="1:23" s="29" customFormat="1" ht="21" customHeight="1">
      <c r="A376" s="30"/>
      <c r="B376" s="31"/>
      <c r="C376" s="32"/>
      <c r="D376" s="18" t="s">
        <v>156</v>
      </c>
      <c r="E376" s="19" t="s">
        <v>157</v>
      </c>
      <c r="F376" s="20">
        <v>2.9990000000000001</v>
      </c>
      <c r="G376" s="19">
        <v>430</v>
      </c>
      <c r="H376" s="20">
        <v>129</v>
      </c>
      <c r="I376" s="19" t="s">
        <v>30</v>
      </c>
      <c r="J376" s="20">
        <v>3543</v>
      </c>
      <c r="K376" s="21">
        <v>7928</v>
      </c>
      <c r="L376" s="21">
        <v>4275</v>
      </c>
      <c r="M376" s="44" t="s">
        <v>31</v>
      </c>
      <c r="N376" s="45">
        <v>8.1999999999999993</v>
      </c>
      <c r="O376" s="23">
        <f t="shared" si="10"/>
        <v>315.39268292682931</v>
      </c>
      <c r="P376" s="46">
        <v>7.24</v>
      </c>
      <c r="Q376" s="47" t="s">
        <v>62</v>
      </c>
      <c r="R376" s="26" t="s">
        <v>33</v>
      </c>
      <c r="S376" s="48" t="s">
        <v>34</v>
      </c>
      <c r="T376" s="26"/>
      <c r="U376" s="49"/>
      <c r="V376" s="28">
        <f t="shared" si="11"/>
        <v>113</v>
      </c>
      <c r="W376" s="40"/>
    </row>
    <row r="377" spans="1:23" s="29" customFormat="1" ht="21" customHeight="1">
      <c r="A377" s="30"/>
      <c r="B377" s="31"/>
      <c r="C377" s="32"/>
      <c r="D377" s="18" t="s">
        <v>156</v>
      </c>
      <c r="E377" s="19" t="s">
        <v>157</v>
      </c>
      <c r="F377" s="20">
        <v>2.9990000000000001</v>
      </c>
      <c r="G377" s="19">
        <v>375</v>
      </c>
      <c r="H377" s="20">
        <v>110</v>
      </c>
      <c r="I377" s="19" t="s">
        <v>30</v>
      </c>
      <c r="J377" s="20">
        <v>3543</v>
      </c>
      <c r="K377" s="21">
        <v>7928</v>
      </c>
      <c r="L377" s="21">
        <v>4275</v>
      </c>
      <c r="M377" s="44" t="s">
        <v>31</v>
      </c>
      <c r="N377" s="45">
        <v>8.1</v>
      </c>
      <c r="O377" s="23">
        <f t="shared" si="10"/>
        <v>319.28641975308642</v>
      </c>
      <c r="P377" s="46">
        <v>7.24</v>
      </c>
      <c r="Q377" s="47" t="s">
        <v>62</v>
      </c>
      <c r="R377" s="26" t="s">
        <v>33</v>
      </c>
      <c r="S377" s="48" t="s">
        <v>34</v>
      </c>
      <c r="T377" s="26"/>
      <c r="U377" s="49"/>
      <c r="V377" s="28">
        <f t="shared" si="11"/>
        <v>111</v>
      </c>
      <c r="W377" s="40"/>
    </row>
    <row r="378" spans="1:23" s="29" customFormat="1" ht="21" customHeight="1">
      <c r="A378" s="30"/>
      <c r="B378" s="31"/>
      <c r="C378" s="32"/>
      <c r="D378" s="18" t="s">
        <v>156</v>
      </c>
      <c r="E378" s="19" t="s">
        <v>157</v>
      </c>
      <c r="F378" s="20">
        <v>2.9990000000000001</v>
      </c>
      <c r="G378" s="19">
        <v>430</v>
      </c>
      <c r="H378" s="20">
        <v>129</v>
      </c>
      <c r="I378" s="19" t="s">
        <v>30</v>
      </c>
      <c r="J378" s="20">
        <v>3543</v>
      </c>
      <c r="K378" s="21">
        <v>7928</v>
      </c>
      <c r="L378" s="21">
        <v>4275</v>
      </c>
      <c r="M378" s="44" t="s">
        <v>31</v>
      </c>
      <c r="N378" s="45">
        <v>8</v>
      </c>
      <c r="O378" s="23">
        <f t="shared" si="10"/>
        <v>323.27749999999997</v>
      </c>
      <c r="P378" s="46">
        <v>7.24</v>
      </c>
      <c r="Q378" s="47" t="s">
        <v>77</v>
      </c>
      <c r="R378" s="26" t="s">
        <v>33</v>
      </c>
      <c r="S378" s="48" t="s">
        <v>34</v>
      </c>
      <c r="T378" s="26"/>
      <c r="U378" s="49"/>
      <c r="V378" s="28">
        <f t="shared" si="11"/>
        <v>110</v>
      </c>
      <c r="W378" s="40"/>
    </row>
    <row r="379" spans="1:23" s="29" customFormat="1" ht="21" customHeight="1">
      <c r="A379" s="30"/>
      <c r="B379" s="31"/>
      <c r="C379" s="32"/>
      <c r="D379" s="18" t="s">
        <v>158</v>
      </c>
      <c r="E379" s="19" t="s">
        <v>157</v>
      </c>
      <c r="F379" s="20">
        <v>2.9990000000000001</v>
      </c>
      <c r="G379" s="19">
        <v>375</v>
      </c>
      <c r="H379" s="20">
        <v>110</v>
      </c>
      <c r="I379" s="19" t="s">
        <v>30</v>
      </c>
      <c r="J379" s="20">
        <v>3543</v>
      </c>
      <c r="K379" s="21">
        <v>7928</v>
      </c>
      <c r="L379" s="21">
        <v>4275</v>
      </c>
      <c r="M379" s="44" t="s">
        <v>31</v>
      </c>
      <c r="N379" s="45">
        <v>8.1</v>
      </c>
      <c r="O379" s="23">
        <f t="shared" si="10"/>
        <v>319.28641975308642</v>
      </c>
      <c r="P379" s="46">
        <v>7.24</v>
      </c>
      <c r="Q379" s="47" t="s">
        <v>62</v>
      </c>
      <c r="R379" s="26" t="s">
        <v>33</v>
      </c>
      <c r="S379" s="48" t="s">
        <v>34</v>
      </c>
      <c r="T379" s="26"/>
      <c r="U379" s="49"/>
      <c r="V379" s="28">
        <f t="shared" si="11"/>
        <v>111</v>
      </c>
      <c r="W379" s="40"/>
    </row>
    <row r="380" spans="1:23" s="29" customFormat="1" ht="21" customHeight="1">
      <c r="A380" s="34"/>
      <c r="B380" s="31"/>
      <c r="C380" s="32"/>
      <c r="D380" s="18" t="s">
        <v>159</v>
      </c>
      <c r="E380" s="19" t="s">
        <v>41</v>
      </c>
      <c r="F380" s="20">
        <v>2.9990000000000001</v>
      </c>
      <c r="G380" s="19">
        <v>375</v>
      </c>
      <c r="H380" s="20">
        <v>110</v>
      </c>
      <c r="I380" s="19" t="s">
        <v>71</v>
      </c>
      <c r="J380" s="20">
        <v>3543</v>
      </c>
      <c r="K380" s="21">
        <v>7928</v>
      </c>
      <c r="L380" s="21">
        <v>4275</v>
      </c>
      <c r="M380" s="21" t="s">
        <v>31</v>
      </c>
      <c r="N380" s="22">
        <v>7.9</v>
      </c>
      <c r="O380" s="23">
        <f t="shared" si="10"/>
        <v>327.3696202531645</v>
      </c>
      <c r="P380" s="24">
        <v>7.24</v>
      </c>
      <c r="Q380" s="25" t="s">
        <v>63</v>
      </c>
      <c r="R380" s="26" t="s">
        <v>33</v>
      </c>
      <c r="S380" s="26" t="s">
        <v>34</v>
      </c>
      <c r="T380" s="26"/>
      <c r="U380" s="27"/>
      <c r="V380" s="28">
        <f t="shared" si="11"/>
        <v>109</v>
      </c>
    </row>
    <row r="381" spans="1:23" s="29" customFormat="1" ht="21" customHeight="1">
      <c r="A381" s="30"/>
      <c r="B381" s="31"/>
      <c r="C381" s="32"/>
      <c r="D381" s="18" t="s">
        <v>160</v>
      </c>
      <c r="E381" s="19" t="s">
        <v>157</v>
      </c>
      <c r="F381" s="20">
        <v>2.9990000000000001</v>
      </c>
      <c r="G381" s="19">
        <v>375</v>
      </c>
      <c r="H381" s="20">
        <v>110</v>
      </c>
      <c r="I381" s="19" t="s">
        <v>30</v>
      </c>
      <c r="J381" s="20">
        <v>3543</v>
      </c>
      <c r="K381" s="21">
        <v>7928</v>
      </c>
      <c r="L381" s="21">
        <v>4275</v>
      </c>
      <c r="M381" s="44" t="s">
        <v>31</v>
      </c>
      <c r="N381" s="45">
        <v>7.9</v>
      </c>
      <c r="O381" s="23">
        <f t="shared" si="10"/>
        <v>327.3696202531645</v>
      </c>
      <c r="P381" s="46">
        <v>7.24</v>
      </c>
      <c r="Q381" s="47" t="s">
        <v>77</v>
      </c>
      <c r="R381" s="26" t="s">
        <v>33</v>
      </c>
      <c r="S381" s="48" t="s">
        <v>34</v>
      </c>
      <c r="T381" s="26"/>
      <c r="U381" s="49"/>
      <c r="V381" s="28">
        <f t="shared" si="11"/>
        <v>109</v>
      </c>
      <c r="W381" s="40"/>
    </row>
    <row r="382" spans="1:23" s="29" customFormat="1" ht="21" customHeight="1">
      <c r="A382" s="34"/>
      <c r="B382" s="31"/>
      <c r="C382" s="32"/>
      <c r="D382" s="18" t="s">
        <v>161</v>
      </c>
      <c r="E382" s="19" t="s">
        <v>41</v>
      </c>
      <c r="F382" s="20">
        <v>2.9990000000000001</v>
      </c>
      <c r="G382" s="19">
        <v>375</v>
      </c>
      <c r="H382" s="20">
        <v>110</v>
      </c>
      <c r="I382" s="19" t="s">
        <v>71</v>
      </c>
      <c r="J382" s="20">
        <v>3543</v>
      </c>
      <c r="K382" s="21">
        <v>7928</v>
      </c>
      <c r="L382" s="21">
        <v>4275</v>
      </c>
      <c r="M382" s="21" t="s">
        <v>31</v>
      </c>
      <c r="N382" s="22">
        <v>7.9</v>
      </c>
      <c r="O382" s="23">
        <f t="shared" si="10"/>
        <v>327.3696202531645</v>
      </c>
      <c r="P382" s="24">
        <v>7.24</v>
      </c>
      <c r="Q382" s="25" t="s">
        <v>63</v>
      </c>
      <c r="R382" s="26" t="s">
        <v>33</v>
      </c>
      <c r="S382" s="26" t="s">
        <v>34</v>
      </c>
      <c r="T382" s="26"/>
      <c r="U382" s="27"/>
      <c r="V382" s="28">
        <f t="shared" si="11"/>
        <v>109</v>
      </c>
    </row>
    <row r="383" spans="1:23" s="29" customFormat="1" ht="21" customHeight="1">
      <c r="A383" s="34"/>
      <c r="B383" s="31"/>
      <c r="C383" s="32"/>
      <c r="D383" s="18" t="s">
        <v>161</v>
      </c>
      <c r="E383" s="19" t="s">
        <v>41</v>
      </c>
      <c r="F383" s="20">
        <v>2.9990000000000001</v>
      </c>
      <c r="G383" s="19">
        <v>430</v>
      </c>
      <c r="H383" s="20">
        <v>129</v>
      </c>
      <c r="I383" s="19" t="s">
        <v>42</v>
      </c>
      <c r="J383" s="20">
        <v>3543</v>
      </c>
      <c r="K383" s="21">
        <v>7928</v>
      </c>
      <c r="L383" s="21">
        <v>4275</v>
      </c>
      <c r="M383" s="21" t="s">
        <v>31</v>
      </c>
      <c r="N383" s="22">
        <v>7.9</v>
      </c>
      <c r="O383" s="23">
        <f t="shared" si="10"/>
        <v>327.3696202531645</v>
      </c>
      <c r="P383" s="24">
        <v>7.24</v>
      </c>
      <c r="Q383" s="25" t="s">
        <v>63</v>
      </c>
      <c r="R383" s="26" t="s">
        <v>33</v>
      </c>
      <c r="S383" s="26" t="s">
        <v>34</v>
      </c>
      <c r="T383" s="26"/>
      <c r="U383" s="27"/>
      <c r="V383" s="28">
        <f t="shared" si="11"/>
        <v>109</v>
      </c>
    </row>
    <row r="384" spans="1:23" s="29" customFormat="1" ht="21" customHeight="1">
      <c r="A384" s="34"/>
      <c r="B384" s="31"/>
      <c r="C384" s="32"/>
      <c r="D384" s="18" t="s">
        <v>162</v>
      </c>
      <c r="E384" s="19" t="s">
        <v>41</v>
      </c>
      <c r="F384" s="20">
        <v>2.9990000000000001</v>
      </c>
      <c r="G384" s="19">
        <v>375</v>
      </c>
      <c r="H384" s="20">
        <v>110</v>
      </c>
      <c r="I384" s="19" t="s">
        <v>71</v>
      </c>
      <c r="J384" s="20">
        <v>3543</v>
      </c>
      <c r="K384" s="21">
        <v>7928</v>
      </c>
      <c r="L384" s="20">
        <v>4275</v>
      </c>
      <c r="M384" s="21" t="s">
        <v>31</v>
      </c>
      <c r="N384" s="22">
        <v>7.9</v>
      </c>
      <c r="O384" s="23">
        <f t="shared" si="10"/>
        <v>327.3696202531645</v>
      </c>
      <c r="P384" s="24">
        <v>7.24</v>
      </c>
      <c r="Q384" s="25" t="s">
        <v>63</v>
      </c>
      <c r="R384" s="26" t="s">
        <v>33</v>
      </c>
      <c r="S384" s="26" t="s">
        <v>34</v>
      </c>
      <c r="T384" s="26"/>
      <c r="U384" s="27"/>
      <c r="V384" s="28">
        <f t="shared" si="11"/>
        <v>109</v>
      </c>
    </row>
    <row r="385" spans="1:24" s="29" customFormat="1" ht="21" customHeight="1">
      <c r="A385" s="34"/>
      <c r="B385" s="31"/>
      <c r="C385" s="32"/>
      <c r="D385" s="18" t="s">
        <v>162</v>
      </c>
      <c r="E385" s="19" t="s">
        <v>41</v>
      </c>
      <c r="F385" s="20">
        <v>2.9990000000000001</v>
      </c>
      <c r="G385" s="19">
        <v>430</v>
      </c>
      <c r="H385" s="20">
        <v>129</v>
      </c>
      <c r="I385" s="19" t="s">
        <v>42</v>
      </c>
      <c r="J385" s="20">
        <v>3543</v>
      </c>
      <c r="K385" s="21">
        <v>7928</v>
      </c>
      <c r="L385" s="21">
        <v>4275</v>
      </c>
      <c r="M385" s="21" t="s">
        <v>31</v>
      </c>
      <c r="N385" s="22">
        <v>7.9</v>
      </c>
      <c r="O385" s="23">
        <f t="shared" si="10"/>
        <v>327.3696202531645</v>
      </c>
      <c r="P385" s="24">
        <v>7.24</v>
      </c>
      <c r="Q385" s="25" t="s">
        <v>63</v>
      </c>
      <c r="R385" s="26" t="s">
        <v>33</v>
      </c>
      <c r="S385" s="26" t="s">
        <v>34</v>
      </c>
      <c r="T385" s="26"/>
      <c r="U385" s="27"/>
      <c r="V385" s="28">
        <f t="shared" si="11"/>
        <v>109</v>
      </c>
    </row>
    <row r="386" spans="1:24" s="29" customFormat="1" ht="21" customHeight="1">
      <c r="A386" s="30"/>
      <c r="B386" s="31"/>
      <c r="C386" s="32"/>
      <c r="D386" s="18" t="s">
        <v>163</v>
      </c>
      <c r="E386" s="19" t="s">
        <v>157</v>
      </c>
      <c r="F386" s="20">
        <v>2.9990000000000001</v>
      </c>
      <c r="G386" s="19">
        <v>375</v>
      </c>
      <c r="H386" s="20">
        <v>110</v>
      </c>
      <c r="I386" s="19" t="s">
        <v>30</v>
      </c>
      <c r="J386" s="20">
        <v>3543</v>
      </c>
      <c r="K386" s="21">
        <v>7928</v>
      </c>
      <c r="L386" s="21">
        <v>4275</v>
      </c>
      <c r="M386" s="44" t="s">
        <v>31</v>
      </c>
      <c r="N386" s="45">
        <v>7.9</v>
      </c>
      <c r="O386" s="23">
        <f t="shared" si="10"/>
        <v>327.3696202531645</v>
      </c>
      <c r="P386" s="46">
        <v>7.24</v>
      </c>
      <c r="Q386" s="25" t="s">
        <v>63</v>
      </c>
      <c r="R386" s="26" t="s">
        <v>33</v>
      </c>
      <c r="S386" s="48" t="s">
        <v>34</v>
      </c>
      <c r="T386" s="26"/>
      <c r="U386" s="49"/>
      <c r="V386" s="28">
        <f t="shared" si="11"/>
        <v>109</v>
      </c>
      <c r="W386" s="40"/>
    </row>
    <row r="387" spans="1:24" s="29" customFormat="1" ht="21" customHeight="1">
      <c r="A387" s="50"/>
      <c r="B387" s="16"/>
      <c r="C387" s="51" t="s">
        <v>164</v>
      </c>
      <c r="D387" s="18" t="s">
        <v>165</v>
      </c>
      <c r="E387" s="19" t="s">
        <v>166</v>
      </c>
      <c r="F387" s="20">
        <v>5.1929999999999996</v>
      </c>
      <c r="G387" s="19">
        <v>515</v>
      </c>
      <c r="H387" s="20">
        <v>140</v>
      </c>
      <c r="I387" s="19" t="s">
        <v>71</v>
      </c>
      <c r="J387" s="20">
        <v>2979</v>
      </c>
      <c r="K387" s="21">
        <v>6893</v>
      </c>
      <c r="L387" s="21">
        <v>3749</v>
      </c>
      <c r="M387" s="21" t="s">
        <v>167</v>
      </c>
      <c r="N387" s="45">
        <v>8.8000000000000007</v>
      </c>
      <c r="O387" s="23">
        <f t="shared" si="10"/>
        <v>293.88863636363635</v>
      </c>
      <c r="P387" s="46">
        <v>8.1199999999999992</v>
      </c>
      <c r="Q387" s="25" t="s">
        <v>43</v>
      </c>
      <c r="R387" s="26" t="s">
        <v>33</v>
      </c>
      <c r="S387" s="26" t="s">
        <v>34</v>
      </c>
      <c r="T387" s="26"/>
      <c r="U387" s="49"/>
      <c r="V387" s="28">
        <f t="shared" si="11"/>
        <v>108</v>
      </c>
      <c r="W387" s="40"/>
    </row>
    <row r="388" spans="1:24" s="29" customFormat="1" ht="21" customHeight="1">
      <c r="A388" s="50"/>
      <c r="B388" s="31"/>
      <c r="C388" s="32"/>
      <c r="D388" s="18" t="s">
        <v>165</v>
      </c>
      <c r="E388" s="19" t="s">
        <v>166</v>
      </c>
      <c r="F388" s="20">
        <v>5.1929999999999996</v>
      </c>
      <c r="G388" s="19">
        <v>515</v>
      </c>
      <c r="H388" s="20">
        <v>140</v>
      </c>
      <c r="I388" s="19" t="s">
        <v>71</v>
      </c>
      <c r="J388" s="20">
        <v>3543</v>
      </c>
      <c r="K388" s="21">
        <v>7928</v>
      </c>
      <c r="L388" s="21">
        <v>4275</v>
      </c>
      <c r="M388" s="21" t="s">
        <v>167</v>
      </c>
      <c r="N388" s="45">
        <v>7.7</v>
      </c>
      <c r="O388" s="23">
        <f t="shared" si="10"/>
        <v>335.87272727272722</v>
      </c>
      <c r="P388" s="46">
        <v>7.24</v>
      </c>
      <c r="Q388" s="25" t="s">
        <v>77</v>
      </c>
      <c r="R388" s="26" t="s">
        <v>33</v>
      </c>
      <c r="S388" s="26" t="s">
        <v>34</v>
      </c>
      <c r="T388" s="26"/>
      <c r="U388" s="49"/>
      <c r="V388" s="28">
        <f t="shared" si="11"/>
        <v>106</v>
      </c>
      <c r="W388" s="40"/>
    </row>
    <row r="389" spans="1:24" s="29" customFormat="1" ht="21" customHeight="1">
      <c r="A389" s="50"/>
      <c r="B389" s="31"/>
      <c r="C389" s="32"/>
      <c r="D389" s="18" t="s">
        <v>168</v>
      </c>
      <c r="E389" s="19" t="s">
        <v>166</v>
      </c>
      <c r="F389" s="20">
        <v>5.1929999999999996</v>
      </c>
      <c r="G389" s="19" t="s">
        <v>169</v>
      </c>
      <c r="H389" s="20" t="s">
        <v>170</v>
      </c>
      <c r="I389" s="19" t="s">
        <v>71</v>
      </c>
      <c r="J389" s="20">
        <v>2979</v>
      </c>
      <c r="K389" s="21">
        <v>6893</v>
      </c>
      <c r="L389" s="21">
        <v>3749</v>
      </c>
      <c r="M389" s="21" t="s">
        <v>31</v>
      </c>
      <c r="N389" s="22">
        <v>8.8000000000000007</v>
      </c>
      <c r="O389" s="23">
        <f t="shared" si="10"/>
        <v>293.88863636363635</v>
      </c>
      <c r="P389" s="24">
        <v>8.1199999999999992</v>
      </c>
      <c r="Q389" s="25" t="s">
        <v>43</v>
      </c>
      <c r="R389" s="26" t="s">
        <v>33</v>
      </c>
      <c r="S389" s="26" t="s">
        <v>34</v>
      </c>
      <c r="T389" s="26"/>
      <c r="U389" s="49"/>
      <c r="V389" s="28">
        <f t="shared" si="11"/>
        <v>108</v>
      </c>
      <c r="W389" s="37"/>
      <c r="X389" s="37"/>
    </row>
    <row r="390" spans="1:24" s="29" customFormat="1" ht="21" customHeight="1">
      <c r="A390" s="50"/>
      <c r="B390" s="31"/>
      <c r="C390" s="32"/>
      <c r="D390" s="18" t="s">
        <v>168</v>
      </c>
      <c r="E390" s="19" t="s">
        <v>166</v>
      </c>
      <c r="F390" s="20">
        <v>5.1929999999999996</v>
      </c>
      <c r="G390" s="19" t="s">
        <v>169</v>
      </c>
      <c r="H390" s="20" t="s">
        <v>170</v>
      </c>
      <c r="I390" s="19" t="s">
        <v>71</v>
      </c>
      <c r="J390" s="20">
        <v>3543</v>
      </c>
      <c r="K390" s="21">
        <v>7928</v>
      </c>
      <c r="L390" s="21">
        <v>4275</v>
      </c>
      <c r="M390" s="21" t="s">
        <v>31</v>
      </c>
      <c r="N390" s="22">
        <v>7.7</v>
      </c>
      <c r="O390" s="23">
        <f t="shared" si="10"/>
        <v>335.87272727272722</v>
      </c>
      <c r="P390" s="24">
        <v>7.24</v>
      </c>
      <c r="Q390" s="25" t="s">
        <v>63</v>
      </c>
      <c r="R390" s="26" t="s">
        <v>33</v>
      </c>
      <c r="S390" s="26" t="s">
        <v>34</v>
      </c>
      <c r="T390" s="26"/>
      <c r="U390" s="49"/>
      <c r="V390" s="28">
        <f t="shared" si="11"/>
        <v>106</v>
      </c>
      <c r="W390" s="37"/>
      <c r="X390" s="37"/>
    </row>
    <row r="391" spans="1:24" s="29" customFormat="1" ht="21" customHeight="1">
      <c r="A391" s="50"/>
      <c r="B391" s="31"/>
      <c r="C391" s="32"/>
      <c r="D391" s="18" t="s">
        <v>171</v>
      </c>
      <c r="E391" s="19" t="s">
        <v>166</v>
      </c>
      <c r="F391" s="20">
        <v>5.1929999999999996</v>
      </c>
      <c r="G391" s="19">
        <v>515</v>
      </c>
      <c r="H391" s="20">
        <v>140</v>
      </c>
      <c r="I391" s="19" t="s">
        <v>71</v>
      </c>
      <c r="J391" s="20">
        <v>2979</v>
      </c>
      <c r="K391" s="21">
        <v>6893</v>
      </c>
      <c r="L391" s="21">
        <v>3749</v>
      </c>
      <c r="M391" s="21" t="s">
        <v>167</v>
      </c>
      <c r="N391" s="45">
        <v>8.5</v>
      </c>
      <c r="O391" s="23">
        <f t="shared" si="10"/>
        <v>304.26117647058823</v>
      </c>
      <c r="P391" s="46">
        <v>8.1199999999999992</v>
      </c>
      <c r="Q391" s="25" t="s">
        <v>77</v>
      </c>
      <c r="R391" s="26" t="s">
        <v>33</v>
      </c>
      <c r="S391" s="26" t="s">
        <v>34</v>
      </c>
      <c r="T391" s="26"/>
      <c r="U391" s="49"/>
      <c r="V391" s="28">
        <f t="shared" si="11"/>
        <v>104</v>
      </c>
      <c r="W391" s="40"/>
    </row>
    <row r="392" spans="1:24" s="29" customFormat="1" ht="21" customHeight="1">
      <c r="A392" s="50"/>
      <c r="B392" s="31"/>
      <c r="C392" s="32"/>
      <c r="D392" s="18" t="s">
        <v>172</v>
      </c>
      <c r="E392" s="19" t="s">
        <v>166</v>
      </c>
      <c r="F392" s="20">
        <v>5.1929999999999996</v>
      </c>
      <c r="G392" s="19" t="s">
        <v>169</v>
      </c>
      <c r="H392" s="20" t="s">
        <v>170</v>
      </c>
      <c r="I392" s="19" t="s">
        <v>71</v>
      </c>
      <c r="J392" s="20">
        <v>2979</v>
      </c>
      <c r="K392" s="21">
        <v>6893</v>
      </c>
      <c r="L392" s="21">
        <v>3749</v>
      </c>
      <c r="M392" s="21" t="s">
        <v>31</v>
      </c>
      <c r="N392" s="22">
        <v>8.5</v>
      </c>
      <c r="O392" s="23">
        <f t="shared" si="10"/>
        <v>304.26117647058823</v>
      </c>
      <c r="P392" s="24">
        <v>8.1199999999999992</v>
      </c>
      <c r="Q392" s="25" t="s">
        <v>63</v>
      </c>
      <c r="R392" s="26" t="s">
        <v>33</v>
      </c>
      <c r="S392" s="26" t="s">
        <v>34</v>
      </c>
      <c r="T392" s="26"/>
      <c r="U392" s="49"/>
      <c r="V392" s="28">
        <f t="shared" si="11"/>
        <v>104</v>
      </c>
      <c r="W392" s="37"/>
      <c r="X392" s="37"/>
    </row>
    <row r="393" spans="1:24" s="29" customFormat="1" ht="21" customHeight="1">
      <c r="A393" s="50"/>
      <c r="B393" s="31"/>
      <c r="C393" s="32"/>
      <c r="D393" s="18" t="s">
        <v>173</v>
      </c>
      <c r="E393" s="19" t="s">
        <v>166</v>
      </c>
      <c r="F393" s="20">
        <v>5.1929999999999996</v>
      </c>
      <c r="G393" s="19">
        <v>706</v>
      </c>
      <c r="H393" s="20">
        <v>154</v>
      </c>
      <c r="I393" s="19" t="s">
        <v>71</v>
      </c>
      <c r="J393" s="20">
        <v>3543</v>
      </c>
      <c r="K393" s="21">
        <v>7928</v>
      </c>
      <c r="L393" s="21">
        <v>4275</v>
      </c>
      <c r="M393" s="21" t="s">
        <v>167</v>
      </c>
      <c r="N393" s="45">
        <v>8.1</v>
      </c>
      <c r="O393" s="23">
        <f t="shared" ref="O393:O456" si="12">IF(N393&gt;0,1/N393*37.7*68.6,"")</f>
        <v>319.28641975308642</v>
      </c>
      <c r="P393" s="46">
        <v>7.24</v>
      </c>
      <c r="Q393" s="25" t="s">
        <v>43</v>
      </c>
      <c r="R393" s="26" t="s">
        <v>33</v>
      </c>
      <c r="S393" s="26" t="s">
        <v>34</v>
      </c>
      <c r="T393" s="26"/>
      <c r="U393" s="49"/>
      <c r="V393" s="28">
        <f t="shared" ref="V393:V456" si="13">IFERROR(IF(N393&lt;P393,"",(ROUNDDOWN(N393/P393*100,0))),"")</f>
        <v>111</v>
      </c>
      <c r="W393" s="40"/>
    </row>
    <row r="394" spans="1:24" s="29" customFormat="1" ht="21" customHeight="1">
      <c r="A394" s="50"/>
      <c r="B394" s="31"/>
      <c r="C394" s="32"/>
      <c r="D394" s="18" t="s">
        <v>173</v>
      </c>
      <c r="E394" s="19" t="s">
        <v>166</v>
      </c>
      <c r="F394" s="20">
        <v>5.1929999999999996</v>
      </c>
      <c r="G394" s="19">
        <v>765</v>
      </c>
      <c r="H394" s="20">
        <v>177</v>
      </c>
      <c r="I394" s="19" t="s">
        <v>71</v>
      </c>
      <c r="J394" s="20">
        <v>3543</v>
      </c>
      <c r="K394" s="21">
        <v>7928</v>
      </c>
      <c r="L394" s="21">
        <v>4275</v>
      </c>
      <c r="M394" s="21" t="s">
        <v>167</v>
      </c>
      <c r="N394" s="45">
        <v>8</v>
      </c>
      <c r="O394" s="23">
        <f t="shared" si="12"/>
        <v>323.27749999999997</v>
      </c>
      <c r="P394" s="46">
        <v>7.24</v>
      </c>
      <c r="Q394" s="25" t="s">
        <v>43</v>
      </c>
      <c r="R394" s="26" t="s">
        <v>33</v>
      </c>
      <c r="S394" s="26" t="s">
        <v>34</v>
      </c>
      <c r="T394" s="26"/>
      <c r="U394" s="49"/>
      <c r="V394" s="28">
        <f t="shared" si="13"/>
        <v>110</v>
      </c>
      <c r="W394" s="40"/>
    </row>
    <row r="395" spans="1:24" s="29" customFormat="1" ht="21" customHeight="1">
      <c r="A395" s="50"/>
      <c r="B395" s="31"/>
      <c r="C395" s="32"/>
      <c r="D395" s="18" t="s">
        <v>174</v>
      </c>
      <c r="E395" s="19" t="s">
        <v>166</v>
      </c>
      <c r="F395" s="20">
        <v>5.1929999999999996</v>
      </c>
      <c r="G395" s="19" t="s">
        <v>175</v>
      </c>
      <c r="H395" s="20" t="s">
        <v>176</v>
      </c>
      <c r="I395" s="19" t="s">
        <v>71</v>
      </c>
      <c r="J395" s="20">
        <v>3543</v>
      </c>
      <c r="K395" s="21">
        <v>7928</v>
      </c>
      <c r="L395" s="21">
        <v>4275</v>
      </c>
      <c r="M395" s="21" t="s">
        <v>31</v>
      </c>
      <c r="N395" s="22">
        <v>8.1</v>
      </c>
      <c r="O395" s="23">
        <f t="shared" si="12"/>
        <v>319.28641975308642</v>
      </c>
      <c r="P395" s="24">
        <v>7.24</v>
      </c>
      <c r="Q395" s="25" t="s">
        <v>43</v>
      </c>
      <c r="R395" s="26" t="s">
        <v>33</v>
      </c>
      <c r="S395" s="26" t="s">
        <v>34</v>
      </c>
      <c r="T395" s="26"/>
      <c r="U395" s="49"/>
      <c r="V395" s="28">
        <f t="shared" si="13"/>
        <v>111</v>
      </c>
      <c r="W395" s="37"/>
      <c r="X395" s="37"/>
    </row>
    <row r="396" spans="1:24" s="29" customFormat="1" ht="21" customHeight="1">
      <c r="A396" s="50"/>
      <c r="B396" s="31"/>
      <c r="C396" s="32"/>
      <c r="D396" s="18" t="s">
        <v>174</v>
      </c>
      <c r="E396" s="19" t="s">
        <v>166</v>
      </c>
      <c r="F396" s="20">
        <v>5.1929999999999996</v>
      </c>
      <c r="G396" s="19" t="s">
        <v>177</v>
      </c>
      <c r="H396" s="20" t="s">
        <v>178</v>
      </c>
      <c r="I396" s="19" t="s">
        <v>71</v>
      </c>
      <c r="J396" s="20">
        <v>3543</v>
      </c>
      <c r="K396" s="21">
        <v>7928</v>
      </c>
      <c r="L396" s="21">
        <v>4275</v>
      </c>
      <c r="M396" s="21" t="s">
        <v>31</v>
      </c>
      <c r="N396" s="22">
        <v>8</v>
      </c>
      <c r="O396" s="23">
        <f t="shared" si="12"/>
        <v>323.27749999999997</v>
      </c>
      <c r="P396" s="24">
        <v>7.24</v>
      </c>
      <c r="Q396" s="25" t="s">
        <v>43</v>
      </c>
      <c r="R396" s="26" t="s">
        <v>33</v>
      </c>
      <c r="S396" s="26" t="s">
        <v>34</v>
      </c>
      <c r="T396" s="26"/>
      <c r="U396" s="49"/>
      <c r="V396" s="28">
        <f t="shared" si="13"/>
        <v>110</v>
      </c>
      <c r="W396" s="37"/>
      <c r="X396" s="37"/>
    </row>
    <row r="397" spans="1:24" s="29" customFormat="1" ht="21" customHeight="1">
      <c r="A397" s="50"/>
      <c r="B397" s="31"/>
      <c r="C397" s="32"/>
      <c r="D397" s="18" t="s">
        <v>179</v>
      </c>
      <c r="E397" s="19" t="s">
        <v>166</v>
      </c>
      <c r="F397" s="20">
        <v>5.1929999999999996</v>
      </c>
      <c r="G397" s="19">
        <v>706</v>
      </c>
      <c r="H397" s="20">
        <v>154</v>
      </c>
      <c r="I397" s="19" t="s">
        <v>71</v>
      </c>
      <c r="J397" s="20">
        <v>3543</v>
      </c>
      <c r="K397" s="21">
        <v>7928</v>
      </c>
      <c r="L397" s="21">
        <v>4275</v>
      </c>
      <c r="M397" s="21" t="s">
        <v>167</v>
      </c>
      <c r="N397" s="45">
        <v>8.1</v>
      </c>
      <c r="O397" s="23">
        <f t="shared" si="12"/>
        <v>319.28641975308642</v>
      </c>
      <c r="P397" s="46">
        <v>7.24</v>
      </c>
      <c r="Q397" s="25" t="s">
        <v>43</v>
      </c>
      <c r="R397" s="26" t="s">
        <v>33</v>
      </c>
      <c r="S397" s="26" t="s">
        <v>34</v>
      </c>
      <c r="T397" s="26"/>
      <c r="U397" s="49"/>
      <c r="V397" s="28">
        <f t="shared" si="13"/>
        <v>111</v>
      </c>
      <c r="W397" s="40"/>
    </row>
    <row r="398" spans="1:24" s="29" customFormat="1" ht="21" customHeight="1">
      <c r="A398" s="50"/>
      <c r="B398" s="31"/>
      <c r="C398" s="32"/>
      <c r="D398" s="18" t="s">
        <v>179</v>
      </c>
      <c r="E398" s="19" t="s">
        <v>166</v>
      </c>
      <c r="F398" s="20">
        <v>5.1929999999999996</v>
      </c>
      <c r="G398" s="19">
        <v>765</v>
      </c>
      <c r="H398" s="20">
        <v>177</v>
      </c>
      <c r="I398" s="19" t="s">
        <v>71</v>
      </c>
      <c r="J398" s="20">
        <v>3543</v>
      </c>
      <c r="K398" s="21">
        <v>7928</v>
      </c>
      <c r="L398" s="21">
        <v>4275</v>
      </c>
      <c r="M398" s="21" t="s">
        <v>167</v>
      </c>
      <c r="N398" s="45">
        <v>8</v>
      </c>
      <c r="O398" s="23">
        <f t="shared" si="12"/>
        <v>323.27749999999997</v>
      </c>
      <c r="P398" s="46">
        <v>7.24</v>
      </c>
      <c r="Q398" s="25" t="s">
        <v>43</v>
      </c>
      <c r="R398" s="26" t="s">
        <v>33</v>
      </c>
      <c r="S398" s="26" t="s">
        <v>34</v>
      </c>
      <c r="T398" s="26"/>
      <c r="U398" s="49"/>
      <c r="V398" s="28">
        <f t="shared" si="13"/>
        <v>110</v>
      </c>
      <c r="W398" s="40"/>
    </row>
    <row r="399" spans="1:24" s="29" customFormat="1" ht="21" customHeight="1">
      <c r="A399" s="50"/>
      <c r="B399" s="31"/>
      <c r="C399" s="32"/>
      <c r="D399" s="18" t="s">
        <v>180</v>
      </c>
      <c r="E399" s="19" t="s">
        <v>166</v>
      </c>
      <c r="F399" s="20">
        <v>5.1929999999999996</v>
      </c>
      <c r="G399" s="19" t="s">
        <v>175</v>
      </c>
      <c r="H399" s="20" t="s">
        <v>176</v>
      </c>
      <c r="I399" s="19" t="s">
        <v>71</v>
      </c>
      <c r="J399" s="20">
        <v>3543</v>
      </c>
      <c r="K399" s="21">
        <v>7928</v>
      </c>
      <c r="L399" s="21">
        <v>4275</v>
      </c>
      <c r="M399" s="21" t="s">
        <v>31</v>
      </c>
      <c r="N399" s="22">
        <v>8.1</v>
      </c>
      <c r="O399" s="23">
        <f t="shared" si="12"/>
        <v>319.28641975308642</v>
      </c>
      <c r="P399" s="24">
        <v>7.24</v>
      </c>
      <c r="Q399" s="25" t="s">
        <v>43</v>
      </c>
      <c r="R399" s="26" t="s">
        <v>33</v>
      </c>
      <c r="S399" s="26" t="s">
        <v>34</v>
      </c>
      <c r="T399" s="26"/>
      <c r="U399" s="49"/>
      <c r="V399" s="28">
        <f t="shared" si="13"/>
        <v>111</v>
      </c>
      <c r="W399" s="37"/>
      <c r="X399" s="37"/>
    </row>
    <row r="400" spans="1:24" s="29" customFormat="1" ht="21" customHeight="1">
      <c r="A400" s="50"/>
      <c r="B400" s="31"/>
      <c r="C400" s="32"/>
      <c r="D400" s="18" t="s">
        <v>180</v>
      </c>
      <c r="E400" s="19" t="s">
        <v>166</v>
      </c>
      <c r="F400" s="20">
        <v>5.1929999999999996</v>
      </c>
      <c r="G400" s="19" t="s">
        <v>177</v>
      </c>
      <c r="H400" s="20" t="s">
        <v>178</v>
      </c>
      <c r="I400" s="19" t="s">
        <v>71</v>
      </c>
      <c r="J400" s="20">
        <v>3543</v>
      </c>
      <c r="K400" s="21">
        <v>7928</v>
      </c>
      <c r="L400" s="21">
        <v>4275</v>
      </c>
      <c r="M400" s="21" t="s">
        <v>31</v>
      </c>
      <c r="N400" s="22">
        <v>8</v>
      </c>
      <c r="O400" s="23">
        <f t="shared" si="12"/>
        <v>323.27749999999997</v>
      </c>
      <c r="P400" s="24">
        <v>7.24</v>
      </c>
      <c r="Q400" s="25" t="s">
        <v>43</v>
      </c>
      <c r="R400" s="26" t="s">
        <v>33</v>
      </c>
      <c r="S400" s="26" t="s">
        <v>34</v>
      </c>
      <c r="T400" s="26"/>
      <c r="U400" s="49"/>
      <c r="V400" s="28">
        <f t="shared" si="13"/>
        <v>110</v>
      </c>
      <c r="W400" s="37"/>
      <c r="X400" s="37"/>
    </row>
    <row r="401" spans="1:24" s="29" customFormat="1" ht="21" customHeight="1">
      <c r="A401" s="34"/>
      <c r="B401" s="31"/>
      <c r="C401" s="32"/>
      <c r="D401" s="18" t="s">
        <v>181</v>
      </c>
      <c r="E401" s="19" t="s">
        <v>182</v>
      </c>
      <c r="F401" s="20">
        <v>5.1929999999999996</v>
      </c>
      <c r="G401" s="19">
        <v>706</v>
      </c>
      <c r="H401" s="20">
        <v>154</v>
      </c>
      <c r="I401" s="19" t="s">
        <v>30</v>
      </c>
      <c r="J401" s="20">
        <v>3543</v>
      </c>
      <c r="K401" s="21">
        <v>7928</v>
      </c>
      <c r="L401" s="21">
        <v>4275</v>
      </c>
      <c r="M401" s="21" t="s">
        <v>31</v>
      </c>
      <c r="N401" s="45">
        <v>8.1</v>
      </c>
      <c r="O401" s="23">
        <f t="shared" si="12"/>
        <v>319.28641975308642</v>
      </c>
      <c r="P401" s="46">
        <v>7.24</v>
      </c>
      <c r="Q401" s="25" t="s">
        <v>62</v>
      </c>
      <c r="R401" s="26" t="s">
        <v>33</v>
      </c>
      <c r="S401" s="26" t="s">
        <v>117</v>
      </c>
      <c r="T401" s="26"/>
      <c r="U401" s="49"/>
      <c r="V401" s="28">
        <f t="shared" si="13"/>
        <v>111</v>
      </c>
    </row>
    <row r="402" spans="1:24" s="29" customFormat="1" ht="21" customHeight="1">
      <c r="A402" s="34"/>
      <c r="B402" s="31"/>
      <c r="C402" s="32"/>
      <c r="D402" s="18" t="s">
        <v>181</v>
      </c>
      <c r="E402" s="19" t="s">
        <v>182</v>
      </c>
      <c r="F402" s="20">
        <v>5.1929999999999996</v>
      </c>
      <c r="G402" s="19">
        <v>765</v>
      </c>
      <c r="H402" s="20">
        <v>177</v>
      </c>
      <c r="I402" s="19" t="s">
        <v>30</v>
      </c>
      <c r="J402" s="20">
        <v>3543</v>
      </c>
      <c r="K402" s="21">
        <v>7928</v>
      </c>
      <c r="L402" s="21">
        <v>4275</v>
      </c>
      <c r="M402" s="21" t="s">
        <v>31</v>
      </c>
      <c r="N402" s="45">
        <v>8</v>
      </c>
      <c r="O402" s="23">
        <f t="shared" si="12"/>
        <v>323.27749999999997</v>
      </c>
      <c r="P402" s="46">
        <v>7.24</v>
      </c>
      <c r="Q402" s="25" t="s">
        <v>62</v>
      </c>
      <c r="R402" s="26" t="s">
        <v>33</v>
      </c>
      <c r="S402" s="26" t="s">
        <v>117</v>
      </c>
      <c r="T402" s="26"/>
      <c r="U402" s="49"/>
      <c r="V402" s="28">
        <f t="shared" si="13"/>
        <v>110</v>
      </c>
    </row>
    <row r="403" spans="1:24" s="29" customFormat="1" ht="21" customHeight="1">
      <c r="A403" s="50"/>
      <c r="B403" s="31"/>
      <c r="C403" s="32"/>
      <c r="D403" s="18" t="s">
        <v>183</v>
      </c>
      <c r="E403" s="19" t="s">
        <v>166</v>
      </c>
      <c r="F403" s="20">
        <v>5.1929999999999996</v>
      </c>
      <c r="G403" s="19" t="s">
        <v>175</v>
      </c>
      <c r="H403" s="20" t="s">
        <v>176</v>
      </c>
      <c r="I403" s="19" t="s">
        <v>71</v>
      </c>
      <c r="J403" s="20">
        <v>3543</v>
      </c>
      <c r="K403" s="21">
        <v>7928</v>
      </c>
      <c r="L403" s="21">
        <v>4275</v>
      </c>
      <c r="M403" s="21" t="s">
        <v>31</v>
      </c>
      <c r="N403" s="22">
        <v>8.1</v>
      </c>
      <c r="O403" s="23">
        <f t="shared" si="12"/>
        <v>319.28641975308642</v>
      </c>
      <c r="P403" s="24">
        <v>7.24</v>
      </c>
      <c r="Q403" s="25" t="s">
        <v>43</v>
      </c>
      <c r="R403" s="26" t="s">
        <v>33</v>
      </c>
      <c r="S403" s="26" t="s">
        <v>34</v>
      </c>
      <c r="T403" s="26"/>
      <c r="U403" s="49"/>
      <c r="V403" s="28">
        <f t="shared" si="13"/>
        <v>111</v>
      </c>
      <c r="W403" s="37"/>
      <c r="X403" s="37"/>
    </row>
    <row r="404" spans="1:24" s="29" customFormat="1" ht="21" customHeight="1">
      <c r="A404" s="50"/>
      <c r="B404" s="31"/>
      <c r="C404" s="32"/>
      <c r="D404" s="18" t="s">
        <v>183</v>
      </c>
      <c r="E404" s="19" t="s">
        <v>166</v>
      </c>
      <c r="F404" s="20">
        <v>5.1929999999999996</v>
      </c>
      <c r="G404" s="19" t="s">
        <v>177</v>
      </c>
      <c r="H404" s="20" t="s">
        <v>178</v>
      </c>
      <c r="I404" s="19" t="s">
        <v>71</v>
      </c>
      <c r="J404" s="20">
        <v>3543</v>
      </c>
      <c r="K404" s="21">
        <v>7928</v>
      </c>
      <c r="L404" s="21">
        <v>4275</v>
      </c>
      <c r="M404" s="21" t="s">
        <v>31</v>
      </c>
      <c r="N404" s="22">
        <v>8</v>
      </c>
      <c r="O404" s="23">
        <f t="shared" si="12"/>
        <v>323.27749999999997</v>
      </c>
      <c r="P404" s="24">
        <v>7.24</v>
      </c>
      <c r="Q404" s="25" t="s">
        <v>43</v>
      </c>
      <c r="R404" s="26" t="s">
        <v>33</v>
      </c>
      <c r="S404" s="26" t="s">
        <v>34</v>
      </c>
      <c r="T404" s="26"/>
      <c r="U404" s="49"/>
      <c r="V404" s="28">
        <f t="shared" si="13"/>
        <v>110</v>
      </c>
      <c r="W404" s="37"/>
      <c r="X404" s="37"/>
    </row>
    <row r="405" spans="1:24" s="29" customFormat="1" ht="21" customHeight="1">
      <c r="A405" s="50"/>
      <c r="B405" s="31"/>
      <c r="C405" s="32"/>
      <c r="D405" s="18" t="s">
        <v>184</v>
      </c>
      <c r="E405" s="19" t="s">
        <v>166</v>
      </c>
      <c r="F405" s="20">
        <v>5.1929999999999996</v>
      </c>
      <c r="G405" s="19" t="s">
        <v>175</v>
      </c>
      <c r="H405" s="20" t="s">
        <v>176</v>
      </c>
      <c r="I405" s="19" t="s">
        <v>71</v>
      </c>
      <c r="J405" s="20">
        <v>3543</v>
      </c>
      <c r="K405" s="21">
        <v>7928</v>
      </c>
      <c r="L405" s="21">
        <v>4275</v>
      </c>
      <c r="M405" s="21" t="s">
        <v>31</v>
      </c>
      <c r="N405" s="22">
        <v>8.1</v>
      </c>
      <c r="O405" s="23">
        <f t="shared" si="12"/>
        <v>319.28641975308642</v>
      </c>
      <c r="P405" s="24">
        <v>7.24</v>
      </c>
      <c r="Q405" s="25" t="s">
        <v>43</v>
      </c>
      <c r="R405" s="26" t="s">
        <v>33</v>
      </c>
      <c r="S405" s="26" t="s">
        <v>34</v>
      </c>
      <c r="T405" s="26"/>
      <c r="U405" s="49"/>
      <c r="V405" s="28">
        <f t="shared" si="13"/>
        <v>111</v>
      </c>
      <c r="W405" s="37"/>
      <c r="X405" s="37"/>
    </row>
    <row r="406" spans="1:24" s="29" customFormat="1" ht="21" customHeight="1">
      <c r="A406" s="50"/>
      <c r="B406" s="31"/>
      <c r="C406" s="32"/>
      <c r="D406" s="18" t="s">
        <v>184</v>
      </c>
      <c r="E406" s="19" t="s">
        <v>166</v>
      </c>
      <c r="F406" s="20">
        <v>5.1929999999999996</v>
      </c>
      <c r="G406" s="19" t="s">
        <v>177</v>
      </c>
      <c r="H406" s="20" t="s">
        <v>178</v>
      </c>
      <c r="I406" s="19" t="s">
        <v>71</v>
      </c>
      <c r="J406" s="20">
        <v>3543</v>
      </c>
      <c r="K406" s="21">
        <v>7928</v>
      </c>
      <c r="L406" s="21">
        <v>4275</v>
      </c>
      <c r="M406" s="21" t="s">
        <v>31</v>
      </c>
      <c r="N406" s="22">
        <v>8</v>
      </c>
      <c r="O406" s="23">
        <f t="shared" si="12"/>
        <v>323.27749999999997</v>
      </c>
      <c r="P406" s="24">
        <v>7.24</v>
      </c>
      <c r="Q406" s="25" t="s">
        <v>43</v>
      </c>
      <c r="R406" s="26" t="s">
        <v>33</v>
      </c>
      <c r="S406" s="26" t="s">
        <v>34</v>
      </c>
      <c r="T406" s="26"/>
      <c r="U406" s="49"/>
      <c r="V406" s="28">
        <f t="shared" si="13"/>
        <v>110</v>
      </c>
      <c r="W406" s="37"/>
      <c r="X406" s="37"/>
    </row>
    <row r="407" spans="1:24" s="29" customFormat="1" ht="21" customHeight="1">
      <c r="A407" s="50"/>
      <c r="B407" s="31"/>
      <c r="C407" s="32"/>
      <c r="D407" s="18" t="s">
        <v>185</v>
      </c>
      <c r="E407" s="19" t="s">
        <v>166</v>
      </c>
      <c r="F407" s="20">
        <v>5.1929999999999996</v>
      </c>
      <c r="G407" s="19" t="s">
        <v>175</v>
      </c>
      <c r="H407" s="20" t="s">
        <v>176</v>
      </c>
      <c r="I407" s="19" t="s">
        <v>71</v>
      </c>
      <c r="J407" s="20">
        <v>3543</v>
      </c>
      <c r="K407" s="21">
        <v>7928</v>
      </c>
      <c r="L407" s="21">
        <v>4275</v>
      </c>
      <c r="M407" s="21" t="s">
        <v>31</v>
      </c>
      <c r="N407" s="22">
        <v>8.1</v>
      </c>
      <c r="O407" s="23">
        <f t="shared" si="12"/>
        <v>319.28641975308642</v>
      </c>
      <c r="P407" s="24">
        <v>7.24</v>
      </c>
      <c r="Q407" s="25" t="s">
        <v>43</v>
      </c>
      <c r="R407" s="26" t="s">
        <v>33</v>
      </c>
      <c r="S407" s="26" t="s">
        <v>110</v>
      </c>
      <c r="T407" s="26"/>
      <c r="U407" s="49"/>
      <c r="V407" s="28">
        <f t="shared" si="13"/>
        <v>111</v>
      </c>
      <c r="W407" s="37"/>
      <c r="X407" s="37"/>
    </row>
    <row r="408" spans="1:24" s="29" customFormat="1" ht="21" customHeight="1">
      <c r="A408" s="50"/>
      <c r="B408" s="31"/>
      <c r="C408" s="32"/>
      <c r="D408" s="18" t="s">
        <v>186</v>
      </c>
      <c r="E408" s="19" t="s">
        <v>182</v>
      </c>
      <c r="F408" s="20">
        <v>5.1929999999999996</v>
      </c>
      <c r="G408" s="19">
        <v>706</v>
      </c>
      <c r="H408" s="20">
        <v>154</v>
      </c>
      <c r="I408" s="19" t="s">
        <v>30</v>
      </c>
      <c r="J408" s="20">
        <v>3543</v>
      </c>
      <c r="K408" s="21">
        <v>7928</v>
      </c>
      <c r="L408" s="21">
        <v>4275</v>
      </c>
      <c r="M408" s="21" t="s">
        <v>167</v>
      </c>
      <c r="N408" s="45">
        <v>8.1</v>
      </c>
      <c r="O408" s="23">
        <f t="shared" si="12"/>
        <v>319.28641975308642</v>
      </c>
      <c r="P408" s="46">
        <v>7.24</v>
      </c>
      <c r="Q408" s="25" t="s">
        <v>43</v>
      </c>
      <c r="R408" s="26" t="s">
        <v>33</v>
      </c>
      <c r="S408" s="26" t="s">
        <v>110</v>
      </c>
      <c r="T408" s="26"/>
      <c r="U408" s="49"/>
      <c r="V408" s="28">
        <f t="shared" si="13"/>
        <v>111</v>
      </c>
      <c r="W408" s="40"/>
    </row>
    <row r="409" spans="1:24" s="29" customFormat="1" ht="21" customHeight="1">
      <c r="A409" s="50"/>
      <c r="B409" s="31"/>
      <c r="C409" s="32"/>
      <c r="D409" s="18" t="s">
        <v>187</v>
      </c>
      <c r="E409" s="19" t="s">
        <v>166</v>
      </c>
      <c r="F409" s="20">
        <v>5.1929999999999996</v>
      </c>
      <c r="G409" s="19" t="s">
        <v>175</v>
      </c>
      <c r="H409" s="20" t="s">
        <v>176</v>
      </c>
      <c r="I409" s="19" t="s">
        <v>71</v>
      </c>
      <c r="J409" s="20">
        <v>3543</v>
      </c>
      <c r="K409" s="21">
        <v>7928</v>
      </c>
      <c r="L409" s="21">
        <v>4275</v>
      </c>
      <c r="M409" s="21" t="s">
        <v>31</v>
      </c>
      <c r="N409" s="22">
        <v>8.1</v>
      </c>
      <c r="O409" s="23">
        <f t="shared" si="12"/>
        <v>319.28641975308642</v>
      </c>
      <c r="P409" s="24">
        <v>7.24</v>
      </c>
      <c r="Q409" s="25" t="s">
        <v>43</v>
      </c>
      <c r="R409" s="26" t="s">
        <v>33</v>
      </c>
      <c r="S409" s="26" t="s">
        <v>110</v>
      </c>
      <c r="T409" s="26"/>
      <c r="U409" s="49"/>
      <c r="V409" s="28">
        <f t="shared" si="13"/>
        <v>111</v>
      </c>
      <c r="W409" s="37"/>
      <c r="X409" s="37"/>
    </row>
    <row r="410" spans="1:24" s="29" customFormat="1" ht="21" customHeight="1">
      <c r="A410" s="50"/>
      <c r="B410" s="31"/>
      <c r="C410" s="52"/>
      <c r="D410" s="18" t="s">
        <v>188</v>
      </c>
      <c r="E410" s="19" t="s">
        <v>166</v>
      </c>
      <c r="F410" s="20">
        <v>5.1929999999999996</v>
      </c>
      <c r="G410" s="19">
        <v>515</v>
      </c>
      <c r="H410" s="20">
        <v>140</v>
      </c>
      <c r="I410" s="19" t="s">
        <v>71</v>
      </c>
      <c r="J410" s="20">
        <v>3543</v>
      </c>
      <c r="K410" s="21">
        <v>7928</v>
      </c>
      <c r="L410" s="21">
        <v>4275</v>
      </c>
      <c r="M410" s="21" t="s">
        <v>167</v>
      </c>
      <c r="N410" s="45">
        <v>8</v>
      </c>
      <c r="O410" s="23">
        <f t="shared" si="12"/>
        <v>323.27749999999997</v>
      </c>
      <c r="P410" s="46">
        <v>7.24</v>
      </c>
      <c r="Q410" s="25" t="s">
        <v>43</v>
      </c>
      <c r="R410" s="26" t="s">
        <v>189</v>
      </c>
      <c r="S410" s="26" t="s">
        <v>34</v>
      </c>
      <c r="T410" s="26"/>
      <c r="U410" s="49"/>
      <c r="V410" s="28">
        <f t="shared" si="13"/>
        <v>110</v>
      </c>
      <c r="W410" s="40"/>
    </row>
    <row r="411" spans="1:24" s="29" customFormat="1" ht="21" customHeight="1">
      <c r="A411" s="50"/>
      <c r="B411" s="79"/>
      <c r="C411" s="80"/>
      <c r="D411" s="18" t="s">
        <v>190</v>
      </c>
      <c r="E411" s="19" t="s">
        <v>166</v>
      </c>
      <c r="F411" s="20">
        <v>5.1929999999999996</v>
      </c>
      <c r="G411" s="19" t="s">
        <v>169</v>
      </c>
      <c r="H411" s="20" t="s">
        <v>170</v>
      </c>
      <c r="I411" s="19" t="s">
        <v>71</v>
      </c>
      <c r="J411" s="20">
        <v>3543</v>
      </c>
      <c r="K411" s="21">
        <v>7928</v>
      </c>
      <c r="L411" s="21">
        <v>4275</v>
      </c>
      <c r="M411" s="21" t="s">
        <v>31</v>
      </c>
      <c r="N411" s="22">
        <v>8</v>
      </c>
      <c r="O411" s="23">
        <f t="shared" si="12"/>
        <v>323.27749999999997</v>
      </c>
      <c r="P411" s="24">
        <v>7.24</v>
      </c>
      <c r="Q411" s="25" t="s">
        <v>43</v>
      </c>
      <c r="R411" s="26" t="s">
        <v>33</v>
      </c>
      <c r="S411" s="26" t="s">
        <v>34</v>
      </c>
      <c r="T411" s="26"/>
      <c r="U411" s="49"/>
      <c r="V411" s="28">
        <f t="shared" si="13"/>
        <v>110</v>
      </c>
      <c r="W411" s="37"/>
      <c r="X411" s="37"/>
    </row>
    <row r="412" spans="1:24" s="29" customFormat="1" ht="21" customHeight="1">
      <c r="A412" s="50"/>
      <c r="B412" s="31"/>
      <c r="C412" s="32"/>
      <c r="D412" s="18" t="s">
        <v>191</v>
      </c>
      <c r="E412" s="19" t="s">
        <v>166</v>
      </c>
      <c r="F412" s="20">
        <v>5.1929999999999996</v>
      </c>
      <c r="G412" s="19">
        <v>706</v>
      </c>
      <c r="H412" s="20">
        <v>154</v>
      </c>
      <c r="I412" s="19" t="s">
        <v>71</v>
      </c>
      <c r="J412" s="20">
        <v>3543</v>
      </c>
      <c r="K412" s="21">
        <v>7928</v>
      </c>
      <c r="L412" s="21">
        <v>4275</v>
      </c>
      <c r="M412" s="21" t="s">
        <v>167</v>
      </c>
      <c r="N412" s="45">
        <v>7.8</v>
      </c>
      <c r="O412" s="23">
        <f t="shared" si="12"/>
        <v>331.56666666666666</v>
      </c>
      <c r="P412" s="46">
        <v>7.24</v>
      </c>
      <c r="Q412" s="25" t="s">
        <v>77</v>
      </c>
      <c r="R412" s="26" t="s">
        <v>33</v>
      </c>
      <c r="S412" s="26" t="s">
        <v>34</v>
      </c>
      <c r="T412" s="26"/>
      <c r="U412" s="49"/>
      <c r="V412" s="28">
        <f t="shared" si="13"/>
        <v>107</v>
      </c>
      <c r="W412" s="40"/>
    </row>
    <row r="413" spans="1:24" s="29" customFormat="1" ht="21" customHeight="1">
      <c r="A413" s="50"/>
      <c r="B413" s="31"/>
      <c r="C413" s="32"/>
      <c r="D413" s="18" t="s">
        <v>191</v>
      </c>
      <c r="E413" s="19" t="s">
        <v>166</v>
      </c>
      <c r="F413" s="20">
        <v>5.1929999999999996</v>
      </c>
      <c r="G413" s="19">
        <v>765</v>
      </c>
      <c r="H413" s="20">
        <v>177</v>
      </c>
      <c r="I413" s="19" t="s">
        <v>71</v>
      </c>
      <c r="J413" s="20">
        <v>3543</v>
      </c>
      <c r="K413" s="21">
        <v>7928</v>
      </c>
      <c r="L413" s="21">
        <v>4275</v>
      </c>
      <c r="M413" s="21" t="s">
        <v>167</v>
      </c>
      <c r="N413" s="45">
        <v>7.7</v>
      </c>
      <c r="O413" s="23">
        <f t="shared" si="12"/>
        <v>335.87272727272722</v>
      </c>
      <c r="P413" s="46">
        <v>7.24</v>
      </c>
      <c r="Q413" s="25" t="s">
        <v>77</v>
      </c>
      <c r="R413" s="26" t="s">
        <v>33</v>
      </c>
      <c r="S413" s="26" t="s">
        <v>34</v>
      </c>
      <c r="T413" s="26"/>
      <c r="U413" s="49"/>
      <c r="V413" s="28">
        <f t="shared" si="13"/>
        <v>106</v>
      </c>
      <c r="W413" s="40"/>
    </row>
    <row r="414" spans="1:24" s="29" customFormat="1" ht="21" customHeight="1">
      <c r="A414" s="50"/>
      <c r="B414" s="31"/>
      <c r="C414" s="32"/>
      <c r="D414" s="18" t="s">
        <v>192</v>
      </c>
      <c r="E414" s="19" t="s">
        <v>166</v>
      </c>
      <c r="F414" s="20">
        <v>5.1929999999999996</v>
      </c>
      <c r="G414" s="19" t="s">
        <v>175</v>
      </c>
      <c r="H414" s="20" t="s">
        <v>176</v>
      </c>
      <c r="I414" s="19" t="s">
        <v>71</v>
      </c>
      <c r="J414" s="20">
        <v>3543</v>
      </c>
      <c r="K414" s="21">
        <v>7928</v>
      </c>
      <c r="L414" s="20">
        <v>4275</v>
      </c>
      <c r="M414" s="21" t="s">
        <v>31</v>
      </c>
      <c r="N414" s="22">
        <v>7.8</v>
      </c>
      <c r="O414" s="23">
        <f t="shared" si="12"/>
        <v>331.56666666666666</v>
      </c>
      <c r="P414" s="24">
        <v>7.24</v>
      </c>
      <c r="Q414" s="25" t="s">
        <v>63</v>
      </c>
      <c r="R414" s="26" t="s">
        <v>33</v>
      </c>
      <c r="S414" s="26" t="s">
        <v>34</v>
      </c>
      <c r="T414" s="26"/>
      <c r="U414" s="49"/>
      <c r="V414" s="28">
        <f t="shared" si="13"/>
        <v>107</v>
      </c>
      <c r="W414" s="37"/>
      <c r="X414" s="37"/>
    </row>
    <row r="415" spans="1:24" s="29" customFormat="1" ht="21" customHeight="1">
      <c r="A415" s="50"/>
      <c r="B415" s="31"/>
      <c r="C415" s="32"/>
      <c r="D415" s="18" t="s">
        <v>192</v>
      </c>
      <c r="E415" s="19" t="s">
        <v>166</v>
      </c>
      <c r="F415" s="20">
        <v>5.1929999999999996</v>
      </c>
      <c r="G415" s="19" t="s">
        <v>177</v>
      </c>
      <c r="H415" s="20" t="s">
        <v>178</v>
      </c>
      <c r="I415" s="19" t="s">
        <v>71</v>
      </c>
      <c r="J415" s="20">
        <v>3543</v>
      </c>
      <c r="K415" s="21">
        <v>7928</v>
      </c>
      <c r="L415" s="21">
        <v>4275</v>
      </c>
      <c r="M415" s="21" t="s">
        <v>31</v>
      </c>
      <c r="N415" s="22">
        <v>7.7</v>
      </c>
      <c r="O415" s="23">
        <f t="shared" si="12"/>
        <v>335.87272727272722</v>
      </c>
      <c r="P415" s="24">
        <v>7.24</v>
      </c>
      <c r="Q415" s="25" t="s">
        <v>63</v>
      </c>
      <c r="R415" s="26" t="s">
        <v>33</v>
      </c>
      <c r="S415" s="26" t="s">
        <v>34</v>
      </c>
      <c r="T415" s="26"/>
      <c r="U415" s="49"/>
      <c r="V415" s="28">
        <f t="shared" si="13"/>
        <v>106</v>
      </c>
      <c r="W415" s="37"/>
      <c r="X415" s="37"/>
    </row>
    <row r="416" spans="1:24" s="29" customFormat="1" ht="21" customHeight="1">
      <c r="A416" s="50"/>
      <c r="B416" s="31"/>
      <c r="C416" s="32"/>
      <c r="D416" s="18" t="s">
        <v>193</v>
      </c>
      <c r="E416" s="19" t="s">
        <v>166</v>
      </c>
      <c r="F416" s="20">
        <v>5.1929999999999996</v>
      </c>
      <c r="G416" s="19">
        <v>706</v>
      </c>
      <c r="H416" s="20">
        <v>154</v>
      </c>
      <c r="I416" s="19" t="s">
        <v>71</v>
      </c>
      <c r="J416" s="20">
        <v>3543</v>
      </c>
      <c r="K416" s="21">
        <v>7928</v>
      </c>
      <c r="L416" s="21">
        <v>4275</v>
      </c>
      <c r="M416" s="21" t="s">
        <v>167</v>
      </c>
      <c r="N416" s="45">
        <v>7.8</v>
      </c>
      <c r="O416" s="23">
        <f t="shared" si="12"/>
        <v>331.56666666666666</v>
      </c>
      <c r="P416" s="46">
        <v>7.24</v>
      </c>
      <c r="Q416" s="25" t="s">
        <v>77</v>
      </c>
      <c r="R416" s="26" t="s">
        <v>33</v>
      </c>
      <c r="S416" s="26" t="s">
        <v>34</v>
      </c>
      <c r="T416" s="26"/>
      <c r="U416" s="49"/>
      <c r="V416" s="28">
        <f t="shared" si="13"/>
        <v>107</v>
      </c>
      <c r="W416" s="40"/>
    </row>
    <row r="417" spans="1:24" s="29" customFormat="1" ht="21" customHeight="1">
      <c r="A417" s="50"/>
      <c r="B417" s="31"/>
      <c r="C417" s="32"/>
      <c r="D417" s="18" t="s">
        <v>193</v>
      </c>
      <c r="E417" s="19" t="s">
        <v>166</v>
      </c>
      <c r="F417" s="20">
        <v>5.1929999999999996</v>
      </c>
      <c r="G417" s="19">
        <v>765</v>
      </c>
      <c r="H417" s="20">
        <v>177</v>
      </c>
      <c r="I417" s="19" t="s">
        <v>71</v>
      </c>
      <c r="J417" s="20">
        <v>3543</v>
      </c>
      <c r="K417" s="21">
        <v>7928</v>
      </c>
      <c r="L417" s="21">
        <v>4275</v>
      </c>
      <c r="M417" s="21" t="s">
        <v>167</v>
      </c>
      <c r="N417" s="45">
        <v>7.7</v>
      </c>
      <c r="O417" s="23">
        <f t="shared" si="12"/>
        <v>335.87272727272722</v>
      </c>
      <c r="P417" s="46">
        <v>7.24</v>
      </c>
      <c r="Q417" s="25" t="s">
        <v>77</v>
      </c>
      <c r="R417" s="26" t="s">
        <v>33</v>
      </c>
      <c r="S417" s="26" t="s">
        <v>34</v>
      </c>
      <c r="T417" s="26"/>
      <c r="U417" s="49"/>
      <c r="V417" s="28">
        <f t="shared" si="13"/>
        <v>106</v>
      </c>
      <c r="W417" s="40"/>
    </row>
    <row r="418" spans="1:24" s="29" customFormat="1" ht="21" customHeight="1">
      <c r="A418" s="50"/>
      <c r="B418" s="31"/>
      <c r="C418" s="32"/>
      <c r="D418" s="18" t="s">
        <v>194</v>
      </c>
      <c r="E418" s="19" t="s">
        <v>166</v>
      </c>
      <c r="F418" s="20">
        <v>5.1929999999999996</v>
      </c>
      <c r="G418" s="19" t="s">
        <v>175</v>
      </c>
      <c r="H418" s="20" t="s">
        <v>176</v>
      </c>
      <c r="I418" s="19" t="s">
        <v>71</v>
      </c>
      <c r="J418" s="20">
        <v>3543</v>
      </c>
      <c r="K418" s="21">
        <v>7928</v>
      </c>
      <c r="L418" s="21">
        <v>4275</v>
      </c>
      <c r="M418" s="21" t="s">
        <v>31</v>
      </c>
      <c r="N418" s="22">
        <v>7.8</v>
      </c>
      <c r="O418" s="23">
        <f t="shared" si="12"/>
        <v>331.56666666666666</v>
      </c>
      <c r="P418" s="24">
        <v>7.24</v>
      </c>
      <c r="Q418" s="25" t="s">
        <v>63</v>
      </c>
      <c r="R418" s="26" t="s">
        <v>33</v>
      </c>
      <c r="S418" s="26" t="s">
        <v>34</v>
      </c>
      <c r="T418" s="26"/>
      <c r="U418" s="49"/>
      <c r="V418" s="28">
        <f t="shared" si="13"/>
        <v>107</v>
      </c>
      <c r="W418" s="37"/>
      <c r="X418" s="37"/>
    </row>
    <row r="419" spans="1:24" s="29" customFormat="1" ht="21" customHeight="1">
      <c r="A419" s="50"/>
      <c r="B419" s="31"/>
      <c r="C419" s="32"/>
      <c r="D419" s="18" t="s">
        <v>194</v>
      </c>
      <c r="E419" s="19" t="s">
        <v>166</v>
      </c>
      <c r="F419" s="20">
        <v>5.1929999999999996</v>
      </c>
      <c r="G419" s="19" t="s">
        <v>177</v>
      </c>
      <c r="H419" s="20" t="s">
        <v>178</v>
      </c>
      <c r="I419" s="19" t="s">
        <v>71</v>
      </c>
      <c r="J419" s="20">
        <v>3543</v>
      </c>
      <c r="K419" s="21">
        <v>7928</v>
      </c>
      <c r="L419" s="21">
        <v>4275</v>
      </c>
      <c r="M419" s="21" t="s">
        <v>31</v>
      </c>
      <c r="N419" s="22">
        <v>7.7</v>
      </c>
      <c r="O419" s="23">
        <f t="shared" si="12"/>
        <v>335.87272727272722</v>
      </c>
      <c r="P419" s="24">
        <v>7.24</v>
      </c>
      <c r="Q419" s="25" t="s">
        <v>63</v>
      </c>
      <c r="R419" s="26" t="s">
        <v>33</v>
      </c>
      <c r="S419" s="26" t="s">
        <v>34</v>
      </c>
      <c r="T419" s="26"/>
      <c r="U419" s="49"/>
      <c r="V419" s="28">
        <f t="shared" si="13"/>
        <v>106</v>
      </c>
      <c r="W419" s="37"/>
      <c r="X419" s="37"/>
    </row>
    <row r="420" spans="1:24" s="29" customFormat="1" ht="21" customHeight="1">
      <c r="A420" s="34"/>
      <c r="B420" s="31"/>
      <c r="C420" s="32"/>
      <c r="D420" s="18" t="s">
        <v>195</v>
      </c>
      <c r="E420" s="19" t="s">
        <v>182</v>
      </c>
      <c r="F420" s="20">
        <v>5.1929999999999996</v>
      </c>
      <c r="G420" s="19">
        <v>706</v>
      </c>
      <c r="H420" s="20">
        <v>154</v>
      </c>
      <c r="I420" s="19" t="s">
        <v>30</v>
      </c>
      <c r="J420" s="20">
        <v>3543</v>
      </c>
      <c r="K420" s="21">
        <v>7928</v>
      </c>
      <c r="L420" s="21">
        <v>4275</v>
      </c>
      <c r="M420" s="21" t="s">
        <v>31</v>
      </c>
      <c r="N420" s="45">
        <v>7.8</v>
      </c>
      <c r="O420" s="23">
        <f t="shared" si="12"/>
        <v>331.56666666666666</v>
      </c>
      <c r="P420" s="46">
        <v>7.24</v>
      </c>
      <c r="Q420" s="25" t="s">
        <v>63</v>
      </c>
      <c r="R420" s="26" t="s">
        <v>33</v>
      </c>
      <c r="S420" s="26" t="s">
        <v>117</v>
      </c>
      <c r="T420" s="26"/>
      <c r="U420" s="49"/>
      <c r="V420" s="28">
        <f t="shared" si="13"/>
        <v>107</v>
      </c>
    </row>
    <row r="421" spans="1:24" s="29" customFormat="1" ht="21" customHeight="1">
      <c r="A421" s="34"/>
      <c r="B421" s="31"/>
      <c r="C421" s="32"/>
      <c r="D421" s="18" t="s">
        <v>195</v>
      </c>
      <c r="E421" s="19" t="s">
        <v>182</v>
      </c>
      <c r="F421" s="20">
        <v>5.1929999999999996</v>
      </c>
      <c r="G421" s="19">
        <v>765</v>
      </c>
      <c r="H421" s="20">
        <v>177</v>
      </c>
      <c r="I421" s="19" t="s">
        <v>30</v>
      </c>
      <c r="J421" s="20">
        <v>3543</v>
      </c>
      <c r="K421" s="21">
        <v>7928</v>
      </c>
      <c r="L421" s="21">
        <v>4275</v>
      </c>
      <c r="M421" s="21" t="s">
        <v>31</v>
      </c>
      <c r="N421" s="45">
        <v>7.7</v>
      </c>
      <c r="O421" s="23">
        <f t="shared" si="12"/>
        <v>335.87272727272722</v>
      </c>
      <c r="P421" s="46">
        <v>7.24</v>
      </c>
      <c r="Q421" s="25" t="s">
        <v>63</v>
      </c>
      <c r="R421" s="26" t="s">
        <v>33</v>
      </c>
      <c r="S421" s="26" t="s">
        <v>117</v>
      </c>
      <c r="T421" s="26"/>
      <c r="U421" s="49"/>
      <c r="V421" s="28">
        <f t="shared" si="13"/>
        <v>106</v>
      </c>
    </row>
    <row r="422" spans="1:24" s="29" customFormat="1" ht="21" customHeight="1">
      <c r="A422" s="50"/>
      <c r="B422" s="31"/>
      <c r="C422" s="32"/>
      <c r="D422" s="18" t="s">
        <v>196</v>
      </c>
      <c r="E422" s="19" t="s">
        <v>166</v>
      </c>
      <c r="F422" s="20">
        <v>5.1929999999999996</v>
      </c>
      <c r="G422" s="19" t="s">
        <v>175</v>
      </c>
      <c r="H422" s="20" t="s">
        <v>176</v>
      </c>
      <c r="I422" s="19" t="s">
        <v>71</v>
      </c>
      <c r="J422" s="20">
        <v>3543</v>
      </c>
      <c r="K422" s="21">
        <v>7928</v>
      </c>
      <c r="L422" s="21">
        <v>4275</v>
      </c>
      <c r="M422" s="21" t="s">
        <v>31</v>
      </c>
      <c r="N422" s="22">
        <v>7.8</v>
      </c>
      <c r="O422" s="23">
        <f t="shared" si="12"/>
        <v>331.56666666666666</v>
      </c>
      <c r="P422" s="24">
        <v>7.24</v>
      </c>
      <c r="Q422" s="25" t="s">
        <v>63</v>
      </c>
      <c r="R422" s="26" t="s">
        <v>33</v>
      </c>
      <c r="S422" s="26" t="s">
        <v>34</v>
      </c>
      <c r="T422" s="26"/>
      <c r="U422" s="49"/>
      <c r="V422" s="28">
        <f t="shared" si="13"/>
        <v>107</v>
      </c>
      <c r="W422" s="37"/>
      <c r="X422" s="37"/>
    </row>
    <row r="423" spans="1:24" s="29" customFormat="1" ht="21" customHeight="1">
      <c r="A423" s="50"/>
      <c r="B423" s="31"/>
      <c r="C423" s="32"/>
      <c r="D423" s="18" t="s">
        <v>196</v>
      </c>
      <c r="E423" s="19" t="s">
        <v>166</v>
      </c>
      <c r="F423" s="20">
        <v>5.1929999999999996</v>
      </c>
      <c r="G423" s="19" t="s">
        <v>177</v>
      </c>
      <c r="H423" s="20" t="s">
        <v>178</v>
      </c>
      <c r="I423" s="19" t="s">
        <v>71</v>
      </c>
      <c r="J423" s="20">
        <v>3543</v>
      </c>
      <c r="K423" s="21">
        <v>7928</v>
      </c>
      <c r="L423" s="21">
        <v>4275</v>
      </c>
      <c r="M423" s="21" t="s">
        <v>31</v>
      </c>
      <c r="N423" s="22">
        <v>7.7</v>
      </c>
      <c r="O423" s="23">
        <f t="shared" si="12"/>
        <v>335.87272727272722</v>
      </c>
      <c r="P423" s="24">
        <v>7.24</v>
      </c>
      <c r="Q423" s="25" t="s">
        <v>63</v>
      </c>
      <c r="R423" s="26" t="s">
        <v>33</v>
      </c>
      <c r="S423" s="26" t="s">
        <v>34</v>
      </c>
      <c r="T423" s="26"/>
      <c r="U423" s="49"/>
      <c r="V423" s="28">
        <f t="shared" si="13"/>
        <v>106</v>
      </c>
      <c r="W423" s="37"/>
      <c r="X423" s="37"/>
    </row>
    <row r="424" spans="1:24" s="29" customFormat="1" ht="21" customHeight="1">
      <c r="A424" s="50"/>
      <c r="B424" s="31"/>
      <c r="C424" s="32"/>
      <c r="D424" s="18" t="s">
        <v>197</v>
      </c>
      <c r="E424" s="19" t="s">
        <v>166</v>
      </c>
      <c r="F424" s="20">
        <v>5.1929999999999996</v>
      </c>
      <c r="G424" s="19" t="s">
        <v>175</v>
      </c>
      <c r="H424" s="20" t="s">
        <v>176</v>
      </c>
      <c r="I424" s="19" t="s">
        <v>71</v>
      </c>
      <c r="J424" s="20">
        <v>3543</v>
      </c>
      <c r="K424" s="21">
        <v>7928</v>
      </c>
      <c r="L424" s="21">
        <v>4275</v>
      </c>
      <c r="M424" s="21" t="s">
        <v>31</v>
      </c>
      <c r="N424" s="22">
        <v>7.8</v>
      </c>
      <c r="O424" s="23">
        <f t="shared" si="12"/>
        <v>331.56666666666666</v>
      </c>
      <c r="P424" s="24">
        <v>7.24</v>
      </c>
      <c r="Q424" s="25" t="s">
        <v>63</v>
      </c>
      <c r="R424" s="26" t="s">
        <v>33</v>
      </c>
      <c r="S424" s="26" t="s">
        <v>34</v>
      </c>
      <c r="T424" s="26"/>
      <c r="U424" s="49"/>
      <c r="V424" s="28">
        <f t="shared" si="13"/>
        <v>107</v>
      </c>
      <c r="W424" s="37"/>
      <c r="X424" s="37"/>
    </row>
    <row r="425" spans="1:24" s="29" customFormat="1" ht="21" customHeight="1">
      <c r="A425" s="50"/>
      <c r="B425" s="31"/>
      <c r="C425" s="32"/>
      <c r="D425" s="18" t="s">
        <v>197</v>
      </c>
      <c r="E425" s="19" t="s">
        <v>166</v>
      </c>
      <c r="F425" s="20">
        <v>5.1929999999999996</v>
      </c>
      <c r="G425" s="19" t="s">
        <v>177</v>
      </c>
      <c r="H425" s="20" t="s">
        <v>178</v>
      </c>
      <c r="I425" s="19" t="s">
        <v>71</v>
      </c>
      <c r="J425" s="20">
        <v>3543</v>
      </c>
      <c r="K425" s="21">
        <v>7928</v>
      </c>
      <c r="L425" s="21">
        <v>4275</v>
      </c>
      <c r="M425" s="21" t="s">
        <v>31</v>
      </c>
      <c r="N425" s="22">
        <v>7.7</v>
      </c>
      <c r="O425" s="23">
        <f t="shared" si="12"/>
        <v>335.87272727272722</v>
      </c>
      <c r="P425" s="24">
        <v>7.24</v>
      </c>
      <c r="Q425" s="25" t="s">
        <v>63</v>
      </c>
      <c r="R425" s="26" t="s">
        <v>33</v>
      </c>
      <c r="S425" s="26" t="s">
        <v>34</v>
      </c>
      <c r="T425" s="26"/>
      <c r="U425" s="49"/>
      <c r="V425" s="28">
        <f t="shared" si="13"/>
        <v>106</v>
      </c>
      <c r="W425" s="37"/>
      <c r="X425" s="37"/>
    </row>
    <row r="426" spans="1:24" s="29" customFormat="1" ht="21" customHeight="1">
      <c r="A426" s="50"/>
      <c r="B426" s="31"/>
      <c r="C426" s="32"/>
      <c r="D426" s="18" t="s">
        <v>198</v>
      </c>
      <c r="E426" s="19" t="s">
        <v>166</v>
      </c>
      <c r="F426" s="20">
        <v>5.1929999999999996</v>
      </c>
      <c r="G426" s="19" t="s">
        <v>175</v>
      </c>
      <c r="H426" s="20" t="s">
        <v>176</v>
      </c>
      <c r="I426" s="19" t="s">
        <v>71</v>
      </c>
      <c r="J426" s="20">
        <v>3543</v>
      </c>
      <c r="K426" s="21">
        <v>7928</v>
      </c>
      <c r="L426" s="21">
        <v>4275</v>
      </c>
      <c r="M426" s="21" t="s">
        <v>31</v>
      </c>
      <c r="N426" s="22">
        <v>7.8</v>
      </c>
      <c r="O426" s="23">
        <f t="shared" si="12"/>
        <v>331.56666666666666</v>
      </c>
      <c r="P426" s="24">
        <v>7.24</v>
      </c>
      <c r="Q426" s="25" t="s">
        <v>63</v>
      </c>
      <c r="R426" s="26" t="s">
        <v>33</v>
      </c>
      <c r="S426" s="26" t="s">
        <v>110</v>
      </c>
      <c r="T426" s="26"/>
      <c r="U426" s="49"/>
      <c r="V426" s="28">
        <f t="shared" si="13"/>
        <v>107</v>
      </c>
      <c r="W426" s="37"/>
      <c r="X426" s="37"/>
    </row>
    <row r="427" spans="1:24" s="29" customFormat="1" ht="21" customHeight="1">
      <c r="A427" s="50"/>
      <c r="B427" s="31"/>
      <c r="C427" s="32"/>
      <c r="D427" s="18" t="s">
        <v>199</v>
      </c>
      <c r="E427" s="19" t="s">
        <v>182</v>
      </c>
      <c r="F427" s="20">
        <v>5.1929999999999996</v>
      </c>
      <c r="G427" s="19">
        <v>706</v>
      </c>
      <c r="H427" s="20">
        <v>154</v>
      </c>
      <c r="I427" s="19" t="s">
        <v>30</v>
      </c>
      <c r="J427" s="20">
        <v>3543</v>
      </c>
      <c r="K427" s="21">
        <v>7928</v>
      </c>
      <c r="L427" s="21">
        <v>4275</v>
      </c>
      <c r="M427" s="21" t="s">
        <v>167</v>
      </c>
      <c r="N427" s="45">
        <v>7.8</v>
      </c>
      <c r="O427" s="23">
        <f t="shared" si="12"/>
        <v>331.56666666666666</v>
      </c>
      <c r="P427" s="46">
        <v>7.24</v>
      </c>
      <c r="Q427" s="25" t="s">
        <v>63</v>
      </c>
      <c r="R427" s="26" t="s">
        <v>33</v>
      </c>
      <c r="S427" s="26" t="s">
        <v>110</v>
      </c>
      <c r="T427" s="26"/>
      <c r="U427" s="49"/>
      <c r="V427" s="28">
        <f t="shared" si="13"/>
        <v>107</v>
      </c>
      <c r="W427" s="40"/>
    </row>
    <row r="428" spans="1:24" s="29" customFormat="1" ht="21" customHeight="1">
      <c r="A428" s="50"/>
      <c r="B428" s="31"/>
      <c r="C428" s="32"/>
      <c r="D428" s="18" t="s">
        <v>200</v>
      </c>
      <c r="E428" s="19" t="s">
        <v>166</v>
      </c>
      <c r="F428" s="20">
        <v>5.1929999999999996</v>
      </c>
      <c r="G428" s="19" t="s">
        <v>175</v>
      </c>
      <c r="H428" s="20" t="s">
        <v>176</v>
      </c>
      <c r="I428" s="19" t="s">
        <v>71</v>
      </c>
      <c r="J428" s="20">
        <v>3543</v>
      </c>
      <c r="K428" s="21">
        <v>7928</v>
      </c>
      <c r="L428" s="21">
        <v>4275</v>
      </c>
      <c r="M428" s="21" t="s">
        <v>31</v>
      </c>
      <c r="N428" s="22">
        <v>7.8</v>
      </c>
      <c r="O428" s="23">
        <f t="shared" si="12"/>
        <v>331.56666666666666</v>
      </c>
      <c r="P428" s="24">
        <v>7.24</v>
      </c>
      <c r="Q428" s="25" t="s">
        <v>63</v>
      </c>
      <c r="R428" s="26" t="s">
        <v>33</v>
      </c>
      <c r="S428" s="26" t="s">
        <v>110</v>
      </c>
      <c r="T428" s="26"/>
      <c r="U428" s="49"/>
      <c r="V428" s="28">
        <f t="shared" si="13"/>
        <v>107</v>
      </c>
      <c r="W428" s="37"/>
      <c r="X428" s="37"/>
    </row>
    <row r="429" spans="1:24" s="29" customFormat="1" ht="21" customHeight="1">
      <c r="A429" s="50"/>
      <c r="B429" s="31"/>
      <c r="C429" s="32"/>
      <c r="D429" s="18" t="s">
        <v>201</v>
      </c>
      <c r="E429" s="19" t="s">
        <v>166</v>
      </c>
      <c r="F429" s="20">
        <v>5.1929999999999996</v>
      </c>
      <c r="G429" s="19">
        <v>706</v>
      </c>
      <c r="H429" s="20">
        <v>154</v>
      </c>
      <c r="I429" s="19" t="s">
        <v>71</v>
      </c>
      <c r="J429" s="20">
        <v>3659</v>
      </c>
      <c r="K429" s="21">
        <v>9558</v>
      </c>
      <c r="L429" s="21">
        <v>5789</v>
      </c>
      <c r="M429" s="21" t="s">
        <v>167</v>
      </c>
      <c r="N429" s="45">
        <v>7.4</v>
      </c>
      <c r="O429" s="23">
        <f t="shared" si="12"/>
        <v>349.48918918918912</v>
      </c>
      <c r="P429" s="46">
        <v>6.52</v>
      </c>
      <c r="Q429" s="25" t="s">
        <v>43</v>
      </c>
      <c r="R429" s="26" t="s">
        <v>33</v>
      </c>
      <c r="S429" s="26" t="s">
        <v>34</v>
      </c>
      <c r="T429" s="26"/>
      <c r="U429" s="49"/>
      <c r="V429" s="28">
        <f t="shared" si="13"/>
        <v>113</v>
      </c>
      <c r="W429" s="40"/>
    </row>
    <row r="430" spans="1:24" s="29" customFormat="1" ht="21" customHeight="1">
      <c r="A430" s="50"/>
      <c r="B430" s="31"/>
      <c r="C430" s="32"/>
      <c r="D430" s="18" t="s">
        <v>201</v>
      </c>
      <c r="E430" s="19" t="s">
        <v>166</v>
      </c>
      <c r="F430" s="20">
        <v>5.1929999999999996</v>
      </c>
      <c r="G430" s="19">
        <v>706</v>
      </c>
      <c r="H430" s="20">
        <v>154</v>
      </c>
      <c r="I430" s="19" t="s">
        <v>71</v>
      </c>
      <c r="J430" s="20">
        <v>4048</v>
      </c>
      <c r="K430" s="21">
        <v>11641</v>
      </c>
      <c r="L430" s="21">
        <v>7483</v>
      </c>
      <c r="M430" s="21" t="s">
        <v>167</v>
      </c>
      <c r="N430" s="45">
        <v>6.7</v>
      </c>
      <c r="O430" s="23">
        <f t="shared" si="12"/>
        <v>386.00298507462679</v>
      </c>
      <c r="P430" s="46">
        <v>6</v>
      </c>
      <c r="Q430" s="25" t="s">
        <v>43</v>
      </c>
      <c r="R430" s="26" t="s">
        <v>33</v>
      </c>
      <c r="S430" s="26" t="s">
        <v>34</v>
      </c>
      <c r="T430" s="26"/>
      <c r="U430" s="49"/>
      <c r="V430" s="28">
        <f t="shared" si="13"/>
        <v>111</v>
      </c>
      <c r="W430" s="40"/>
    </row>
    <row r="431" spans="1:24" s="29" customFormat="1" ht="21" customHeight="1">
      <c r="A431" s="50"/>
      <c r="B431" s="31"/>
      <c r="C431" s="32"/>
      <c r="D431" s="18" t="s">
        <v>201</v>
      </c>
      <c r="E431" s="19" t="s">
        <v>166</v>
      </c>
      <c r="F431" s="20">
        <v>5.1929999999999996</v>
      </c>
      <c r="G431" s="19">
        <v>765</v>
      </c>
      <c r="H431" s="20">
        <v>177</v>
      </c>
      <c r="I431" s="19" t="s">
        <v>71</v>
      </c>
      <c r="J431" s="20">
        <v>4048</v>
      </c>
      <c r="K431" s="21">
        <v>11641</v>
      </c>
      <c r="L431" s="21">
        <v>7483</v>
      </c>
      <c r="M431" s="21" t="s">
        <v>167</v>
      </c>
      <c r="N431" s="45">
        <v>6.7</v>
      </c>
      <c r="O431" s="23">
        <f t="shared" si="12"/>
        <v>386.00298507462679</v>
      </c>
      <c r="P431" s="46">
        <v>6</v>
      </c>
      <c r="Q431" s="25" t="s">
        <v>43</v>
      </c>
      <c r="R431" s="26" t="s">
        <v>33</v>
      </c>
      <c r="S431" s="26" t="s">
        <v>34</v>
      </c>
      <c r="T431" s="26"/>
      <c r="U431" s="49"/>
      <c r="V431" s="28">
        <f t="shared" si="13"/>
        <v>111</v>
      </c>
      <c r="W431" s="40"/>
    </row>
    <row r="432" spans="1:24" s="29" customFormat="1" ht="21" customHeight="1">
      <c r="A432" s="50"/>
      <c r="B432" s="31"/>
      <c r="C432" s="32"/>
      <c r="D432" s="18" t="s">
        <v>202</v>
      </c>
      <c r="E432" s="19" t="s">
        <v>166</v>
      </c>
      <c r="F432" s="20">
        <v>5.1929999999999996</v>
      </c>
      <c r="G432" s="19">
        <v>706</v>
      </c>
      <c r="H432" s="20">
        <v>154</v>
      </c>
      <c r="I432" s="19" t="s">
        <v>71</v>
      </c>
      <c r="J432" s="20">
        <v>3659</v>
      </c>
      <c r="K432" s="21">
        <v>9558</v>
      </c>
      <c r="L432" s="21">
        <v>5789</v>
      </c>
      <c r="M432" s="21" t="s">
        <v>167</v>
      </c>
      <c r="N432" s="45">
        <v>7.1</v>
      </c>
      <c r="O432" s="23">
        <f t="shared" si="12"/>
        <v>364.25633802816901</v>
      </c>
      <c r="P432" s="46">
        <v>6.52</v>
      </c>
      <c r="Q432" s="25" t="s">
        <v>77</v>
      </c>
      <c r="R432" s="26" t="s">
        <v>33</v>
      </c>
      <c r="S432" s="26" t="s">
        <v>34</v>
      </c>
      <c r="T432" s="26"/>
      <c r="U432" s="49"/>
      <c r="V432" s="28">
        <f t="shared" si="13"/>
        <v>108</v>
      </c>
      <c r="W432" s="40"/>
    </row>
    <row r="433" spans="1:24" s="29" customFormat="1" ht="21" customHeight="1">
      <c r="A433" s="50"/>
      <c r="B433" s="31"/>
      <c r="C433" s="32"/>
      <c r="D433" s="18" t="s">
        <v>202</v>
      </c>
      <c r="E433" s="19" t="s">
        <v>166</v>
      </c>
      <c r="F433" s="20">
        <v>5.1929999999999996</v>
      </c>
      <c r="G433" s="19">
        <v>706</v>
      </c>
      <c r="H433" s="20">
        <v>154</v>
      </c>
      <c r="I433" s="19" t="s">
        <v>71</v>
      </c>
      <c r="J433" s="20">
        <v>4048</v>
      </c>
      <c r="K433" s="21">
        <v>11641</v>
      </c>
      <c r="L433" s="21">
        <v>7483</v>
      </c>
      <c r="M433" s="21" t="s">
        <v>167</v>
      </c>
      <c r="N433" s="45">
        <v>6.5</v>
      </c>
      <c r="O433" s="23">
        <f t="shared" si="12"/>
        <v>397.88</v>
      </c>
      <c r="P433" s="46">
        <v>6</v>
      </c>
      <c r="Q433" s="25" t="s">
        <v>77</v>
      </c>
      <c r="R433" s="26" t="s">
        <v>33</v>
      </c>
      <c r="S433" s="26" t="s">
        <v>34</v>
      </c>
      <c r="T433" s="26"/>
      <c r="U433" s="49"/>
      <c r="V433" s="28">
        <f t="shared" si="13"/>
        <v>108</v>
      </c>
      <c r="W433" s="40"/>
    </row>
    <row r="434" spans="1:24" s="29" customFormat="1" ht="21" customHeight="1">
      <c r="A434" s="50"/>
      <c r="B434" s="31"/>
      <c r="C434" s="32"/>
      <c r="D434" s="18" t="s">
        <v>202</v>
      </c>
      <c r="E434" s="19" t="s">
        <v>166</v>
      </c>
      <c r="F434" s="20">
        <v>5.1929999999999996</v>
      </c>
      <c r="G434" s="19">
        <v>765</v>
      </c>
      <c r="H434" s="20">
        <v>177</v>
      </c>
      <c r="I434" s="19" t="s">
        <v>71</v>
      </c>
      <c r="J434" s="20">
        <v>4048</v>
      </c>
      <c r="K434" s="21">
        <v>11641</v>
      </c>
      <c r="L434" s="21">
        <v>7483</v>
      </c>
      <c r="M434" s="21" t="s">
        <v>167</v>
      </c>
      <c r="N434" s="45">
        <v>6.5</v>
      </c>
      <c r="O434" s="23">
        <f t="shared" si="12"/>
        <v>397.88</v>
      </c>
      <c r="P434" s="46">
        <v>6</v>
      </c>
      <c r="Q434" s="25" t="s">
        <v>77</v>
      </c>
      <c r="R434" s="26" t="s">
        <v>33</v>
      </c>
      <c r="S434" s="26" t="s">
        <v>34</v>
      </c>
      <c r="T434" s="26"/>
      <c r="U434" s="49"/>
      <c r="V434" s="28">
        <f t="shared" si="13"/>
        <v>108</v>
      </c>
      <c r="W434" s="40"/>
    </row>
    <row r="435" spans="1:24" s="29" customFormat="1" ht="21" customHeight="1">
      <c r="A435" s="50"/>
      <c r="B435" s="31"/>
      <c r="C435" s="32"/>
      <c r="D435" s="18" t="s">
        <v>203</v>
      </c>
      <c r="E435" s="19" t="s">
        <v>166</v>
      </c>
      <c r="F435" s="20">
        <v>5.1929999999999996</v>
      </c>
      <c r="G435" s="19" t="s">
        <v>175</v>
      </c>
      <c r="H435" s="20" t="s">
        <v>176</v>
      </c>
      <c r="I435" s="19" t="s">
        <v>71</v>
      </c>
      <c r="J435" s="20">
        <v>4048</v>
      </c>
      <c r="K435" s="21">
        <v>11641</v>
      </c>
      <c r="L435" s="21">
        <v>7483</v>
      </c>
      <c r="M435" s="21" t="s">
        <v>31</v>
      </c>
      <c r="N435" s="22">
        <v>6.7</v>
      </c>
      <c r="O435" s="23">
        <f t="shared" si="12"/>
        <v>386.00298507462679</v>
      </c>
      <c r="P435" s="24">
        <v>6</v>
      </c>
      <c r="Q435" s="25" t="s">
        <v>43</v>
      </c>
      <c r="R435" s="26" t="s">
        <v>33</v>
      </c>
      <c r="S435" s="26" t="s">
        <v>34</v>
      </c>
      <c r="T435" s="26"/>
      <c r="U435" s="49"/>
      <c r="V435" s="28">
        <f t="shared" si="13"/>
        <v>111</v>
      </c>
      <c r="W435" s="37"/>
      <c r="X435" s="37"/>
    </row>
    <row r="436" spans="1:24" s="29" customFormat="1" ht="21" customHeight="1">
      <c r="A436" s="50"/>
      <c r="B436" s="31"/>
      <c r="C436" s="32"/>
      <c r="D436" s="18" t="s">
        <v>203</v>
      </c>
      <c r="E436" s="19" t="s">
        <v>166</v>
      </c>
      <c r="F436" s="20">
        <v>5.1929999999999996</v>
      </c>
      <c r="G436" s="19" t="s">
        <v>177</v>
      </c>
      <c r="H436" s="20" t="s">
        <v>178</v>
      </c>
      <c r="I436" s="19" t="s">
        <v>71</v>
      </c>
      <c r="J436" s="20">
        <v>4048</v>
      </c>
      <c r="K436" s="21">
        <v>11641</v>
      </c>
      <c r="L436" s="21">
        <v>7483</v>
      </c>
      <c r="M436" s="21" t="s">
        <v>31</v>
      </c>
      <c r="N436" s="22">
        <v>6.7</v>
      </c>
      <c r="O436" s="23">
        <f t="shared" si="12"/>
        <v>386.00298507462679</v>
      </c>
      <c r="P436" s="24">
        <v>6</v>
      </c>
      <c r="Q436" s="25" t="s">
        <v>43</v>
      </c>
      <c r="R436" s="26" t="s">
        <v>33</v>
      </c>
      <c r="S436" s="26" t="s">
        <v>34</v>
      </c>
      <c r="T436" s="26"/>
      <c r="U436" s="49"/>
      <c r="V436" s="28">
        <f t="shared" si="13"/>
        <v>111</v>
      </c>
      <c r="W436" s="37"/>
      <c r="X436" s="37"/>
    </row>
    <row r="437" spans="1:24" s="29" customFormat="1" ht="21" customHeight="1">
      <c r="A437" s="50"/>
      <c r="B437" s="31"/>
      <c r="C437" s="32"/>
      <c r="D437" s="18" t="s">
        <v>204</v>
      </c>
      <c r="E437" s="19" t="s">
        <v>166</v>
      </c>
      <c r="F437" s="20">
        <v>5.1929999999999996</v>
      </c>
      <c r="G437" s="19">
        <v>706</v>
      </c>
      <c r="H437" s="20">
        <v>154</v>
      </c>
      <c r="I437" s="19" t="s">
        <v>71</v>
      </c>
      <c r="J437" s="20">
        <v>4048</v>
      </c>
      <c r="K437" s="21">
        <v>11641</v>
      </c>
      <c r="L437" s="21">
        <v>7483</v>
      </c>
      <c r="M437" s="21" t="s">
        <v>167</v>
      </c>
      <c r="N437" s="45">
        <v>6.7</v>
      </c>
      <c r="O437" s="23">
        <f t="shared" si="12"/>
        <v>386.00298507462679</v>
      </c>
      <c r="P437" s="46">
        <v>6</v>
      </c>
      <c r="Q437" s="25" t="s">
        <v>43</v>
      </c>
      <c r="R437" s="26" t="s">
        <v>33</v>
      </c>
      <c r="S437" s="26" t="s">
        <v>34</v>
      </c>
      <c r="T437" s="26"/>
      <c r="U437" s="49"/>
      <c r="V437" s="28">
        <f t="shared" si="13"/>
        <v>111</v>
      </c>
      <c r="W437" s="40"/>
    </row>
    <row r="438" spans="1:24" s="29" customFormat="1" ht="21" customHeight="1">
      <c r="A438" s="50"/>
      <c r="B438" s="31"/>
      <c r="C438" s="32"/>
      <c r="D438" s="18" t="s">
        <v>204</v>
      </c>
      <c r="E438" s="19" t="s">
        <v>166</v>
      </c>
      <c r="F438" s="20">
        <v>5.1929999999999996</v>
      </c>
      <c r="G438" s="19">
        <v>765</v>
      </c>
      <c r="H438" s="20">
        <v>177</v>
      </c>
      <c r="I438" s="19" t="s">
        <v>71</v>
      </c>
      <c r="J438" s="20">
        <v>4048</v>
      </c>
      <c r="K438" s="21">
        <v>11641</v>
      </c>
      <c r="L438" s="21">
        <v>7483</v>
      </c>
      <c r="M438" s="21" t="s">
        <v>167</v>
      </c>
      <c r="N438" s="45">
        <v>6.7</v>
      </c>
      <c r="O438" s="23">
        <f t="shared" si="12"/>
        <v>386.00298507462679</v>
      </c>
      <c r="P438" s="46">
        <v>6</v>
      </c>
      <c r="Q438" s="25" t="s">
        <v>43</v>
      </c>
      <c r="R438" s="26" t="s">
        <v>33</v>
      </c>
      <c r="S438" s="26" t="s">
        <v>34</v>
      </c>
      <c r="T438" s="26"/>
      <c r="U438" s="49"/>
      <c r="V438" s="28">
        <f t="shared" si="13"/>
        <v>111</v>
      </c>
      <c r="W438" s="40"/>
    </row>
    <row r="439" spans="1:24" s="29" customFormat="1" ht="21" customHeight="1">
      <c r="A439" s="50"/>
      <c r="B439" s="31"/>
      <c r="C439" s="32"/>
      <c r="D439" s="18" t="s">
        <v>205</v>
      </c>
      <c r="E439" s="19" t="s">
        <v>166</v>
      </c>
      <c r="F439" s="20">
        <v>5.1929999999999996</v>
      </c>
      <c r="G439" s="19" t="s">
        <v>175</v>
      </c>
      <c r="H439" s="20" t="s">
        <v>176</v>
      </c>
      <c r="I439" s="19" t="s">
        <v>71</v>
      </c>
      <c r="J439" s="20">
        <v>4048</v>
      </c>
      <c r="K439" s="21">
        <v>11641</v>
      </c>
      <c r="L439" s="21">
        <v>7483</v>
      </c>
      <c r="M439" s="21" t="s">
        <v>31</v>
      </c>
      <c r="N439" s="22">
        <v>6.7</v>
      </c>
      <c r="O439" s="23">
        <f t="shared" si="12"/>
        <v>386.00298507462679</v>
      </c>
      <c r="P439" s="24">
        <v>6</v>
      </c>
      <c r="Q439" s="25" t="s">
        <v>43</v>
      </c>
      <c r="R439" s="26" t="s">
        <v>33</v>
      </c>
      <c r="S439" s="26" t="s">
        <v>34</v>
      </c>
      <c r="T439" s="26"/>
      <c r="U439" s="49"/>
      <c r="V439" s="28">
        <f t="shared" si="13"/>
        <v>111</v>
      </c>
      <c r="W439" s="37"/>
      <c r="X439" s="37"/>
    </row>
    <row r="440" spans="1:24" s="29" customFormat="1" ht="21" customHeight="1">
      <c r="A440" s="50"/>
      <c r="B440" s="31"/>
      <c r="C440" s="32"/>
      <c r="D440" s="18" t="s">
        <v>205</v>
      </c>
      <c r="E440" s="19" t="s">
        <v>166</v>
      </c>
      <c r="F440" s="20">
        <v>5.1929999999999996</v>
      </c>
      <c r="G440" s="19" t="s">
        <v>177</v>
      </c>
      <c r="H440" s="20" t="s">
        <v>178</v>
      </c>
      <c r="I440" s="19" t="s">
        <v>71</v>
      </c>
      <c r="J440" s="20">
        <v>4048</v>
      </c>
      <c r="K440" s="21">
        <v>11641</v>
      </c>
      <c r="L440" s="21">
        <v>7483</v>
      </c>
      <c r="M440" s="21" t="s">
        <v>31</v>
      </c>
      <c r="N440" s="22">
        <v>6.7</v>
      </c>
      <c r="O440" s="23">
        <f t="shared" si="12"/>
        <v>386.00298507462679</v>
      </c>
      <c r="P440" s="24">
        <v>6</v>
      </c>
      <c r="Q440" s="25" t="s">
        <v>43</v>
      </c>
      <c r="R440" s="26" t="s">
        <v>33</v>
      </c>
      <c r="S440" s="26" t="s">
        <v>34</v>
      </c>
      <c r="T440" s="26"/>
      <c r="U440" s="49"/>
      <c r="V440" s="28">
        <f t="shared" si="13"/>
        <v>111</v>
      </c>
      <c r="W440" s="37"/>
      <c r="X440" s="37"/>
    </row>
    <row r="441" spans="1:24" s="29" customFormat="1" ht="21" customHeight="1">
      <c r="A441" s="34"/>
      <c r="B441" s="31"/>
      <c r="C441" s="32"/>
      <c r="D441" s="18" t="s">
        <v>206</v>
      </c>
      <c r="E441" s="19" t="s">
        <v>166</v>
      </c>
      <c r="F441" s="20">
        <v>5.1929999999999996</v>
      </c>
      <c r="G441" s="19">
        <v>706</v>
      </c>
      <c r="H441" s="20">
        <v>154</v>
      </c>
      <c r="I441" s="19" t="s">
        <v>30</v>
      </c>
      <c r="J441" s="20">
        <v>4048</v>
      </c>
      <c r="K441" s="21">
        <v>11641</v>
      </c>
      <c r="L441" s="21">
        <v>7483</v>
      </c>
      <c r="M441" s="21" t="s">
        <v>31</v>
      </c>
      <c r="N441" s="45">
        <v>6.7</v>
      </c>
      <c r="O441" s="23">
        <f t="shared" si="12"/>
        <v>386.00298507462679</v>
      </c>
      <c r="P441" s="46">
        <v>6</v>
      </c>
      <c r="Q441" s="25" t="s">
        <v>62</v>
      </c>
      <c r="R441" s="26" t="s">
        <v>33</v>
      </c>
      <c r="S441" s="26" t="s">
        <v>117</v>
      </c>
      <c r="T441" s="26"/>
      <c r="U441" s="49"/>
      <c r="V441" s="28">
        <f t="shared" si="13"/>
        <v>111</v>
      </c>
    </row>
    <row r="442" spans="1:24" s="29" customFormat="1" ht="21" customHeight="1">
      <c r="A442" s="34"/>
      <c r="B442" s="31"/>
      <c r="C442" s="32"/>
      <c r="D442" s="18" t="s">
        <v>206</v>
      </c>
      <c r="E442" s="19" t="s">
        <v>166</v>
      </c>
      <c r="F442" s="20">
        <v>5.1929999999999996</v>
      </c>
      <c r="G442" s="19">
        <v>765</v>
      </c>
      <c r="H442" s="20">
        <v>177</v>
      </c>
      <c r="I442" s="19" t="s">
        <v>30</v>
      </c>
      <c r="J442" s="20">
        <v>4048</v>
      </c>
      <c r="K442" s="21">
        <v>11641</v>
      </c>
      <c r="L442" s="21">
        <v>7483</v>
      </c>
      <c r="M442" s="21" t="s">
        <v>31</v>
      </c>
      <c r="N442" s="45">
        <v>6.7</v>
      </c>
      <c r="O442" s="23">
        <f t="shared" si="12"/>
        <v>386.00298507462679</v>
      </c>
      <c r="P442" s="46">
        <v>6</v>
      </c>
      <c r="Q442" s="25" t="s">
        <v>62</v>
      </c>
      <c r="R442" s="26" t="s">
        <v>33</v>
      </c>
      <c r="S442" s="26" t="s">
        <v>117</v>
      </c>
      <c r="T442" s="26"/>
      <c r="U442" s="49"/>
      <c r="V442" s="28">
        <f t="shared" si="13"/>
        <v>111</v>
      </c>
    </row>
    <row r="443" spans="1:24" s="29" customFormat="1" ht="21" customHeight="1">
      <c r="A443" s="50"/>
      <c r="B443" s="31"/>
      <c r="C443" s="32"/>
      <c r="D443" s="18" t="s">
        <v>207</v>
      </c>
      <c r="E443" s="19" t="s">
        <v>166</v>
      </c>
      <c r="F443" s="20">
        <v>5.1929999999999996</v>
      </c>
      <c r="G443" s="19" t="s">
        <v>175</v>
      </c>
      <c r="H443" s="20" t="s">
        <v>176</v>
      </c>
      <c r="I443" s="19" t="s">
        <v>71</v>
      </c>
      <c r="J443" s="20">
        <v>4048</v>
      </c>
      <c r="K443" s="21">
        <v>11641</v>
      </c>
      <c r="L443" s="21">
        <v>7483</v>
      </c>
      <c r="M443" s="21" t="s">
        <v>31</v>
      </c>
      <c r="N443" s="22">
        <v>6.7</v>
      </c>
      <c r="O443" s="23">
        <f t="shared" si="12"/>
        <v>386.00298507462679</v>
      </c>
      <c r="P443" s="24">
        <v>6</v>
      </c>
      <c r="Q443" s="25" t="s">
        <v>43</v>
      </c>
      <c r="R443" s="26" t="s">
        <v>33</v>
      </c>
      <c r="S443" s="26" t="s">
        <v>34</v>
      </c>
      <c r="T443" s="26"/>
      <c r="U443" s="49"/>
      <c r="V443" s="28">
        <f t="shared" si="13"/>
        <v>111</v>
      </c>
      <c r="W443" s="37"/>
      <c r="X443" s="37"/>
    </row>
    <row r="444" spans="1:24" s="29" customFormat="1" ht="21" customHeight="1">
      <c r="A444" s="50"/>
      <c r="B444" s="31"/>
      <c r="C444" s="32"/>
      <c r="D444" s="18" t="s">
        <v>207</v>
      </c>
      <c r="E444" s="19" t="s">
        <v>166</v>
      </c>
      <c r="F444" s="20">
        <v>5.1929999999999996</v>
      </c>
      <c r="G444" s="19" t="s">
        <v>177</v>
      </c>
      <c r="H444" s="20" t="s">
        <v>178</v>
      </c>
      <c r="I444" s="19" t="s">
        <v>71</v>
      </c>
      <c r="J444" s="20">
        <v>4048</v>
      </c>
      <c r="K444" s="21">
        <v>11641</v>
      </c>
      <c r="L444" s="20">
        <v>7483</v>
      </c>
      <c r="M444" s="21" t="s">
        <v>31</v>
      </c>
      <c r="N444" s="22">
        <v>6.7</v>
      </c>
      <c r="O444" s="23">
        <f t="shared" si="12"/>
        <v>386.00298507462679</v>
      </c>
      <c r="P444" s="24">
        <v>6</v>
      </c>
      <c r="Q444" s="25" t="s">
        <v>43</v>
      </c>
      <c r="R444" s="26" t="s">
        <v>33</v>
      </c>
      <c r="S444" s="26" t="s">
        <v>34</v>
      </c>
      <c r="T444" s="26"/>
      <c r="U444" s="49"/>
      <c r="V444" s="28">
        <f t="shared" si="13"/>
        <v>111</v>
      </c>
      <c r="W444" s="37"/>
      <c r="X444" s="37"/>
    </row>
    <row r="445" spans="1:24" s="29" customFormat="1" ht="21" customHeight="1">
      <c r="A445" s="50"/>
      <c r="B445" s="31"/>
      <c r="C445" s="32"/>
      <c r="D445" s="18" t="s">
        <v>208</v>
      </c>
      <c r="E445" s="19" t="s">
        <v>166</v>
      </c>
      <c r="F445" s="20">
        <v>5.1929999999999996</v>
      </c>
      <c r="G445" s="19" t="s">
        <v>175</v>
      </c>
      <c r="H445" s="20" t="s">
        <v>176</v>
      </c>
      <c r="I445" s="19" t="s">
        <v>71</v>
      </c>
      <c r="J445" s="20">
        <v>4048</v>
      </c>
      <c r="K445" s="21">
        <v>11641</v>
      </c>
      <c r="L445" s="21">
        <v>7483</v>
      </c>
      <c r="M445" s="21" t="s">
        <v>31</v>
      </c>
      <c r="N445" s="22">
        <v>6.7</v>
      </c>
      <c r="O445" s="23">
        <f t="shared" si="12"/>
        <v>386.00298507462679</v>
      </c>
      <c r="P445" s="24">
        <v>6</v>
      </c>
      <c r="Q445" s="25" t="s">
        <v>43</v>
      </c>
      <c r="R445" s="26" t="s">
        <v>33</v>
      </c>
      <c r="S445" s="26" t="s">
        <v>34</v>
      </c>
      <c r="T445" s="26"/>
      <c r="U445" s="49"/>
      <c r="V445" s="28">
        <f t="shared" si="13"/>
        <v>111</v>
      </c>
      <c r="W445" s="37"/>
      <c r="X445" s="37"/>
    </row>
    <row r="446" spans="1:24" s="29" customFormat="1" ht="21" customHeight="1">
      <c r="A446" s="50"/>
      <c r="B446" s="31"/>
      <c r="C446" s="32"/>
      <c r="D446" s="18" t="s">
        <v>208</v>
      </c>
      <c r="E446" s="19" t="s">
        <v>166</v>
      </c>
      <c r="F446" s="20">
        <v>5.1929999999999996</v>
      </c>
      <c r="G446" s="19" t="s">
        <v>177</v>
      </c>
      <c r="H446" s="20" t="s">
        <v>178</v>
      </c>
      <c r="I446" s="19" t="s">
        <v>71</v>
      </c>
      <c r="J446" s="20">
        <v>4048</v>
      </c>
      <c r="K446" s="21">
        <v>11641</v>
      </c>
      <c r="L446" s="21">
        <v>7483</v>
      </c>
      <c r="M446" s="21" t="s">
        <v>31</v>
      </c>
      <c r="N446" s="22">
        <v>6.7</v>
      </c>
      <c r="O446" s="23">
        <f t="shared" si="12"/>
        <v>386.00298507462679</v>
      </c>
      <c r="P446" s="24">
        <v>6</v>
      </c>
      <c r="Q446" s="25" t="s">
        <v>43</v>
      </c>
      <c r="R446" s="26" t="s">
        <v>33</v>
      </c>
      <c r="S446" s="26" t="s">
        <v>34</v>
      </c>
      <c r="T446" s="26"/>
      <c r="U446" s="49"/>
      <c r="V446" s="28">
        <f t="shared" si="13"/>
        <v>111</v>
      </c>
      <c r="W446" s="37"/>
      <c r="X446" s="37"/>
    </row>
    <row r="447" spans="1:24" s="29" customFormat="1" ht="21" customHeight="1">
      <c r="A447" s="50"/>
      <c r="B447" s="31"/>
      <c r="C447" s="32"/>
      <c r="D447" s="18" t="s">
        <v>209</v>
      </c>
      <c r="E447" s="19" t="s">
        <v>166</v>
      </c>
      <c r="F447" s="20">
        <v>5.1929999999999996</v>
      </c>
      <c r="G447" s="19" t="s">
        <v>175</v>
      </c>
      <c r="H447" s="20" t="s">
        <v>176</v>
      </c>
      <c r="I447" s="19" t="s">
        <v>71</v>
      </c>
      <c r="J447" s="20">
        <v>4048</v>
      </c>
      <c r="K447" s="21">
        <v>11641</v>
      </c>
      <c r="L447" s="21">
        <v>7483</v>
      </c>
      <c r="M447" s="21" t="s">
        <v>31</v>
      </c>
      <c r="N447" s="22">
        <v>6.7</v>
      </c>
      <c r="O447" s="23">
        <f t="shared" si="12"/>
        <v>386.00298507462679</v>
      </c>
      <c r="P447" s="24">
        <v>6</v>
      </c>
      <c r="Q447" s="25" t="s">
        <v>43</v>
      </c>
      <c r="R447" s="26" t="s">
        <v>33</v>
      </c>
      <c r="S447" s="26" t="s">
        <v>110</v>
      </c>
      <c r="T447" s="26"/>
      <c r="U447" s="49"/>
      <c r="V447" s="28">
        <f t="shared" si="13"/>
        <v>111</v>
      </c>
      <c r="W447" s="37"/>
      <c r="X447" s="37"/>
    </row>
    <row r="448" spans="1:24" s="29" customFormat="1" ht="21" customHeight="1">
      <c r="A448" s="50"/>
      <c r="B448" s="31"/>
      <c r="C448" s="32"/>
      <c r="D448" s="18" t="s">
        <v>210</v>
      </c>
      <c r="E448" s="19" t="s">
        <v>182</v>
      </c>
      <c r="F448" s="20">
        <v>5.1929999999999996</v>
      </c>
      <c r="G448" s="19">
        <v>706</v>
      </c>
      <c r="H448" s="20">
        <v>154</v>
      </c>
      <c r="I448" s="19" t="s">
        <v>30</v>
      </c>
      <c r="J448" s="20">
        <v>4048</v>
      </c>
      <c r="K448" s="21">
        <v>11641</v>
      </c>
      <c r="L448" s="21">
        <v>7483</v>
      </c>
      <c r="M448" s="21" t="s">
        <v>167</v>
      </c>
      <c r="N448" s="45">
        <v>6.7</v>
      </c>
      <c r="O448" s="23">
        <f t="shared" si="12"/>
        <v>386.00298507462679</v>
      </c>
      <c r="P448" s="46">
        <v>6</v>
      </c>
      <c r="Q448" s="25" t="s">
        <v>43</v>
      </c>
      <c r="R448" s="26" t="s">
        <v>33</v>
      </c>
      <c r="S448" s="26" t="s">
        <v>110</v>
      </c>
      <c r="T448" s="26"/>
      <c r="U448" s="49"/>
      <c r="V448" s="28">
        <f t="shared" si="13"/>
        <v>111</v>
      </c>
      <c r="W448" s="40"/>
    </row>
    <row r="449" spans="1:24" s="29" customFormat="1" ht="21" customHeight="1">
      <c r="A449" s="50"/>
      <c r="B449" s="31"/>
      <c r="C449" s="32"/>
      <c r="D449" s="18" t="s">
        <v>211</v>
      </c>
      <c r="E449" s="19" t="s">
        <v>166</v>
      </c>
      <c r="F449" s="20">
        <v>5.1929999999999996</v>
      </c>
      <c r="G449" s="19" t="s">
        <v>175</v>
      </c>
      <c r="H449" s="20" t="s">
        <v>176</v>
      </c>
      <c r="I449" s="19" t="s">
        <v>71</v>
      </c>
      <c r="J449" s="20">
        <v>4048</v>
      </c>
      <c r="K449" s="21">
        <v>11641</v>
      </c>
      <c r="L449" s="21">
        <v>7483</v>
      </c>
      <c r="M449" s="21" t="s">
        <v>31</v>
      </c>
      <c r="N449" s="22">
        <v>6.7</v>
      </c>
      <c r="O449" s="23">
        <f t="shared" si="12"/>
        <v>386.00298507462679</v>
      </c>
      <c r="P449" s="24">
        <v>6</v>
      </c>
      <c r="Q449" s="25" t="s">
        <v>43</v>
      </c>
      <c r="R449" s="26" t="s">
        <v>33</v>
      </c>
      <c r="S449" s="26" t="s">
        <v>110</v>
      </c>
      <c r="T449" s="26"/>
      <c r="U449" s="49"/>
      <c r="V449" s="28">
        <f t="shared" si="13"/>
        <v>111</v>
      </c>
      <c r="W449" s="37"/>
      <c r="X449" s="37"/>
    </row>
    <row r="450" spans="1:24" s="29" customFormat="1" ht="21" customHeight="1">
      <c r="A450" s="50"/>
      <c r="B450" s="31"/>
      <c r="C450" s="32"/>
      <c r="D450" s="18" t="s">
        <v>212</v>
      </c>
      <c r="E450" s="19" t="s">
        <v>166</v>
      </c>
      <c r="F450" s="20">
        <v>5.1929999999999996</v>
      </c>
      <c r="G450" s="19" t="s">
        <v>175</v>
      </c>
      <c r="H450" s="20" t="s">
        <v>176</v>
      </c>
      <c r="I450" s="19" t="s">
        <v>71</v>
      </c>
      <c r="J450" s="20">
        <v>4048</v>
      </c>
      <c r="K450" s="21">
        <v>11641</v>
      </c>
      <c r="L450" s="21">
        <v>7483</v>
      </c>
      <c r="M450" s="21" t="s">
        <v>31</v>
      </c>
      <c r="N450" s="22">
        <v>6.5</v>
      </c>
      <c r="O450" s="23">
        <f t="shared" si="12"/>
        <v>397.88</v>
      </c>
      <c r="P450" s="24">
        <v>6</v>
      </c>
      <c r="Q450" s="25" t="s">
        <v>63</v>
      </c>
      <c r="R450" s="26" t="s">
        <v>33</v>
      </c>
      <c r="S450" s="26" t="s">
        <v>34</v>
      </c>
      <c r="T450" s="26"/>
      <c r="U450" s="49"/>
      <c r="V450" s="28">
        <f t="shared" si="13"/>
        <v>108</v>
      </c>
      <c r="W450" s="37"/>
      <c r="X450" s="37"/>
    </row>
    <row r="451" spans="1:24" s="29" customFormat="1" ht="21" customHeight="1">
      <c r="A451" s="50"/>
      <c r="B451" s="31"/>
      <c r="C451" s="32"/>
      <c r="D451" s="18" t="s">
        <v>212</v>
      </c>
      <c r="E451" s="19" t="s">
        <v>166</v>
      </c>
      <c r="F451" s="20">
        <v>5.1929999999999996</v>
      </c>
      <c r="G451" s="19" t="s">
        <v>177</v>
      </c>
      <c r="H451" s="20" t="s">
        <v>178</v>
      </c>
      <c r="I451" s="19" t="s">
        <v>71</v>
      </c>
      <c r="J451" s="20">
        <v>4048</v>
      </c>
      <c r="K451" s="21">
        <v>11641</v>
      </c>
      <c r="L451" s="21">
        <v>7483</v>
      </c>
      <c r="M451" s="21" t="s">
        <v>31</v>
      </c>
      <c r="N451" s="22">
        <v>6.5</v>
      </c>
      <c r="O451" s="23">
        <f t="shared" si="12"/>
        <v>397.88</v>
      </c>
      <c r="P451" s="24">
        <v>6</v>
      </c>
      <c r="Q451" s="25" t="s">
        <v>63</v>
      </c>
      <c r="R451" s="26" t="s">
        <v>33</v>
      </c>
      <c r="S451" s="26" t="s">
        <v>34</v>
      </c>
      <c r="T451" s="26"/>
      <c r="U451" s="49"/>
      <c r="V451" s="28">
        <f t="shared" si="13"/>
        <v>108</v>
      </c>
      <c r="W451" s="37"/>
      <c r="X451" s="37"/>
    </row>
    <row r="452" spans="1:24" s="29" customFormat="1" ht="21" customHeight="1">
      <c r="A452" s="50"/>
      <c r="B452" s="31"/>
      <c r="C452" s="32"/>
      <c r="D452" s="18" t="s">
        <v>213</v>
      </c>
      <c r="E452" s="19" t="s">
        <v>166</v>
      </c>
      <c r="F452" s="20">
        <v>5.1929999999999996</v>
      </c>
      <c r="G452" s="19">
        <v>706</v>
      </c>
      <c r="H452" s="20">
        <v>154</v>
      </c>
      <c r="I452" s="19" t="s">
        <v>71</v>
      </c>
      <c r="J452" s="20">
        <v>4048</v>
      </c>
      <c r="K452" s="21">
        <v>11641</v>
      </c>
      <c r="L452" s="21">
        <v>7483</v>
      </c>
      <c r="M452" s="21" t="s">
        <v>167</v>
      </c>
      <c r="N452" s="45">
        <v>6.5</v>
      </c>
      <c r="O452" s="23">
        <f t="shared" si="12"/>
        <v>397.88</v>
      </c>
      <c r="P452" s="46">
        <v>6</v>
      </c>
      <c r="Q452" s="25" t="s">
        <v>77</v>
      </c>
      <c r="R452" s="26" t="s">
        <v>33</v>
      </c>
      <c r="S452" s="26" t="s">
        <v>34</v>
      </c>
      <c r="T452" s="26"/>
      <c r="U452" s="49"/>
      <c r="V452" s="28">
        <f t="shared" si="13"/>
        <v>108</v>
      </c>
      <c r="W452" s="40"/>
    </row>
    <row r="453" spans="1:24" s="29" customFormat="1" ht="21" customHeight="1">
      <c r="A453" s="50"/>
      <c r="B453" s="31"/>
      <c r="C453" s="32"/>
      <c r="D453" s="18" t="s">
        <v>213</v>
      </c>
      <c r="E453" s="19" t="s">
        <v>166</v>
      </c>
      <c r="F453" s="20">
        <v>5.1929999999999996</v>
      </c>
      <c r="G453" s="19">
        <v>765</v>
      </c>
      <c r="H453" s="20">
        <v>177</v>
      </c>
      <c r="I453" s="19" t="s">
        <v>71</v>
      </c>
      <c r="J453" s="20">
        <v>4048</v>
      </c>
      <c r="K453" s="21">
        <v>11641</v>
      </c>
      <c r="L453" s="21">
        <v>7483</v>
      </c>
      <c r="M453" s="21" t="s">
        <v>167</v>
      </c>
      <c r="N453" s="45">
        <v>6.5</v>
      </c>
      <c r="O453" s="23">
        <f t="shared" si="12"/>
        <v>397.88</v>
      </c>
      <c r="P453" s="46">
        <v>6</v>
      </c>
      <c r="Q453" s="25" t="s">
        <v>77</v>
      </c>
      <c r="R453" s="26" t="s">
        <v>33</v>
      </c>
      <c r="S453" s="26" t="s">
        <v>34</v>
      </c>
      <c r="T453" s="26"/>
      <c r="U453" s="49"/>
      <c r="V453" s="28">
        <f t="shared" si="13"/>
        <v>108</v>
      </c>
      <c r="W453" s="40"/>
    </row>
    <row r="454" spans="1:24" s="29" customFormat="1" ht="21" customHeight="1">
      <c r="A454" s="50"/>
      <c r="B454" s="31"/>
      <c r="C454" s="32"/>
      <c r="D454" s="18" t="s">
        <v>214</v>
      </c>
      <c r="E454" s="19" t="s">
        <v>166</v>
      </c>
      <c r="F454" s="20">
        <v>5.1929999999999996</v>
      </c>
      <c r="G454" s="19" t="s">
        <v>175</v>
      </c>
      <c r="H454" s="20" t="s">
        <v>176</v>
      </c>
      <c r="I454" s="19" t="s">
        <v>71</v>
      </c>
      <c r="J454" s="20">
        <v>4048</v>
      </c>
      <c r="K454" s="21">
        <v>11641</v>
      </c>
      <c r="L454" s="21">
        <v>7483</v>
      </c>
      <c r="M454" s="21" t="s">
        <v>31</v>
      </c>
      <c r="N454" s="22">
        <v>6.5</v>
      </c>
      <c r="O454" s="23">
        <f t="shared" si="12"/>
        <v>397.88</v>
      </c>
      <c r="P454" s="24">
        <v>6</v>
      </c>
      <c r="Q454" s="25" t="s">
        <v>63</v>
      </c>
      <c r="R454" s="26" t="s">
        <v>33</v>
      </c>
      <c r="S454" s="26" t="s">
        <v>34</v>
      </c>
      <c r="T454" s="26"/>
      <c r="U454" s="49"/>
      <c r="V454" s="28">
        <f t="shared" si="13"/>
        <v>108</v>
      </c>
      <c r="W454" s="37"/>
      <c r="X454" s="37"/>
    </row>
    <row r="455" spans="1:24" s="29" customFormat="1" ht="21" customHeight="1">
      <c r="A455" s="50"/>
      <c r="B455" s="31"/>
      <c r="C455" s="32"/>
      <c r="D455" s="18" t="s">
        <v>214</v>
      </c>
      <c r="E455" s="19" t="s">
        <v>166</v>
      </c>
      <c r="F455" s="20">
        <v>5.1929999999999996</v>
      </c>
      <c r="G455" s="19" t="s">
        <v>177</v>
      </c>
      <c r="H455" s="20" t="s">
        <v>178</v>
      </c>
      <c r="I455" s="19" t="s">
        <v>71</v>
      </c>
      <c r="J455" s="20">
        <v>4048</v>
      </c>
      <c r="K455" s="21">
        <v>11641</v>
      </c>
      <c r="L455" s="21">
        <v>7483</v>
      </c>
      <c r="M455" s="21" t="s">
        <v>31</v>
      </c>
      <c r="N455" s="22">
        <v>6.5</v>
      </c>
      <c r="O455" s="23">
        <f t="shared" si="12"/>
        <v>397.88</v>
      </c>
      <c r="P455" s="24">
        <v>6</v>
      </c>
      <c r="Q455" s="25" t="s">
        <v>63</v>
      </c>
      <c r="R455" s="26" t="s">
        <v>33</v>
      </c>
      <c r="S455" s="26" t="s">
        <v>34</v>
      </c>
      <c r="T455" s="26"/>
      <c r="U455" s="49"/>
      <c r="V455" s="28">
        <f t="shared" si="13"/>
        <v>108</v>
      </c>
      <c r="W455" s="37"/>
      <c r="X455" s="37"/>
    </row>
    <row r="456" spans="1:24" s="29" customFormat="1" ht="21" customHeight="1">
      <c r="A456" s="34"/>
      <c r="B456" s="31"/>
      <c r="C456" s="32"/>
      <c r="D456" s="18" t="s">
        <v>215</v>
      </c>
      <c r="E456" s="19" t="s">
        <v>166</v>
      </c>
      <c r="F456" s="20">
        <v>5.1929999999999996</v>
      </c>
      <c r="G456" s="19">
        <v>706</v>
      </c>
      <c r="H456" s="20">
        <v>154</v>
      </c>
      <c r="I456" s="19" t="s">
        <v>71</v>
      </c>
      <c r="J456" s="20">
        <v>4048</v>
      </c>
      <c r="K456" s="21">
        <v>11641</v>
      </c>
      <c r="L456" s="21">
        <v>7483</v>
      </c>
      <c r="M456" s="21" t="s">
        <v>31</v>
      </c>
      <c r="N456" s="45">
        <v>6.5</v>
      </c>
      <c r="O456" s="23">
        <f t="shared" si="12"/>
        <v>397.88</v>
      </c>
      <c r="P456" s="46">
        <v>6</v>
      </c>
      <c r="Q456" s="25" t="s">
        <v>63</v>
      </c>
      <c r="R456" s="26" t="s">
        <v>33</v>
      </c>
      <c r="S456" s="26" t="s">
        <v>117</v>
      </c>
      <c r="T456" s="26"/>
      <c r="U456" s="49"/>
      <c r="V456" s="28">
        <f t="shared" si="13"/>
        <v>108</v>
      </c>
    </row>
    <row r="457" spans="1:24" s="29" customFormat="1" ht="21" customHeight="1">
      <c r="A457" s="34"/>
      <c r="B457" s="31"/>
      <c r="C457" s="32"/>
      <c r="D457" s="18" t="s">
        <v>215</v>
      </c>
      <c r="E457" s="19" t="s">
        <v>166</v>
      </c>
      <c r="F457" s="20">
        <v>5.1929999999999996</v>
      </c>
      <c r="G457" s="19">
        <v>765</v>
      </c>
      <c r="H457" s="20">
        <v>177</v>
      </c>
      <c r="I457" s="19" t="s">
        <v>71</v>
      </c>
      <c r="J457" s="20">
        <v>4048</v>
      </c>
      <c r="K457" s="21">
        <v>11641</v>
      </c>
      <c r="L457" s="21">
        <v>7483</v>
      </c>
      <c r="M457" s="21" t="s">
        <v>31</v>
      </c>
      <c r="N457" s="45">
        <v>6.5</v>
      </c>
      <c r="O457" s="23">
        <f t="shared" ref="O457:O520" si="14">IF(N457&gt;0,1/N457*37.7*68.6,"")</f>
        <v>397.88</v>
      </c>
      <c r="P457" s="46">
        <v>6</v>
      </c>
      <c r="Q457" s="25" t="s">
        <v>63</v>
      </c>
      <c r="R457" s="26" t="s">
        <v>33</v>
      </c>
      <c r="S457" s="26" t="s">
        <v>117</v>
      </c>
      <c r="T457" s="26"/>
      <c r="U457" s="49"/>
      <c r="V457" s="28">
        <f t="shared" ref="V457:V520" si="15">IFERROR(IF(N457&lt;P457,"",(ROUNDDOWN(N457/P457*100,0))),"")</f>
        <v>108</v>
      </c>
    </row>
    <row r="458" spans="1:24" s="29" customFormat="1" ht="21" customHeight="1">
      <c r="A458" s="50"/>
      <c r="B458" s="31"/>
      <c r="C458" s="32"/>
      <c r="D458" s="18" t="s">
        <v>216</v>
      </c>
      <c r="E458" s="19" t="s">
        <v>166</v>
      </c>
      <c r="F458" s="20">
        <v>5.1929999999999996</v>
      </c>
      <c r="G458" s="19" t="s">
        <v>175</v>
      </c>
      <c r="H458" s="20" t="s">
        <v>176</v>
      </c>
      <c r="I458" s="19" t="s">
        <v>71</v>
      </c>
      <c r="J458" s="20">
        <v>4048</v>
      </c>
      <c r="K458" s="21">
        <v>11641</v>
      </c>
      <c r="L458" s="21">
        <v>7483</v>
      </c>
      <c r="M458" s="21" t="s">
        <v>31</v>
      </c>
      <c r="N458" s="22">
        <v>6.5</v>
      </c>
      <c r="O458" s="23">
        <f t="shared" si="14"/>
        <v>397.88</v>
      </c>
      <c r="P458" s="24">
        <v>6</v>
      </c>
      <c r="Q458" s="25" t="s">
        <v>63</v>
      </c>
      <c r="R458" s="26" t="s">
        <v>33</v>
      </c>
      <c r="S458" s="26" t="s">
        <v>34</v>
      </c>
      <c r="T458" s="26"/>
      <c r="U458" s="49"/>
      <c r="V458" s="28">
        <f t="shared" si="15"/>
        <v>108</v>
      </c>
      <c r="W458" s="37"/>
      <c r="X458" s="37"/>
    </row>
    <row r="459" spans="1:24" s="29" customFormat="1" ht="21" customHeight="1">
      <c r="A459" s="50"/>
      <c r="B459" s="31"/>
      <c r="C459" s="32"/>
      <c r="D459" s="18" t="s">
        <v>216</v>
      </c>
      <c r="E459" s="19" t="s">
        <v>166</v>
      </c>
      <c r="F459" s="20">
        <v>5.1929999999999996</v>
      </c>
      <c r="G459" s="19" t="s">
        <v>177</v>
      </c>
      <c r="H459" s="20" t="s">
        <v>178</v>
      </c>
      <c r="I459" s="19" t="s">
        <v>71</v>
      </c>
      <c r="J459" s="20">
        <v>4048</v>
      </c>
      <c r="K459" s="21">
        <v>11641</v>
      </c>
      <c r="L459" s="21">
        <v>7483</v>
      </c>
      <c r="M459" s="21" t="s">
        <v>31</v>
      </c>
      <c r="N459" s="22">
        <v>6.5</v>
      </c>
      <c r="O459" s="23">
        <f t="shared" si="14"/>
        <v>397.88</v>
      </c>
      <c r="P459" s="24">
        <v>6</v>
      </c>
      <c r="Q459" s="25" t="s">
        <v>63</v>
      </c>
      <c r="R459" s="26" t="s">
        <v>33</v>
      </c>
      <c r="S459" s="26" t="s">
        <v>34</v>
      </c>
      <c r="T459" s="26"/>
      <c r="U459" s="49"/>
      <c r="V459" s="28">
        <f t="shared" si="15"/>
        <v>108</v>
      </c>
      <c r="W459" s="37"/>
      <c r="X459" s="37"/>
    </row>
    <row r="460" spans="1:24" s="29" customFormat="1" ht="21" customHeight="1">
      <c r="A460" s="50"/>
      <c r="B460" s="31"/>
      <c r="C460" s="32"/>
      <c r="D460" s="18" t="s">
        <v>217</v>
      </c>
      <c r="E460" s="19" t="s">
        <v>166</v>
      </c>
      <c r="F460" s="20">
        <v>5.1929999999999996</v>
      </c>
      <c r="G460" s="19" t="s">
        <v>175</v>
      </c>
      <c r="H460" s="20" t="s">
        <v>176</v>
      </c>
      <c r="I460" s="19" t="s">
        <v>71</v>
      </c>
      <c r="J460" s="20">
        <v>4048</v>
      </c>
      <c r="K460" s="21">
        <v>11641</v>
      </c>
      <c r="L460" s="21">
        <v>7483</v>
      </c>
      <c r="M460" s="21" t="s">
        <v>31</v>
      </c>
      <c r="N460" s="22">
        <v>6.5</v>
      </c>
      <c r="O460" s="23">
        <f t="shared" si="14"/>
        <v>397.88</v>
      </c>
      <c r="P460" s="24">
        <v>6</v>
      </c>
      <c r="Q460" s="25" t="s">
        <v>63</v>
      </c>
      <c r="R460" s="26" t="s">
        <v>33</v>
      </c>
      <c r="S460" s="26" t="s">
        <v>34</v>
      </c>
      <c r="T460" s="26"/>
      <c r="U460" s="49"/>
      <c r="V460" s="28">
        <f t="shared" si="15"/>
        <v>108</v>
      </c>
      <c r="W460" s="37"/>
      <c r="X460" s="37"/>
    </row>
    <row r="461" spans="1:24" s="29" customFormat="1" ht="21" customHeight="1">
      <c r="A461" s="50"/>
      <c r="B461" s="31"/>
      <c r="C461" s="32"/>
      <c r="D461" s="18" t="s">
        <v>217</v>
      </c>
      <c r="E461" s="19" t="s">
        <v>166</v>
      </c>
      <c r="F461" s="20">
        <v>5.1929999999999996</v>
      </c>
      <c r="G461" s="19" t="s">
        <v>177</v>
      </c>
      <c r="H461" s="20" t="s">
        <v>178</v>
      </c>
      <c r="I461" s="19" t="s">
        <v>71</v>
      </c>
      <c r="J461" s="20">
        <v>4048</v>
      </c>
      <c r="K461" s="21">
        <v>11641</v>
      </c>
      <c r="L461" s="21">
        <v>7483</v>
      </c>
      <c r="M461" s="21" t="s">
        <v>31</v>
      </c>
      <c r="N461" s="22">
        <v>6.5</v>
      </c>
      <c r="O461" s="23">
        <f t="shared" si="14"/>
        <v>397.88</v>
      </c>
      <c r="P461" s="24">
        <v>6</v>
      </c>
      <c r="Q461" s="25" t="s">
        <v>63</v>
      </c>
      <c r="R461" s="26" t="s">
        <v>33</v>
      </c>
      <c r="S461" s="26" t="s">
        <v>34</v>
      </c>
      <c r="T461" s="26"/>
      <c r="U461" s="49"/>
      <c r="V461" s="28">
        <f t="shared" si="15"/>
        <v>108</v>
      </c>
      <c r="W461" s="37"/>
      <c r="X461" s="37"/>
    </row>
    <row r="462" spans="1:24" s="29" customFormat="1" ht="21" customHeight="1">
      <c r="A462" s="50"/>
      <c r="B462" s="31"/>
      <c r="C462" s="32"/>
      <c r="D462" s="18" t="s">
        <v>218</v>
      </c>
      <c r="E462" s="19" t="s">
        <v>166</v>
      </c>
      <c r="F462" s="20">
        <v>5.1929999999999996</v>
      </c>
      <c r="G462" s="19" t="s">
        <v>175</v>
      </c>
      <c r="H462" s="20" t="s">
        <v>176</v>
      </c>
      <c r="I462" s="19" t="s">
        <v>71</v>
      </c>
      <c r="J462" s="20">
        <v>4048</v>
      </c>
      <c r="K462" s="21">
        <v>11641</v>
      </c>
      <c r="L462" s="21">
        <v>7483</v>
      </c>
      <c r="M462" s="21" t="s">
        <v>31</v>
      </c>
      <c r="N462" s="22">
        <v>6.5</v>
      </c>
      <c r="O462" s="23">
        <f t="shared" si="14"/>
        <v>397.88</v>
      </c>
      <c r="P462" s="24">
        <v>6</v>
      </c>
      <c r="Q462" s="25" t="s">
        <v>63</v>
      </c>
      <c r="R462" s="26" t="s">
        <v>33</v>
      </c>
      <c r="S462" s="26" t="s">
        <v>110</v>
      </c>
      <c r="T462" s="26"/>
      <c r="U462" s="49"/>
      <c r="V462" s="28">
        <f t="shared" si="15"/>
        <v>108</v>
      </c>
      <c r="W462" s="37"/>
      <c r="X462" s="37"/>
    </row>
    <row r="463" spans="1:24" s="29" customFormat="1" ht="21" customHeight="1">
      <c r="A463" s="50"/>
      <c r="B463" s="31"/>
      <c r="C463" s="32"/>
      <c r="D463" s="18" t="s">
        <v>219</v>
      </c>
      <c r="E463" s="19" t="s">
        <v>182</v>
      </c>
      <c r="F463" s="20">
        <v>5.1929999999999996</v>
      </c>
      <c r="G463" s="19">
        <v>706</v>
      </c>
      <c r="H463" s="20">
        <v>154</v>
      </c>
      <c r="I463" s="19" t="s">
        <v>30</v>
      </c>
      <c r="J463" s="20">
        <v>4048</v>
      </c>
      <c r="K463" s="21">
        <v>11641</v>
      </c>
      <c r="L463" s="21">
        <v>7483</v>
      </c>
      <c r="M463" s="21" t="s">
        <v>167</v>
      </c>
      <c r="N463" s="45">
        <v>6.5</v>
      </c>
      <c r="O463" s="23">
        <f t="shared" si="14"/>
        <v>397.88</v>
      </c>
      <c r="P463" s="46">
        <v>6</v>
      </c>
      <c r="Q463" s="25" t="s">
        <v>63</v>
      </c>
      <c r="R463" s="26" t="s">
        <v>33</v>
      </c>
      <c r="S463" s="26" t="s">
        <v>110</v>
      </c>
      <c r="T463" s="26"/>
      <c r="U463" s="49"/>
      <c r="V463" s="28">
        <f t="shared" si="15"/>
        <v>108</v>
      </c>
      <c r="W463" s="40"/>
    </row>
    <row r="464" spans="1:24" s="29" customFormat="1" ht="21" customHeight="1">
      <c r="A464" s="50"/>
      <c r="B464" s="31"/>
      <c r="C464" s="32"/>
      <c r="D464" s="18" t="s">
        <v>220</v>
      </c>
      <c r="E464" s="19" t="s">
        <v>166</v>
      </c>
      <c r="F464" s="20">
        <v>5.1929999999999996</v>
      </c>
      <c r="G464" s="19" t="s">
        <v>175</v>
      </c>
      <c r="H464" s="20" t="s">
        <v>176</v>
      </c>
      <c r="I464" s="19" t="s">
        <v>71</v>
      </c>
      <c r="J464" s="20">
        <v>4048</v>
      </c>
      <c r="K464" s="21">
        <v>11641</v>
      </c>
      <c r="L464" s="21">
        <v>7483</v>
      </c>
      <c r="M464" s="21" t="s">
        <v>31</v>
      </c>
      <c r="N464" s="22">
        <v>6.5</v>
      </c>
      <c r="O464" s="23">
        <f t="shared" si="14"/>
        <v>397.88</v>
      </c>
      <c r="P464" s="24">
        <v>6</v>
      </c>
      <c r="Q464" s="25" t="s">
        <v>63</v>
      </c>
      <c r="R464" s="26" t="s">
        <v>33</v>
      </c>
      <c r="S464" s="26" t="s">
        <v>110</v>
      </c>
      <c r="T464" s="26"/>
      <c r="U464" s="49"/>
      <c r="V464" s="28">
        <f t="shared" si="15"/>
        <v>108</v>
      </c>
      <c r="W464" s="37"/>
      <c r="X464" s="37"/>
    </row>
    <row r="465" spans="1:24" s="29" customFormat="1" ht="21" customHeight="1">
      <c r="A465" s="50"/>
      <c r="B465" s="31"/>
      <c r="C465" s="32"/>
      <c r="D465" s="18" t="s">
        <v>221</v>
      </c>
      <c r="E465" s="19" t="s">
        <v>166</v>
      </c>
      <c r="F465" s="20">
        <v>5.1929999999999996</v>
      </c>
      <c r="G465" s="19">
        <v>765</v>
      </c>
      <c r="H465" s="20">
        <v>177</v>
      </c>
      <c r="I465" s="19" t="s">
        <v>71</v>
      </c>
      <c r="J465" s="20">
        <v>4516</v>
      </c>
      <c r="K465" s="21">
        <v>12618</v>
      </c>
      <c r="L465" s="21">
        <v>7992</v>
      </c>
      <c r="M465" s="21" t="s">
        <v>167</v>
      </c>
      <c r="N465" s="45">
        <v>6.3</v>
      </c>
      <c r="O465" s="23">
        <f t="shared" si="14"/>
        <v>410.51111111111106</v>
      </c>
      <c r="P465" s="46">
        <v>5.69</v>
      </c>
      <c r="Q465" s="25" t="s">
        <v>43</v>
      </c>
      <c r="R465" s="26" t="s">
        <v>33</v>
      </c>
      <c r="S465" s="26" t="s">
        <v>34</v>
      </c>
      <c r="T465" s="26"/>
      <c r="U465" s="49"/>
      <c r="V465" s="28">
        <f t="shared" si="15"/>
        <v>110</v>
      </c>
      <c r="W465" s="40"/>
    </row>
    <row r="466" spans="1:24" s="29" customFormat="1" ht="21" customHeight="1">
      <c r="A466" s="50"/>
      <c r="B466" s="31"/>
      <c r="C466" s="32"/>
      <c r="D466" s="18" t="s">
        <v>222</v>
      </c>
      <c r="E466" s="19" t="s">
        <v>166</v>
      </c>
      <c r="F466" s="20">
        <v>5.1929999999999996</v>
      </c>
      <c r="G466" s="19" t="s">
        <v>177</v>
      </c>
      <c r="H466" s="20" t="s">
        <v>178</v>
      </c>
      <c r="I466" s="19" t="s">
        <v>71</v>
      </c>
      <c r="J466" s="20">
        <v>4516</v>
      </c>
      <c r="K466" s="21">
        <v>12618</v>
      </c>
      <c r="L466" s="20">
        <v>7992</v>
      </c>
      <c r="M466" s="21" t="s">
        <v>31</v>
      </c>
      <c r="N466" s="22">
        <v>6.3</v>
      </c>
      <c r="O466" s="23">
        <f t="shared" si="14"/>
        <v>410.51111111111106</v>
      </c>
      <c r="P466" s="24">
        <v>5.69</v>
      </c>
      <c r="Q466" s="25" t="s">
        <v>43</v>
      </c>
      <c r="R466" s="26" t="s">
        <v>33</v>
      </c>
      <c r="S466" s="26" t="s">
        <v>34</v>
      </c>
      <c r="T466" s="26"/>
      <c r="U466" s="49"/>
      <c r="V466" s="28">
        <f t="shared" si="15"/>
        <v>110</v>
      </c>
      <c r="W466" s="37"/>
      <c r="X466" s="37"/>
    </row>
    <row r="467" spans="1:24" s="29" customFormat="1" ht="21" customHeight="1">
      <c r="A467" s="50"/>
      <c r="B467" s="31"/>
      <c r="C467" s="32"/>
      <c r="D467" s="18" t="s">
        <v>223</v>
      </c>
      <c r="E467" s="19" t="s">
        <v>166</v>
      </c>
      <c r="F467" s="20">
        <v>5.1929999999999996</v>
      </c>
      <c r="G467" s="19">
        <v>765</v>
      </c>
      <c r="H467" s="20">
        <v>177</v>
      </c>
      <c r="I467" s="19" t="s">
        <v>71</v>
      </c>
      <c r="J467" s="20">
        <v>4516</v>
      </c>
      <c r="K467" s="21">
        <v>12618</v>
      </c>
      <c r="L467" s="21">
        <v>7992</v>
      </c>
      <c r="M467" s="21" t="s">
        <v>167</v>
      </c>
      <c r="N467" s="45">
        <v>6.3</v>
      </c>
      <c r="O467" s="23">
        <f t="shared" si="14"/>
        <v>410.51111111111106</v>
      </c>
      <c r="P467" s="46">
        <v>5.69</v>
      </c>
      <c r="Q467" s="25" t="s">
        <v>43</v>
      </c>
      <c r="R467" s="26" t="s">
        <v>33</v>
      </c>
      <c r="S467" s="26" t="s">
        <v>34</v>
      </c>
      <c r="T467" s="26"/>
      <c r="U467" s="49"/>
      <c r="V467" s="28">
        <f t="shared" si="15"/>
        <v>110</v>
      </c>
      <c r="W467" s="40"/>
    </row>
    <row r="468" spans="1:24" s="29" customFormat="1" ht="21" customHeight="1">
      <c r="A468" s="50"/>
      <c r="B468" s="31"/>
      <c r="C468" s="32"/>
      <c r="D468" s="18" t="s">
        <v>224</v>
      </c>
      <c r="E468" s="19" t="s">
        <v>166</v>
      </c>
      <c r="F468" s="20">
        <v>5.1929999999999996</v>
      </c>
      <c r="G468" s="19" t="s">
        <v>177</v>
      </c>
      <c r="H468" s="20" t="s">
        <v>178</v>
      </c>
      <c r="I468" s="19" t="s">
        <v>71</v>
      </c>
      <c r="J468" s="20">
        <v>4516</v>
      </c>
      <c r="K468" s="21">
        <v>12618</v>
      </c>
      <c r="L468" s="21">
        <v>7992</v>
      </c>
      <c r="M468" s="21" t="s">
        <v>31</v>
      </c>
      <c r="N468" s="22">
        <v>6.3</v>
      </c>
      <c r="O468" s="23">
        <f t="shared" si="14"/>
        <v>410.51111111111106</v>
      </c>
      <c r="P468" s="24">
        <v>5.69</v>
      </c>
      <c r="Q468" s="25" t="s">
        <v>43</v>
      </c>
      <c r="R468" s="26" t="s">
        <v>33</v>
      </c>
      <c r="S468" s="26" t="s">
        <v>34</v>
      </c>
      <c r="T468" s="26"/>
      <c r="U468" s="49"/>
      <c r="V468" s="28">
        <f t="shared" si="15"/>
        <v>110</v>
      </c>
      <c r="W468" s="37"/>
      <c r="X468" s="37"/>
    </row>
    <row r="469" spans="1:24" s="29" customFormat="1" ht="21" customHeight="1">
      <c r="A469" s="50"/>
      <c r="B469" s="31"/>
      <c r="C469" s="32"/>
      <c r="D469" s="18" t="s">
        <v>225</v>
      </c>
      <c r="E469" s="19" t="s">
        <v>166</v>
      </c>
      <c r="F469" s="20">
        <v>5.1929999999999996</v>
      </c>
      <c r="G469" s="19">
        <v>765</v>
      </c>
      <c r="H469" s="20">
        <v>177</v>
      </c>
      <c r="I469" s="19" t="s">
        <v>71</v>
      </c>
      <c r="J469" s="20">
        <v>4516</v>
      </c>
      <c r="K469" s="21">
        <v>12618</v>
      </c>
      <c r="L469" s="21">
        <v>7992</v>
      </c>
      <c r="M469" s="21" t="s">
        <v>167</v>
      </c>
      <c r="N469" s="45">
        <v>6.3</v>
      </c>
      <c r="O469" s="23">
        <f t="shared" si="14"/>
        <v>410.51111111111106</v>
      </c>
      <c r="P469" s="46">
        <v>5.69</v>
      </c>
      <c r="Q469" s="25" t="s">
        <v>43</v>
      </c>
      <c r="R469" s="26" t="s">
        <v>33</v>
      </c>
      <c r="S469" s="26" t="s">
        <v>110</v>
      </c>
      <c r="T469" s="26"/>
      <c r="U469" s="49"/>
      <c r="V469" s="28">
        <f t="shared" si="15"/>
        <v>110</v>
      </c>
      <c r="W469" s="40"/>
    </row>
    <row r="470" spans="1:24" s="29" customFormat="1" ht="21" customHeight="1">
      <c r="A470" s="50"/>
      <c r="B470" s="31"/>
      <c r="C470" s="32"/>
      <c r="D470" s="18" t="s">
        <v>226</v>
      </c>
      <c r="E470" s="19" t="s">
        <v>166</v>
      </c>
      <c r="F470" s="20">
        <v>5.1929999999999996</v>
      </c>
      <c r="G470" s="19">
        <v>765</v>
      </c>
      <c r="H470" s="20">
        <v>177</v>
      </c>
      <c r="I470" s="19" t="s">
        <v>71</v>
      </c>
      <c r="J470" s="20">
        <v>4516</v>
      </c>
      <c r="K470" s="21">
        <v>12618</v>
      </c>
      <c r="L470" s="21">
        <v>7992</v>
      </c>
      <c r="M470" s="53" t="s">
        <v>167</v>
      </c>
      <c r="N470" s="45">
        <v>6.1</v>
      </c>
      <c r="O470" s="23">
        <f t="shared" si="14"/>
        <v>423.97049180327872</v>
      </c>
      <c r="P470" s="46">
        <v>5.69</v>
      </c>
      <c r="Q470" s="25" t="s">
        <v>77</v>
      </c>
      <c r="R470" s="26" t="s">
        <v>33</v>
      </c>
      <c r="S470" s="26" t="s">
        <v>34</v>
      </c>
      <c r="T470" s="26"/>
      <c r="U470" s="49"/>
      <c r="V470" s="28">
        <f t="shared" si="15"/>
        <v>107</v>
      </c>
      <c r="W470" s="40"/>
    </row>
    <row r="471" spans="1:24" s="29" customFormat="1" ht="21" customHeight="1">
      <c r="A471" s="50"/>
      <c r="B471" s="31"/>
      <c r="C471" s="32"/>
      <c r="D471" s="18" t="s">
        <v>227</v>
      </c>
      <c r="E471" s="19" t="s">
        <v>166</v>
      </c>
      <c r="F471" s="20">
        <v>5.1929999999999996</v>
      </c>
      <c r="G471" s="19" t="s">
        <v>177</v>
      </c>
      <c r="H471" s="20" t="s">
        <v>178</v>
      </c>
      <c r="I471" s="19" t="s">
        <v>71</v>
      </c>
      <c r="J471" s="20">
        <v>4516</v>
      </c>
      <c r="K471" s="21">
        <v>12618</v>
      </c>
      <c r="L471" s="21">
        <v>7992</v>
      </c>
      <c r="M471" s="21" t="s">
        <v>31</v>
      </c>
      <c r="N471" s="22">
        <v>6.1</v>
      </c>
      <c r="O471" s="23">
        <f t="shared" si="14"/>
        <v>423.97049180327872</v>
      </c>
      <c r="P471" s="24">
        <v>5.69</v>
      </c>
      <c r="Q471" s="25" t="s">
        <v>63</v>
      </c>
      <c r="R471" s="26" t="s">
        <v>33</v>
      </c>
      <c r="S471" s="26" t="s">
        <v>34</v>
      </c>
      <c r="T471" s="26"/>
      <c r="U471" s="49"/>
      <c r="V471" s="28">
        <f t="shared" si="15"/>
        <v>107</v>
      </c>
      <c r="W471" s="37"/>
      <c r="X471" s="37"/>
    </row>
    <row r="472" spans="1:24" s="29" customFormat="1" ht="21" customHeight="1">
      <c r="A472" s="50"/>
      <c r="B472" s="31"/>
      <c r="C472" s="32"/>
      <c r="D472" s="18" t="s">
        <v>228</v>
      </c>
      <c r="E472" s="19" t="s">
        <v>166</v>
      </c>
      <c r="F472" s="20">
        <v>5.1929999999999996</v>
      </c>
      <c r="G472" s="19">
        <v>765</v>
      </c>
      <c r="H472" s="20">
        <v>177</v>
      </c>
      <c r="I472" s="19" t="s">
        <v>71</v>
      </c>
      <c r="J472" s="20">
        <v>4516</v>
      </c>
      <c r="K472" s="21">
        <v>12618</v>
      </c>
      <c r="L472" s="21">
        <v>7992</v>
      </c>
      <c r="M472" s="21" t="s">
        <v>167</v>
      </c>
      <c r="N472" s="45">
        <v>6.1</v>
      </c>
      <c r="O472" s="23">
        <f t="shared" si="14"/>
        <v>423.97049180327872</v>
      </c>
      <c r="P472" s="46">
        <v>5.69</v>
      </c>
      <c r="Q472" s="25" t="s">
        <v>77</v>
      </c>
      <c r="R472" s="26" t="s">
        <v>33</v>
      </c>
      <c r="S472" s="26" t="s">
        <v>34</v>
      </c>
      <c r="T472" s="26"/>
      <c r="U472" s="49"/>
      <c r="V472" s="28">
        <f t="shared" si="15"/>
        <v>107</v>
      </c>
      <c r="W472" s="40"/>
    </row>
    <row r="473" spans="1:24" s="29" customFormat="1" ht="21" customHeight="1">
      <c r="A473" s="50"/>
      <c r="B473" s="31"/>
      <c r="C473" s="32"/>
      <c r="D473" s="18" t="s">
        <v>229</v>
      </c>
      <c r="E473" s="19" t="s">
        <v>166</v>
      </c>
      <c r="F473" s="20">
        <v>5.1929999999999996</v>
      </c>
      <c r="G473" s="19" t="s">
        <v>177</v>
      </c>
      <c r="H473" s="20" t="s">
        <v>178</v>
      </c>
      <c r="I473" s="19" t="s">
        <v>71</v>
      </c>
      <c r="J473" s="20">
        <v>4516</v>
      </c>
      <c r="K473" s="21">
        <v>12618</v>
      </c>
      <c r="L473" s="21">
        <v>7992</v>
      </c>
      <c r="M473" s="21" t="s">
        <v>31</v>
      </c>
      <c r="N473" s="22">
        <v>6.1</v>
      </c>
      <c r="O473" s="23">
        <f t="shared" si="14"/>
        <v>423.97049180327872</v>
      </c>
      <c r="P473" s="24">
        <v>5.69</v>
      </c>
      <c r="Q473" s="25" t="s">
        <v>63</v>
      </c>
      <c r="R473" s="26" t="s">
        <v>33</v>
      </c>
      <c r="S473" s="26" t="s">
        <v>34</v>
      </c>
      <c r="T473" s="26"/>
      <c r="U473" s="49"/>
      <c r="V473" s="28">
        <f t="shared" si="15"/>
        <v>107</v>
      </c>
      <c r="W473" s="37"/>
      <c r="X473" s="37"/>
    </row>
    <row r="474" spans="1:24" s="29" customFormat="1" ht="21" customHeight="1">
      <c r="A474" s="50"/>
      <c r="B474" s="31"/>
      <c r="C474" s="32"/>
      <c r="D474" s="18" t="s">
        <v>230</v>
      </c>
      <c r="E474" s="19" t="s">
        <v>166</v>
      </c>
      <c r="F474" s="20">
        <v>5.1929999999999996</v>
      </c>
      <c r="G474" s="19">
        <v>765</v>
      </c>
      <c r="H474" s="20">
        <v>177</v>
      </c>
      <c r="I474" s="19" t="s">
        <v>71</v>
      </c>
      <c r="J474" s="20">
        <v>4516</v>
      </c>
      <c r="K474" s="21">
        <v>12618</v>
      </c>
      <c r="L474" s="21">
        <v>7992</v>
      </c>
      <c r="M474" s="21" t="s">
        <v>167</v>
      </c>
      <c r="N474" s="45">
        <v>6.1</v>
      </c>
      <c r="O474" s="23">
        <f t="shared" si="14"/>
        <v>423.97049180327872</v>
      </c>
      <c r="P474" s="46">
        <v>5.69</v>
      </c>
      <c r="Q474" s="25" t="s">
        <v>77</v>
      </c>
      <c r="R474" s="26" t="s">
        <v>33</v>
      </c>
      <c r="S474" s="26" t="s">
        <v>110</v>
      </c>
      <c r="T474" s="26"/>
      <c r="U474" s="49"/>
      <c r="V474" s="28">
        <f t="shared" si="15"/>
        <v>107</v>
      </c>
      <c r="W474" s="40"/>
    </row>
    <row r="475" spans="1:24" s="29" customFormat="1" ht="21" customHeight="1">
      <c r="A475" s="50"/>
      <c r="B475" s="31"/>
      <c r="C475" s="32"/>
      <c r="D475" s="18" t="s">
        <v>231</v>
      </c>
      <c r="E475" s="19" t="s">
        <v>166</v>
      </c>
      <c r="F475" s="20">
        <v>5.1929999999999996</v>
      </c>
      <c r="G475" s="19">
        <v>765</v>
      </c>
      <c r="H475" s="20">
        <v>177</v>
      </c>
      <c r="I475" s="19" t="s">
        <v>71</v>
      </c>
      <c r="J475" s="20">
        <v>5533</v>
      </c>
      <c r="K475" s="21">
        <v>14543</v>
      </c>
      <c r="L475" s="21">
        <v>8900</v>
      </c>
      <c r="M475" s="21" t="s">
        <v>167</v>
      </c>
      <c r="N475" s="45">
        <v>5.4</v>
      </c>
      <c r="O475" s="23">
        <f t="shared" si="14"/>
        <v>478.92962962962963</v>
      </c>
      <c r="P475" s="46">
        <v>4.97</v>
      </c>
      <c r="Q475" s="25" t="s">
        <v>43</v>
      </c>
      <c r="R475" s="26" t="s">
        <v>33</v>
      </c>
      <c r="S475" s="26" t="s">
        <v>34</v>
      </c>
      <c r="T475" s="26"/>
      <c r="U475" s="49"/>
      <c r="V475" s="28">
        <f t="shared" si="15"/>
        <v>108</v>
      </c>
      <c r="W475" s="40"/>
    </row>
    <row r="476" spans="1:24" s="29" customFormat="1" ht="21" customHeight="1">
      <c r="A476" s="50"/>
      <c r="B476" s="31"/>
      <c r="C476" s="32"/>
      <c r="D476" s="18" t="s">
        <v>231</v>
      </c>
      <c r="E476" s="19" t="s">
        <v>166</v>
      </c>
      <c r="F476" s="20">
        <v>5.1929999999999996</v>
      </c>
      <c r="G476" s="19">
        <v>765</v>
      </c>
      <c r="H476" s="20">
        <v>177</v>
      </c>
      <c r="I476" s="19" t="s">
        <v>71</v>
      </c>
      <c r="J476" s="20">
        <v>5533</v>
      </c>
      <c r="K476" s="21">
        <v>14543</v>
      </c>
      <c r="L476" s="21">
        <v>8900</v>
      </c>
      <c r="M476" s="21" t="s">
        <v>167</v>
      </c>
      <c r="N476" s="45">
        <v>5.3</v>
      </c>
      <c r="O476" s="23">
        <f t="shared" si="14"/>
        <v>487.96603773584911</v>
      </c>
      <c r="P476" s="46">
        <v>4.97</v>
      </c>
      <c r="Q476" s="25" t="s">
        <v>77</v>
      </c>
      <c r="R476" s="26" t="s">
        <v>33</v>
      </c>
      <c r="S476" s="26" t="s">
        <v>34</v>
      </c>
      <c r="T476" s="26"/>
      <c r="U476" s="49"/>
      <c r="V476" s="28">
        <f t="shared" si="15"/>
        <v>106</v>
      </c>
      <c r="W476" s="40"/>
    </row>
    <row r="477" spans="1:24" s="29" customFormat="1" ht="21" customHeight="1">
      <c r="A477" s="30"/>
      <c r="B477" s="31"/>
      <c r="C477" s="32"/>
      <c r="D477" s="18" t="s">
        <v>232</v>
      </c>
      <c r="E477" s="19" t="s">
        <v>233</v>
      </c>
      <c r="F477" s="54" t="s">
        <v>234</v>
      </c>
      <c r="G477" s="19">
        <v>1177</v>
      </c>
      <c r="H477" s="20">
        <v>228</v>
      </c>
      <c r="I477" s="19" t="s">
        <v>235</v>
      </c>
      <c r="J477" s="20">
        <v>8688</v>
      </c>
      <c r="K477" s="21">
        <v>19887</v>
      </c>
      <c r="L477" s="21">
        <v>11089</v>
      </c>
      <c r="M477" s="21" t="s">
        <v>167</v>
      </c>
      <c r="N477" s="45">
        <v>4.25</v>
      </c>
      <c r="O477" s="23">
        <f t="shared" si="14"/>
        <v>608.52235294117645</v>
      </c>
      <c r="P477" s="46">
        <v>4.1500000000000004</v>
      </c>
      <c r="Q477" s="25" t="s">
        <v>43</v>
      </c>
      <c r="R477" s="26" t="s">
        <v>33</v>
      </c>
      <c r="S477" s="26" t="s">
        <v>236</v>
      </c>
      <c r="T477" s="26"/>
      <c r="U477" s="49"/>
      <c r="V477" s="28">
        <f t="shared" si="15"/>
        <v>102</v>
      </c>
      <c r="W477" s="40"/>
    </row>
    <row r="478" spans="1:24" s="29" customFormat="1" ht="21" customHeight="1">
      <c r="A478" s="30"/>
      <c r="B478" s="31"/>
      <c r="C478" s="32"/>
      <c r="D478" s="18" t="s">
        <v>232</v>
      </c>
      <c r="E478" s="19" t="s">
        <v>237</v>
      </c>
      <c r="F478" s="54" t="s">
        <v>234</v>
      </c>
      <c r="G478" s="19">
        <v>1177</v>
      </c>
      <c r="H478" s="20">
        <v>228</v>
      </c>
      <c r="I478" s="19" t="s">
        <v>235</v>
      </c>
      <c r="J478" s="20">
        <v>8688</v>
      </c>
      <c r="K478" s="21">
        <v>19887</v>
      </c>
      <c r="L478" s="21">
        <v>11089</v>
      </c>
      <c r="M478" s="21" t="s">
        <v>167</v>
      </c>
      <c r="N478" s="45">
        <v>4.1500000000000004</v>
      </c>
      <c r="O478" s="23">
        <f t="shared" si="14"/>
        <v>623.1855421686746</v>
      </c>
      <c r="P478" s="46">
        <v>4.1500000000000004</v>
      </c>
      <c r="Q478" s="25" t="s">
        <v>63</v>
      </c>
      <c r="R478" s="26" t="s">
        <v>33</v>
      </c>
      <c r="S478" s="26" t="s">
        <v>236</v>
      </c>
      <c r="T478" s="26"/>
      <c r="U478" s="49"/>
      <c r="V478" s="28">
        <f t="shared" si="15"/>
        <v>100</v>
      </c>
      <c r="W478" s="40"/>
    </row>
    <row r="479" spans="1:24" s="29" customFormat="1" ht="21" customHeight="1">
      <c r="A479" s="30"/>
      <c r="B479" s="31"/>
      <c r="C479" s="32"/>
      <c r="D479" s="18" t="s">
        <v>232</v>
      </c>
      <c r="E479" s="19" t="s">
        <v>237</v>
      </c>
      <c r="F479" s="54" t="s">
        <v>234</v>
      </c>
      <c r="G479" s="19">
        <v>1177</v>
      </c>
      <c r="H479" s="20">
        <v>228</v>
      </c>
      <c r="I479" s="19" t="s">
        <v>235</v>
      </c>
      <c r="J479" s="20">
        <v>8765</v>
      </c>
      <c r="K479" s="21">
        <v>24405</v>
      </c>
      <c r="L479" s="21">
        <v>15530</v>
      </c>
      <c r="M479" s="21" t="s">
        <v>167</v>
      </c>
      <c r="N479" s="45">
        <v>4.0999999999999996</v>
      </c>
      <c r="O479" s="23">
        <f t="shared" si="14"/>
        <v>630.78536585365862</v>
      </c>
      <c r="P479" s="46">
        <v>4.04</v>
      </c>
      <c r="Q479" s="25" t="s">
        <v>43</v>
      </c>
      <c r="R479" s="26" t="s">
        <v>33</v>
      </c>
      <c r="S479" s="26" t="s">
        <v>236</v>
      </c>
      <c r="T479" s="26"/>
      <c r="U479" s="49"/>
      <c r="V479" s="28">
        <f t="shared" si="15"/>
        <v>101</v>
      </c>
      <c r="W479" s="40"/>
    </row>
    <row r="480" spans="1:24" s="29" customFormat="1" ht="21" customHeight="1">
      <c r="A480" s="30"/>
      <c r="B480" s="31"/>
      <c r="C480" s="55"/>
      <c r="D480" s="18" t="s">
        <v>232</v>
      </c>
      <c r="E480" s="19" t="s">
        <v>233</v>
      </c>
      <c r="F480" s="54" t="s">
        <v>234</v>
      </c>
      <c r="G480" s="19">
        <v>1177</v>
      </c>
      <c r="H480" s="20">
        <v>228</v>
      </c>
      <c r="I480" s="19" t="s">
        <v>235</v>
      </c>
      <c r="J480" s="20">
        <v>8765</v>
      </c>
      <c r="K480" s="21">
        <v>24405</v>
      </c>
      <c r="L480" s="21">
        <v>15530</v>
      </c>
      <c r="M480" s="21" t="s">
        <v>167</v>
      </c>
      <c r="N480" s="45">
        <v>4.05</v>
      </c>
      <c r="O480" s="23">
        <f t="shared" si="14"/>
        <v>638.57283950617284</v>
      </c>
      <c r="P480" s="46">
        <v>4.04</v>
      </c>
      <c r="Q480" s="25" t="s">
        <v>63</v>
      </c>
      <c r="R480" s="26" t="s">
        <v>33</v>
      </c>
      <c r="S480" s="26" t="s">
        <v>236</v>
      </c>
      <c r="T480" s="26"/>
      <c r="U480" s="49"/>
      <c r="V480" s="28">
        <f t="shared" si="15"/>
        <v>100</v>
      </c>
      <c r="W480" s="40"/>
    </row>
    <row r="481" spans="1:23" s="29" customFormat="1" ht="21" customHeight="1">
      <c r="A481" s="50"/>
      <c r="B481" s="31"/>
      <c r="C481" s="32"/>
      <c r="D481" s="18" t="s">
        <v>238</v>
      </c>
      <c r="E481" s="19" t="s">
        <v>166</v>
      </c>
      <c r="F481" s="20">
        <v>5.1929999999999996</v>
      </c>
      <c r="G481" s="19">
        <v>765</v>
      </c>
      <c r="H481" s="20">
        <v>177</v>
      </c>
      <c r="I481" s="19" t="s">
        <v>239</v>
      </c>
      <c r="J481" s="20">
        <v>8688</v>
      </c>
      <c r="K481" s="21">
        <v>19887</v>
      </c>
      <c r="L481" s="21">
        <v>11089</v>
      </c>
      <c r="M481" s="21" t="s">
        <v>167</v>
      </c>
      <c r="N481" s="45">
        <v>4.1500000000000004</v>
      </c>
      <c r="O481" s="23">
        <f t="shared" si="14"/>
        <v>623.1855421686746</v>
      </c>
      <c r="P481" s="46">
        <v>4.1500000000000004</v>
      </c>
      <c r="Q481" s="25" t="s">
        <v>77</v>
      </c>
      <c r="R481" s="26" t="s">
        <v>33</v>
      </c>
      <c r="S481" s="26" t="s">
        <v>236</v>
      </c>
      <c r="T481" s="26"/>
      <c r="U481" s="49"/>
      <c r="V481" s="28">
        <f t="shared" si="15"/>
        <v>100</v>
      </c>
      <c r="W481" s="40"/>
    </row>
    <row r="482" spans="1:23" s="29" customFormat="1" ht="21" customHeight="1">
      <c r="A482" s="34"/>
      <c r="B482" s="16"/>
      <c r="C482" s="17" t="s">
        <v>240</v>
      </c>
      <c r="D482" s="56" t="s">
        <v>241</v>
      </c>
      <c r="E482" s="57" t="s">
        <v>242</v>
      </c>
      <c r="F482" s="58">
        <v>9.8390000000000004</v>
      </c>
      <c r="G482" s="57">
        <v>1814</v>
      </c>
      <c r="H482" s="58">
        <v>279</v>
      </c>
      <c r="I482" s="57" t="s">
        <v>243</v>
      </c>
      <c r="J482" s="58">
        <v>8688</v>
      </c>
      <c r="K482" s="59">
        <v>19887</v>
      </c>
      <c r="L482" s="59">
        <v>11089</v>
      </c>
      <c r="M482" s="21" t="s">
        <v>31</v>
      </c>
      <c r="N482" s="60">
        <v>4.57</v>
      </c>
      <c r="O482" s="23">
        <f t="shared" si="14"/>
        <v>565.91247264770232</v>
      </c>
      <c r="P482" s="24">
        <v>4.1500000000000004</v>
      </c>
      <c r="Q482" s="61" t="s">
        <v>43</v>
      </c>
      <c r="R482" s="62" t="s">
        <v>33</v>
      </c>
      <c r="S482" s="62" t="s">
        <v>244</v>
      </c>
      <c r="T482" s="26"/>
      <c r="U482" s="27"/>
      <c r="V482" s="28">
        <f t="shared" si="15"/>
        <v>110</v>
      </c>
    </row>
    <row r="483" spans="1:23" s="29" customFormat="1" ht="21" customHeight="1">
      <c r="A483" s="34"/>
      <c r="B483" s="31"/>
      <c r="C483" s="32"/>
      <c r="D483" s="56" t="s">
        <v>241</v>
      </c>
      <c r="E483" s="57" t="s">
        <v>242</v>
      </c>
      <c r="F483" s="58">
        <v>9.8390000000000004</v>
      </c>
      <c r="G483" s="57">
        <v>1814</v>
      </c>
      <c r="H483" s="58">
        <v>279</v>
      </c>
      <c r="I483" s="57" t="s">
        <v>243</v>
      </c>
      <c r="J483" s="58">
        <v>8688</v>
      </c>
      <c r="K483" s="59">
        <v>19887</v>
      </c>
      <c r="L483" s="59">
        <v>11089</v>
      </c>
      <c r="M483" s="21" t="s">
        <v>31</v>
      </c>
      <c r="N483" s="60">
        <v>4.57</v>
      </c>
      <c r="O483" s="23">
        <f t="shared" si="14"/>
        <v>565.91247264770232</v>
      </c>
      <c r="P483" s="24">
        <v>4.1500000000000004</v>
      </c>
      <c r="Q483" s="61" t="s">
        <v>43</v>
      </c>
      <c r="R483" s="62" t="s">
        <v>33</v>
      </c>
      <c r="S483" s="62" t="s">
        <v>245</v>
      </c>
      <c r="T483" s="26"/>
      <c r="U483" s="27"/>
      <c r="V483" s="28">
        <f t="shared" si="15"/>
        <v>110</v>
      </c>
    </row>
    <row r="484" spans="1:23" s="29" customFormat="1" ht="21" customHeight="1">
      <c r="A484" s="34"/>
      <c r="B484" s="31"/>
      <c r="C484" s="32"/>
      <c r="D484" s="56" t="s">
        <v>241</v>
      </c>
      <c r="E484" s="57" t="s">
        <v>242</v>
      </c>
      <c r="F484" s="58">
        <v>9.8390000000000004</v>
      </c>
      <c r="G484" s="57">
        <v>1814</v>
      </c>
      <c r="H484" s="58">
        <v>279</v>
      </c>
      <c r="I484" s="57" t="s">
        <v>246</v>
      </c>
      <c r="J484" s="58">
        <v>8688</v>
      </c>
      <c r="K484" s="59">
        <v>19887</v>
      </c>
      <c r="L484" s="59">
        <v>11089</v>
      </c>
      <c r="M484" s="21" t="s">
        <v>31</v>
      </c>
      <c r="N484" s="60">
        <v>4.57</v>
      </c>
      <c r="O484" s="23">
        <f t="shared" si="14"/>
        <v>565.91247264770232</v>
      </c>
      <c r="P484" s="24">
        <v>4.1500000000000004</v>
      </c>
      <c r="Q484" s="61" t="s">
        <v>43</v>
      </c>
      <c r="R484" s="62" t="s">
        <v>33</v>
      </c>
      <c r="S484" s="62" t="s">
        <v>244</v>
      </c>
      <c r="T484" s="26"/>
      <c r="U484" s="27"/>
      <c r="V484" s="28">
        <f t="shared" si="15"/>
        <v>110</v>
      </c>
    </row>
    <row r="485" spans="1:23" s="29" customFormat="1" ht="21" customHeight="1">
      <c r="A485" s="34"/>
      <c r="B485" s="31"/>
      <c r="C485" s="32"/>
      <c r="D485" s="56" t="s">
        <v>241</v>
      </c>
      <c r="E485" s="57" t="s">
        <v>242</v>
      </c>
      <c r="F485" s="58">
        <v>9.8390000000000004</v>
      </c>
      <c r="G485" s="57">
        <v>1814</v>
      </c>
      <c r="H485" s="58">
        <v>279</v>
      </c>
      <c r="I485" s="57" t="s">
        <v>246</v>
      </c>
      <c r="J485" s="58">
        <v>8688</v>
      </c>
      <c r="K485" s="59">
        <v>19887</v>
      </c>
      <c r="L485" s="59">
        <v>11089</v>
      </c>
      <c r="M485" s="21" t="s">
        <v>31</v>
      </c>
      <c r="N485" s="60">
        <v>4.57</v>
      </c>
      <c r="O485" s="23">
        <f t="shared" si="14"/>
        <v>565.91247264770232</v>
      </c>
      <c r="P485" s="24">
        <v>4.1500000000000004</v>
      </c>
      <c r="Q485" s="61" t="s">
        <v>43</v>
      </c>
      <c r="R485" s="62" t="s">
        <v>33</v>
      </c>
      <c r="S485" s="62" t="s">
        <v>245</v>
      </c>
      <c r="T485" s="26"/>
      <c r="U485" s="27"/>
      <c r="V485" s="28">
        <f t="shared" si="15"/>
        <v>110</v>
      </c>
    </row>
    <row r="486" spans="1:23" s="29" customFormat="1" ht="21" customHeight="1">
      <c r="A486" s="34"/>
      <c r="B486" s="31"/>
      <c r="C486" s="32"/>
      <c r="D486" s="56" t="s">
        <v>247</v>
      </c>
      <c r="E486" s="57" t="s">
        <v>242</v>
      </c>
      <c r="F486" s="58">
        <v>9.8390000000000004</v>
      </c>
      <c r="G486" s="57">
        <v>1814</v>
      </c>
      <c r="H486" s="58">
        <v>279</v>
      </c>
      <c r="I486" s="57" t="s">
        <v>243</v>
      </c>
      <c r="J486" s="58">
        <v>8688</v>
      </c>
      <c r="K486" s="59">
        <v>19887</v>
      </c>
      <c r="L486" s="59">
        <v>11089</v>
      </c>
      <c r="M486" s="21" t="s">
        <v>31</v>
      </c>
      <c r="N486" s="60">
        <v>4.57</v>
      </c>
      <c r="O486" s="23">
        <f t="shared" si="14"/>
        <v>565.91247264770232</v>
      </c>
      <c r="P486" s="24">
        <v>4.1500000000000004</v>
      </c>
      <c r="Q486" s="61" t="s">
        <v>43</v>
      </c>
      <c r="R486" s="62" t="s">
        <v>33</v>
      </c>
      <c r="S486" s="62" t="s">
        <v>244</v>
      </c>
      <c r="T486" s="26"/>
      <c r="U486" s="27"/>
      <c r="V486" s="28">
        <f t="shared" si="15"/>
        <v>110</v>
      </c>
    </row>
    <row r="487" spans="1:23" s="29" customFormat="1" ht="21" customHeight="1">
      <c r="A487" s="34"/>
      <c r="B487" s="31"/>
      <c r="C487" s="32"/>
      <c r="D487" s="56" t="s">
        <v>247</v>
      </c>
      <c r="E487" s="57" t="s">
        <v>242</v>
      </c>
      <c r="F487" s="58">
        <v>9.8390000000000004</v>
      </c>
      <c r="G487" s="57">
        <v>1814</v>
      </c>
      <c r="H487" s="58">
        <v>279</v>
      </c>
      <c r="I487" s="57" t="s">
        <v>243</v>
      </c>
      <c r="J487" s="58">
        <v>8688</v>
      </c>
      <c r="K487" s="59">
        <v>19887</v>
      </c>
      <c r="L487" s="59">
        <v>11089</v>
      </c>
      <c r="M487" s="21" t="s">
        <v>31</v>
      </c>
      <c r="N487" s="60">
        <v>4.57</v>
      </c>
      <c r="O487" s="23">
        <f t="shared" si="14"/>
        <v>565.91247264770232</v>
      </c>
      <c r="P487" s="24">
        <v>4.1500000000000004</v>
      </c>
      <c r="Q487" s="61" t="s">
        <v>43</v>
      </c>
      <c r="R487" s="62" t="s">
        <v>33</v>
      </c>
      <c r="S487" s="62" t="s">
        <v>245</v>
      </c>
      <c r="T487" s="26"/>
      <c r="U487" s="27"/>
      <c r="V487" s="28">
        <f t="shared" si="15"/>
        <v>110</v>
      </c>
    </row>
    <row r="488" spans="1:23" s="29" customFormat="1" ht="21" customHeight="1">
      <c r="A488" s="34"/>
      <c r="B488" s="31"/>
      <c r="C488" s="32"/>
      <c r="D488" s="56" t="s">
        <v>247</v>
      </c>
      <c r="E488" s="57" t="s">
        <v>242</v>
      </c>
      <c r="F488" s="58">
        <v>9.8390000000000004</v>
      </c>
      <c r="G488" s="57">
        <v>1814</v>
      </c>
      <c r="H488" s="58">
        <v>279</v>
      </c>
      <c r="I488" s="57" t="s">
        <v>246</v>
      </c>
      <c r="J488" s="58">
        <v>8688</v>
      </c>
      <c r="K488" s="59">
        <v>19887</v>
      </c>
      <c r="L488" s="59">
        <v>11089</v>
      </c>
      <c r="M488" s="21" t="s">
        <v>31</v>
      </c>
      <c r="N488" s="60">
        <v>4.57</v>
      </c>
      <c r="O488" s="23">
        <f t="shared" si="14"/>
        <v>565.91247264770232</v>
      </c>
      <c r="P488" s="24">
        <v>4.1500000000000004</v>
      </c>
      <c r="Q488" s="61" t="s">
        <v>43</v>
      </c>
      <c r="R488" s="62" t="s">
        <v>33</v>
      </c>
      <c r="S488" s="62" t="s">
        <v>244</v>
      </c>
      <c r="T488" s="26"/>
      <c r="U488" s="27"/>
      <c r="V488" s="28">
        <f t="shared" si="15"/>
        <v>110</v>
      </c>
    </row>
    <row r="489" spans="1:23" s="29" customFormat="1" ht="21" customHeight="1">
      <c r="A489" s="34"/>
      <c r="B489" s="31"/>
      <c r="C489" s="32"/>
      <c r="D489" s="56" t="s">
        <v>247</v>
      </c>
      <c r="E489" s="57" t="s">
        <v>242</v>
      </c>
      <c r="F489" s="58">
        <v>9.8390000000000004</v>
      </c>
      <c r="G489" s="57">
        <v>1814</v>
      </c>
      <c r="H489" s="58">
        <v>279</v>
      </c>
      <c r="I489" s="57" t="s">
        <v>246</v>
      </c>
      <c r="J489" s="58">
        <v>8688</v>
      </c>
      <c r="K489" s="59">
        <v>19887</v>
      </c>
      <c r="L489" s="59">
        <v>11089</v>
      </c>
      <c r="M489" s="21" t="s">
        <v>31</v>
      </c>
      <c r="N489" s="60">
        <v>4.57</v>
      </c>
      <c r="O489" s="23">
        <f t="shared" si="14"/>
        <v>565.91247264770232</v>
      </c>
      <c r="P489" s="24">
        <v>4.1500000000000004</v>
      </c>
      <c r="Q489" s="61" t="s">
        <v>43</v>
      </c>
      <c r="R489" s="62" t="s">
        <v>33</v>
      </c>
      <c r="S489" s="62" t="s">
        <v>245</v>
      </c>
      <c r="T489" s="26"/>
      <c r="U489" s="27"/>
      <c r="V489" s="28">
        <f t="shared" si="15"/>
        <v>110</v>
      </c>
    </row>
    <row r="490" spans="1:23" s="29" customFormat="1" ht="21" customHeight="1">
      <c r="A490" s="34"/>
      <c r="B490" s="31"/>
      <c r="C490" s="32"/>
      <c r="D490" s="56" t="s">
        <v>248</v>
      </c>
      <c r="E490" s="57" t="s">
        <v>242</v>
      </c>
      <c r="F490" s="58">
        <v>9.8390000000000004</v>
      </c>
      <c r="G490" s="57">
        <v>1814</v>
      </c>
      <c r="H490" s="58">
        <v>279</v>
      </c>
      <c r="I490" s="57" t="s">
        <v>243</v>
      </c>
      <c r="J490" s="58">
        <v>8688</v>
      </c>
      <c r="K490" s="59">
        <v>19887</v>
      </c>
      <c r="L490" s="59">
        <v>11089</v>
      </c>
      <c r="M490" s="21" t="s">
        <v>31</v>
      </c>
      <c r="N490" s="60">
        <v>4.57</v>
      </c>
      <c r="O490" s="23">
        <f t="shared" si="14"/>
        <v>565.91247264770232</v>
      </c>
      <c r="P490" s="24">
        <v>4.1500000000000004</v>
      </c>
      <c r="Q490" s="61" t="s">
        <v>43</v>
      </c>
      <c r="R490" s="62" t="s">
        <v>33</v>
      </c>
      <c r="S490" s="62" t="s">
        <v>249</v>
      </c>
      <c r="T490" s="26"/>
      <c r="U490" s="27"/>
      <c r="V490" s="28">
        <f t="shared" si="15"/>
        <v>110</v>
      </c>
    </row>
    <row r="491" spans="1:23" s="29" customFormat="1" ht="21" customHeight="1">
      <c r="A491" s="34"/>
      <c r="B491" s="31"/>
      <c r="C491" s="32"/>
      <c r="D491" s="56" t="s">
        <v>248</v>
      </c>
      <c r="E491" s="57" t="s">
        <v>242</v>
      </c>
      <c r="F491" s="58">
        <v>9.8390000000000004</v>
      </c>
      <c r="G491" s="57">
        <v>1814</v>
      </c>
      <c r="H491" s="58">
        <v>279</v>
      </c>
      <c r="I491" s="57" t="s">
        <v>243</v>
      </c>
      <c r="J491" s="58">
        <v>8688</v>
      </c>
      <c r="K491" s="59">
        <v>19887</v>
      </c>
      <c r="L491" s="59">
        <v>11089</v>
      </c>
      <c r="M491" s="21" t="s">
        <v>31</v>
      </c>
      <c r="N491" s="60">
        <v>4.57</v>
      </c>
      <c r="O491" s="23">
        <f t="shared" si="14"/>
        <v>565.91247264770232</v>
      </c>
      <c r="P491" s="24">
        <v>4.1500000000000004</v>
      </c>
      <c r="Q491" s="61" t="s">
        <v>43</v>
      </c>
      <c r="R491" s="62" t="s">
        <v>33</v>
      </c>
      <c r="S491" s="62" t="s">
        <v>250</v>
      </c>
      <c r="T491" s="26"/>
      <c r="U491" s="27"/>
      <c r="V491" s="28">
        <f t="shared" si="15"/>
        <v>110</v>
      </c>
    </row>
    <row r="492" spans="1:23" s="29" customFormat="1" ht="21" customHeight="1">
      <c r="A492" s="34"/>
      <c r="B492" s="31"/>
      <c r="C492" s="32"/>
      <c r="D492" s="56" t="s">
        <v>248</v>
      </c>
      <c r="E492" s="57" t="s">
        <v>242</v>
      </c>
      <c r="F492" s="58">
        <v>9.8390000000000004</v>
      </c>
      <c r="G492" s="57">
        <v>1814</v>
      </c>
      <c r="H492" s="58">
        <v>279</v>
      </c>
      <c r="I492" s="57" t="s">
        <v>246</v>
      </c>
      <c r="J492" s="58">
        <v>8688</v>
      </c>
      <c r="K492" s="59">
        <v>19887</v>
      </c>
      <c r="L492" s="59">
        <v>11089</v>
      </c>
      <c r="M492" s="21" t="s">
        <v>31</v>
      </c>
      <c r="N492" s="60">
        <v>4.57</v>
      </c>
      <c r="O492" s="23">
        <f t="shared" si="14"/>
        <v>565.91247264770232</v>
      </c>
      <c r="P492" s="24">
        <v>4.1500000000000004</v>
      </c>
      <c r="Q492" s="61" t="s">
        <v>43</v>
      </c>
      <c r="R492" s="62" t="s">
        <v>33</v>
      </c>
      <c r="S492" s="62" t="s">
        <v>249</v>
      </c>
      <c r="T492" s="26"/>
      <c r="U492" s="27"/>
      <c r="V492" s="28">
        <f t="shared" si="15"/>
        <v>110</v>
      </c>
    </row>
    <row r="493" spans="1:23" s="29" customFormat="1" ht="21" customHeight="1">
      <c r="A493" s="34"/>
      <c r="B493" s="31"/>
      <c r="C493" s="32"/>
      <c r="D493" s="56" t="s">
        <v>248</v>
      </c>
      <c r="E493" s="57" t="s">
        <v>242</v>
      </c>
      <c r="F493" s="58">
        <v>9.8390000000000004</v>
      </c>
      <c r="G493" s="57">
        <v>1814</v>
      </c>
      <c r="H493" s="58">
        <v>279</v>
      </c>
      <c r="I493" s="57" t="s">
        <v>246</v>
      </c>
      <c r="J493" s="58">
        <v>8688</v>
      </c>
      <c r="K493" s="59">
        <v>19887</v>
      </c>
      <c r="L493" s="59">
        <v>11089</v>
      </c>
      <c r="M493" s="21" t="s">
        <v>31</v>
      </c>
      <c r="N493" s="60">
        <v>4.57</v>
      </c>
      <c r="O493" s="23">
        <f t="shared" si="14"/>
        <v>565.91247264770232</v>
      </c>
      <c r="P493" s="24">
        <v>4.1500000000000004</v>
      </c>
      <c r="Q493" s="61" t="s">
        <v>43</v>
      </c>
      <c r="R493" s="62" t="s">
        <v>33</v>
      </c>
      <c r="S493" s="62" t="s">
        <v>250</v>
      </c>
      <c r="T493" s="26"/>
      <c r="U493" s="27"/>
      <c r="V493" s="28">
        <f t="shared" si="15"/>
        <v>110</v>
      </c>
    </row>
    <row r="494" spans="1:23" s="29" customFormat="1" ht="21" customHeight="1">
      <c r="A494" s="34"/>
      <c r="B494" s="31"/>
      <c r="C494" s="32"/>
      <c r="D494" s="56" t="s">
        <v>251</v>
      </c>
      <c r="E494" s="57" t="s">
        <v>242</v>
      </c>
      <c r="F494" s="58">
        <v>9.8390000000000004</v>
      </c>
      <c r="G494" s="57">
        <v>1814</v>
      </c>
      <c r="H494" s="58">
        <v>279</v>
      </c>
      <c r="I494" s="57" t="s">
        <v>243</v>
      </c>
      <c r="J494" s="58">
        <v>8688</v>
      </c>
      <c r="K494" s="59">
        <v>19887</v>
      </c>
      <c r="L494" s="59">
        <v>11089</v>
      </c>
      <c r="M494" s="21" t="s">
        <v>31</v>
      </c>
      <c r="N494" s="60">
        <v>4.57</v>
      </c>
      <c r="O494" s="23">
        <f t="shared" si="14"/>
        <v>565.91247264770232</v>
      </c>
      <c r="P494" s="24">
        <v>4.1500000000000004</v>
      </c>
      <c r="Q494" s="61" t="s">
        <v>43</v>
      </c>
      <c r="R494" s="62" t="s">
        <v>33</v>
      </c>
      <c r="S494" s="62" t="s">
        <v>236</v>
      </c>
      <c r="T494" s="26"/>
      <c r="U494" s="27"/>
      <c r="V494" s="28">
        <f t="shared" si="15"/>
        <v>110</v>
      </c>
    </row>
    <row r="495" spans="1:23" s="29" customFormat="1" ht="21" customHeight="1">
      <c r="A495" s="34"/>
      <c r="B495" s="31"/>
      <c r="C495" s="32"/>
      <c r="D495" s="56" t="s">
        <v>251</v>
      </c>
      <c r="E495" s="57" t="s">
        <v>242</v>
      </c>
      <c r="F495" s="58">
        <v>9.8390000000000004</v>
      </c>
      <c r="G495" s="57">
        <v>1814</v>
      </c>
      <c r="H495" s="58">
        <v>279</v>
      </c>
      <c r="I495" s="57" t="s">
        <v>246</v>
      </c>
      <c r="J495" s="58">
        <v>8688</v>
      </c>
      <c r="K495" s="59">
        <v>19887</v>
      </c>
      <c r="L495" s="59">
        <v>11089</v>
      </c>
      <c r="M495" s="21" t="s">
        <v>31</v>
      </c>
      <c r="N495" s="60">
        <v>4.57</v>
      </c>
      <c r="O495" s="23">
        <f t="shared" si="14"/>
        <v>565.91247264770232</v>
      </c>
      <c r="P495" s="24">
        <v>4.1500000000000004</v>
      </c>
      <c r="Q495" s="61" t="s">
        <v>43</v>
      </c>
      <c r="R495" s="62" t="s">
        <v>33</v>
      </c>
      <c r="S495" s="62" t="s">
        <v>236</v>
      </c>
      <c r="T495" s="26"/>
      <c r="U495" s="27"/>
      <c r="V495" s="28">
        <f t="shared" si="15"/>
        <v>110</v>
      </c>
    </row>
    <row r="496" spans="1:23" s="29" customFormat="1" ht="21" customHeight="1">
      <c r="A496" s="34"/>
      <c r="B496" s="31"/>
      <c r="C496" s="32"/>
      <c r="D496" s="56" t="s">
        <v>252</v>
      </c>
      <c r="E496" s="57" t="s">
        <v>242</v>
      </c>
      <c r="F496" s="58">
        <v>9.8390000000000004</v>
      </c>
      <c r="G496" s="57">
        <v>1814</v>
      </c>
      <c r="H496" s="58">
        <v>279</v>
      </c>
      <c r="I496" s="57" t="s">
        <v>243</v>
      </c>
      <c r="J496" s="58">
        <v>8688</v>
      </c>
      <c r="K496" s="59">
        <v>19887</v>
      </c>
      <c r="L496" s="59">
        <v>11089</v>
      </c>
      <c r="M496" s="21" t="s">
        <v>31</v>
      </c>
      <c r="N496" s="60">
        <v>4.57</v>
      </c>
      <c r="O496" s="23">
        <f t="shared" si="14"/>
        <v>565.91247264770232</v>
      </c>
      <c r="P496" s="24">
        <v>4.1500000000000004</v>
      </c>
      <c r="Q496" s="61" t="s">
        <v>43</v>
      </c>
      <c r="R496" s="62" t="s">
        <v>33</v>
      </c>
      <c r="S496" s="62" t="s">
        <v>236</v>
      </c>
      <c r="T496" s="26"/>
      <c r="U496" s="27"/>
      <c r="V496" s="28">
        <f t="shared" si="15"/>
        <v>110</v>
      </c>
    </row>
    <row r="497" spans="1:22" s="29" customFormat="1" ht="21" customHeight="1">
      <c r="A497" s="34"/>
      <c r="B497" s="31"/>
      <c r="C497" s="32"/>
      <c r="D497" s="56" t="s">
        <v>252</v>
      </c>
      <c r="E497" s="57" t="s">
        <v>242</v>
      </c>
      <c r="F497" s="58">
        <v>9.8390000000000004</v>
      </c>
      <c r="G497" s="57">
        <v>1814</v>
      </c>
      <c r="H497" s="58">
        <v>279</v>
      </c>
      <c r="I497" s="57" t="s">
        <v>243</v>
      </c>
      <c r="J497" s="58">
        <v>8688</v>
      </c>
      <c r="K497" s="59">
        <v>19887</v>
      </c>
      <c r="L497" s="59">
        <v>11089</v>
      </c>
      <c r="M497" s="21" t="s">
        <v>31</v>
      </c>
      <c r="N497" s="60">
        <v>4.57</v>
      </c>
      <c r="O497" s="23">
        <f t="shared" si="14"/>
        <v>565.91247264770232</v>
      </c>
      <c r="P497" s="24">
        <v>4.1500000000000004</v>
      </c>
      <c r="Q497" s="61" t="s">
        <v>43</v>
      </c>
      <c r="R497" s="62" t="s">
        <v>33</v>
      </c>
      <c r="S497" s="62" t="s">
        <v>253</v>
      </c>
      <c r="T497" s="26"/>
      <c r="U497" s="27"/>
      <c r="V497" s="28">
        <f t="shared" si="15"/>
        <v>110</v>
      </c>
    </row>
    <row r="498" spans="1:22" s="29" customFormat="1" ht="21" customHeight="1">
      <c r="A498" s="34"/>
      <c r="B498" s="31"/>
      <c r="C498" s="32"/>
      <c r="D498" s="56" t="s">
        <v>252</v>
      </c>
      <c r="E498" s="57" t="s">
        <v>242</v>
      </c>
      <c r="F498" s="58">
        <v>9.8390000000000004</v>
      </c>
      <c r="G498" s="57">
        <v>1814</v>
      </c>
      <c r="H498" s="58">
        <v>279</v>
      </c>
      <c r="I498" s="57" t="s">
        <v>246</v>
      </c>
      <c r="J498" s="58">
        <v>8688</v>
      </c>
      <c r="K498" s="59">
        <v>19887</v>
      </c>
      <c r="L498" s="59">
        <v>11089</v>
      </c>
      <c r="M498" s="21" t="s">
        <v>31</v>
      </c>
      <c r="N498" s="60">
        <v>4.57</v>
      </c>
      <c r="O498" s="23">
        <f t="shared" si="14"/>
        <v>565.91247264770232</v>
      </c>
      <c r="P498" s="24">
        <v>4.1500000000000004</v>
      </c>
      <c r="Q498" s="61" t="s">
        <v>43</v>
      </c>
      <c r="R498" s="62" t="s">
        <v>33</v>
      </c>
      <c r="S498" s="62" t="s">
        <v>236</v>
      </c>
      <c r="T498" s="26"/>
      <c r="U498" s="27"/>
      <c r="V498" s="28">
        <f t="shared" si="15"/>
        <v>110</v>
      </c>
    </row>
    <row r="499" spans="1:22" s="29" customFormat="1" ht="21" customHeight="1">
      <c r="A499" s="34"/>
      <c r="B499" s="31"/>
      <c r="C499" s="32"/>
      <c r="D499" s="56" t="s">
        <v>252</v>
      </c>
      <c r="E499" s="57" t="s">
        <v>242</v>
      </c>
      <c r="F499" s="58">
        <v>9.8390000000000004</v>
      </c>
      <c r="G499" s="57">
        <v>1814</v>
      </c>
      <c r="H499" s="58">
        <v>279</v>
      </c>
      <c r="I499" s="57" t="s">
        <v>246</v>
      </c>
      <c r="J499" s="58">
        <v>8688</v>
      </c>
      <c r="K499" s="59">
        <v>19887</v>
      </c>
      <c r="L499" s="59">
        <v>11089</v>
      </c>
      <c r="M499" s="21" t="s">
        <v>31</v>
      </c>
      <c r="N499" s="60">
        <v>4.57</v>
      </c>
      <c r="O499" s="23">
        <f t="shared" si="14"/>
        <v>565.91247264770232</v>
      </c>
      <c r="P499" s="24">
        <v>4.1500000000000004</v>
      </c>
      <c r="Q499" s="61" t="s">
        <v>43</v>
      </c>
      <c r="R499" s="62" t="s">
        <v>33</v>
      </c>
      <c r="S499" s="62" t="s">
        <v>253</v>
      </c>
      <c r="T499" s="26"/>
      <c r="U499" s="27"/>
      <c r="V499" s="28">
        <f t="shared" si="15"/>
        <v>110</v>
      </c>
    </row>
    <row r="500" spans="1:22" s="29" customFormat="1" ht="21" customHeight="1">
      <c r="A500" s="34"/>
      <c r="B500" s="31"/>
      <c r="C500" s="32"/>
      <c r="D500" s="56" t="s">
        <v>254</v>
      </c>
      <c r="E500" s="57" t="s">
        <v>242</v>
      </c>
      <c r="F500" s="58">
        <v>9.8390000000000004</v>
      </c>
      <c r="G500" s="57">
        <v>1567</v>
      </c>
      <c r="H500" s="58">
        <v>265</v>
      </c>
      <c r="I500" s="57" t="s">
        <v>42</v>
      </c>
      <c r="J500" s="58">
        <v>8688</v>
      </c>
      <c r="K500" s="59">
        <v>19887</v>
      </c>
      <c r="L500" s="59">
        <v>11089</v>
      </c>
      <c r="M500" s="21" t="s">
        <v>31</v>
      </c>
      <c r="N500" s="60">
        <v>4.54</v>
      </c>
      <c r="O500" s="23">
        <f t="shared" si="14"/>
        <v>569.65198237885454</v>
      </c>
      <c r="P500" s="24">
        <v>4.1500000000000004</v>
      </c>
      <c r="Q500" s="61" t="s">
        <v>43</v>
      </c>
      <c r="R500" s="62" t="s">
        <v>33</v>
      </c>
      <c r="S500" s="62" t="s">
        <v>34</v>
      </c>
      <c r="T500" s="26"/>
      <c r="U500" s="27"/>
      <c r="V500" s="28">
        <f t="shared" si="15"/>
        <v>109</v>
      </c>
    </row>
    <row r="501" spans="1:22" s="29" customFormat="1" ht="21" customHeight="1">
      <c r="A501" s="34"/>
      <c r="B501" s="31"/>
      <c r="C501" s="32"/>
      <c r="D501" s="56" t="s">
        <v>254</v>
      </c>
      <c r="E501" s="57" t="s">
        <v>242</v>
      </c>
      <c r="F501" s="58">
        <v>9.8390000000000004</v>
      </c>
      <c r="G501" s="57">
        <v>1567</v>
      </c>
      <c r="H501" s="58">
        <v>265</v>
      </c>
      <c r="I501" s="57" t="s">
        <v>235</v>
      </c>
      <c r="J501" s="58">
        <v>8688</v>
      </c>
      <c r="K501" s="59">
        <v>19887</v>
      </c>
      <c r="L501" s="59">
        <v>11089</v>
      </c>
      <c r="M501" s="21" t="s">
        <v>31</v>
      </c>
      <c r="N501" s="60">
        <v>4.53</v>
      </c>
      <c r="O501" s="23">
        <f t="shared" si="14"/>
        <v>570.90949227373062</v>
      </c>
      <c r="P501" s="24">
        <v>4.1500000000000004</v>
      </c>
      <c r="Q501" s="61" t="s">
        <v>43</v>
      </c>
      <c r="R501" s="62" t="s">
        <v>33</v>
      </c>
      <c r="S501" s="62" t="s">
        <v>34</v>
      </c>
      <c r="T501" s="26"/>
      <c r="U501" s="27"/>
      <c r="V501" s="28">
        <f t="shared" si="15"/>
        <v>109</v>
      </c>
    </row>
    <row r="502" spans="1:22" s="29" customFormat="1" ht="21" customHeight="1">
      <c r="A502" s="34"/>
      <c r="B502" s="31"/>
      <c r="C502" s="32"/>
      <c r="D502" s="56" t="s">
        <v>254</v>
      </c>
      <c r="E502" s="57" t="s">
        <v>242</v>
      </c>
      <c r="F502" s="58">
        <v>9.8390000000000004</v>
      </c>
      <c r="G502" s="57">
        <v>1567</v>
      </c>
      <c r="H502" s="58">
        <v>265</v>
      </c>
      <c r="I502" s="57" t="s">
        <v>243</v>
      </c>
      <c r="J502" s="58">
        <v>8688</v>
      </c>
      <c r="K502" s="59">
        <v>19887</v>
      </c>
      <c r="L502" s="59">
        <v>11089</v>
      </c>
      <c r="M502" s="21" t="s">
        <v>31</v>
      </c>
      <c r="N502" s="60">
        <v>4.4800000000000004</v>
      </c>
      <c r="O502" s="23">
        <f t="shared" si="14"/>
        <v>577.28124999999989</v>
      </c>
      <c r="P502" s="24">
        <v>4.1500000000000004</v>
      </c>
      <c r="Q502" s="61" t="s">
        <v>43</v>
      </c>
      <c r="R502" s="62" t="s">
        <v>33</v>
      </c>
      <c r="S502" s="63" t="s">
        <v>34</v>
      </c>
      <c r="T502" s="26"/>
      <c r="U502" s="27"/>
      <c r="V502" s="28">
        <f t="shared" si="15"/>
        <v>107</v>
      </c>
    </row>
    <row r="503" spans="1:22" s="29" customFormat="1" ht="21" customHeight="1">
      <c r="A503" s="34"/>
      <c r="B503" s="31"/>
      <c r="C503" s="32"/>
      <c r="D503" s="56" t="s">
        <v>254</v>
      </c>
      <c r="E503" s="57" t="s">
        <v>242</v>
      </c>
      <c r="F503" s="58">
        <v>9.8390000000000004</v>
      </c>
      <c r="G503" s="57">
        <v>1567</v>
      </c>
      <c r="H503" s="58">
        <v>265</v>
      </c>
      <c r="I503" s="57" t="s">
        <v>42</v>
      </c>
      <c r="J503" s="58">
        <v>8688</v>
      </c>
      <c r="K503" s="59">
        <v>19887</v>
      </c>
      <c r="L503" s="59">
        <v>11089</v>
      </c>
      <c r="M503" s="21" t="s">
        <v>31</v>
      </c>
      <c r="N503" s="60">
        <v>4.4000000000000004</v>
      </c>
      <c r="O503" s="23">
        <f t="shared" si="14"/>
        <v>587.7772727272727</v>
      </c>
      <c r="P503" s="24">
        <v>4.1500000000000004</v>
      </c>
      <c r="Q503" s="61" t="s">
        <v>63</v>
      </c>
      <c r="R503" s="62" t="s">
        <v>33</v>
      </c>
      <c r="S503" s="62" t="s">
        <v>34</v>
      </c>
      <c r="T503" s="26"/>
      <c r="U503" s="27"/>
      <c r="V503" s="28">
        <f t="shared" si="15"/>
        <v>106</v>
      </c>
    </row>
    <row r="504" spans="1:22" s="29" customFormat="1" ht="21" customHeight="1">
      <c r="A504" s="34"/>
      <c r="B504" s="31"/>
      <c r="C504" s="32"/>
      <c r="D504" s="56" t="s">
        <v>254</v>
      </c>
      <c r="E504" s="57" t="s">
        <v>242</v>
      </c>
      <c r="F504" s="58">
        <v>9.8390000000000004</v>
      </c>
      <c r="G504" s="57">
        <v>1567</v>
      </c>
      <c r="H504" s="58">
        <v>265</v>
      </c>
      <c r="I504" s="57" t="s">
        <v>235</v>
      </c>
      <c r="J504" s="58">
        <v>8688</v>
      </c>
      <c r="K504" s="59">
        <v>19887</v>
      </c>
      <c r="L504" s="59">
        <v>11089</v>
      </c>
      <c r="M504" s="21" t="s">
        <v>31</v>
      </c>
      <c r="N504" s="60">
        <v>4.4000000000000004</v>
      </c>
      <c r="O504" s="23">
        <f t="shared" si="14"/>
        <v>587.7772727272727</v>
      </c>
      <c r="P504" s="24">
        <v>4.1500000000000004</v>
      </c>
      <c r="Q504" s="61" t="s">
        <v>63</v>
      </c>
      <c r="R504" s="62" t="s">
        <v>33</v>
      </c>
      <c r="S504" s="62" t="s">
        <v>34</v>
      </c>
      <c r="T504" s="26"/>
      <c r="U504" s="27"/>
      <c r="V504" s="28">
        <f t="shared" si="15"/>
        <v>106</v>
      </c>
    </row>
    <row r="505" spans="1:22" s="29" customFormat="1" ht="21" customHeight="1">
      <c r="A505" s="34"/>
      <c r="B505" s="64"/>
      <c r="C505" s="65"/>
      <c r="D505" s="56" t="s">
        <v>254</v>
      </c>
      <c r="E505" s="57" t="s">
        <v>242</v>
      </c>
      <c r="F505" s="58">
        <v>9.8390000000000004</v>
      </c>
      <c r="G505" s="57">
        <v>1567</v>
      </c>
      <c r="H505" s="58">
        <v>265</v>
      </c>
      <c r="I505" s="57" t="s">
        <v>243</v>
      </c>
      <c r="J505" s="58">
        <v>8688</v>
      </c>
      <c r="K505" s="59">
        <v>19887</v>
      </c>
      <c r="L505" s="59">
        <v>11089</v>
      </c>
      <c r="M505" s="21" t="s">
        <v>31</v>
      </c>
      <c r="N505" s="60">
        <v>4.3600000000000003</v>
      </c>
      <c r="O505" s="23">
        <f t="shared" si="14"/>
        <v>593.16972477064223</v>
      </c>
      <c r="P505" s="24">
        <v>4.1500000000000004</v>
      </c>
      <c r="Q505" s="61" t="s">
        <v>63</v>
      </c>
      <c r="R505" s="62" t="s">
        <v>33</v>
      </c>
      <c r="S505" s="63" t="s">
        <v>117</v>
      </c>
      <c r="T505" s="26"/>
      <c r="U505" s="27"/>
      <c r="V505" s="28">
        <f t="shared" si="15"/>
        <v>105</v>
      </c>
    </row>
    <row r="506" spans="1:22" s="29" customFormat="1" ht="21" customHeight="1">
      <c r="A506" s="34"/>
      <c r="B506" s="31"/>
      <c r="C506" s="32"/>
      <c r="D506" s="56" t="s">
        <v>255</v>
      </c>
      <c r="E506" s="57" t="s">
        <v>242</v>
      </c>
      <c r="F506" s="58">
        <v>9.8390000000000004</v>
      </c>
      <c r="G506" s="57">
        <v>1567</v>
      </c>
      <c r="H506" s="58">
        <v>265</v>
      </c>
      <c r="I506" s="57" t="s">
        <v>42</v>
      </c>
      <c r="J506" s="58">
        <v>8688</v>
      </c>
      <c r="K506" s="59">
        <v>19887</v>
      </c>
      <c r="L506" s="59">
        <v>11089</v>
      </c>
      <c r="M506" s="21" t="s">
        <v>31</v>
      </c>
      <c r="N506" s="60">
        <v>4.54</v>
      </c>
      <c r="O506" s="23">
        <f t="shared" si="14"/>
        <v>569.65198237885454</v>
      </c>
      <c r="P506" s="24">
        <v>4.1500000000000004</v>
      </c>
      <c r="Q506" s="61" t="s">
        <v>43</v>
      </c>
      <c r="R506" s="62" t="s">
        <v>33</v>
      </c>
      <c r="S506" s="62" t="s">
        <v>244</v>
      </c>
      <c r="T506" s="26"/>
      <c r="U506" s="27"/>
      <c r="V506" s="28">
        <f t="shared" si="15"/>
        <v>109</v>
      </c>
    </row>
    <row r="507" spans="1:22" s="29" customFormat="1" ht="21" customHeight="1">
      <c r="A507" s="34"/>
      <c r="B507" s="31"/>
      <c r="C507" s="32"/>
      <c r="D507" s="56" t="s">
        <v>255</v>
      </c>
      <c r="E507" s="57" t="s">
        <v>242</v>
      </c>
      <c r="F507" s="58">
        <v>9.8390000000000004</v>
      </c>
      <c r="G507" s="57">
        <v>1567</v>
      </c>
      <c r="H507" s="58">
        <v>265</v>
      </c>
      <c r="I507" s="57" t="s">
        <v>42</v>
      </c>
      <c r="J507" s="58">
        <v>8688</v>
      </c>
      <c r="K507" s="59">
        <v>19887</v>
      </c>
      <c r="L507" s="59">
        <v>11089</v>
      </c>
      <c r="M507" s="21" t="s">
        <v>31</v>
      </c>
      <c r="N507" s="60">
        <v>4.54</v>
      </c>
      <c r="O507" s="23">
        <f t="shared" si="14"/>
        <v>569.65198237885454</v>
      </c>
      <c r="P507" s="24">
        <v>4.1500000000000004</v>
      </c>
      <c r="Q507" s="61" t="s">
        <v>43</v>
      </c>
      <c r="R507" s="62" t="s">
        <v>33</v>
      </c>
      <c r="S507" s="62" t="s">
        <v>245</v>
      </c>
      <c r="T507" s="26"/>
      <c r="U507" s="27"/>
      <c r="V507" s="28">
        <f t="shared" si="15"/>
        <v>109</v>
      </c>
    </row>
    <row r="508" spans="1:22" s="29" customFormat="1" ht="21" customHeight="1">
      <c r="A508" s="34"/>
      <c r="B508" s="31"/>
      <c r="C508" s="32"/>
      <c r="D508" s="56" t="s">
        <v>255</v>
      </c>
      <c r="E508" s="57" t="s">
        <v>242</v>
      </c>
      <c r="F508" s="58">
        <v>9.8390000000000004</v>
      </c>
      <c r="G508" s="57">
        <v>1567</v>
      </c>
      <c r="H508" s="58">
        <v>265</v>
      </c>
      <c r="I508" s="57" t="s">
        <v>235</v>
      </c>
      <c r="J508" s="58">
        <v>8688</v>
      </c>
      <c r="K508" s="59">
        <v>19887</v>
      </c>
      <c r="L508" s="59">
        <v>11089</v>
      </c>
      <c r="M508" s="21" t="s">
        <v>31</v>
      </c>
      <c r="N508" s="60">
        <v>4.53</v>
      </c>
      <c r="O508" s="23">
        <f t="shared" si="14"/>
        <v>570.90949227373062</v>
      </c>
      <c r="P508" s="24">
        <v>4.1500000000000004</v>
      </c>
      <c r="Q508" s="61" t="s">
        <v>43</v>
      </c>
      <c r="R508" s="62" t="s">
        <v>33</v>
      </c>
      <c r="S508" s="62" t="s">
        <v>244</v>
      </c>
      <c r="T508" s="26"/>
      <c r="U508" s="27"/>
      <c r="V508" s="28">
        <f t="shared" si="15"/>
        <v>109</v>
      </c>
    </row>
    <row r="509" spans="1:22" s="29" customFormat="1" ht="21" customHeight="1">
      <c r="A509" s="34"/>
      <c r="B509" s="31"/>
      <c r="C509" s="32"/>
      <c r="D509" s="56" t="s">
        <v>255</v>
      </c>
      <c r="E509" s="57" t="s">
        <v>242</v>
      </c>
      <c r="F509" s="58">
        <v>9.8390000000000004</v>
      </c>
      <c r="G509" s="57">
        <v>1567</v>
      </c>
      <c r="H509" s="58">
        <v>265</v>
      </c>
      <c r="I509" s="57" t="s">
        <v>235</v>
      </c>
      <c r="J509" s="58">
        <v>8688</v>
      </c>
      <c r="K509" s="59">
        <v>19887</v>
      </c>
      <c r="L509" s="59">
        <v>11089</v>
      </c>
      <c r="M509" s="19" t="s">
        <v>31</v>
      </c>
      <c r="N509" s="60">
        <v>4.53</v>
      </c>
      <c r="O509" s="23">
        <f t="shared" si="14"/>
        <v>570.90949227373062</v>
      </c>
      <c r="P509" s="24">
        <v>4.1500000000000004</v>
      </c>
      <c r="Q509" s="61" t="s">
        <v>43</v>
      </c>
      <c r="R509" s="62" t="s">
        <v>33</v>
      </c>
      <c r="S509" s="62" t="s">
        <v>245</v>
      </c>
      <c r="T509" s="26"/>
      <c r="U509" s="27"/>
      <c r="V509" s="28">
        <f t="shared" si="15"/>
        <v>109</v>
      </c>
    </row>
    <row r="510" spans="1:22" s="29" customFormat="1" ht="21" customHeight="1">
      <c r="A510" s="34"/>
      <c r="B510" s="31"/>
      <c r="C510" s="32"/>
      <c r="D510" s="56" t="s">
        <v>255</v>
      </c>
      <c r="E510" s="57" t="s">
        <v>242</v>
      </c>
      <c r="F510" s="58">
        <v>9.8390000000000004</v>
      </c>
      <c r="G510" s="57">
        <v>1814</v>
      </c>
      <c r="H510" s="58">
        <v>279</v>
      </c>
      <c r="I510" s="57" t="s">
        <v>243</v>
      </c>
      <c r="J510" s="58">
        <v>8688</v>
      </c>
      <c r="K510" s="59">
        <v>19887</v>
      </c>
      <c r="L510" s="59">
        <v>11089</v>
      </c>
      <c r="M510" s="19" t="s">
        <v>31</v>
      </c>
      <c r="N510" s="60">
        <v>4.4400000000000004</v>
      </c>
      <c r="O510" s="23">
        <f t="shared" si="14"/>
        <v>582.4819819819819</v>
      </c>
      <c r="P510" s="24">
        <v>4.1500000000000004</v>
      </c>
      <c r="Q510" s="61" t="s">
        <v>63</v>
      </c>
      <c r="R510" s="62" t="s">
        <v>33</v>
      </c>
      <c r="S510" s="62" t="s">
        <v>244</v>
      </c>
      <c r="T510" s="26"/>
      <c r="U510" s="27"/>
      <c r="V510" s="28">
        <f t="shared" si="15"/>
        <v>106</v>
      </c>
    </row>
    <row r="511" spans="1:22" s="29" customFormat="1" ht="21" customHeight="1">
      <c r="A511" s="34"/>
      <c r="B511" s="31"/>
      <c r="C511" s="32"/>
      <c r="D511" s="56" t="s">
        <v>255</v>
      </c>
      <c r="E511" s="57" t="s">
        <v>242</v>
      </c>
      <c r="F511" s="58">
        <v>9.8390000000000004</v>
      </c>
      <c r="G511" s="57">
        <v>1814</v>
      </c>
      <c r="H511" s="58">
        <v>279</v>
      </c>
      <c r="I511" s="57" t="s">
        <v>243</v>
      </c>
      <c r="J511" s="58">
        <v>8688</v>
      </c>
      <c r="K511" s="59">
        <v>19887</v>
      </c>
      <c r="L511" s="59">
        <v>11089</v>
      </c>
      <c r="M511" s="21" t="s">
        <v>31</v>
      </c>
      <c r="N511" s="60">
        <v>4.4400000000000004</v>
      </c>
      <c r="O511" s="23">
        <f t="shared" si="14"/>
        <v>582.4819819819819</v>
      </c>
      <c r="P511" s="24">
        <v>4.1500000000000004</v>
      </c>
      <c r="Q511" s="61" t="s">
        <v>63</v>
      </c>
      <c r="R511" s="62" t="s">
        <v>33</v>
      </c>
      <c r="S511" s="62" t="s">
        <v>245</v>
      </c>
      <c r="T511" s="26"/>
      <c r="U511" s="27"/>
      <c r="V511" s="28">
        <f t="shared" si="15"/>
        <v>106</v>
      </c>
    </row>
    <row r="512" spans="1:22" s="29" customFormat="1" ht="21" customHeight="1">
      <c r="A512" s="34"/>
      <c r="B512" s="31"/>
      <c r="C512" s="32"/>
      <c r="D512" s="56" t="s">
        <v>255</v>
      </c>
      <c r="E512" s="57" t="s">
        <v>242</v>
      </c>
      <c r="F512" s="58">
        <v>9.8390000000000004</v>
      </c>
      <c r="G512" s="57">
        <v>1814</v>
      </c>
      <c r="H512" s="58">
        <v>279</v>
      </c>
      <c r="I512" s="57" t="s">
        <v>246</v>
      </c>
      <c r="J512" s="58">
        <v>8688</v>
      </c>
      <c r="K512" s="59">
        <v>19887</v>
      </c>
      <c r="L512" s="59">
        <v>11089</v>
      </c>
      <c r="M512" s="21" t="s">
        <v>31</v>
      </c>
      <c r="N512" s="60">
        <v>4.42</v>
      </c>
      <c r="O512" s="23">
        <f t="shared" si="14"/>
        <v>585.11764705882342</v>
      </c>
      <c r="P512" s="24">
        <v>4.1500000000000004</v>
      </c>
      <c r="Q512" s="61" t="s">
        <v>63</v>
      </c>
      <c r="R512" s="62" t="s">
        <v>33</v>
      </c>
      <c r="S512" s="62" t="s">
        <v>244</v>
      </c>
      <c r="T512" s="26"/>
      <c r="U512" s="27"/>
      <c r="V512" s="28">
        <f t="shared" si="15"/>
        <v>106</v>
      </c>
    </row>
    <row r="513" spans="1:22" s="29" customFormat="1" ht="21" customHeight="1">
      <c r="A513" s="34"/>
      <c r="B513" s="31"/>
      <c r="C513" s="32"/>
      <c r="D513" s="56" t="s">
        <v>255</v>
      </c>
      <c r="E513" s="57" t="s">
        <v>242</v>
      </c>
      <c r="F513" s="58">
        <v>9.8390000000000004</v>
      </c>
      <c r="G513" s="57">
        <v>1814</v>
      </c>
      <c r="H513" s="58">
        <v>279</v>
      </c>
      <c r="I513" s="57" t="s">
        <v>246</v>
      </c>
      <c r="J513" s="58">
        <v>8688</v>
      </c>
      <c r="K513" s="59">
        <v>19887</v>
      </c>
      <c r="L513" s="59">
        <v>11089</v>
      </c>
      <c r="M513" s="21" t="s">
        <v>31</v>
      </c>
      <c r="N513" s="60">
        <v>4.42</v>
      </c>
      <c r="O513" s="23">
        <f t="shared" si="14"/>
        <v>585.11764705882342</v>
      </c>
      <c r="P513" s="24">
        <v>4.1500000000000004</v>
      </c>
      <c r="Q513" s="61" t="s">
        <v>63</v>
      </c>
      <c r="R513" s="62" t="s">
        <v>33</v>
      </c>
      <c r="S513" s="62" t="s">
        <v>245</v>
      </c>
      <c r="T513" s="26"/>
      <c r="U513" s="27"/>
      <c r="V513" s="28">
        <f t="shared" si="15"/>
        <v>106</v>
      </c>
    </row>
    <row r="514" spans="1:22" s="29" customFormat="1" ht="21" customHeight="1">
      <c r="A514" s="34"/>
      <c r="B514" s="31"/>
      <c r="C514" s="32"/>
      <c r="D514" s="56" t="s">
        <v>255</v>
      </c>
      <c r="E514" s="57" t="s">
        <v>242</v>
      </c>
      <c r="F514" s="58">
        <v>9.8390000000000004</v>
      </c>
      <c r="G514" s="57">
        <v>1567</v>
      </c>
      <c r="H514" s="58">
        <v>265</v>
      </c>
      <c r="I514" s="57" t="s">
        <v>42</v>
      </c>
      <c r="J514" s="58">
        <v>8688</v>
      </c>
      <c r="K514" s="59">
        <v>19887</v>
      </c>
      <c r="L514" s="59">
        <v>11089</v>
      </c>
      <c r="M514" s="21" t="s">
        <v>31</v>
      </c>
      <c r="N514" s="60">
        <v>4.4000000000000004</v>
      </c>
      <c r="O514" s="23">
        <f t="shared" si="14"/>
        <v>587.7772727272727</v>
      </c>
      <c r="P514" s="24">
        <v>4.1500000000000004</v>
      </c>
      <c r="Q514" s="61" t="s">
        <v>63</v>
      </c>
      <c r="R514" s="62" t="s">
        <v>33</v>
      </c>
      <c r="S514" s="62" t="s">
        <v>244</v>
      </c>
      <c r="T514" s="26"/>
      <c r="U514" s="27"/>
      <c r="V514" s="28">
        <f t="shared" si="15"/>
        <v>106</v>
      </c>
    </row>
    <row r="515" spans="1:22" s="29" customFormat="1" ht="21" customHeight="1">
      <c r="A515" s="34"/>
      <c r="B515" s="31"/>
      <c r="C515" s="32"/>
      <c r="D515" s="56" t="s">
        <v>255</v>
      </c>
      <c r="E515" s="57" t="s">
        <v>242</v>
      </c>
      <c r="F515" s="58">
        <v>9.8390000000000004</v>
      </c>
      <c r="G515" s="57">
        <v>1567</v>
      </c>
      <c r="H515" s="58">
        <v>265</v>
      </c>
      <c r="I515" s="57" t="s">
        <v>42</v>
      </c>
      <c r="J515" s="58">
        <v>8688</v>
      </c>
      <c r="K515" s="59">
        <v>19887</v>
      </c>
      <c r="L515" s="59">
        <v>11089</v>
      </c>
      <c r="M515" s="21" t="s">
        <v>31</v>
      </c>
      <c r="N515" s="60">
        <v>4.4000000000000004</v>
      </c>
      <c r="O515" s="23">
        <f t="shared" si="14"/>
        <v>587.7772727272727</v>
      </c>
      <c r="P515" s="24">
        <v>4.1500000000000004</v>
      </c>
      <c r="Q515" s="61" t="s">
        <v>63</v>
      </c>
      <c r="R515" s="62" t="s">
        <v>33</v>
      </c>
      <c r="S515" s="62" t="s">
        <v>245</v>
      </c>
      <c r="T515" s="26"/>
      <c r="U515" s="27"/>
      <c r="V515" s="28">
        <f t="shared" si="15"/>
        <v>106</v>
      </c>
    </row>
    <row r="516" spans="1:22" s="29" customFormat="1" ht="21" customHeight="1">
      <c r="A516" s="34"/>
      <c r="B516" s="31"/>
      <c r="C516" s="32"/>
      <c r="D516" s="56" t="s">
        <v>255</v>
      </c>
      <c r="E516" s="57" t="s">
        <v>242</v>
      </c>
      <c r="F516" s="58">
        <v>9.8390000000000004</v>
      </c>
      <c r="G516" s="57">
        <v>1567</v>
      </c>
      <c r="H516" s="58">
        <v>265</v>
      </c>
      <c r="I516" s="57" t="s">
        <v>235</v>
      </c>
      <c r="J516" s="58">
        <v>8688</v>
      </c>
      <c r="K516" s="59">
        <v>19887</v>
      </c>
      <c r="L516" s="59">
        <v>11089</v>
      </c>
      <c r="M516" s="21" t="s">
        <v>31</v>
      </c>
      <c r="N516" s="60">
        <v>4.4000000000000004</v>
      </c>
      <c r="O516" s="23">
        <f t="shared" si="14"/>
        <v>587.7772727272727</v>
      </c>
      <c r="P516" s="24">
        <v>4.1500000000000004</v>
      </c>
      <c r="Q516" s="61" t="s">
        <v>63</v>
      </c>
      <c r="R516" s="62" t="s">
        <v>33</v>
      </c>
      <c r="S516" s="62" t="s">
        <v>244</v>
      </c>
      <c r="T516" s="26"/>
      <c r="U516" s="27"/>
      <c r="V516" s="28">
        <f t="shared" si="15"/>
        <v>106</v>
      </c>
    </row>
    <row r="517" spans="1:22" s="29" customFormat="1" ht="21" customHeight="1">
      <c r="A517" s="34"/>
      <c r="B517" s="31"/>
      <c r="C517" s="32"/>
      <c r="D517" s="56" t="s">
        <v>255</v>
      </c>
      <c r="E517" s="57" t="s">
        <v>242</v>
      </c>
      <c r="F517" s="58">
        <v>9.8390000000000004</v>
      </c>
      <c r="G517" s="57">
        <v>1567</v>
      </c>
      <c r="H517" s="58">
        <v>265</v>
      </c>
      <c r="I517" s="57" t="s">
        <v>235</v>
      </c>
      <c r="J517" s="58">
        <v>8688</v>
      </c>
      <c r="K517" s="59">
        <v>19887</v>
      </c>
      <c r="L517" s="59">
        <v>11089</v>
      </c>
      <c r="M517" s="21" t="s">
        <v>31</v>
      </c>
      <c r="N517" s="60">
        <v>4.4000000000000004</v>
      </c>
      <c r="O517" s="23">
        <f t="shared" si="14"/>
        <v>587.7772727272727</v>
      </c>
      <c r="P517" s="24">
        <v>4.1500000000000004</v>
      </c>
      <c r="Q517" s="61" t="s">
        <v>63</v>
      </c>
      <c r="R517" s="62" t="s">
        <v>33</v>
      </c>
      <c r="S517" s="62" t="s">
        <v>245</v>
      </c>
      <c r="T517" s="26"/>
      <c r="U517" s="27"/>
      <c r="V517" s="28">
        <f t="shared" si="15"/>
        <v>106</v>
      </c>
    </row>
    <row r="518" spans="1:22" s="29" customFormat="1" ht="21" customHeight="1">
      <c r="A518" s="34"/>
      <c r="B518" s="31"/>
      <c r="C518" s="32"/>
      <c r="D518" s="56" t="s">
        <v>256</v>
      </c>
      <c r="E518" s="57" t="s">
        <v>242</v>
      </c>
      <c r="F518" s="58">
        <v>9.8390000000000004</v>
      </c>
      <c r="G518" s="57">
        <v>1567</v>
      </c>
      <c r="H518" s="58">
        <v>265</v>
      </c>
      <c r="I518" s="57" t="s">
        <v>42</v>
      </c>
      <c r="J518" s="58">
        <v>8688</v>
      </c>
      <c r="K518" s="59">
        <v>19887</v>
      </c>
      <c r="L518" s="59">
        <v>11089</v>
      </c>
      <c r="M518" s="21" t="s">
        <v>31</v>
      </c>
      <c r="N518" s="60">
        <v>4.54</v>
      </c>
      <c r="O518" s="23">
        <f t="shared" si="14"/>
        <v>569.65198237885454</v>
      </c>
      <c r="P518" s="24">
        <v>4.1500000000000004</v>
      </c>
      <c r="Q518" s="61" t="s">
        <v>43</v>
      </c>
      <c r="R518" s="62" t="s">
        <v>33</v>
      </c>
      <c r="S518" s="62" t="s">
        <v>244</v>
      </c>
      <c r="T518" s="26"/>
      <c r="U518" s="27"/>
      <c r="V518" s="28">
        <f t="shared" si="15"/>
        <v>109</v>
      </c>
    </row>
    <row r="519" spans="1:22" s="29" customFormat="1" ht="21" customHeight="1">
      <c r="A519" s="34"/>
      <c r="B519" s="31"/>
      <c r="C519" s="32"/>
      <c r="D519" s="56" t="s">
        <v>256</v>
      </c>
      <c r="E519" s="57" t="s">
        <v>242</v>
      </c>
      <c r="F519" s="58">
        <v>9.8390000000000004</v>
      </c>
      <c r="G519" s="57">
        <v>1567</v>
      </c>
      <c r="H519" s="58">
        <v>265</v>
      </c>
      <c r="I519" s="57" t="s">
        <v>42</v>
      </c>
      <c r="J519" s="58">
        <v>8688</v>
      </c>
      <c r="K519" s="59">
        <v>19887</v>
      </c>
      <c r="L519" s="59">
        <v>11089</v>
      </c>
      <c r="M519" s="21" t="s">
        <v>31</v>
      </c>
      <c r="N519" s="60">
        <v>4.54</v>
      </c>
      <c r="O519" s="23">
        <f t="shared" si="14"/>
        <v>569.65198237885454</v>
      </c>
      <c r="P519" s="24">
        <v>4.1500000000000004</v>
      </c>
      <c r="Q519" s="61" t="s">
        <v>43</v>
      </c>
      <c r="R519" s="62" t="s">
        <v>33</v>
      </c>
      <c r="S519" s="62" t="s">
        <v>245</v>
      </c>
      <c r="T519" s="26"/>
      <c r="U519" s="27"/>
      <c r="V519" s="28">
        <f t="shared" si="15"/>
        <v>109</v>
      </c>
    </row>
    <row r="520" spans="1:22" s="29" customFormat="1" ht="21" customHeight="1">
      <c r="A520" s="34"/>
      <c r="B520" s="31"/>
      <c r="C520" s="32"/>
      <c r="D520" s="56" t="s">
        <v>256</v>
      </c>
      <c r="E520" s="57" t="s">
        <v>242</v>
      </c>
      <c r="F520" s="58">
        <v>9.8390000000000004</v>
      </c>
      <c r="G520" s="57">
        <v>1567</v>
      </c>
      <c r="H520" s="58">
        <v>265</v>
      </c>
      <c r="I520" s="57" t="s">
        <v>235</v>
      </c>
      <c r="J520" s="58">
        <v>8688</v>
      </c>
      <c r="K520" s="59">
        <v>19887</v>
      </c>
      <c r="L520" s="59">
        <v>11089</v>
      </c>
      <c r="M520" s="21" t="s">
        <v>31</v>
      </c>
      <c r="N520" s="60">
        <v>4.53</v>
      </c>
      <c r="O520" s="23">
        <f t="shared" si="14"/>
        <v>570.90949227373062</v>
      </c>
      <c r="P520" s="24">
        <v>4.1500000000000004</v>
      </c>
      <c r="Q520" s="61" t="s">
        <v>43</v>
      </c>
      <c r="R520" s="62" t="s">
        <v>33</v>
      </c>
      <c r="S520" s="62" t="s">
        <v>244</v>
      </c>
      <c r="T520" s="26"/>
      <c r="U520" s="27"/>
      <c r="V520" s="28">
        <f t="shared" si="15"/>
        <v>109</v>
      </c>
    </row>
    <row r="521" spans="1:22" s="29" customFormat="1" ht="21" customHeight="1">
      <c r="A521" s="34"/>
      <c r="B521" s="31"/>
      <c r="C521" s="32"/>
      <c r="D521" s="56" t="s">
        <v>256</v>
      </c>
      <c r="E521" s="57" t="s">
        <v>242</v>
      </c>
      <c r="F521" s="58">
        <v>9.8390000000000004</v>
      </c>
      <c r="G521" s="57">
        <v>1567</v>
      </c>
      <c r="H521" s="58">
        <v>265</v>
      </c>
      <c r="I521" s="57" t="s">
        <v>235</v>
      </c>
      <c r="J521" s="58">
        <v>8688</v>
      </c>
      <c r="K521" s="59">
        <v>19887</v>
      </c>
      <c r="L521" s="59">
        <v>11089</v>
      </c>
      <c r="M521" s="21" t="s">
        <v>31</v>
      </c>
      <c r="N521" s="60">
        <v>4.53</v>
      </c>
      <c r="O521" s="23">
        <f t="shared" ref="O521:O584" si="16">IF(N521&gt;0,1/N521*37.7*68.6,"")</f>
        <v>570.90949227373062</v>
      </c>
      <c r="P521" s="24">
        <v>4.1500000000000004</v>
      </c>
      <c r="Q521" s="61" t="s">
        <v>43</v>
      </c>
      <c r="R521" s="62" t="s">
        <v>33</v>
      </c>
      <c r="S521" s="62" t="s">
        <v>245</v>
      </c>
      <c r="T521" s="26"/>
      <c r="U521" s="27"/>
      <c r="V521" s="28">
        <f t="shared" ref="V521:V584" si="17">IFERROR(IF(N521&lt;P521,"",(ROUNDDOWN(N521/P521*100,0))),"")</f>
        <v>109</v>
      </c>
    </row>
    <row r="522" spans="1:22" s="29" customFormat="1" ht="21" customHeight="1">
      <c r="A522" s="34"/>
      <c r="B522" s="31"/>
      <c r="C522" s="32"/>
      <c r="D522" s="56" t="s">
        <v>256</v>
      </c>
      <c r="E522" s="57" t="s">
        <v>242</v>
      </c>
      <c r="F522" s="58">
        <v>9.8390000000000004</v>
      </c>
      <c r="G522" s="57">
        <v>1814</v>
      </c>
      <c r="H522" s="58">
        <v>279</v>
      </c>
      <c r="I522" s="57" t="s">
        <v>243</v>
      </c>
      <c r="J522" s="58">
        <v>8688</v>
      </c>
      <c r="K522" s="59">
        <v>19887</v>
      </c>
      <c r="L522" s="59">
        <v>11089</v>
      </c>
      <c r="M522" s="21" t="s">
        <v>31</v>
      </c>
      <c r="N522" s="60">
        <v>4.4400000000000004</v>
      </c>
      <c r="O522" s="23">
        <f t="shared" si="16"/>
        <v>582.4819819819819</v>
      </c>
      <c r="P522" s="24">
        <v>4.1500000000000004</v>
      </c>
      <c r="Q522" s="61" t="s">
        <v>63</v>
      </c>
      <c r="R522" s="62" t="s">
        <v>33</v>
      </c>
      <c r="S522" s="62" t="s">
        <v>244</v>
      </c>
      <c r="T522" s="26"/>
      <c r="U522" s="27"/>
      <c r="V522" s="28">
        <f t="shared" si="17"/>
        <v>106</v>
      </c>
    </row>
    <row r="523" spans="1:22" s="29" customFormat="1" ht="21" customHeight="1">
      <c r="A523" s="34"/>
      <c r="B523" s="31"/>
      <c r="C523" s="32"/>
      <c r="D523" s="56" t="s">
        <v>256</v>
      </c>
      <c r="E523" s="57" t="s">
        <v>242</v>
      </c>
      <c r="F523" s="58">
        <v>9.8390000000000004</v>
      </c>
      <c r="G523" s="57">
        <v>1814</v>
      </c>
      <c r="H523" s="58">
        <v>279</v>
      </c>
      <c r="I523" s="57" t="s">
        <v>243</v>
      </c>
      <c r="J523" s="58">
        <v>8688</v>
      </c>
      <c r="K523" s="59">
        <v>19887</v>
      </c>
      <c r="L523" s="59">
        <v>11089</v>
      </c>
      <c r="M523" s="21" t="s">
        <v>31</v>
      </c>
      <c r="N523" s="60">
        <v>4.4400000000000004</v>
      </c>
      <c r="O523" s="23">
        <f t="shared" si="16"/>
        <v>582.4819819819819</v>
      </c>
      <c r="P523" s="24">
        <v>4.1500000000000004</v>
      </c>
      <c r="Q523" s="61" t="s">
        <v>63</v>
      </c>
      <c r="R523" s="62" t="s">
        <v>33</v>
      </c>
      <c r="S523" s="62" t="s">
        <v>245</v>
      </c>
      <c r="T523" s="26"/>
      <c r="U523" s="27"/>
      <c r="V523" s="28">
        <f t="shared" si="17"/>
        <v>106</v>
      </c>
    </row>
    <row r="524" spans="1:22" s="29" customFormat="1" ht="21" customHeight="1">
      <c r="A524" s="34"/>
      <c r="B524" s="31"/>
      <c r="C524" s="32"/>
      <c r="D524" s="56" t="s">
        <v>256</v>
      </c>
      <c r="E524" s="57" t="s">
        <v>242</v>
      </c>
      <c r="F524" s="58">
        <v>9.8390000000000004</v>
      </c>
      <c r="G524" s="57">
        <v>1814</v>
      </c>
      <c r="H524" s="58">
        <v>279</v>
      </c>
      <c r="I524" s="57" t="s">
        <v>246</v>
      </c>
      <c r="J524" s="58">
        <v>8688</v>
      </c>
      <c r="K524" s="59">
        <v>19887</v>
      </c>
      <c r="L524" s="59">
        <v>11089</v>
      </c>
      <c r="M524" s="21" t="s">
        <v>31</v>
      </c>
      <c r="N524" s="60">
        <v>4.42</v>
      </c>
      <c r="O524" s="23">
        <f t="shared" si="16"/>
        <v>585.11764705882342</v>
      </c>
      <c r="P524" s="24">
        <v>4.1500000000000004</v>
      </c>
      <c r="Q524" s="61" t="s">
        <v>63</v>
      </c>
      <c r="R524" s="62" t="s">
        <v>33</v>
      </c>
      <c r="S524" s="62" t="s">
        <v>244</v>
      </c>
      <c r="T524" s="26"/>
      <c r="U524" s="27"/>
      <c r="V524" s="28">
        <f t="shared" si="17"/>
        <v>106</v>
      </c>
    </row>
    <row r="525" spans="1:22" s="29" customFormat="1" ht="21" customHeight="1">
      <c r="A525" s="34"/>
      <c r="B525" s="31"/>
      <c r="C525" s="32"/>
      <c r="D525" s="56" t="s">
        <v>256</v>
      </c>
      <c r="E525" s="57" t="s">
        <v>242</v>
      </c>
      <c r="F525" s="58">
        <v>9.8390000000000004</v>
      </c>
      <c r="G525" s="57">
        <v>1814</v>
      </c>
      <c r="H525" s="58">
        <v>279</v>
      </c>
      <c r="I525" s="57" t="s">
        <v>246</v>
      </c>
      <c r="J525" s="58">
        <v>8688</v>
      </c>
      <c r="K525" s="59">
        <v>19887</v>
      </c>
      <c r="L525" s="59">
        <v>11089</v>
      </c>
      <c r="M525" s="21" t="s">
        <v>31</v>
      </c>
      <c r="N525" s="60">
        <v>4.42</v>
      </c>
      <c r="O525" s="23">
        <f t="shared" si="16"/>
        <v>585.11764705882342</v>
      </c>
      <c r="P525" s="24">
        <v>4.1500000000000004</v>
      </c>
      <c r="Q525" s="61" t="s">
        <v>63</v>
      </c>
      <c r="R525" s="62" t="s">
        <v>33</v>
      </c>
      <c r="S525" s="62" t="s">
        <v>245</v>
      </c>
      <c r="T525" s="26"/>
      <c r="U525" s="27"/>
      <c r="V525" s="28">
        <f t="shared" si="17"/>
        <v>106</v>
      </c>
    </row>
    <row r="526" spans="1:22" s="29" customFormat="1" ht="21" customHeight="1">
      <c r="A526" s="34"/>
      <c r="B526" s="31"/>
      <c r="C526" s="32"/>
      <c r="D526" s="56" t="s">
        <v>256</v>
      </c>
      <c r="E526" s="57" t="s">
        <v>242</v>
      </c>
      <c r="F526" s="58">
        <v>9.8390000000000004</v>
      </c>
      <c r="G526" s="57">
        <v>1567</v>
      </c>
      <c r="H526" s="58">
        <v>265</v>
      </c>
      <c r="I526" s="57" t="s">
        <v>42</v>
      </c>
      <c r="J526" s="58">
        <v>8688</v>
      </c>
      <c r="K526" s="59">
        <v>19887</v>
      </c>
      <c r="L526" s="59">
        <v>11089</v>
      </c>
      <c r="M526" s="21" t="s">
        <v>31</v>
      </c>
      <c r="N526" s="60">
        <v>4.4000000000000004</v>
      </c>
      <c r="O526" s="23">
        <f t="shared" si="16"/>
        <v>587.7772727272727</v>
      </c>
      <c r="P526" s="24">
        <v>4.1500000000000004</v>
      </c>
      <c r="Q526" s="61" t="s">
        <v>63</v>
      </c>
      <c r="R526" s="62" t="s">
        <v>33</v>
      </c>
      <c r="S526" s="62" t="s">
        <v>244</v>
      </c>
      <c r="T526" s="26"/>
      <c r="U526" s="27"/>
      <c r="V526" s="28">
        <f t="shared" si="17"/>
        <v>106</v>
      </c>
    </row>
    <row r="527" spans="1:22" s="29" customFormat="1" ht="21" customHeight="1">
      <c r="A527" s="34"/>
      <c r="B527" s="31"/>
      <c r="C527" s="32"/>
      <c r="D527" s="56" t="s">
        <v>256</v>
      </c>
      <c r="E527" s="57" t="s">
        <v>242</v>
      </c>
      <c r="F527" s="58">
        <v>9.8390000000000004</v>
      </c>
      <c r="G527" s="57">
        <v>1567</v>
      </c>
      <c r="H527" s="58">
        <v>265</v>
      </c>
      <c r="I527" s="57" t="s">
        <v>42</v>
      </c>
      <c r="J527" s="58">
        <v>8688</v>
      </c>
      <c r="K527" s="59">
        <v>19887</v>
      </c>
      <c r="L527" s="59">
        <v>11089</v>
      </c>
      <c r="M527" s="21" t="s">
        <v>31</v>
      </c>
      <c r="N527" s="60">
        <v>4.4000000000000004</v>
      </c>
      <c r="O527" s="23">
        <f t="shared" si="16"/>
        <v>587.7772727272727</v>
      </c>
      <c r="P527" s="24">
        <v>4.1500000000000004</v>
      </c>
      <c r="Q527" s="61" t="s">
        <v>63</v>
      </c>
      <c r="R527" s="62" t="s">
        <v>33</v>
      </c>
      <c r="S527" s="62" t="s">
        <v>245</v>
      </c>
      <c r="T527" s="26"/>
      <c r="U527" s="27"/>
      <c r="V527" s="28">
        <f t="shared" si="17"/>
        <v>106</v>
      </c>
    </row>
    <row r="528" spans="1:22" s="29" customFormat="1" ht="21" customHeight="1">
      <c r="A528" s="34"/>
      <c r="B528" s="31"/>
      <c r="C528" s="32"/>
      <c r="D528" s="56" t="s">
        <v>256</v>
      </c>
      <c r="E528" s="57" t="s">
        <v>242</v>
      </c>
      <c r="F528" s="58">
        <v>9.8390000000000004</v>
      </c>
      <c r="G528" s="57">
        <v>1567</v>
      </c>
      <c r="H528" s="58">
        <v>265</v>
      </c>
      <c r="I528" s="57" t="s">
        <v>235</v>
      </c>
      <c r="J528" s="58">
        <v>8688</v>
      </c>
      <c r="K528" s="59">
        <v>19887</v>
      </c>
      <c r="L528" s="59">
        <v>11089</v>
      </c>
      <c r="M528" s="21" t="s">
        <v>31</v>
      </c>
      <c r="N528" s="60">
        <v>4.4000000000000004</v>
      </c>
      <c r="O528" s="23">
        <f t="shared" si="16"/>
        <v>587.7772727272727</v>
      </c>
      <c r="P528" s="24">
        <v>4.1500000000000004</v>
      </c>
      <c r="Q528" s="61" t="s">
        <v>63</v>
      </c>
      <c r="R528" s="62" t="s">
        <v>33</v>
      </c>
      <c r="S528" s="62" t="s">
        <v>244</v>
      </c>
      <c r="T528" s="26"/>
      <c r="U528" s="27"/>
      <c r="V528" s="28">
        <f t="shared" si="17"/>
        <v>106</v>
      </c>
    </row>
    <row r="529" spans="1:22" s="29" customFormat="1" ht="21" customHeight="1">
      <c r="A529" s="34"/>
      <c r="B529" s="31"/>
      <c r="C529" s="32"/>
      <c r="D529" s="56" t="s">
        <v>256</v>
      </c>
      <c r="E529" s="57" t="s">
        <v>242</v>
      </c>
      <c r="F529" s="58">
        <v>9.8390000000000004</v>
      </c>
      <c r="G529" s="57">
        <v>1567</v>
      </c>
      <c r="H529" s="58">
        <v>265</v>
      </c>
      <c r="I529" s="57" t="s">
        <v>235</v>
      </c>
      <c r="J529" s="58">
        <v>8688</v>
      </c>
      <c r="K529" s="59">
        <v>19887</v>
      </c>
      <c r="L529" s="59">
        <v>11089</v>
      </c>
      <c r="M529" s="21" t="s">
        <v>31</v>
      </c>
      <c r="N529" s="60">
        <v>4.4000000000000004</v>
      </c>
      <c r="O529" s="23">
        <f t="shared" si="16"/>
        <v>587.7772727272727</v>
      </c>
      <c r="P529" s="24">
        <v>4.1500000000000004</v>
      </c>
      <c r="Q529" s="61" t="s">
        <v>63</v>
      </c>
      <c r="R529" s="62" t="s">
        <v>33</v>
      </c>
      <c r="S529" s="62" t="s">
        <v>245</v>
      </c>
      <c r="T529" s="26"/>
      <c r="U529" s="27"/>
      <c r="V529" s="28">
        <f t="shared" si="17"/>
        <v>106</v>
      </c>
    </row>
    <row r="530" spans="1:22" s="29" customFormat="1" ht="21" customHeight="1">
      <c r="A530" s="34"/>
      <c r="B530" s="31"/>
      <c r="C530" s="32"/>
      <c r="D530" s="56" t="s">
        <v>257</v>
      </c>
      <c r="E530" s="57" t="s">
        <v>242</v>
      </c>
      <c r="F530" s="58">
        <v>9.8390000000000004</v>
      </c>
      <c r="G530" s="57">
        <v>1567</v>
      </c>
      <c r="H530" s="58">
        <v>265</v>
      </c>
      <c r="I530" s="57" t="s">
        <v>42</v>
      </c>
      <c r="J530" s="58">
        <v>8688</v>
      </c>
      <c r="K530" s="59">
        <v>19887</v>
      </c>
      <c r="L530" s="59">
        <v>11089</v>
      </c>
      <c r="M530" s="21" t="s">
        <v>31</v>
      </c>
      <c r="N530" s="60">
        <v>4.54</v>
      </c>
      <c r="O530" s="23">
        <f t="shared" si="16"/>
        <v>569.65198237885454</v>
      </c>
      <c r="P530" s="24">
        <v>4.1500000000000004</v>
      </c>
      <c r="Q530" s="61" t="s">
        <v>43</v>
      </c>
      <c r="R530" s="62" t="s">
        <v>33</v>
      </c>
      <c r="S530" s="62" t="s">
        <v>250</v>
      </c>
      <c r="T530" s="26"/>
      <c r="U530" s="27"/>
      <c r="V530" s="28">
        <f t="shared" si="17"/>
        <v>109</v>
      </c>
    </row>
    <row r="531" spans="1:22" s="29" customFormat="1" ht="21" customHeight="1">
      <c r="A531" s="34"/>
      <c r="B531" s="31"/>
      <c r="C531" s="32"/>
      <c r="D531" s="56" t="s">
        <v>257</v>
      </c>
      <c r="E531" s="57" t="s">
        <v>242</v>
      </c>
      <c r="F531" s="58">
        <v>9.8390000000000004</v>
      </c>
      <c r="G531" s="57">
        <v>1567</v>
      </c>
      <c r="H531" s="58">
        <v>265</v>
      </c>
      <c r="I531" s="57" t="s">
        <v>42</v>
      </c>
      <c r="J531" s="58">
        <v>8688</v>
      </c>
      <c r="K531" s="59">
        <v>19887</v>
      </c>
      <c r="L531" s="59">
        <v>11089</v>
      </c>
      <c r="M531" s="21" t="s">
        <v>31</v>
      </c>
      <c r="N531" s="60">
        <v>4.54</v>
      </c>
      <c r="O531" s="23">
        <f t="shared" si="16"/>
        <v>569.65198237885454</v>
      </c>
      <c r="P531" s="24">
        <v>4.1500000000000004</v>
      </c>
      <c r="Q531" s="61" t="s">
        <v>43</v>
      </c>
      <c r="R531" s="62" t="s">
        <v>33</v>
      </c>
      <c r="S531" s="62" t="s">
        <v>249</v>
      </c>
      <c r="T531" s="26"/>
      <c r="U531" s="27"/>
      <c r="V531" s="28">
        <f t="shared" si="17"/>
        <v>109</v>
      </c>
    </row>
    <row r="532" spans="1:22" s="29" customFormat="1" ht="21" customHeight="1">
      <c r="A532" s="34"/>
      <c r="B532" s="31"/>
      <c r="C532" s="32"/>
      <c r="D532" s="56" t="s">
        <v>257</v>
      </c>
      <c r="E532" s="57" t="s">
        <v>242</v>
      </c>
      <c r="F532" s="58">
        <v>9.8390000000000004</v>
      </c>
      <c r="G532" s="57">
        <v>1567</v>
      </c>
      <c r="H532" s="58">
        <v>265</v>
      </c>
      <c r="I532" s="57" t="s">
        <v>235</v>
      </c>
      <c r="J532" s="58">
        <v>8688</v>
      </c>
      <c r="K532" s="59">
        <v>19887</v>
      </c>
      <c r="L532" s="59">
        <v>11089</v>
      </c>
      <c r="M532" s="21" t="s">
        <v>31</v>
      </c>
      <c r="N532" s="60">
        <v>4.53</v>
      </c>
      <c r="O532" s="23">
        <f t="shared" si="16"/>
        <v>570.90949227373062</v>
      </c>
      <c r="P532" s="24">
        <v>4.1500000000000004</v>
      </c>
      <c r="Q532" s="61" t="s">
        <v>43</v>
      </c>
      <c r="R532" s="62" t="s">
        <v>33</v>
      </c>
      <c r="S532" s="62" t="s">
        <v>250</v>
      </c>
      <c r="T532" s="26"/>
      <c r="U532" s="27"/>
      <c r="V532" s="28">
        <f t="shared" si="17"/>
        <v>109</v>
      </c>
    </row>
    <row r="533" spans="1:22" s="29" customFormat="1" ht="21" customHeight="1">
      <c r="A533" s="34"/>
      <c r="B533" s="31"/>
      <c r="C533" s="32"/>
      <c r="D533" s="56" t="s">
        <v>257</v>
      </c>
      <c r="E533" s="57" t="s">
        <v>242</v>
      </c>
      <c r="F533" s="58">
        <v>9.8390000000000004</v>
      </c>
      <c r="G533" s="57">
        <v>1567</v>
      </c>
      <c r="H533" s="58">
        <v>265</v>
      </c>
      <c r="I533" s="57" t="s">
        <v>235</v>
      </c>
      <c r="J533" s="58">
        <v>8688</v>
      </c>
      <c r="K533" s="59">
        <v>19887</v>
      </c>
      <c r="L533" s="59">
        <v>11089</v>
      </c>
      <c r="M533" s="21" t="s">
        <v>31</v>
      </c>
      <c r="N533" s="60">
        <v>4.53</v>
      </c>
      <c r="O533" s="23">
        <f t="shared" si="16"/>
        <v>570.90949227373062</v>
      </c>
      <c r="P533" s="24">
        <v>4.1500000000000004</v>
      </c>
      <c r="Q533" s="61" t="s">
        <v>43</v>
      </c>
      <c r="R533" s="62" t="s">
        <v>33</v>
      </c>
      <c r="S533" s="62" t="s">
        <v>249</v>
      </c>
      <c r="T533" s="26"/>
      <c r="U533" s="27"/>
      <c r="V533" s="28">
        <f t="shared" si="17"/>
        <v>109</v>
      </c>
    </row>
    <row r="534" spans="1:22" s="29" customFormat="1" ht="21" customHeight="1">
      <c r="A534" s="34"/>
      <c r="B534" s="31"/>
      <c r="C534" s="32"/>
      <c r="D534" s="56" t="s">
        <v>257</v>
      </c>
      <c r="E534" s="57" t="s">
        <v>242</v>
      </c>
      <c r="F534" s="58">
        <v>9.8390000000000004</v>
      </c>
      <c r="G534" s="57">
        <v>1567</v>
      </c>
      <c r="H534" s="58">
        <v>265</v>
      </c>
      <c r="I534" s="57" t="s">
        <v>243</v>
      </c>
      <c r="J534" s="58">
        <v>8688</v>
      </c>
      <c r="K534" s="59">
        <v>19887</v>
      </c>
      <c r="L534" s="59">
        <v>11089</v>
      </c>
      <c r="M534" s="21" t="s">
        <v>31</v>
      </c>
      <c r="N534" s="60">
        <v>4.4800000000000004</v>
      </c>
      <c r="O534" s="23">
        <f t="shared" si="16"/>
        <v>577.28124999999989</v>
      </c>
      <c r="P534" s="24">
        <v>4.1500000000000004</v>
      </c>
      <c r="Q534" s="61" t="s">
        <v>43</v>
      </c>
      <c r="R534" s="62" t="s">
        <v>33</v>
      </c>
      <c r="S534" s="62" t="s">
        <v>249</v>
      </c>
      <c r="T534" s="26"/>
      <c r="U534" s="27"/>
      <c r="V534" s="28">
        <f t="shared" si="17"/>
        <v>107</v>
      </c>
    </row>
    <row r="535" spans="1:22" s="29" customFormat="1" ht="21" customHeight="1">
      <c r="A535" s="34"/>
      <c r="B535" s="31"/>
      <c r="C535" s="32"/>
      <c r="D535" s="56" t="s">
        <v>257</v>
      </c>
      <c r="E535" s="57" t="s">
        <v>242</v>
      </c>
      <c r="F535" s="58">
        <v>9.8390000000000004</v>
      </c>
      <c r="G535" s="57">
        <v>1567</v>
      </c>
      <c r="H535" s="58">
        <v>265</v>
      </c>
      <c r="I535" s="57" t="s">
        <v>243</v>
      </c>
      <c r="J535" s="58">
        <v>8688</v>
      </c>
      <c r="K535" s="59">
        <v>19887</v>
      </c>
      <c r="L535" s="59">
        <v>11089</v>
      </c>
      <c r="M535" s="21" t="s">
        <v>31</v>
      </c>
      <c r="N535" s="60">
        <v>4.4800000000000004</v>
      </c>
      <c r="O535" s="23">
        <f t="shared" si="16"/>
        <v>577.28124999999989</v>
      </c>
      <c r="P535" s="24">
        <v>4.1500000000000004</v>
      </c>
      <c r="Q535" s="61" t="s">
        <v>43</v>
      </c>
      <c r="R535" s="62" t="s">
        <v>33</v>
      </c>
      <c r="S535" s="62" t="s">
        <v>250</v>
      </c>
      <c r="T535" s="26"/>
      <c r="U535" s="27"/>
      <c r="V535" s="28">
        <f t="shared" si="17"/>
        <v>107</v>
      </c>
    </row>
    <row r="536" spans="1:22" s="29" customFormat="1" ht="21" customHeight="1">
      <c r="A536" s="34"/>
      <c r="B536" s="31"/>
      <c r="C536" s="32"/>
      <c r="D536" s="56" t="s">
        <v>257</v>
      </c>
      <c r="E536" s="57" t="s">
        <v>242</v>
      </c>
      <c r="F536" s="58">
        <v>9.8390000000000004</v>
      </c>
      <c r="G536" s="57">
        <v>1567</v>
      </c>
      <c r="H536" s="58">
        <v>265</v>
      </c>
      <c r="I536" s="57" t="s">
        <v>42</v>
      </c>
      <c r="J536" s="58">
        <v>8688</v>
      </c>
      <c r="K536" s="59">
        <v>19887</v>
      </c>
      <c r="L536" s="59">
        <v>11089</v>
      </c>
      <c r="M536" s="21" t="s">
        <v>31</v>
      </c>
      <c r="N536" s="60">
        <v>4.4000000000000004</v>
      </c>
      <c r="O536" s="23">
        <f t="shared" si="16"/>
        <v>587.7772727272727</v>
      </c>
      <c r="P536" s="24">
        <v>4.1500000000000004</v>
      </c>
      <c r="Q536" s="61" t="s">
        <v>63</v>
      </c>
      <c r="R536" s="62" t="s">
        <v>33</v>
      </c>
      <c r="S536" s="62" t="s">
        <v>250</v>
      </c>
      <c r="T536" s="26"/>
      <c r="U536" s="27"/>
      <c r="V536" s="28">
        <f t="shared" si="17"/>
        <v>106</v>
      </c>
    </row>
    <row r="537" spans="1:22" s="29" customFormat="1" ht="21" customHeight="1">
      <c r="A537" s="34"/>
      <c r="B537" s="31"/>
      <c r="C537" s="32"/>
      <c r="D537" s="56" t="s">
        <v>257</v>
      </c>
      <c r="E537" s="57" t="s">
        <v>242</v>
      </c>
      <c r="F537" s="58">
        <v>9.8390000000000004</v>
      </c>
      <c r="G537" s="57">
        <v>1567</v>
      </c>
      <c r="H537" s="58">
        <v>265</v>
      </c>
      <c r="I537" s="57" t="s">
        <v>42</v>
      </c>
      <c r="J537" s="58">
        <v>8688</v>
      </c>
      <c r="K537" s="59">
        <v>19887</v>
      </c>
      <c r="L537" s="59">
        <v>11089</v>
      </c>
      <c r="M537" s="21" t="s">
        <v>31</v>
      </c>
      <c r="N537" s="60">
        <v>4.4000000000000004</v>
      </c>
      <c r="O537" s="23">
        <f t="shared" si="16"/>
        <v>587.7772727272727</v>
      </c>
      <c r="P537" s="24">
        <v>4.1500000000000004</v>
      </c>
      <c r="Q537" s="61" t="s">
        <v>63</v>
      </c>
      <c r="R537" s="62" t="s">
        <v>33</v>
      </c>
      <c r="S537" s="62" t="s">
        <v>249</v>
      </c>
      <c r="T537" s="26"/>
      <c r="U537" s="27"/>
      <c r="V537" s="28">
        <f t="shared" si="17"/>
        <v>106</v>
      </c>
    </row>
    <row r="538" spans="1:22" s="29" customFormat="1" ht="21" customHeight="1">
      <c r="A538" s="34"/>
      <c r="B538" s="31"/>
      <c r="C538" s="32"/>
      <c r="D538" s="56" t="s">
        <v>257</v>
      </c>
      <c r="E538" s="57" t="s">
        <v>242</v>
      </c>
      <c r="F538" s="58">
        <v>9.8390000000000004</v>
      </c>
      <c r="G538" s="57">
        <v>1567</v>
      </c>
      <c r="H538" s="58">
        <v>265</v>
      </c>
      <c r="I538" s="57" t="s">
        <v>235</v>
      </c>
      <c r="J538" s="58">
        <v>8688</v>
      </c>
      <c r="K538" s="59">
        <v>19887</v>
      </c>
      <c r="L538" s="59">
        <v>11089</v>
      </c>
      <c r="M538" s="21" t="s">
        <v>31</v>
      </c>
      <c r="N538" s="60">
        <v>4.4000000000000004</v>
      </c>
      <c r="O538" s="23">
        <f t="shared" si="16"/>
        <v>587.7772727272727</v>
      </c>
      <c r="P538" s="24">
        <v>4.1500000000000004</v>
      </c>
      <c r="Q538" s="61" t="s">
        <v>63</v>
      </c>
      <c r="R538" s="62" t="s">
        <v>33</v>
      </c>
      <c r="S538" s="62" t="s">
        <v>250</v>
      </c>
      <c r="T538" s="26"/>
      <c r="U538" s="27"/>
      <c r="V538" s="28">
        <f t="shared" si="17"/>
        <v>106</v>
      </c>
    </row>
    <row r="539" spans="1:22" s="29" customFormat="1" ht="21" customHeight="1">
      <c r="A539" s="34"/>
      <c r="B539" s="31"/>
      <c r="C539" s="32"/>
      <c r="D539" s="56" t="s">
        <v>257</v>
      </c>
      <c r="E539" s="57" t="s">
        <v>242</v>
      </c>
      <c r="F539" s="58">
        <v>9.8390000000000004</v>
      </c>
      <c r="G539" s="57">
        <v>1567</v>
      </c>
      <c r="H539" s="58">
        <v>265</v>
      </c>
      <c r="I539" s="57" t="s">
        <v>235</v>
      </c>
      <c r="J539" s="58">
        <v>8688</v>
      </c>
      <c r="K539" s="59">
        <v>19887</v>
      </c>
      <c r="L539" s="59">
        <v>11089</v>
      </c>
      <c r="M539" s="21" t="s">
        <v>31</v>
      </c>
      <c r="N539" s="60">
        <v>4.4000000000000004</v>
      </c>
      <c r="O539" s="23">
        <f t="shared" si="16"/>
        <v>587.7772727272727</v>
      </c>
      <c r="P539" s="24">
        <v>4.1500000000000004</v>
      </c>
      <c r="Q539" s="61" t="s">
        <v>63</v>
      </c>
      <c r="R539" s="62" t="s">
        <v>33</v>
      </c>
      <c r="S539" s="62" t="s">
        <v>249</v>
      </c>
      <c r="T539" s="26"/>
      <c r="U539" s="27"/>
      <c r="V539" s="28">
        <f t="shared" si="17"/>
        <v>106</v>
      </c>
    </row>
    <row r="540" spans="1:22" s="29" customFormat="1" ht="21" customHeight="1">
      <c r="A540" s="34"/>
      <c r="B540" s="31"/>
      <c r="C540" s="32"/>
      <c r="D540" s="56" t="s">
        <v>257</v>
      </c>
      <c r="E540" s="57" t="s">
        <v>242</v>
      </c>
      <c r="F540" s="58">
        <v>9.8390000000000004</v>
      </c>
      <c r="G540" s="57">
        <v>1567</v>
      </c>
      <c r="H540" s="58">
        <v>265</v>
      </c>
      <c r="I540" s="57" t="s">
        <v>243</v>
      </c>
      <c r="J540" s="58">
        <v>8688</v>
      </c>
      <c r="K540" s="59">
        <v>19887</v>
      </c>
      <c r="L540" s="59">
        <v>11089</v>
      </c>
      <c r="M540" s="21" t="s">
        <v>31</v>
      </c>
      <c r="N540" s="60">
        <v>4.3600000000000003</v>
      </c>
      <c r="O540" s="23">
        <f t="shared" si="16"/>
        <v>593.16972477064223</v>
      </c>
      <c r="P540" s="24">
        <v>4.1500000000000004</v>
      </c>
      <c r="Q540" s="61" t="s">
        <v>63</v>
      </c>
      <c r="R540" s="62" t="s">
        <v>33</v>
      </c>
      <c r="S540" s="62" t="s">
        <v>249</v>
      </c>
      <c r="T540" s="26"/>
      <c r="U540" s="27"/>
      <c r="V540" s="28">
        <f t="shared" si="17"/>
        <v>105</v>
      </c>
    </row>
    <row r="541" spans="1:22" s="29" customFormat="1" ht="21" customHeight="1">
      <c r="A541" s="34"/>
      <c r="B541" s="31"/>
      <c r="C541" s="32"/>
      <c r="D541" s="56" t="s">
        <v>257</v>
      </c>
      <c r="E541" s="57" t="s">
        <v>242</v>
      </c>
      <c r="F541" s="58">
        <v>9.8390000000000004</v>
      </c>
      <c r="G541" s="57">
        <v>1567</v>
      </c>
      <c r="H541" s="58">
        <v>265</v>
      </c>
      <c r="I541" s="57" t="s">
        <v>243</v>
      </c>
      <c r="J541" s="58">
        <v>8688</v>
      </c>
      <c r="K541" s="59">
        <v>19887</v>
      </c>
      <c r="L541" s="59">
        <v>11089</v>
      </c>
      <c r="M541" s="21" t="s">
        <v>31</v>
      </c>
      <c r="N541" s="60">
        <v>4.3600000000000003</v>
      </c>
      <c r="O541" s="23">
        <f t="shared" si="16"/>
        <v>593.16972477064223</v>
      </c>
      <c r="P541" s="24">
        <v>4.1500000000000004</v>
      </c>
      <c r="Q541" s="61" t="s">
        <v>63</v>
      </c>
      <c r="R541" s="62" t="s">
        <v>33</v>
      </c>
      <c r="S541" s="62" t="s">
        <v>250</v>
      </c>
      <c r="T541" s="26"/>
      <c r="U541" s="27"/>
      <c r="V541" s="28">
        <f t="shared" si="17"/>
        <v>105</v>
      </c>
    </row>
    <row r="542" spans="1:22" s="29" customFormat="1" ht="21" customHeight="1">
      <c r="A542" s="34"/>
      <c r="B542" s="31"/>
      <c r="C542" s="32"/>
      <c r="D542" s="56" t="s">
        <v>258</v>
      </c>
      <c r="E542" s="57" t="s">
        <v>242</v>
      </c>
      <c r="F542" s="58">
        <v>9.8390000000000004</v>
      </c>
      <c r="G542" s="57">
        <v>1567</v>
      </c>
      <c r="H542" s="58">
        <v>265</v>
      </c>
      <c r="I542" s="57" t="s">
        <v>42</v>
      </c>
      <c r="J542" s="58">
        <v>8688</v>
      </c>
      <c r="K542" s="59">
        <v>19887</v>
      </c>
      <c r="L542" s="59">
        <v>11089</v>
      </c>
      <c r="M542" s="21" t="s">
        <v>31</v>
      </c>
      <c r="N542" s="60">
        <v>4.54</v>
      </c>
      <c r="O542" s="23">
        <f t="shared" si="16"/>
        <v>569.65198237885454</v>
      </c>
      <c r="P542" s="24">
        <v>4.1500000000000004</v>
      </c>
      <c r="Q542" s="61" t="s">
        <v>43</v>
      </c>
      <c r="R542" s="62" t="s">
        <v>33</v>
      </c>
      <c r="S542" s="62" t="s">
        <v>236</v>
      </c>
      <c r="T542" s="26"/>
      <c r="U542" s="27"/>
      <c r="V542" s="28">
        <f t="shared" si="17"/>
        <v>109</v>
      </c>
    </row>
    <row r="543" spans="1:22" s="29" customFormat="1" ht="21" customHeight="1">
      <c r="A543" s="34"/>
      <c r="B543" s="31"/>
      <c r="C543" s="32"/>
      <c r="D543" s="56" t="s">
        <v>258</v>
      </c>
      <c r="E543" s="57" t="s">
        <v>242</v>
      </c>
      <c r="F543" s="58">
        <v>9.8390000000000004</v>
      </c>
      <c r="G543" s="57">
        <v>1567</v>
      </c>
      <c r="H543" s="58">
        <v>265</v>
      </c>
      <c r="I543" s="57" t="s">
        <v>42</v>
      </c>
      <c r="J543" s="58">
        <v>8688</v>
      </c>
      <c r="K543" s="59">
        <v>19887</v>
      </c>
      <c r="L543" s="59">
        <v>11089</v>
      </c>
      <c r="M543" s="21" t="s">
        <v>31</v>
      </c>
      <c r="N543" s="60">
        <v>4.54</v>
      </c>
      <c r="O543" s="23">
        <f t="shared" si="16"/>
        <v>569.65198237885454</v>
      </c>
      <c r="P543" s="24">
        <v>4.1500000000000004</v>
      </c>
      <c r="Q543" s="61" t="s">
        <v>43</v>
      </c>
      <c r="R543" s="62" t="s">
        <v>33</v>
      </c>
      <c r="S543" s="62" t="s">
        <v>253</v>
      </c>
      <c r="T543" s="26"/>
      <c r="U543" s="27"/>
      <c r="V543" s="28">
        <f t="shared" si="17"/>
        <v>109</v>
      </c>
    </row>
    <row r="544" spans="1:22" s="29" customFormat="1" ht="21" customHeight="1">
      <c r="A544" s="34"/>
      <c r="B544" s="31"/>
      <c r="C544" s="32"/>
      <c r="D544" s="56" t="s">
        <v>258</v>
      </c>
      <c r="E544" s="57" t="s">
        <v>242</v>
      </c>
      <c r="F544" s="58">
        <v>9.8390000000000004</v>
      </c>
      <c r="G544" s="57">
        <v>1567</v>
      </c>
      <c r="H544" s="58">
        <v>265</v>
      </c>
      <c r="I544" s="57" t="s">
        <v>235</v>
      </c>
      <c r="J544" s="58">
        <v>8688</v>
      </c>
      <c r="K544" s="59">
        <v>19887</v>
      </c>
      <c r="L544" s="59">
        <v>11089</v>
      </c>
      <c r="M544" s="21" t="s">
        <v>31</v>
      </c>
      <c r="N544" s="60">
        <v>4.53</v>
      </c>
      <c r="O544" s="23">
        <f t="shared" si="16"/>
        <v>570.90949227373062</v>
      </c>
      <c r="P544" s="24">
        <v>4.1500000000000004</v>
      </c>
      <c r="Q544" s="61" t="s">
        <v>43</v>
      </c>
      <c r="R544" s="62" t="s">
        <v>33</v>
      </c>
      <c r="S544" s="62" t="s">
        <v>236</v>
      </c>
      <c r="T544" s="26"/>
      <c r="U544" s="27"/>
      <c r="V544" s="28">
        <f t="shared" si="17"/>
        <v>109</v>
      </c>
    </row>
    <row r="545" spans="1:23" s="29" customFormat="1" ht="21" customHeight="1">
      <c r="A545" s="34"/>
      <c r="B545" s="31"/>
      <c r="C545" s="32"/>
      <c r="D545" s="56" t="s">
        <v>258</v>
      </c>
      <c r="E545" s="57" t="s">
        <v>242</v>
      </c>
      <c r="F545" s="58">
        <v>9.8390000000000004</v>
      </c>
      <c r="G545" s="57">
        <v>1567</v>
      </c>
      <c r="H545" s="58">
        <v>265</v>
      </c>
      <c r="I545" s="57" t="s">
        <v>235</v>
      </c>
      <c r="J545" s="58">
        <v>8688</v>
      </c>
      <c r="K545" s="59">
        <v>19887</v>
      </c>
      <c r="L545" s="59">
        <v>11089</v>
      </c>
      <c r="M545" s="21" t="s">
        <v>31</v>
      </c>
      <c r="N545" s="60">
        <v>4.53</v>
      </c>
      <c r="O545" s="23">
        <f t="shared" si="16"/>
        <v>570.90949227373062</v>
      </c>
      <c r="P545" s="24">
        <v>4.1500000000000004</v>
      </c>
      <c r="Q545" s="61" t="s">
        <v>43</v>
      </c>
      <c r="R545" s="62" t="s">
        <v>33</v>
      </c>
      <c r="S545" s="62" t="s">
        <v>253</v>
      </c>
      <c r="T545" s="26"/>
      <c r="U545" s="27"/>
      <c r="V545" s="28">
        <f t="shared" si="17"/>
        <v>109</v>
      </c>
    </row>
    <row r="546" spans="1:23" s="29" customFormat="1" ht="21" customHeight="1">
      <c r="A546" s="34"/>
      <c r="B546" s="31"/>
      <c r="C546" s="32"/>
      <c r="D546" s="56" t="s">
        <v>258</v>
      </c>
      <c r="E546" s="57" t="s">
        <v>242</v>
      </c>
      <c r="F546" s="58">
        <v>9.8390000000000004</v>
      </c>
      <c r="G546" s="57">
        <v>1567</v>
      </c>
      <c r="H546" s="58">
        <v>265</v>
      </c>
      <c r="I546" s="57" t="s">
        <v>243</v>
      </c>
      <c r="J546" s="58">
        <v>8688</v>
      </c>
      <c r="K546" s="59">
        <v>19887</v>
      </c>
      <c r="L546" s="59">
        <v>11089</v>
      </c>
      <c r="M546" s="59" t="s">
        <v>31</v>
      </c>
      <c r="N546" s="60">
        <v>4.4800000000000004</v>
      </c>
      <c r="O546" s="23">
        <f t="shared" si="16"/>
        <v>577.28124999999989</v>
      </c>
      <c r="P546" s="24">
        <v>4.1500000000000004</v>
      </c>
      <c r="Q546" s="61" t="s">
        <v>43</v>
      </c>
      <c r="R546" s="62" t="s">
        <v>33</v>
      </c>
      <c r="S546" s="62" t="s">
        <v>236</v>
      </c>
      <c r="T546" s="26"/>
      <c r="U546" s="27"/>
      <c r="V546" s="28">
        <f t="shared" si="17"/>
        <v>107</v>
      </c>
    </row>
    <row r="547" spans="1:23" s="29" customFormat="1" ht="21" customHeight="1">
      <c r="A547" s="34"/>
      <c r="B547" s="31"/>
      <c r="C547" s="32"/>
      <c r="D547" s="56" t="s">
        <v>258</v>
      </c>
      <c r="E547" s="57" t="s">
        <v>242</v>
      </c>
      <c r="F547" s="58">
        <v>9.8390000000000004</v>
      </c>
      <c r="G547" s="57">
        <v>1567</v>
      </c>
      <c r="H547" s="58">
        <v>265</v>
      </c>
      <c r="I547" s="57" t="s">
        <v>243</v>
      </c>
      <c r="J547" s="58">
        <v>8688</v>
      </c>
      <c r="K547" s="59">
        <v>19887</v>
      </c>
      <c r="L547" s="59">
        <v>11089</v>
      </c>
      <c r="M547" s="21" t="s">
        <v>31</v>
      </c>
      <c r="N547" s="60">
        <v>4.4800000000000004</v>
      </c>
      <c r="O547" s="23">
        <f t="shared" si="16"/>
        <v>577.28124999999989</v>
      </c>
      <c r="P547" s="24">
        <v>4.1500000000000004</v>
      </c>
      <c r="Q547" s="61" t="s">
        <v>43</v>
      </c>
      <c r="R547" s="62" t="s">
        <v>33</v>
      </c>
      <c r="S547" s="62" t="s">
        <v>253</v>
      </c>
      <c r="T547" s="26"/>
      <c r="U547" s="27"/>
      <c r="V547" s="28">
        <f t="shared" si="17"/>
        <v>107</v>
      </c>
    </row>
    <row r="548" spans="1:23" s="29" customFormat="1" ht="21" customHeight="1">
      <c r="A548" s="34"/>
      <c r="B548" s="31"/>
      <c r="C548" s="32"/>
      <c r="D548" s="56" t="s">
        <v>258</v>
      </c>
      <c r="E548" s="57" t="s">
        <v>242</v>
      </c>
      <c r="F548" s="58">
        <v>9.8390000000000004</v>
      </c>
      <c r="G548" s="57">
        <v>1814</v>
      </c>
      <c r="H548" s="58">
        <v>279</v>
      </c>
      <c r="I548" s="57" t="s">
        <v>243</v>
      </c>
      <c r="J548" s="58">
        <v>8688</v>
      </c>
      <c r="K548" s="59">
        <v>19887</v>
      </c>
      <c r="L548" s="59">
        <v>11089</v>
      </c>
      <c r="M548" s="59" t="s">
        <v>31</v>
      </c>
      <c r="N548" s="60">
        <v>4.4400000000000004</v>
      </c>
      <c r="O548" s="23">
        <f t="shared" si="16"/>
        <v>582.4819819819819</v>
      </c>
      <c r="P548" s="24">
        <v>4.1500000000000004</v>
      </c>
      <c r="Q548" s="61" t="s">
        <v>63</v>
      </c>
      <c r="R548" s="62" t="s">
        <v>33</v>
      </c>
      <c r="S548" s="62" t="s">
        <v>236</v>
      </c>
      <c r="T548" s="26"/>
      <c r="U548" s="27"/>
      <c r="V548" s="28">
        <f t="shared" si="17"/>
        <v>106</v>
      </c>
    </row>
    <row r="549" spans="1:23" s="29" customFormat="1" ht="21" customHeight="1">
      <c r="A549" s="34"/>
      <c r="B549" s="31"/>
      <c r="C549" s="32"/>
      <c r="D549" s="56" t="s">
        <v>258</v>
      </c>
      <c r="E549" s="57" t="s">
        <v>242</v>
      </c>
      <c r="F549" s="58">
        <v>9.8390000000000004</v>
      </c>
      <c r="G549" s="57">
        <v>1814</v>
      </c>
      <c r="H549" s="58">
        <v>279</v>
      </c>
      <c r="I549" s="57" t="s">
        <v>243</v>
      </c>
      <c r="J549" s="58">
        <v>8688</v>
      </c>
      <c r="K549" s="59">
        <v>19887</v>
      </c>
      <c r="L549" s="59">
        <v>11089</v>
      </c>
      <c r="M549" s="59" t="s">
        <v>31</v>
      </c>
      <c r="N549" s="60">
        <v>4.4400000000000004</v>
      </c>
      <c r="O549" s="23">
        <f t="shared" si="16"/>
        <v>582.4819819819819</v>
      </c>
      <c r="P549" s="24">
        <v>4.1500000000000004</v>
      </c>
      <c r="Q549" s="61" t="s">
        <v>63</v>
      </c>
      <c r="R549" s="62" t="s">
        <v>33</v>
      </c>
      <c r="S549" s="62" t="s">
        <v>253</v>
      </c>
      <c r="T549" s="26"/>
      <c r="U549" s="27"/>
      <c r="V549" s="28">
        <f t="shared" si="17"/>
        <v>106</v>
      </c>
    </row>
    <row r="550" spans="1:23" s="29" customFormat="1" ht="21" customHeight="1">
      <c r="A550" s="34"/>
      <c r="B550" s="31"/>
      <c r="C550" s="32"/>
      <c r="D550" s="56" t="s">
        <v>258</v>
      </c>
      <c r="E550" s="57" t="s">
        <v>242</v>
      </c>
      <c r="F550" s="58">
        <v>9.8390000000000004</v>
      </c>
      <c r="G550" s="57">
        <v>1814</v>
      </c>
      <c r="H550" s="58">
        <v>279</v>
      </c>
      <c r="I550" s="57" t="s">
        <v>246</v>
      </c>
      <c r="J550" s="58">
        <v>8688</v>
      </c>
      <c r="K550" s="59">
        <v>19887</v>
      </c>
      <c r="L550" s="59">
        <v>11089</v>
      </c>
      <c r="M550" s="21" t="s">
        <v>31</v>
      </c>
      <c r="N550" s="60">
        <v>4.42</v>
      </c>
      <c r="O550" s="23">
        <f t="shared" si="16"/>
        <v>585.11764705882342</v>
      </c>
      <c r="P550" s="24">
        <v>4.1500000000000004</v>
      </c>
      <c r="Q550" s="61" t="s">
        <v>63</v>
      </c>
      <c r="R550" s="62" t="s">
        <v>33</v>
      </c>
      <c r="S550" s="62" t="s">
        <v>236</v>
      </c>
      <c r="T550" s="26"/>
      <c r="U550" s="27"/>
      <c r="V550" s="28">
        <f t="shared" si="17"/>
        <v>106</v>
      </c>
    </row>
    <row r="551" spans="1:23" s="29" customFormat="1" ht="21" customHeight="1">
      <c r="A551" s="34"/>
      <c r="B551" s="31"/>
      <c r="C551" s="32"/>
      <c r="D551" s="56" t="s">
        <v>258</v>
      </c>
      <c r="E551" s="57" t="s">
        <v>242</v>
      </c>
      <c r="F551" s="58">
        <v>9.8390000000000004</v>
      </c>
      <c r="G551" s="57">
        <v>1814</v>
      </c>
      <c r="H551" s="58">
        <v>279</v>
      </c>
      <c r="I551" s="57" t="s">
        <v>246</v>
      </c>
      <c r="J551" s="58">
        <v>8688</v>
      </c>
      <c r="K551" s="59">
        <v>19887</v>
      </c>
      <c r="L551" s="59">
        <v>11089</v>
      </c>
      <c r="M551" s="21" t="s">
        <v>31</v>
      </c>
      <c r="N551" s="60">
        <v>4.42</v>
      </c>
      <c r="O551" s="23">
        <f t="shared" si="16"/>
        <v>585.11764705882342</v>
      </c>
      <c r="P551" s="24">
        <v>4.1500000000000004</v>
      </c>
      <c r="Q551" s="61" t="s">
        <v>63</v>
      </c>
      <c r="R551" s="62" t="s">
        <v>33</v>
      </c>
      <c r="S551" s="62" t="s">
        <v>253</v>
      </c>
      <c r="T551" s="26"/>
      <c r="U551" s="27"/>
      <c r="V551" s="28">
        <f t="shared" si="17"/>
        <v>106</v>
      </c>
    </row>
    <row r="552" spans="1:23" s="29" customFormat="1" ht="21" customHeight="1">
      <c r="A552" s="34"/>
      <c r="B552" s="31"/>
      <c r="C552" s="32"/>
      <c r="D552" s="56" t="s">
        <v>258</v>
      </c>
      <c r="E552" s="57" t="s">
        <v>242</v>
      </c>
      <c r="F552" s="58">
        <v>9.8390000000000004</v>
      </c>
      <c r="G552" s="57">
        <v>1567</v>
      </c>
      <c r="H552" s="58">
        <v>265</v>
      </c>
      <c r="I552" s="57" t="s">
        <v>42</v>
      </c>
      <c r="J552" s="58">
        <v>8688</v>
      </c>
      <c r="K552" s="59">
        <v>19887</v>
      </c>
      <c r="L552" s="59">
        <v>11089</v>
      </c>
      <c r="M552" s="21" t="s">
        <v>31</v>
      </c>
      <c r="N552" s="60">
        <v>4.4000000000000004</v>
      </c>
      <c r="O552" s="23">
        <f t="shared" si="16"/>
        <v>587.7772727272727</v>
      </c>
      <c r="P552" s="24">
        <v>4.1500000000000004</v>
      </c>
      <c r="Q552" s="61" t="s">
        <v>63</v>
      </c>
      <c r="R552" s="62" t="s">
        <v>33</v>
      </c>
      <c r="S552" s="62" t="s">
        <v>236</v>
      </c>
      <c r="T552" s="26"/>
      <c r="U552" s="27"/>
      <c r="V552" s="28">
        <f t="shared" si="17"/>
        <v>106</v>
      </c>
    </row>
    <row r="553" spans="1:23" s="29" customFormat="1" ht="21" customHeight="1">
      <c r="A553" s="34"/>
      <c r="B553" s="31"/>
      <c r="C553" s="32"/>
      <c r="D553" s="56" t="s">
        <v>258</v>
      </c>
      <c r="E553" s="57" t="s">
        <v>242</v>
      </c>
      <c r="F553" s="58">
        <v>9.8390000000000004</v>
      </c>
      <c r="G553" s="57">
        <v>1567</v>
      </c>
      <c r="H553" s="58">
        <v>265</v>
      </c>
      <c r="I553" s="57" t="s">
        <v>42</v>
      </c>
      <c r="J553" s="58">
        <v>8688</v>
      </c>
      <c r="K553" s="59">
        <v>19887</v>
      </c>
      <c r="L553" s="59">
        <v>11089</v>
      </c>
      <c r="M553" s="21" t="s">
        <v>31</v>
      </c>
      <c r="N553" s="60">
        <v>4.4000000000000004</v>
      </c>
      <c r="O553" s="23">
        <f t="shared" si="16"/>
        <v>587.7772727272727</v>
      </c>
      <c r="P553" s="24">
        <v>4.1500000000000004</v>
      </c>
      <c r="Q553" s="61" t="s">
        <v>63</v>
      </c>
      <c r="R553" s="62" t="s">
        <v>33</v>
      </c>
      <c r="S553" s="62" t="s">
        <v>253</v>
      </c>
      <c r="T553" s="26"/>
      <c r="U553" s="27"/>
      <c r="V553" s="28">
        <f t="shared" si="17"/>
        <v>106</v>
      </c>
    </row>
    <row r="554" spans="1:23" s="29" customFormat="1" ht="21" customHeight="1">
      <c r="A554" s="34"/>
      <c r="B554" s="31"/>
      <c r="C554" s="32"/>
      <c r="D554" s="56" t="s">
        <v>258</v>
      </c>
      <c r="E554" s="57" t="s">
        <v>242</v>
      </c>
      <c r="F554" s="58">
        <v>9.8390000000000004</v>
      </c>
      <c r="G554" s="57">
        <v>1567</v>
      </c>
      <c r="H554" s="58">
        <v>265</v>
      </c>
      <c r="I554" s="57" t="s">
        <v>235</v>
      </c>
      <c r="J554" s="58">
        <v>8688</v>
      </c>
      <c r="K554" s="59">
        <v>19887</v>
      </c>
      <c r="L554" s="59">
        <v>11089</v>
      </c>
      <c r="M554" s="21" t="s">
        <v>31</v>
      </c>
      <c r="N554" s="60">
        <v>4.4000000000000004</v>
      </c>
      <c r="O554" s="23">
        <f t="shared" si="16"/>
        <v>587.7772727272727</v>
      </c>
      <c r="P554" s="24">
        <v>4.1500000000000004</v>
      </c>
      <c r="Q554" s="61" t="s">
        <v>63</v>
      </c>
      <c r="R554" s="62" t="s">
        <v>33</v>
      </c>
      <c r="S554" s="62" t="s">
        <v>236</v>
      </c>
      <c r="T554" s="26"/>
      <c r="U554" s="27"/>
      <c r="V554" s="28">
        <f t="shared" si="17"/>
        <v>106</v>
      </c>
    </row>
    <row r="555" spans="1:23" s="29" customFormat="1" ht="21" customHeight="1">
      <c r="A555" s="34"/>
      <c r="B555" s="31"/>
      <c r="C555" s="32"/>
      <c r="D555" s="56" t="s">
        <v>258</v>
      </c>
      <c r="E555" s="57" t="s">
        <v>242</v>
      </c>
      <c r="F555" s="58">
        <v>9.8390000000000004</v>
      </c>
      <c r="G555" s="57">
        <v>1567</v>
      </c>
      <c r="H555" s="58">
        <v>265</v>
      </c>
      <c r="I555" s="57" t="s">
        <v>235</v>
      </c>
      <c r="J555" s="58">
        <v>8688</v>
      </c>
      <c r="K555" s="59">
        <v>19887</v>
      </c>
      <c r="L555" s="59">
        <v>11089</v>
      </c>
      <c r="M555" s="21" t="s">
        <v>31</v>
      </c>
      <c r="N555" s="60">
        <v>4.4000000000000004</v>
      </c>
      <c r="O555" s="23">
        <f t="shared" si="16"/>
        <v>587.7772727272727</v>
      </c>
      <c r="P555" s="24">
        <v>4.1500000000000004</v>
      </c>
      <c r="Q555" s="61" t="s">
        <v>63</v>
      </c>
      <c r="R555" s="62" t="s">
        <v>33</v>
      </c>
      <c r="S555" s="62" t="s">
        <v>253</v>
      </c>
      <c r="T555" s="26"/>
      <c r="U555" s="27"/>
      <c r="V555" s="28">
        <f t="shared" si="17"/>
        <v>106</v>
      </c>
    </row>
    <row r="556" spans="1:23" s="29" customFormat="1" ht="21" customHeight="1">
      <c r="A556" s="34"/>
      <c r="B556" s="31"/>
      <c r="C556" s="32"/>
      <c r="D556" s="56" t="s">
        <v>258</v>
      </c>
      <c r="E556" s="57" t="s">
        <v>242</v>
      </c>
      <c r="F556" s="58">
        <v>9.8390000000000004</v>
      </c>
      <c r="G556" s="57">
        <v>1567</v>
      </c>
      <c r="H556" s="58">
        <v>265</v>
      </c>
      <c r="I556" s="57" t="s">
        <v>243</v>
      </c>
      <c r="J556" s="58">
        <v>8688</v>
      </c>
      <c r="K556" s="59">
        <v>19887</v>
      </c>
      <c r="L556" s="59">
        <v>11089</v>
      </c>
      <c r="M556" s="59" t="s">
        <v>31</v>
      </c>
      <c r="N556" s="60">
        <v>4.3600000000000003</v>
      </c>
      <c r="O556" s="23">
        <f t="shared" si="16"/>
        <v>593.16972477064223</v>
      </c>
      <c r="P556" s="24">
        <v>4.1500000000000004</v>
      </c>
      <c r="Q556" s="61" t="s">
        <v>63</v>
      </c>
      <c r="R556" s="62" t="s">
        <v>33</v>
      </c>
      <c r="S556" s="62" t="s">
        <v>236</v>
      </c>
      <c r="T556" s="26"/>
      <c r="U556" s="27"/>
      <c r="V556" s="28">
        <f t="shared" si="17"/>
        <v>105</v>
      </c>
    </row>
    <row r="557" spans="1:23" s="29" customFormat="1" ht="21" customHeight="1">
      <c r="A557" s="34"/>
      <c r="B557" s="31"/>
      <c r="C557" s="32"/>
      <c r="D557" s="56" t="s">
        <v>258</v>
      </c>
      <c r="E557" s="57" t="s">
        <v>242</v>
      </c>
      <c r="F557" s="58">
        <v>9.8390000000000004</v>
      </c>
      <c r="G557" s="57">
        <v>1567</v>
      </c>
      <c r="H557" s="58">
        <v>265</v>
      </c>
      <c r="I557" s="57" t="s">
        <v>243</v>
      </c>
      <c r="J557" s="58">
        <v>8688</v>
      </c>
      <c r="K557" s="59">
        <v>19887</v>
      </c>
      <c r="L557" s="59">
        <v>11089</v>
      </c>
      <c r="M557" s="59" t="s">
        <v>31</v>
      </c>
      <c r="N557" s="60">
        <v>4.3600000000000003</v>
      </c>
      <c r="O557" s="23">
        <f t="shared" si="16"/>
        <v>593.16972477064223</v>
      </c>
      <c r="P557" s="24">
        <v>4.1500000000000004</v>
      </c>
      <c r="Q557" s="61" t="s">
        <v>63</v>
      </c>
      <c r="R557" s="62" t="s">
        <v>33</v>
      </c>
      <c r="S557" s="62" t="s">
        <v>253</v>
      </c>
      <c r="T557" s="26"/>
      <c r="U557" s="27"/>
      <c r="V557" s="28">
        <f t="shared" si="17"/>
        <v>105</v>
      </c>
    </row>
    <row r="558" spans="1:23" s="29" customFormat="1" ht="21" customHeight="1">
      <c r="A558" s="30"/>
      <c r="B558" s="31"/>
      <c r="C558" s="32"/>
      <c r="D558" s="18" t="s">
        <v>259</v>
      </c>
      <c r="E558" s="19" t="s">
        <v>260</v>
      </c>
      <c r="F558" s="20">
        <v>9.8390000000000004</v>
      </c>
      <c r="G558" s="19">
        <v>1814</v>
      </c>
      <c r="H558" s="20">
        <v>279</v>
      </c>
      <c r="I558" s="19" t="s">
        <v>261</v>
      </c>
      <c r="J558" s="20">
        <v>8688</v>
      </c>
      <c r="K558" s="21">
        <v>19887</v>
      </c>
      <c r="L558" s="21">
        <v>11089</v>
      </c>
      <c r="M558" s="21" t="s">
        <v>31</v>
      </c>
      <c r="N558" s="45">
        <v>4.45</v>
      </c>
      <c r="O558" s="23">
        <f t="shared" si="16"/>
        <v>581.1730337078651</v>
      </c>
      <c r="P558" s="46">
        <v>4.1500000000000004</v>
      </c>
      <c r="Q558" s="25" t="s">
        <v>62</v>
      </c>
      <c r="R558" s="26" t="s">
        <v>189</v>
      </c>
      <c r="S558" s="26" t="s">
        <v>262</v>
      </c>
      <c r="T558" s="26"/>
      <c r="U558" s="49"/>
      <c r="V558" s="28">
        <f t="shared" si="17"/>
        <v>107</v>
      </c>
      <c r="W558" s="40"/>
    </row>
    <row r="559" spans="1:23" s="29" customFormat="1" ht="21" customHeight="1">
      <c r="A559" s="30"/>
      <c r="B559" s="31"/>
      <c r="C559" s="32"/>
      <c r="D559" s="18" t="s">
        <v>263</v>
      </c>
      <c r="E559" s="19" t="s">
        <v>260</v>
      </c>
      <c r="F559" s="20">
        <v>9.8390000000000004</v>
      </c>
      <c r="G559" s="19">
        <v>1814</v>
      </c>
      <c r="H559" s="20">
        <v>279</v>
      </c>
      <c r="I559" s="19" t="s">
        <v>261</v>
      </c>
      <c r="J559" s="20">
        <v>8688</v>
      </c>
      <c r="K559" s="21">
        <v>19887</v>
      </c>
      <c r="L559" s="21">
        <v>11089</v>
      </c>
      <c r="M559" s="21" t="s">
        <v>31</v>
      </c>
      <c r="N559" s="45">
        <v>4.45</v>
      </c>
      <c r="O559" s="23">
        <f t="shared" si="16"/>
        <v>581.1730337078651</v>
      </c>
      <c r="P559" s="46">
        <v>4.1500000000000004</v>
      </c>
      <c r="Q559" s="25" t="s">
        <v>62</v>
      </c>
      <c r="R559" s="26" t="s">
        <v>189</v>
      </c>
      <c r="S559" s="26" t="s">
        <v>264</v>
      </c>
      <c r="T559" s="26"/>
      <c r="U559" s="49"/>
      <c r="V559" s="28">
        <f t="shared" si="17"/>
        <v>107</v>
      </c>
      <c r="W559" s="40"/>
    </row>
    <row r="560" spans="1:23" s="29" customFormat="1" ht="21" customHeight="1">
      <c r="A560" s="34"/>
      <c r="B560" s="31"/>
      <c r="C560" s="32"/>
      <c r="D560" s="18" t="s">
        <v>265</v>
      </c>
      <c r="E560" s="19" t="s">
        <v>242</v>
      </c>
      <c r="F560" s="20">
        <v>9.8390000000000004</v>
      </c>
      <c r="G560" s="19">
        <v>1814</v>
      </c>
      <c r="H560" s="20">
        <v>279</v>
      </c>
      <c r="I560" s="19" t="s">
        <v>243</v>
      </c>
      <c r="J560" s="20">
        <v>8688</v>
      </c>
      <c r="K560" s="21">
        <v>19887</v>
      </c>
      <c r="L560" s="21">
        <v>11089</v>
      </c>
      <c r="M560" s="21" t="s">
        <v>31</v>
      </c>
      <c r="N560" s="22">
        <v>4.45</v>
      </c>
      <c r="O560" s="23">
        <f t="shared" si="16"/>
        <v>581.1730337078651</v>
      </c>
      <c r="P560" s="24">
        <v>4.1500000000000004</v>
      </c>
      <c r="Q560" s="25" t="s">
        <v>62</v>
      </c>
      <c r="R560" s="26" t="s">
        <v>33</v>
      </c>
      <c r="S560" s="26" t="s">
        <v>266</v>
      </c>
      <c r="T560" s="26"/>
      <c r="U560" s="27"/>
      <c r="V560" s="28">
        <f t="shared" si="17"/>
        <v>107</v>
      </c>
      <c r="W560" s="40"/>
    </row>
    <row r="561" spans="1:23" s="29" customFormat="1" ht="21" customHeight="1">
      <c r="A561" s="30"/>
      <c r="B561" s="31"/>
      <c r="C561" s="32"/>
      <c r="D561" s="18" t="s">
        <v>263</v>
      </c>
      <c r="E561" s="19" t="s">
        <v>260</v>
      </c>
      <c r="F561" s="20">
        <v>9.8390000000000004</v>
      </c>
      <c r="G561" s="19">
        <v>1814</v>
      </c>
      <c r="H561" s="20">
        <v>279</v>
      </c>
      <c r="I561" s="19" t="s">
        <v>246</v>
      </c>
      <c r="J561" s="20">
        <v>8688</v>
      </c>
      <c r="K561" s="21">
        <v>19887</v>
      </c>
      <c r="L561" s="21">
        <v>11089</v>
      </c>
      <c r="M561" s="21" t="s">
        <v>31</v>
      </c>
      <c r="N561" s="45">
        <v>4.4000000000000004</v>
      </c>
      <c r="O561" s="23">
        <f t="shared" si="16"/>
        <v>587.7772727272727</v>
      </c>
      <c r="P561" s="46">
        <v>4.1500000000000004</v>
      </c>
      <c r="Q561" s="25" t="s">
        <v>62</v>
      </c>
      <c r="R561" s="26" t="s">
        <v>189</v>
      </c>
      <c r="S561" s="26" t="s">
        <v>264</v>
      </c>
      <c r="T561" s="26"/>
      <c r="U561" s="49"/>
      <c r="V561" s="28">
        <f t="shared" si="17"/>
        <v>106</v>
      </c>
      <c r="W561" s="40"/>
    </row>
    <row r="562" spans="1:23" s="29" customFormat="1" ht="21" customHeight="1">
      <c r="A562" s="34"/>
      <c r="B562" s="31"/>
      <c r="C562" s="32"/>
      <c r="D562" s="18" t="s">
        <v>265</v>
      </c>
      <c r="E562" s="19" t="s">
        <v>242</v>
      </c>
      <c r="F562" s="20">
        <v>9.8390000000000004</v>
      </c>
      <c r="G562" s="19">
        <v>1814</v>
      </c>
      <c r="H562" s="20">
        <v>279</v>
      </c>
      <c r="I562" s="19" t="s">
        <v>246</v>
      </c>
      <c r="J562" s="20">
        <v>8688</v>
      </c>
      <c r="K562" s="21">
        <v>19887</v>
      </c>
      <c r="L562" s="21">
        <v>11089</v>
      </c>
      <c r="M562" s="21" t="s">
        <v>31</v>
      </c>
      <c r="N562" s="22">
        <v>4.4000000000000004</v>
      </c>
      <c r="O562" s="23">
        <f t="shared" si="16"/>
        <v>587.7772727272727</v>
      </c>
      <c r="P562" s="24">
        <v>4.1500000000000004</v>
      </c>
      <c r="Q562" s="25" t="s">
        <v>62</v>
      </c>
      <c r="R562" s="26" t="s">
        <v>33</v>
      </c>
      <c r="S562" s="26" t="s">
        <v>266</v>
      </c>
      <c r="T562" s="26"/>
      <c r="U562" s="27"/>
      <c r="V562" s="28">
        <f t="shared" si="17"/>
        <v>106</v>
      </c>
      <c r="W562" s="40"/>
    </row>
    <row r="563" spans="1:23" s="29" customFormat="1" ht="21" customHeight="1">
      <c r="A563" s="30"/>
      <c r="B563" s="31"/>
      <c r="C563" s="32"/>
      <c r="D563" s="18" t="s">
        <v>267</v>
      </c>
      <c r="E563" s="19" t="s">
        <v>260</v>
      </c>
      <c r="F563" s="20">
        <v>9.8390000000000004</v>
      </c>
      <c r="G563" s="19">
        <v>1814</v>
      </c>
      <c r="H563" s="20">
        <v>279</v>
      </c>
      <c r="I563" s="19" t="s">
        <v>261</v>
      </c>
      <c r="J563" s="20">
        <v>8688</v>
      </c>
      <c r="K563" s="21">
        <v>19887</v>
      </c>
      <c r="L563" s="21">
        <v>11089</v>
      </c>
      <c r="M563" s="21" t="s">
        <v>31</v>
      </c>
      <c r="N563" s="45">
        <v>4.45</v>
      </c>
      <c r="O563" s="23">
        <f t="shared" si="16"/>
        <v>581.1730337078651</v>
      </c>
      <c r="P563" s="46">
        <v>4.1500000000000004</v>
      </c>
      <c r="Q563" s="25" t="s">
        <v>62</v>
      </c>
      <c r="R563" s="26" t="s">
        <v>189</v>
      </c>
      <c r="S563" s="26" t="s">
        <v>264</v>
      </c>
      <c r="T563" s="26"/>
      <c r="U563" s="49"/>
      <c r="V563" s="28">
        <f t="shared" si="17"/>
        <v>107</v>
      </c>
      <c r="W563" s="40"/>
    </row>
    <row r="564" spans="1:23" s="29" customFormat="1" ht="21" customHeight="1">
      <c r="A564" s="34"/>
      <c r="B564" s="31"/>
      <c r="C564" s="32"/>
      <c r="D564" s="18" t="s">
        <v>268</v>
      </c>
      <c r="E564" s="19" t="s">
        <v>242</v>
      </c>
      <c r="F564" s="20">
        <v>9.8390000000000004</v>
      </c>
      <c r="G564" s="19">
        <v>1814</v>
      </c>
      <c r="H564" s="20">
        <v>279</v>
      </c>
      <c r="I564" s="19" t="s">
        <v>243</v>
      </c>
      <c r="J564" s="20">
        <v>8688</v>
      </c>
      <c r="K564" s="21">
        <v>19887</v>
      </c>
      <c r="L564" s="21">
        <v>11089</v>
      </c>
      <c r="M564" s="21" t="s">
        <v>31</v>
      </c>
      <c r="N564" s="22">
        <v>4.45</v>
      </c>
      <c r="O564" s="23">
        <f t="shared" si="16"/>
        <v>581.1730337078651</v>
      </c>
      <c r="P564" s="24">
        <v>4.1500000000000004</v>
      </c>
      <c r="Q564" s="25" t="s">
        <v>62</v>
      </c>
      <c r="R564" s="26" t="s">
        <v>33</v>
      </c>
      <c r="S564" s="26" t="s">
        <v>266</v>
      </c>
      <c r="T564" s="26"/>
      <c r="U564" s="27"/>
      <c r="V564" s="28">
        <f t="shared" si="17"/>
        <v>107</v>
      </c>
      <c r="W564" s="40"/>
    </row>
    <row r="565" spans="1:23" s="29" customFormat="1" ht="21" customHeight="1">
      <c r="A565" s="30"/>
      <c r="B565" s="31"/>
      <c r="C565" s="32"/>
      <c r="D565" s="18" t="s">
        <v>267</v>
      </c>
      <c r="E565" s="19" t="s">
        <v>260</v>
      </c>
      <c r="F565" s="20">
        <v>9.8390000000000004</v>
      </c>
      <c r="G565" s="19">
        <v>1814</v>
      </c>
      <c r="H565" s="20">
        <v>279</v>
      </c>
      <c r="I565" s="19" t="s">
        <v>246</v>
      </c>
      <c r="J565" s="20">
        <v>8688</v>
      </c>
      <c r="K565" s="21">
        <v>19887</v>
      </c>
      <c r="L565" s="21">
        <v>11089</v>
      </c>
      <c r="M565" s="21" t="s">
        <v>31</v>
      </c>
      <c r="N565" s="45">
        <v>4.4000000000000004</v>
      </c>
      <c r="O565" s="23">
        <f t="shared" si="16"/>
        <v>587.7772727272727</v>
      </c>
      <c r="P565" s="46">
        <v>4.1500000000000004</v>
      </c>
      <c r="Q565" s="25" t="s">
        <v>62</v>
      </c>
      <c r="R565" s="26" t="s">
        <v>189</v>
      </c>
      <c r="S565" s="26" t="s">
        <v>264</v>
      </c>
      <c r="T565" s="26"/>
      <c r="U565" s="49"/>
      <c r="V565" s="28">
        <f t="shared" si="17"/>
        <v>106</v>
      </c>
      <c r="W565" s="40"/>
    </row>
    <row r="566" spans="1:23" s="29" customFormat="1" ht="21" customHeight="1">
      <c r="A566" s="34"/>
      <c r="B566" s="31"/>
      <c r="C566" s="32"/>
      <c r="D566" s="18" t="s">
        <v>268</v>
      </c>
      <c r="E566" s="19" t="s">
        <v>242</v>
      </c>
      <c r="F566" s="20">
        <v>9.8390000000000004</v>
      </c>
      <c r="G566" s="19">
        <v>1814</v>
      </c>
      <c r="H566" s="20">
        <v>279</v>
      </c>
      <c r="I566" s="19" t="s">
        <v>246</v>
      </c>
      <c r="J566" s="20">
        <v>8688</v>
      </c>
      <c r="K566" s="21">
        <v>19887</v>
      </c>
      <c r="L566" s="21">
        <v>11089</v>
      </c>
      <c r="M566" s="21" t="s">
        <v>31</v>
      </c>
      <c r="N566" s="22">
        <v>4.4000000000000004</v>
      </c>
      <c r="O566" s="23">
        <f t="shared" si="16"/>
        <v>587.7772727272727</v>
      </c>
      <c r="P566" s="24">
        <v>4.1500000000000004</v>
      </c>
      <c r="Q566" s="25" t="s">
        <v>62</v>
      </c>
      <c r="R566" s="26" t="s">
        <v>33</v>
      </c>
      <c r="S566" s="26" t="s">
        <v>266</v>
      </c>
      <c r="T566" s="26"/>
      <c r="U566" s="27"/>
      <c r="V566" s="28">
        <f t="shared" si="17"/>
        <v>106</v>
      </c>
      <c r="W566" s="40"/>
    </row>
    <row r="567" spans="1:23" s="29" customFormat="1" ht="21" customHeight="1">
      <c r="A567" s="30"/>
      <c r="B567" s="31"/>
      <c r="C567" s="32"/>
      <c r="D567" s="18" t="s">
        <v>269</v>
      </c>
      <c r="E567" s="19" t="s">
        <v>260</v>
      </c>
      <c r="F567" s="20">
        <v>9.8390000000000004</v>
      </c>
      <c r="G567" s="19">
        <v>1814</v>
      </c>
      <c r="H567" s="20">
        <v>279</v>
      </c>
      <c r="I567" s="19" t="s">
        <v>261</v>
      </c>
      <c r="J567" s="20">
        <v>8688</v>
      </c>
      <c r="K567" s="21">
        <v>19887</v>
      </c>
      <c r="L567" s="21">
        <v>11089</v>
      </c>
      <c r="M567" s="21" t="s">
        <v>31</v>
      </c>
      <c r="N567" s="45">
        <v>4.45</v>
      </c>
      <c r="O567" s="23">
        <f t="shared" si="16"/>
        <v>581.1730337078651</v>
      </c>
      <c r="P567" s="46">
        <v>4.1500000000000004</v>
      </c>
      <c r="Q567" s="25" t="s">
        <v>62</v>
      </c>
      <c r="R567" s="26" t="s">
        <v>189</v>
      </c>
      <c r="S567" s="26" t="s">
        <v>270</v>
      </c>
      <c r="T567" s="26"/>
      <c r="U567" s="49"/>
      <c r="V567" s="28">
        <f t="shared" si="17"/>
        <v>107</v>
      </c>
      <c r="W567" s="40"/>
    </row>
    <row r="568" spans="1:23" s="29" customFormat="1" ht="21" customHeight="1">
      <c r="A568" s="34"/>
      <c r="B568" s="31"/>
      <c r="C568" s="32"/>
      <c r="D568" s="18" t="s">
        <v>271</v>
      </c>
      <c r="E568" s="19" t="s">
        <v>242</v>
      </c>
      <c r="F568" s="20">
        <v>9.8390000000000004</v>
      </c>
      <c r="G568" s="19">
        <v>1814</v>
      </c>
      <c r="H568" s="20">
        <v>279</v>
      </c>
      <c r="I568" s="19" t="s">
        <v>243</v>
      </c>
      <c r="J568" s="20">
        <v>8688</v>
      </c>
      <c r="K568" s="21">
        <v>19887</v>
      </c>
      <c r="L568" s="21">
        <v>11089</v>
      </c>
      <c r="M568" s="21" t="s">
        <v>31</v>
      </c>
      <c r="N568" s="22">
        <v>4.45</v>
      </c>
      <c r="O568" s="23">
        <f t="shared" si="16"/>
        <v>581.1730337078651</v>
      </c>
      <c r="P568" s="24">
        <v>4.1500000000000004</v>
      </c>
      <c r="Q568" s="25" t="s">
        <v>62</v>
      </c>
      <c r="R568" s="26" t="s">
        <v>33</v>
      </c>
      <c r="S568" s="26" t="s">
        <v>272</v>
      </c>
      <c r="T568" s="26"/>
      <c r="U568" s="27"/>
      <c r="V568" s="28">
        <f t="shared" si="17"/>
        <v>107</v>
      </c>
      <c r="W568" s="40"/>
    </row>
    <row r="569" spans="1:23" s="29" customFormat="1" ht="21" customHeight="1">
      <c r="A569" s="30"/>
      <c r="B569" s="31"/>
      <c r="C569" s="32"/>
      <c r="D569" s="18" t="s">
        <v>269</v>
      </c>
      <c r="E569" s="19" t="s">
        <v>260</v>
      </c>
      <c r="F569" s="20">
        <v>9.8390000000000004</v>
      </c>
      <c r="G569" s="19">
        <v>1814</v>
      </c>
      <c r="H569" s="20">
        <v>279</v>
      </c>
      <c r="I569" s="19" t="s">
        <v>246</v>
      </c>
      <c r="J569" s="20">
        <v>8688</v>
      </c>
      <c r="K569" s="21">
        <v>19887</v>
      </c>
      <c r="L569" s="21">
        <v>11089</v>
      </c>
      <c r="M569" s="21" t="s">
        <v>31</v>
      </c>
      <c r="N569" s="45">
        <v>4.4000000000000004</v>
      </c>
      <c r="O569" s="23">
        <f t="shared" si="16"/>
        <v>587.7772727272727</v>
      </c>
      <c r="P569" s="46">
        <v>4.1500000000000004</v>
      </c>
      <c r="Q569" s="25" t="s">
        <v>62</v>
      </c>
      <c r="R569" s="26" t="s">
        <v>189</v>
      </c>
      <c r="S569" s="26" t="s">
        <v>270</v>
      </c>
      <c r="T569" s="26"/>
      <c r="U569" s="49"/>
      <c r="V569" s="28">
        <f t="shared" si="17"/>
        <v>106</v>
      </c>
      <c r="W569" s="40"/>
    </row>
    <row r="570" spans="1:23" s="29" customFormat="1" ht="21" customHeight="1">
      <c r="A570" s="34"/>
      <c r="B570" s="31"/>
      <c r="C570" s="32"/>
      <c r="D570" s="18" t="s">
        <v>271</v>
      </c>
      <c r="E570" s="19" t="s">
        <v>242</v>
      </c>
      <c r="F570" s="20">
        <v>9.8390000000000004</v>
      </c>
      <c r="G570" s="19">
        <v>1814</v>
      </c>
      <c r="H570" s="20">
        <v>279</v>
      </c>
      <c r="I570" s="19" t="s">
        <v>246</v>
      </c>
      <c r="J570" s="20">
        <v>8688</v>
      </c>
      <c r="K570" s="21">
        <v>19887</v>
      </c>
      <c r="L570" s="21">
        <v>11089</v>
      </c>
      <c r="M570" s="21" t="s">
        <v>31</v>
      </c>
      <c r="N570" s="22">
        <v>4.4000000000000004</v>
      </c>
      <c r="O570" s="23">
        <f t="shared" si="16"/>
        <v>587.7772727272727</v>
      </c>
      <c r="P570" s="24">
        <v>4.1500000000000004</v>
      </c>
      <c r="Q570" s="25" t="s">
        <v>62</v>
      </c>
      <c r="R570" s="26" t="s">
        <v>33</v>
      </c>
      <c r="S570" s="26" t="s">
        <v>272</v>
      </c>
      <c r="T570" s="26"/>
      <c r="U570" s="27"/>
      <c r="V570" s="28">
        <f t="shared" si="17"/>
        <v>106</v>
      </c>
      <c r="W570" s="40"/>
    </row>
    <row r="571" spans="1:23" s="29" customFormat="1" ht="21" customHeight="1">
      <c r="A571" s="30"/>
      <c r="B571" s="31"/>
      <c r="C571" s="32"/>
      <c r="D571" s="18" t="s">
        <v>273</v>
      </c>
      <c r="E571" s="19" t="s">
        <v>260</v>
      </c>
      <c r="F571" s="20">
        <v>9.8390000000000004</v>
      </c>
      <c r="G571" s="19">
        <v>1814</v>
      </c>
      <c r="H571" s="20">
        <v>279</v>
      </c>
      <c r="I571" s="19" t="s">
        <v>261</v>
      </c>
      <c r="J571" s="20">
        <v>8688</v>
      </c>
      <c r="K571" s="21">
        <v>19887</v>
      </c>
      <c r="L571" s="21">
        <v>11089</v>
      </c>
      <c r="M571" s="21" t="s">
        <v>31</v>
      </c>
      <c r="N571" s="45">
        <v>4.45</v>
      </c>
      <c r="O571" s="23">
        <f t="shared" si="16"/>
        <v>581.1730337078651</v>
      </c>
      <c r="P571" s="46">
        <v>4.1500000000000004</v>
      </c>
      <c r="Q571" s="25" t="s">
        <v>62</v>
      </c>
      <c r="R571" s="26" t="s">
        <v>189</v>
      </c>
      <c r="S571" s="26" t="s">
        <v>274</v>
      </c>
      <c r="T571" s="26"/>
      <c r="U571" s="49"/>
      <c r="V571" s="28">
        <f t="shared" si="17"/>
        <v>107</v>
      </c>
      <c r="W571" s="40"/>
    </row>
    <row r="572" spans="1:23" s="29" customFormat="1" ht="21" customHeight="1">
      <c r="A572" s="30"/>
      <c r="B572" s="31"/>
      <c r="C572" s="32"/>
      <c r="D572" s="18" t="s">
        <v>273</v>
      </c>
      <c r="E572" s="19" t="s">
        <v>260</v>
      </c>
      <c r="F572" s="20">
        <v>9.8390000000000004</v>
      </c>
      <c r="G572" s="19">
        <v>1814</v>
      </c>
      <c r="H572" s="20">
        <v>279</v>
      </c>
      <c r="I572" s="19" t="s">
        <v>246</v>
      </c>
      <c r="J572" s="20">
        <v>8688</v>
      </c>
      <c r="K572" s="21">
        <v>19887</v>
      </c>
      <c r="L572" s="21">
        <v>11089</v>
      </c>
      <c r="M572" s="21" t="s">
        <v>31</v>
      </c>
      <c r="N572" s="45">
        <v>4.4000000000000004</v>
      </c>
      <c r="O572" s="23">
        <f t="shared" si="16"/>
        <v>587.7772727272727</v>
      </c>
      <c r="P572" s="46">
        <v>4.1500000000000004</v>
      </c>
      <c r="Q572" s="25" t="s">
        <v>62</v>
      </c>
      <c r="R572" s="26" t="s">
        <v>189</v>
      </c>
      <c r="S572" s="26" t="s">
        <v>274</v>
      </c>
      <c r="T572" s="26"/>
      <c r="U572" s="49"/>
      <c r="V572" s="28">
        <f t="shared" si="17"/>
        <v>106</v>
      </c>
      <c r="W572" s="40"/>
    </row>
    <row r="573" spans="1:23" s="29" customFormat="1" ht="21" customHeight="1">
      <c r="A573" s="30"/>
      <c r="B573" s="31"/>
      <c r="C573" s="32"/>
      <c r="D573" s="18" t="s">
        <v>275</v>
      </c>
      <c r="E573" s="19" t="s">
        <v>260</v>
      </c>
      <c r="F573" s="20">
        <v>9.8390000000000004</v>
      </c>
      <c r="G573" s="19">
        <v>1814</v>
      </c>
      <c r="H573" s="20">
        <v>279</v>
      </c>
      <c r="I573" s="19" t="s">
        <v>261</v>
      </c>
      <c r="J573" s="20">
        <v>8688</v>
      </c>
      <c r="K573" s="21">
        <v>19887</v>
      </c>
      <c r="L573" s="21">
        <v>11089</v>
      </c>
      <c r="M573" s="21" t="s">
        <v>31</v>
      </c>
      <c r="N573" s="45">
        <v>4.45</v>
      </c>
      <c r="O573" s="23">
        <f t="shared" si="16"/>
        <v>581.1730337078651</v>
      </c>
      <c r="P573" s="46">
        <v>4.1500000000000004</v>
      </c>
      <c r="Q573" s="25" t="s">
        <v>62</v>
      </c>
      <c r="R573" s="26" t="s">
        <v>189</v>
      </c>
      <c r="S573" s="26" t="s">
        <v>274</v>
      </c>
      <c r="T573" s="26"/>
      <c r="U573" s="49"/>
      <c r="V573" s="28">
        <f t="shared" si="17"/>
        <v>107</v>
      </c>
      <c r="W573" s="40"/>
    </row>
    <row r="574" spans="1:23" s="29" customFormat="1" ht="21" customHeight="1">
      <c r="A574" s="34"/>
      <c r="B574" s="31"/>
      <c r="C574" s="32"/>
      <c r="D574" s="18" t="s">
        <v>276</v>
      </c>
      <c r="E574" s="19" t="s">
        <v>242</v>
      </c>
      <c r="F574" s="20">
        <v>9.8390000000000004</v>
      </c>
      <c r="G574" s="19">
        <v>1814</v>
      </c>
      <c r="H574" s="20">
        <v>279</v>
      </c>
      <c r="I574" s="19" t="s">
        <v>243</v>
      </c>
      <c r="J574" s="20">
        <v>8688</v>
      </c>
      <c r="K574" s="21">
        <v>19887</v>
      </c>
      <c r="L574" s="21">
        <v>11089</v>
      </c>
      <c r="M574" s="21" t="s">
        <v>31</v>
      </c>
      <c r="N574" s="22">
        <v>4.45</v>
      </c>
      <c r="O574" s="23">
        <f t="shared" si="16"/>
        <v>581.1730337078651</v>
      </c>
      <c r="P574" s="24">
        <v>4.1500000000000004</v>
      </c>
      <c r="Q574" s="25" t="s">
        <v>62</v>
      </c>
      <c r="R574" s="26" t="s">
        <v>33</v>
      </c>
      <c r="S574" s="26" t="s">
        <v>277</v>
      </c>
      <c r="T574" s="26"/>
      <c r="U574" s="27"/>
      <c r="V574" s="28">
        <f t="shared" si="17"/>
        <v>107</v>
      </c>
      <c r="W574" s="40"/>
    </row>
    <row r="575" spans="1:23" s="29" customFormat="1" ht="21" customHeight="1">
      <c r="A575" s="30"/>
      <c r="B575" s="31"/>
      <c r="C575" s="32"/>
      <c r="D575" s="18" t="s">
        <v>275</v>
      </c>
      <c r="E575" s="19" t="s">
        <v>260</v>
      </c>
      <c r="F575" s="20">
        <v>9.8390000000000004</v>
      </c>
      <c r="G575" s="19">
        <v>1814</v>
      </c>
      <c r="H575" s="20">
        <v>279</v>
      </c>
      <c r="I575" s="19" t="s">
        <v>278</v>
      </c>
      <c r="J575" s="20">
        <v>8688</v>
      </c>
      <c r="K575" s="21">
        <v>19887</v>
      </c>
      <c r="L575" s="21">
        <v>11089</v>
      </c>
      <c r="M575" s="21" t="s">
        <v>31</v>
      </c>
      <c r="N575" s="45">
        <v>4.4000000000000004</v>
      </c>
      <c r="O575" s="23">
        <f t="shared" si="16"/>
        <v>587.7772727272727</v>
      </c>
      <c r="P575" s="46">
        <v>4.1500000000000004</v>
      </c>
      <c r="Q575" s="25" t="s">
        <v>62</v>
      </c>
      <c r="R575" s="26" t="s">
        <v>189</v>
      </c>
      <c r="S575" s="26" t="s">
        <v>274</v>
      </c>
      <c r="T575" s="26"/>
      <c r="U575" s="49"/>
      <c r="V575" s="28">
        <f t="shared" si="17"/>
        <v>106</v>
      </c>
      <c r="W575" s="40"/>
    </row>
    <row r="576" spans="1:23" s="29" customFormat="1" ht="21" customHeight="1">
      <c r="A576" s="34"/>
      <c r="B576" s="31"/>
      <c r="C576" s="32"/>
      <c r="D576" s="18" t="s">
        <v>276</v>
      </c>
      <c r="E576" s="19" t="s">
        <v>242</v>
      </c>
      <c r="F576" s="20">
        <v>9.8390000000000004</v>
      </c>
      <c r="G576" s="19">
        <v>1814</v>
      </c>
      <c r="H576" s="20">
        <v>279</v>
      </c>
      <c r="I576" s="19" t="s">
        <v>278</v>
      </c>
      <c r="J576" s="20">
        <v>8688</v>
      </c>
      <c r="K576" s="21">
        <v>19887</v>
      </c>
      <c r="L576" s="21">
        <v>11089</v>
      </c>
      <c r="M576" s="21" t="s">
        <v>31</v>
      </c>
      <c r="N576" s="22">
        <v>4.4000000000000004</v>
      </c>
      <c r="O576" s="23">
        <f t="shared" si="16"/>
        <v>587.7772727272727</v>
      </c>
      <c r="P576" s="24">
        <v>4.1500000000000004</v>
      </c>
      <c r="Q576" s="25" t="s">
        <v>62</v>
      </c>
      <c r="R576" s="26" t="s">
        <v>33</v>
      </c>
      <c r="S576" s="26" t="s">
        <v>277</v>
      </c>
      <c r="T576" s="26"/>
      <c r="U576" s="27"/>
      <c r="V576" s="28">
        <f t="shared" si="17"/>
        <v>106</v>
      </c>
      <c r="W576" s="40"/>
    </row>
    <row r="577" spans="1:22" s="29" customFormat="1" ht="21" customHeight="1">
      <c r="A577" s="34"/>
      <c r="B577" s="31"/>
      <c r="C577" s="32"/>
      <c r="D577" s="56" t="s">
        <v>279</v>
      </c>
      <c r="E577" s="57" t="s">
        <v>242</v>
      </c>
      <c r="F577" s="58">
        <v>9.8390000000000004</v>
      </c>
      <c r="G577" s="57">
        <v>1814</v>
      </c>
      <c r="H577" s="58">
        <v>279</v>
      </c>
      <c r="I577" s="57" t="s">
        <v>243</v>
      </c>
      <c r="J577" s="58">
        <v>8688</v>
      </c>
      <c r="K577" s="59">
        <v>19887</v>
      </c>
      <c r="L577" s="59">
        <v>11089</v>
      </c>
      <c r="M577" s="21" t="s">
        <v>31</v>
      </c>
      <c r="N577" s="60">
        <v>4.4400000000000004</v>
      </c>
      <c r="O577" s="23">
        <f t="shared" si="16"/>
        <v>582.4819819819819</v>
      </c>
      <c r="P577" s="24">
        <v>4.1500000000000004</v>
      </c>
      <c r="Q577" s="61" t="s">
        <v>63</v>
      </c>
      <c r="R577" s="62" t="s">
        <v>33</v>
      </c>
      <c r="S577" s="62" t="s">
        <v>249</v>
      </c>
      <c r="T577" s="26"/>
      <c r="U577" s="27"/>
      <c r="V577" s="28">
        <f t="shared" si="17"/>
        <v>106</v>
      </c>
    </row>
    <row r="578" spans="1:22" s="29" customFormat="1" ht="21" customHeight="1">
      <c r="A578" s="34"/>
      <c r="B578" s="31"/>
      <c r="C578" s="32"/>
      <c r="D578" s="56" t="s">
        <v>279</v>
      </c>
      <c r="E578" s="57" t="s">
        <v>242</v>
      </c>
      <c r="F578" s="58">
        <v>9.8390000000000004</v>
      </c>
      <c r="G578" s="57">
        <v>1814</v>
      </c>
      <c r="H578" s="58">
        <v>279</v>
      </c>
      <c r="I578" s="57" t="s">
        <v>243</v>
      </c>
      <c r="J578" s="58">
        <v>8688</v>
      </c>
      <c r="K578" s="59">
        <v>19887</v>
      </c>
      <c r="L578" s="59">
        <v>11089</v>
      </c>
      <c r="M578" s="21" t="s">
        <v>31</v>
      </c>
      <c r="N578" s="60">
        <v>4.4400000000000004</v>
      </c>
      <c r="O578" s="23">
        <f t="shared" si="16"/>
        <v>582.4819819819819</v>
      </c>
      <c r="P578" s="24">
        <v>4.1500000000000004</v>
      </c>
      <c r="Q578" s="61" t="s">
        <v>63</v>
      </c>
      <c r="R578" s="62" t="s">
        <v>33</v>
      </c>
      <c r="S578" s="62" t="s">
        <v>250</v>
      </c>
      <c r="T578" s="26"/>
      <c r="U578" s="27"/>
      <c r="V578" s="28">
        <f t="shared" si="17"/>
        <v>106</v>
      </c>
    </row>
    <row r="579" spans="1:22" s="29" customFormat="1" ht="21" customHeight="1">
      <c r="A579" s="34"/>
      <c r="B579" s="31"/>
      <c r="C579" s="32"/>
      <c r="D579" s="56" t="s">
        <v>279</v>
      </c>
      <c r="E579" s="57" t="s">
        <v>242</v>
      </c>
      <c r="F579" s="58">
        <v>9.8390000000000004</v>
      </c>
      <c r="G579" s="57">
        <v>1814</v>
      </c>
      <c r="H579" s="58">
        <v>279</v>
      </c>
      <c r="I579" s="57" t="s">
        <v>246</v>
      </c>
      <c r="J579" s="58">
        <v>8688</v>
      </c>
      <c r="K579" s="59">
        <v>19887</v>
      </c>
      <c r="L579" s="59">
        <v>11089</v>
      </c>
      <c r="M579" s="21" t="s">
        <v>31</v>
      </c>
      <c r="N579" s="60">
        <v>4.42</v>
      </c>
      <c r="O579" s="23">
        <f t="shared" si="16"/>
        <v>585.11764705882342</v>
      </c>
      <c r="P579" s="24">
        <v>4.1500000000000004</v>
      </c>
      <c r="Q579" s="61" t="s">
        <v>63</v>
      </c>
      <c r="R579" s="62" t="s">
        <v>33</v>
      </c>
      <c r="S579" s="62" t="s">
        <v>249</v>
      </c>
      <c r="T579" s="26"/>
      <c r="U579" s="27"/>
      <c r="V579" s="28">
        <f t="shared" si="17"/>
        <v>106</v>
      </c>
    </row>
    <row r="580" spans="1:22" s="29" customFormat="1" ht="21" customHeight="1">
      <c r="A580" s="34"/>
      <c r="B580" s="31"/>
      <c r="C580" s="32"/>
      <c r="D580" s="56" t="s">
        <v>279</v>
      </c>
      <c r="E580" s="57" t="s">
        <v>242</v>
      </c>
      <c r="F580" s="58">
        <v>9.8390000000000004</v>
      </c>
      <c r="G580" s="57">
        <v>1814</v>
      </c>
      <c r="H580" s="58">
        <v>279</v>
      </c>
      <c r="I580" s="57" t="s">
        <v>246</v>
      </c>
      <c r="J580" s="58">
        <v>8688</v>
      </c>
      <c r="K580" s="59">
        <v>19887</v>
      </c>
      <c r="L580" s="59">
        <v>11089</v>
      </c>
      <c r="M580" s="21" t="s">
        <v>31</v>
      </c>
      <c r="N580" s="60">
        <v>4.42</v>
      </c>
      <c r="O580" s="23">
        <f t="shared" si="16"/>
        <v>585.11764705882342</v>
      </c>
      <c r="P580" s="24">
        <v>4.1500000000000004</v>
      </c>
      <c r="Q580" s="61" t="s">
        <v>63</v>
      </c>
      <c r="R580" s="62" t="s">
        <v>33</v>
      </c>
      <c r="S580" s="62" t="s">
        <v>250</v>
      </c>
      <c r="T580" s="26"/>
      <c r="U580" s="27"/>
      <c r="V580" s="28">
        <f t="shared" si="17"/>
        <v>106</v>
      </c>
    </row>
    <row r="581" spans="1:22" s="29" customFormat="1" ht="21" customHeight="1">
      <c r="A581" s="34"/>
      <c r="B581" s="31"/>
      <c r="C581" s="32"/>
      <c r="D581" s="56" t="s">
        <v>280</v>
      </c>
      <c r="E581" s="57" t="s">
        <v>242</v>
      </c>
      <c r="F581" s="58">
        <v>9.8390000000000004</v>
      </c>
      <c r="G581" s="57">
        <v>1814</v>
      </c>
      <c r="H581" s="58">
        <v>279</v>
      </c>
      <c r="I581" s="57" t="s">
        <v>243</v>
      </c>
      <c r="J581" s="58">
        <v>8688</v>
      </c>
      <c r="K581" s="59">
        <v>19887</v>
      </c>
      <c r="L581" s="59">
        <v>11089</v>
      </c>
      <c r="M581" s="21" t="s">
        <v>31</v>
      </c>
      <c r="N581" s="60">
        <v>4.4400000000000004</v>
      </c>
      <c r="O581" s="23">
        <f t="shared" si="16"/>
        <v>582.4819819819819</v>
      </c>
      <c r="P581" s="24">
        <v>4.1500000000000004</v>
      </c>
      <c r="Q581" s="61" t="s">
        <v>63</v>
      </c>
      <c r="R581" s="62" t="s">
        <v>33</v>
      </c>
      <c r="S581" s="62" t="s">
        <v>236</v>
      </c>
      <c r="T581" s="26"/>
      <c r="U581" s="27"/>
      <c r="V581" s="28">
        <f t="shared" si="17"/>
        <v>106</v>
      </c>
    </row>
    <row r="582" spans="1:22" s="29" customFormat="1" ht="21" customHeight="1">
      <c r="A582" s="34"/>
      <c r="B582" s="31"/>
      <c r="C582" s="32"/>
      <c r="D582" s="56" t="s">
        <v>280</v>
      </c>
      <c r="E582" s="57" t="s">
        <v>242</v>
      </c>
      <c r="F582" s="58">
        <v>9.8390000000000004</v>
      </c>
      <c r="G582" s="57">
        <v>1814</v>
      </c>
      <c r="H582" s="58">
        <v>279</v>
      </c>
      <c r="I582" s="57" t="s">
        <v>246</v>
      </c>
      <c r="J582" s="58">
        <v>8688</v>
      </c>
      <c r="K582" s="59">
        <v>19887</v>
      </c>
      <c r="L582" s="59">
        <v>11089</v>
      </c>
      <c r="M582" s="21" t="s">
        <v>31</v>
      </c>
      <c r="N582" s="60">
        <v>4.42</v>
      </c>
      <c r="O582" s="23">
        <f t="shared" si="16"/>
        <v>585.11764705882342</v>
      </c>
      <c r="P582" s="24">
        <v>4.1500000000000004</v>
      </c>
      <c r="Q582" s="61" t="s">
        <v>63</v>
      </c>
      <c r="R582" s="62" t="s">
        <v>33</v>
      </c>
      <c r="S582" s="62" t="s">
        <v>236</v>
      </c>
      <c r="T582" s="26"/>
      <c r="U582" s="27"/>
      <c r="V582" s="28">
        <f t="shared" si="17"/>
        <v>106</v>
      </c>
    </row>
    <row r="583" spans="1:22" s="29" customFormat="1" ht="21" customHeight="1">
      <c r="A583" s="34"/>
      <c r="B583" s="31"/>
      <c r="C583" s="32"/>
      <c r="D583" s="56" t="s">
        <v>281</v>
      </c>
      <c r="E583" s="57" t="s">
        <v>242</v>
      </c>
      <c r="F583" s="58">
        <v>9.8390000000000004</v>
      </c>
      <c r="G583" s="57">
        <v>1814</v>
      </c>
      <c r="H583" s="58">
        <v>279</v>
      </c>
      <c r="I583" s="57" t="s">
        <v>246</v>
      </c>
      <c r="J583" s="58">
        <v>8765</v>
      </c>
      <c r="K583" s="59">
        <v>24405</v>
      </c>
      <c r="L583" s="59">
        <v>15530</v>
      </c>
      <c r="M583" s="21" t="s">
        <v>31</v>
      </c>
      <c r="N583" s="60">
        <v>4.41</v>
      </c>
      <c r="O583" s="23">
        <f t="shared" si="16"/>
        <v>586.44444444444434</v>
      </c>
      <c r="P583" s="24">
        <v>4.04</v>
      </c>
      <c r="Q583" s="61" t="s">
        <v>43</v>
      </c>
      <c r="R583" s="62" t="s">
        <v>33</v>
      </c>
      <c r="S583" s="62" t="s">
        <v>282</v>
      </c>
      <c r="T583" s="26"/>
      <c r="U583" s="27"/>
      <c r="V583" s="28">
        <f t="shared" si="17"/>
        <v>109</v>
      </c>
    </row>
    <row r="584" spans="1:22" s="29" customFormat="1" ht="21" customHeight="1">
      <c r="A584" s="34"/>
      <c r="B584" s="31"/>
      <c r="C584" s="32"/>
      <c r="D584" s="56" t="s">
        <v>281</v>
      </c>
      <c r="E584" s="57" t="s">
        <v>242</v>
      </c>
      <c r="F584" s="58">
        <v>9.8390000000000004</v>
      </c>
      <c r="G584" s="57">
        <v>1814</v>
      </c>
      <c r="H584" s="58">
        <v>279</v>
      </c>
      <c r="I584" s="57" t="s">
        <v>243</v>
      </c>
      <c r="J584" s="58">
        <v>8765</v>
      </c>
      <c r="K584" s="59">
        <v>24405</v>
      </c>
      <c r="L584" s="59">
        <v>15530</v>
      </c>
      <c r="M584" s="21" t="s">
        <v>31</v>
      </c>
      <c r="N584" s="60">
        <v>4.3600000000000003</v>
      </c>
      <c r="O584" s="23">
        <f t="shared" si="16"/>
        <v>593.16972477064223</v>
      </c>
      <c r="P584" s="24">
        <v>4.04</v>
      </c>
      <c r="Q584" s="61" t="s">
        <v>43</v>
      </c>
      <c r="R584" s="62" t="s">
        <v>33</v>
      </c>
      <c r="S584" s="62" t="s">
        <v>282</v>
      </c>
      <c r="T584" s="26"/>
      <c r="U584" s="27"/>
      <c r="V584" s="28">
        <f t="shared" si="17"/>
        <v>107</v>
      </c>
    </row>
    <row r="585" spans="1:22" s="29" customFormat="1" ht="21" customHeight="1">
      <c r="A585" s="34"/>
      <c r="B585" s="31"/>
      <c r="C585" s="32"/>
      <c r="D585" s="56" t="s">
        <v>281</v>
      </c>
      <c r="E585" s="57" t="s">
        <v>242</v>
      </c>
      <c r="F585" s="58">
        <v>9.8390000000000004</v>
      </c>
      <c r="G585" s="57">
        <v>1814</v>
      </c>
      <c r="H585" s="58">
        <v>279</v>
      </c>
      <c r="I585" s="57" t="s">
        <v>246</v>
      </c>
      <c r="J585" s="58">
        <v>8765</v>
      </c>
      <c r="K585" s="59">
        <v>24405</v>
      </c>
      <c r="L585" s="59">
        <v>15530</v>
      </c>
      <c r="M585" s="21" t="s">
        <v>31</v>
      </c>
      <c r="N585" s="60">
        <v>4.3</v>
      </c>
      <c r="O585" s="23">
        <f t="shared" ref="O585:O648" si="18">IF(N585&gt;0,1/N585*37.7*68.6,"")</f>
        <v>601.44651162790706</v>
      </c>
      <c r="P585" s="24">
        <v>4.04</v>
      </c>
      <c r="Q585" s="61" t="s">
        <v>63</v>
      </c>
      <c r="R585" s="62" t="s">
        <v>33</v>
      </c>
      <c r="S585" s="62" t="s">
        <v>282</v>
      </c>
      <c r="T585" s="26"/>
      <c r="U585" s="27"/>
      <c r="V585" s="28">
        <f t="shared" ref="V585:V648" si="19">IFERROR(IF(N585&lt;P585,"",(ROUNDDOWN(N585/P585*100,0))),"")</f>
        <v>106</v>
      </c>
    </row>
    <row r="586" spans="1:22" s="29" customFormat="1" ht="21" customHeight="1">
      <c r="A586" s="34"/>
      <c r="B586" s="31"/>
      <c r="C586" s="32"/>
      <c r="D586" s="56" t="s">
        <v>281</v>
      </c>
      <c r="E586" s="57" t="s">
        <v>242</v>
      </c>
      <c r="F586" s="58">
        <v>9.8390000000000004</v>
      </c>
      <c r="G586" s="57">
        <v>1814</v>
      </c>
      <c r="H586" s="58">
        <v>279</v>
      </c>
      <c r="I586" s="57" t="s">
        <v>243</v>
      </c>
      <c r="J586" s="58">
        <v>8765</v>
      </c>
      <c r="K586" s="59">
        <v>24405</v>
      </c>
      <c r="L586" s="59">
        <v>15530</v>
      </c>
      <c r="M586" s="21" t="s">
        <v>31</v>
      </c>
      <c r="N586" s="60">
        <v>4.2699999999999996</v>
      </c>
      <c r="O586" s="23">
        <f t="shared" si="18"/>
        <v>605.67213114754099</v>
      </c>
      <c r="P586" s="24">
        <v>4.04</v>
      </c>
      <c r="Q586" s="61" t="s">
        <v>63</v>
      </c>
      <c r="R586" s="62" t="s">
        <v>33</v>
      </c>
      <c r="S586" s="62" t="s">
        <v>282</v>
      </c>
      <c r="T586" s="26"/>
      <c r="U586" s="27"/>
      <c r="V586" s="28">
        <f t="shared" si="19"/>
        <v>105</v>
      </c>
    </row>
    <row r="587" spans="1:22" s="29" customFormat="1" ht="21" customHeight="1">
      <c r="A587" s="34"/>
      <c r="B587" s="31"/>
      <c r="C587" s="32"/>
      <c r="D587" s="56" t="s">
        <v>283</v>
      </c>
      <c r="E587" s="57" t="s">
        <v>242</v>
      </c>
      <c r="F587" s="58">
        <v>9.8390000000000004</v>
      </c>
      <c r="G587" s="57">
        <v>1814</v>
      </c>
      <c r="H587" s="58">
        <v>279</v>
      </c>
      <c r="I587" s="57" t="s">
        <v>246</v>
      </c>
      <c r="J587" s="58">
        <v>8765</v>
      </c>
      <c r="K587" s="59">
        <v>24405</v>
      </c>
      <c r="L587" s="59">
        <v>15530</v>
      </c>
      <c r="M587" s="21" t="s">
        <v>31</v>
      </c>
      <c r="N587" s="60">
        <v>4.41</v>
      </c>
      <c r="O587" s="23">
        <f t="shared" si="18"/>
        <v>586.44444444444434</v>
      </c>
      <c r="P587" s="24">
        <v>4.04</v>
      </c>
      <c r="Q587" s="61" t="s">
        <v>43</v>
      </c>
      <c r="R587" s="62" t="s">
        <v>33</v>
      </c>
      <c r="S587" s="62" t="s">
        <v>282</v>
      </c>
      <c r="T587" s="26"/>
      <c r="U587" s="27"/>
      <c r="V587" s="28">
        <f t="shared" si="19"/>
        <v>109</v>
      </c>
    </row>
    <row r="588" spans="1:22" s="29" customFormat="1" ht="21" customHeight="1">
      <c r="A588" s="34"/>
      <c r="B588" s="31"/>
      <c r="C588" s="32"/>
      <c r="D588" s="56" t="s">
        <v>283</v>
      </c>
      <c r="E588" s="57" t="s">
        <v>242</v>
      </c>
      <c r="F588" s="58">
        <v>9.8390000000000004</v>
      </c>
      <c r="G588" s="57">
        <v>1814</v>
      </c>
      <c r="H588" s="58">
        <v>279</v>
      </c>
      <c r="I588" s="57" t="s">
        <v>243</v>
      </c>
      <c r="J588" s="58">
        <v>8765</v>
      </c>
      <c r="K588" s="59">
        <v>24405</v>
      </c>
      <c r="L588" s="59">
        <v>15530</v>
      </c>
      <c r="M588" s="21" t="s">
        <v>31</v>
      </c>
      <c r="N588" s="60">
        <v>4.3600000000000003</v>
      </c>
      <c r="O588" s="23">
        <f t="shared" si="18"/>
        <v>593.16972477064223</v>
      </c>
      <c r="P588" s="24">
        <v>4.04</v>
      </c>
      <c r="Q588" s="61" t="s">
        <v>43</v>
      </c>
      <c r="R588" s="62" t="s">
        <v>33</v>
      </c>
      <c r="S588" s="62" t="s">
        <v>282</v>
      </c>
      <c r="T588" s="26"/>
      <c r="U588" s="27"/>
      <c r="V588" s="28">
        <f t="shared" si="19"/>
        <v>107</v>
      </c>
    </row>
    <row r="589" spans="1:22" s="29" customFormat="1" ht="21" customHeight="1">
      <c r="A589" s="34"/>
      <c r="B589" s="31"/>
      <c r="C589" s="32"/>
      <c r="D589" s="56" t="s">
        <v>283</v>
      </c>
      <c r="E589" s="57" t="s">
        <v>242</v>
      </c>
      <c r="F589" s="58">
        <v>9.8390000000000004</v>
      </c>
      <c r="G589" s="57">
        <v>1814</v>
      </c>
      <c r="H589" s="58">
        <v>279</v>
      </c>
      <c r="I589" s="57" t="s">
        <v>246</v>
      </c>
      <c r="J589" s="58">
        <v>8765</v>
      </c>
      <c r="K589" s="59">
        <v>24405</v>
      </c>
      <c r="L589" s="59">
        <v>15530</v>
      </c>
      <c r="M589" s="21" t="s">
        <v>31</v>
      </c>
      <c r="N589" s="60">
        <v>4.3</v>
      </c>
      <c r="O589" s="23">
        <f t="shared" si="18"/>
        <v>601.44651162790706</v>
      </c>
      <c r="P589" s="24">
        <v>4.04</v>
      </c>
      <c r="Q589" s="61" t="s">
        <v>63</v>
      </c>
      <c r="R589" s="62" t="s">
        <v>33</v>
      </c>
      <c r="S589" s="62" t="s">
        <v>282</v>
      </c>
      <c r="T589" s="26"/>
      <c r="U589" s="27"/>
      <c r="V589" s="28">
        <f t="shared" si="19"/>
        <v>106</v>
      </c>
    </row>
    <row r="590" spans="1:22" s="29" customFormat="1" ht="21" customHeight="1">
      <c r="A590" s="34"/>
      <c r="B590" s="31"/>
      <c r="C590" s="32"/>
      <c r="D590" s="56" t="s">
        <v>283</v>
      </c>
      <c r="E590" s="57" t="s">
        <v>242</v>
      </c>
      <c r="F590" s="58">
        <v>9.8390000000000004</v>
      </c>
      <c r="G590" s="57">
        <v>1814</v>
      </c>
      <c r="H590" s="58">
        <v>279</v>
      </c>
      <c r="I590" s="57" t="s">
        <v>243</v>
      </c>
      <c r="J590" s="58">
        <v>8765</v>
      </c>
      <c r="K590" s="59">
        <v>24405</v>
      </c>
      <c r="L590" s="59">
        <v>15530</v>
      </c>
      <c r="M590" s="21" t="s">
        <v>31</v>
      </c>
      <c r="N590" s="60">
        <v>4.2699999999999996</v>
      </c>
      <c r="O590" s="23">
        <f t="shared" si="18"/>
        <v>605.67213114754099</v>
      </c>
      <c r="P590" s="24">
        <v>4.04</v>
      </c>
      <c r="Q590" s="61" t="s">
        <v>63</v>
      </c>
      <c r="R590" s="62" t="s">
        <v>33</v>
      </c>
      <c r="S590" s="62" t="s">
        <v>282</v>
      </c>
      <c r="T590" s="26"/>
      <c r="U590" s="27"/>
      <c r="V590" s="28">
        <f t="shared" si="19"/>
        <v>105</v>
      </c>
    </row>
    <row r="591" spans="1:22" s="29" customFormat="1" ht="21" customHeight="1">
      <c r="A591" s="34"/>
      <c r="B591" s="31"/>
      <c r="C591" s="32"/>
      <c r="D591" s="56" t="s">
        <v>284</v>
      </c>
      <c r="E591" s="57" t="s">
        <v>242</v>
      </c>
      <c r="F591" s="58">
        <v>9.8390000000000004</v>
      </c>
      <c r="G591" s="57">
        <v>1814</v>
      </c>
      <c r="H591" s="58">
        <v>279</v>
      </c>
      <c r="I591" s="57" t="s">
        <v>246</v>
      </c>
      <c r="J591" s="58">
        <v>8765</v>
      </c>
      <c r="K591" s="59">
        <v>24405</v>
      </c>
      <c r="L591" s="59">
        <v>15530</v>
      </c>
      <c r="M591" s="21" t="s">
        <v>31</v>
      </c>
      <c r="N591" s="60">
        <v>4.41</v>
      </c>
      <c r="O591" s="23">
        <f t="shared" si="18"/>
        <v>586.44444444444434</v>
      </c>
      <c r="P591" s="24">
        <v>4.04</v>
      </c>
      <c r="Q591" s="61" t="s">
        <v>43</v>
      </c>
      <c r="R591" s="62" t="s">
        <v>33</v>
      </c>
      <c r="S591" s="62" t="s">
        <v>282</v>
      </c>
      <c r="T591" s="26"/>
      <c r="U591" s="27"/>
      <c r="V591" s="28">
        <f t="shared" si="19"/>
        <v>109</v>
      </c>
    </row>
    <row r="592" spans="1:22" s="29" customFormat="1" ht="21" customHeight="1">
      <c r="A592" s="34"/>
      <c r="B592" s="31"/>
      <c r="C592" s="32"/>
      <c r="D592" s="56" t="s">
        <v>284</v>
      </c>
      <c r="E592" s="57" t="s">
        <v>242</v>
      </c>
      <c r="F592" s="58">
        <v>9.8390000000000004</v>
      </c>
      <c r="G592" s="57">
        <v>1814</v>
      </c>
      <c r="H592" s="58">
        <v>279</v>
      </c>
      <c r="I592" s="57" t="s">
        <v>243</v>
      </c>
      <c r="J592" s="58">
        <v>8765</v>
      </c>
      <c r="K592" s="59">
        <v>24405</v>
      </c>
      <c r="L592" s="59">
        <v>15530</v>
      </c>
      <c r="M592" s="21" t="s">
        <v>31</v>
      </c>
      <c r="N592" s="60">
        <v>4.3600000000000003</v>
      </c>
      <c r="O592" s="23">
        <f t="shared" si="18"/>
        <v>593.16972477064223</v>
      </c>
      <c r="P592" s="24">
        <v>4.04</v>
      </c>
      <c r="Q592" s="61" t="s">
        <v>43</v>
      </c>
      <c r="R592" s="62" t="s">
        <v>33</v>
      </c>
      <c r="S592" s="62" t="s">
        <v>282</v>
      </c>
      <c r="T592" s="26"/>
      <c r="U592" s="27"/>
      <c r="V592" s="28">
        <f t="shared" si="19"/>
        <v>107</v>
      </c>
    </row>
    <row r="593" spans="1:24" s="29" customFormat="1" ht="21" customHeight="1">
      <c r="A593" s="34"/>
      <c r="B593" s="31"/>
      <c r="C593" s="32"/>
      <c r="D593" s="56" t="s">
        <v>284</v>
      </c>
      <c r="E593" s="57" t="s">
        <v>242</v>
      </c>
      <c r="F593" s="58">
        <v>9.8390000000000004</v>
      </c>
      <c r="G593" s="57">
        <v>1814</v>
      </c>
      <c r="H593" s="58">
        <v>279</v>
      </c>
      <c r="I593" s="57" t="s">
        <v>246</v>
      </c>
      <c r="J593" s="58">
        <v>8765</v>
      </c>
      <c r="K593" s="59">
        <v>24405</v>
      </c>
      <c r="L593" s="59">
        <v>15530</v>
      </c>
      <c r="M593" s="21" t="s">
        <v>31</v>
      </c>
      <c r="N593" s="60">
        <v>4.3</v>
      </c>
      <c r="O593" s="23">
        <f t="shared" si="18"/>
        <v>601.44651162790706</v>
      </c>
      <c r="P593" s="24">
        <v>4.04</v>
      </c>
      <c r="Q593" s="61" t="s">
        <v>63</v>
      </c>
      <c r="R593" s="62" t="s">
        <v>33</v>
      </c>
      <c r="S593" s="62" t="s">
        <v>282</v>
      </c>
      <c r="T593" s="26"/>
      <c r="U593" s="27"/>
      <c r="V593" s="28">
        <f t="shared" si="19"/>
        <v>106</v>
      </c>
    </row>
    <row r="594" spans="1:24" s="29" customFormat="1" ht="21" customHeight="1">
      <c r="A594" s="34"/>
      <c r="B594" s="31"/>
      <c r="C594" s="32"/>
      <c r="D594" s="56" t="s">
        <v>284</v>
      </c>
      <c r="E594" s="57" t="s">
        <v>242</v>
      </c>
      <c r="F594" s="58">
        <v>9.8390000000000004</v>
      </c>
      <c r="G594" s="57">
        <v>1814</v>
      </c>
      <c r="H594" s="58">
        <v>279</v>
      </c>
      <c r="I594" s="57" t="s">
        <v>243</v>
      </c>
      <c r="J594" s="58">
        <v>8765</v>
      </c>
      <c r="K594" s="59">
        <v>24405</v>
      </c>
      <c r="L594" s="59">
        <v>15530</v>
      </c>
      <c r="M594" s="21" t="s">
        <v>31</v>
      </c>
      <c r="N594" s="60">
        <v>4.2699999999999996</v>
      </c>
      <c r="O594" s="23">
        <f t="shared" si="18"/>
        <v>605.67213114754099</v>
      </c>
      <c r="P594" s="24">
        <v>4.04</v>
      </c>
      <c r="Q594" s="61" t="s">
        <v>63</v>
      </c>
      <c r="R594" s="62" t="s">
        <v>33</v>
      </c>
      <c r="S594" s="62" t="s">
        <v>282</v>
      </c>
      <c r="T594" s="26"/>
      <c r="U594" s="27"/>
      <c r="V594" s="28">
        <f t="shared" si="19"/>
        <v>105</v>
      </c>
    </row>
    <row r="595" spans="1:24" s="29" customFormat="1" ht="21" customHeight="1">
      <c r="A595" s="34"/>
      <c r="B595" s="31"/>
      <c r="C595" s="32"/>
      <c r="D595" s="56" t="s">
        <v>285</v>
      </c>
      <c r="E595" s="57" t="s">
        <v>242</v>
      </c>
      <c r="F595" s="58">
        <v>9.8390000000000004</v>
      </c>
      <c r="G595" s="57">
        <v>1814</v>
      </c>
      <c r="H595" s="58">
        <v>279</v>
      </c>
      <c r="I595" s="57" t="s">
        <v>246</v>
      </c>
      <c r="J595" s="58">
        <v>8765</v>
      </c>
      <c r="K595" s="59">
        <v>24405</v>
      </c>
      <c r="L595" s="59">
        <v>15530</v>
      </c>
      <c r="M595" s="21" t="s">
        <v>31</v>
      </c>
      <c r="N595" s="60">
        <v>4.41</v>
      </c>
      <c r="O595" s="23">
        <f t="shared" si="18"/>
        <v>586.44444444444434</v>
      </c>
      <c r="P595" s="24">
        <v>4.04</v>
      </c>
      <c r="Q595" s="61" t="s">
        <v>43</v>
      </c>
      <c r="R595" s="62" t="s">
        <v>33</v>
      </c>
      <c r="S595" s="62" t="s">
        <v>282</v>
      </c>
      <c r="T595" s="26"/>
      <c r="U595" s="27"/>
      <c r="V595" s="28">
        <f t="shared" si="19"/>
        <v>109</v>
      </c>
    </row>
    <row r="596" spans="1:24" s="29" customFormat="1" ht="21" customHeight="1">
      <c r="A596" s="34"/>
      <c r="B596" s="31"/>
      <c r="C596" s="32"/>
      <c r="D596" s="56" t="s">
        <v>285</v>
      </c>
      <c r="E596" s="57" t="s">
        <v>242</v>
      </c>
      <c r="F596" s="58">
        <v>9.8390000000000004</v>
      </c>
      <c r="G596" s="57">
        <v>1814</v>
      </c>
      <c r="H596" s="58">
        <v>279</v>
      </c>
      <c r="I596" s="57" t="s">
        <v>243</v>
      </c>
      <c r="J596" s="58">
        <v>8765</v>
      </c>
      <c r="K596" s="59">
        <v>24405</v>
      </c>
      <c r="L596" s="59">
        <v>15530</v>
      </c>
      <c r="M596" s="21" t="s">
        <v>31</v>
      </c>
      <c r="N596" s="60">
        <v>4.3600000000000003</v>
      </c>
      <c r="O596" s="23">
        <f t="shared" si="18"/>
        <v>593.16972477064223</v>
      </c>
      <c r="P596" s="24">
        <v>4.04</v>
      </c>
      <c r="Q596" s="61" t="s">
        <v>43</v>
      </c>
      <c r="R596" s="62" t="s">
        <v>33</v>
      </c>
      <c r="S596" s="62" t="s">
        <v>282</v>
      </c>
      <c r="T596" s="26"/>
      <c r="U596" s="27"/>
      <c r="V596" s="28">
        <f t="shared" si="19"/>
        <v>107</v>
      </c>
    </row>
    <row r="597" spans="1:24" s="29" customFormat="1" ht="21" customHeight="1">
      <c r="A597" s="34"/>
      <c r="B597" s="31"/>
      <c r="C597" s="32"/>
      <c r="D597" s="56" t="s">
        <v>285</v>
      </c>
      <c r="E597" s="57" t="s">
        <v>242</v>
      </c>
      <c r="F597" s="58">
        <v>9.8390000000000004</v>
      </c>
      <c r="G597" s="57">
        <v>1814</v>
      </c>
      <c r="H597" s="58">
        <v>279</v>
      </c>
      <c r="I597" s="57" t="s">
        <v>246</v>
      </c>
      <c r="J597" s="58">
        <v>8765</v>
      </c>
      <c r="K597" s="59">
        <v>24405</v>
      </c>
      <c r="L597" s="59">
        <v>15530</v>
      </c>
      <c r="M597" s="21" t="s">
        <v>31</v>
      </c>
      <c r="N597" s="60">
        <v>4.3</v>
      </c>
      <c r="O597" s="23">
        <f t="shared" si="18"/>
        <v>601.44651162790706</v>
      </c>
      <c r="P597" s="24">
        <v>4.04</v>
      </c>
      <c r="Q597" s="61" t="s">
        <v>63</v>
      </c>
      <c r="R597" s="62" t="s">
        <v>33</v>
      </c>
      <c r="S597" s="62" t="s">
        <v>282</v>
      </c>
      <c r="T597" s="26"/>
      <c r="U597" s="27"/>
      <c r="V597" s="28">
        <f t="shared" si="19"/>
        <v>106</v>
      </c>
    </row>
    <row r="598" spans="1:24" s="40" customFormat="1" ht="21" customHeight="1">
      <c r="A598" s="34"/>
      <c r="B598" s="31"/>
      <c r="C598" s="32"/>
      <c r="D598" s="56" t="s">
        <v>285</v>
      </c>
      <c r="E598" s="57" t="s">
        <v>242</v>
      </c>
      <c r="F598" s="58">
        <v>9.8390000000000004</v>
      </c>
      <c r="G598" s="57">
        <v>1814</v>
      </c>
      <c r="H598" s="58">
        <v>279</v>
      </c>
      <c r="I598" s="57" t="s">
        <v>243</v>
      </c>
      <c r="J598" s="58">
        <v>8765</v>
      </c>
      <c r="K598" s="59">
        <v>24405</v>
      </c>
      <c r="L598" s="59">
        <v>15530</v>
      </c>
      <c r="M598" s="21" t="s">
        <v>31</v>
      </c>
      <c r="N598" s="60">
        <v>4.2699999999999996</v>
      </c>
      <c r="O598" s="23">
        <f t="shared" si="18"/>
        <v>605.67213114754099</v>
      </c>
      <c r="P598" s="24">
        <v>4.04</v>
      </c>
      <c r="Q598" s="61" t="s">
        <v>63</v>
      </c>
      <c r="R598" s="62" t="s">
        <v>33</v>
      </c>
      <c r="S598" s="62" t="s">
        <v>282</v>
      </c>
      <c r="T598" s="26"/>
      <c r="U598" s="39"/>
      <c r="V598" s="28">
        <f t="shared" si="19"/>
        <v>105</v>
      </c>
      <c r="W598" s="29"/>
      <c r="X598" s="29"/>
    </row>
    <row r="599" spans="1:24" s="40" customFormat="1" ht="21" customHeight="1">
      <c r="A599" s="34"/>
      <c r="B599" s="31"/>
      <c r="C599" s="32"/>
      <c r="D599" s="56" t="s">
        <v>286</v>
      </c>
      <c r="E599" s="57" t="s">
        <v>242</v>
      </c>
      <c r="F599" s="58">
        <v>9.8390000000000004</v>
      </c>
      <c r="G599" s="57">
        <v>1814</v>
      </c>
      <c r="H599" s="58">
        <v>279</v>
      </c>
      <c r="I599" s="57" t="s">
        <v>246</v>
      </c>
      <c r="J599" s="58">
        <v>8765</v>
      </c>
      <c r="K599" s="59">
        <v>24405</v>
      </c>
      <c r="L599" s="59">
        <v>15530</v>
      </c>
      <c r="M599" s="21" t="s">
        <v>31</v>
      </c>
      <c r="N599" s="60">
        <v>4.41</v>
      </c>
      <c r="O599" s="23">
        <f t="shared" si="18"/>
        <v>586.44444444444434</v>
      </c>
      <c r="P599" s="24">
        <v>4.04</v>
      </c>
      <c r="Q599" s="61" t="s">
        <v>43</v>
      </c>
      <c r="R599" s="62" t="s">
        <v>33</v>
      </c>
      <c r="S599" s="62" t="s">
        <v>282</v>
      </c>
      <c r="T599" s="26"/>
      <c r="U599" s="39"/>
      <c r="V599" s="28">
        <f t="shared" si="19"/>
        <v>109</v>
      </c>
      <c r="W599" s="29"/>
      <c r="X599" s="29"/>
    </row>
    <row r="600" spans="1:24" s="40" customFormat="1" ht="21" customHeight="1">
      <c r="A600" s="34"/>
      <c r="B600" s="31"/>
      <c r="C600" s="32"/>
      <c r="D600" s="56" t="s">
        <v>286</v>
      </c>
      <c r="E600" s="57" t="s">
        <v>242</v>
      </c>
      <c r="F600" s="58">
        <v>9.8390000000000004</v>
      </c>
      <c r="G600" s="57">
        <v>1814</v>
      </c>
      <c r="H600" s="58">
        <v>279</v>
      </c>
      <c r="I600" s="57" t="s">
        <v>243</v>
      </c>
      <c r="J600" s="58">
        <v>8765</v>
      </c>
      <c r="K600" s="59">
        <v>24405</v>
      </c>
      <c r="L600" s="59">
        <v>15530</v>
      </c>
      <c r="M600" s="21" t="s">
        <v>31</v>
      </c>
      <c r="N600" s="60">
        <v>4.3600000000000003</v>
      </c>
      <c r="O600" s="23">
        <f t="shared" si="18"/>
        <v>593.16972477064223</v>
      </c>
      <c r="P600" s="24">
        <v>4.04</v>
      </c>
      <c r="Q600" s="61" t="s">
        <v>43</v>
      </c>
      <c r="R600" s="62" t="s">
        <v>33</v>
      </c>
      <c r="S600" s="62" t="s">
        <v>282</v>
      </c>
      <c r="T600" s="26"/>
      <c r="U600" s="39"/>
      <c r="V600" s="28">
        <f t="shared" si="19"/>
        <v>107</v>
      </c>
      <c r="W600" s="29"/>
      <c r="X600" s="29"/>
    </row>
    <row r="601" spans="1:24" s="40" customFormat="1" ht="21" customHeight="1">
      <c r="A601" s="34"/>
      <c r="B601" s="31"/>
      <c r="C601" s="32"/>
      <c r="D601" s="56" t="s">
        <v>286</v>
      </c>
      <c r="E601" s="57" t="s">
        <v>242</v>
      </c>
      <c r="F601" s="58">
        <v>9.8390000000000004</v>
      </c>
      <c r="G601" s="57">
        <v>1814</v>
      </c>
      <c r="H601" s="58">
        <v>279</v>
      </c>
      <c r="I601" s="57" t="s">
        <v>246</v>
      </c>
      <c r="J601" s="58">
        <v>8765</v>
      </c>
      <c r="K601" s="59">
        <v>24405</v>
      </c>
      <c r="L601" s="59">
        <v>15530</v>
      </c>
      <c r="M601" s="21" t="s">
        <v>31</v>
      </c>
      <c r="N601" s="60">
        <v>4.3</v>
      </c>
      <c r="O601" s="23">
        <f t="shared" si="18"/>
        <v>601.44651162790706</v>
      </c>
      <c r="P601" s="24">
        <v>4.04</v>
      </c>
      <c r="Q601" s="61" t="s">
        <v>63</v>
      </c>
      <c r="R601" s="62" t="s">
        <v>33</v>
      </c>
      <c r="S601" s="62" t="s">
        <v>282</v>
      </c>
      <c r="T601" s="26"/>
      <c r="U601" s="39"/>
      <c r="V601" s="28">
        <f t="shared" si="19"/>
        <v>106</v>
      </c>
      <c r="W601" s="29"/>
      <c r="X601" s="29"/>
    </row>
    <row r="602" spans="1:24" s="40" customFormat="1" ht="21" customHeight="1">
      <c r="A602" s="34"/>
      <c r="B602" s="31"/>
      <c r="C602" s="32"/>
      <c r="D602" s="56" t="s">
        <v>286</v>
      </c>
      <c r="E602" s="57" t="s">
        <v>242</v>
      </c>
      <c r="F602" s="58">
        <v>9.8390000000000004</v>
      </c>
      <c r="G602" s="57">
        <v>1814</v>
      </c>
      <c r="H602" s="58">
        <v>279</v>
      </c>
      <c r="I602" s="57" t="s">
        <v>243</v>
      </c>
      <c r="J602" s="58">
        <v>8765</v>
      </c>
      <c r="K602" s="59">
        <v>24405</v>
      </c>
      <c r="L602" s="59">
        <v>15530</v>
      </c>
      <c r="M602" s="21" t="s">
        <v>31</v>
      </c>
      <c r="N602" s="60">
        <v>4.2699999999999996</v>
      </c>
      <c r="O602" s="23">
        <f t="shared" si="18"/>
        <v>605.67213114754099</v>
      </c>
      <c r="P602" s="24">
        <v>4.04</v>
      </c>
      <c r="Q602" s="61" t="s">
        <v>63</v>
      </c>
      <c r="R602" s="62" t="s">
        <v>33</v>
      </c>
      <c r="S602" s="62" t="s">
        <v>282</v>
      </c>
      <c r="T602" s="26"/>
      <c r="U602" s="39"/>
      <c r="V602" s="28">
        <f t="shared" si="19"/>
        <v>105</v>
      </c>
      <c r="W602" s="29"/>
      <c r="X602" s="29"/>
    </row>
    <row r="603" spans="1:24" s="40" customFormat="1" ht="21" customHeight="1">
      <c r="A603" s="34"/>
      <c r="B603" s="31"/>
      <c r="C603" s="32"/>
      <c r="D603" s="56" t="s">
        <v>287</v>
      </c>
      <c r="E603" s="57" t="s">
        <v>242</v>
      </c>
      <c r="F603" s="58">
        <v>9.8390000000000004</v>
      </c>
      <c r="G603" s="57">
        <v>1814</v>
      </c>
      <c r="H603" s="58">
        <v>279</v>
      </c>
      <c r="I603" s="57" t="s">
        <v>246</v>
      </c>
      <c r="J603" s="58">
        <v>8765</v>
      </c>
      <c r="K603" s="59">
        <v>24405</v>
      </c>
      <c r="L603" s="59">
        <v>15530</v>
      </c>
      <c r="M603" s="21" t="s">
        <v>31</v>
      </c>
      <c r="N603" s="60">
        <v>4.41</v>
      </c>
      <c r="O603" s="23">
        <f t="shared" si="18"/>
        <v>586.44444444444434</v>
      </c>
      <c r="P603" s="24">
        <v>4.04</v>
      </c>
      <c r="Q603" s="61" t="s">
        <v>43</v>
      </c>
      <c r="R603" s="62" t="s">
        <v>33</v>
      </c>
      <c r="S603" s="62" t="s">
        <v>249</v>
      </c>
      <c r="T603" s="26"/>
      <c r="U603" s="39"/>
      <c r="V603" s="28">
        <f t="shared" si="19"/>
        <v>109</v>
      </c>
      <c r="W603" s="29"/>
      <c r="X603" s="29"/>
    </row>
    <row r="604" spans="1:24" s="40" customFormat="1" ht="21" customHeight="1">
      <c r="A604" s="34"/>
      <c r="B604" s="31"/>
      <c r="C604" s="32"/>
      <c r="D604" s="56" t="s">
        <v>287</v>
      </c>
      <c r="E604" s="57" t="s">
        <v>242</v>
      </c>
      <c r="F604" s="58">
        <v>9.8390000000000004</v>
      </c>
      <c r="G604" s="57">
        <v>1814</v>
      </c>
      <c r="H604" s="58">
        <v>279</v>
      </c>
      <c r="I604" s="57" t="s">
        <v>246</v>
      </c>
      <c r="J604" s="58">
        <v>8765</v>
      </c>
      <c r="K604" s="59">
        <v>24405</v>
      </c>
      <c r="L604" s="59">
        <v>15530</v>
      </c>
      <c r="M604" s="21" t="s">
        <v>31</v>
      </c>
      <c r="N604" s="60">
        <v>4.41</v>
      </c>
      <c r="O604" s="23">
        <f t="shared" si="18"/>
        <v>586.44444444444434</v>
      </c>
      <c r="P604" s="24">
        <v>4.04</v>
      </c>
      <c r="Q604" s="61" t="s">
        <v>43</v>
      </c>
      <c r="R604" s="62" t="s">
        <v>33</v>
      </c>
      <c r="S604" s="62" t="s">
        <v>250</v>
      </c>
      <c r="T604" s="26"/>
      <c r="U604" s="39"/>
      <c r="V604" s="28">
        <f t="shared" si="19"/>
        <v>109</v>
      </c>
      <c r="W604" s="29"/>
      <c r="X604" s="29"/>
    </row>
    <row r="605" spans="1:24" s="40" customFormat="1" ht="21" customHeight="1">
      <c r="A605" s="34"/>
      <c r="B605" s="31"/>
      <c r="C605" s="32"/>
      <c r="D605" s="56" t="s">
        <v>287</v>
      </c>
      <c r="E605" s="57" t="s">
        <v>242</v>
      </c>
      <c r="F605" s="58">
        <v>9.8390000000000004</v>
      </c>
      <c r="G605" s="57">
        <v>1814</v>
      </c>
      <c r="H605" s="58">
        <v>279</v>
      </c>
      <c r="I605" s="57" t="s">
        <v>243</v>
      </c>
      <c r="J605" s="58">
        <v>8765</v>
      </c>
      <c r="K605" s="59">
        <v>24405</v>
      </c>
      <c r="L605" s="59">
        <v>15530</v>
      </c>
      <c r="M605" s="21" t="s">
        <v>31</v>
      </c>
      <c r="N605" s="60">
        <v>4.3600000000000003</v>
      </c>
      <c r="O605" s="23">
        <f t="shared" si="18"/>
        <v>593.16972477064223</v>
      </c>
      <c r="P605" s="24">
        <v>4.04</v>
      </c>
      <c r="Q605" s="61" t="s">
        <v>43</v>
      </c>
      <c r="R605" s="62" t="s">
        <v>33</v>
      </c>
      <c r="S605" s="62" t="s">
        <v>249</v>
      </c>
      <c r="T605" s="26"/>
      <c r="U605" s="39"/>
      <c r="V605" s="28">
        <f t="shared" si="19"/>
        <v>107</v>
      </c>
      <c r="W605" s="29"/>
      <c r="X605" s="29"/>
    </row>
    <row r="606" spans="1:24" s="40" customFormat="1" ht="21" customHeight="1">
      <c r="A606" s="34"/>
      <c r="B606" s="31"/>
      <c r="C606" s="32"/>
      <c r="D606" s="56" t="s">
        <v>287</v>
      </c>
      <c r="E606" s="57" t="s">
        <v>242</v>
      </c>
      <c r="F606" s="58">
        <v>9.8390000000000004</v>
      </c>
      <c r="G606" s="57">
        <v>1814</v>
      </c>
      <c r="H606" s="58">
        <v>279</v>
      </c>
      <c r="I606" s="57" t="s">
        <v>243</v>
      </c>
      <c r="J606" s="58">
        <v>8765</v>
      </c>
      <c r="K606" s="59">
        <v>24405</v>
      </c>
      <c r="L606" s="59">
        <v>15530</v>
      </c>
      <c r="M606" s="21" t="s">
        <v>31</v>
      </c>
      <c r="N606" s="60">
        <v>4.3600000000000003</v>
      </c>
      <c r="O606" s="23">
        <f t="shared" si="18"/>
        <v>593.16972477064223</v>
      </c>
      <c r="P606" s="24">
        <v>4.04</v>
      </c>
      <c r="Q606" s="61" t="s">
        <v>43</v>
      </c>
      <c r="R606" s="62" t="s">
        <v>33</v>
      </c>
      <c r="S606" s="62" t="s">
        <v>250</v>
      </c>
      <c r="T606" s="26"/>
      <c r="U606" s="39"/>
      <c r="V606" s="28">
        <f t="shared" si="19"/>
        <v>107</v>
      </c>
      <c r="W606" s="29"/>
      <c r="X606" s="29"/>
    </row>
    <row r="607" spans="1:24" s="40" customFormat="1" ht="21" customHeight="1">
      <c r="A607" s="34"/>
      <c r="B607" s="31"/>
      <c r="C607" s="32"/>
      <c r="D607" s="56" t="s">
        <v>287</v>
      </c>
      <c r="E607" s="57" t="s">
        <v>242</v>
      </c>
      <c r="F607" s="58">
        <v>9.8390000000000004</v>
      </c>
      <c r="G607" s="57">
        <v>1567</v>
      </c>
      <c r="H607" s="58">
        <v>265</v>
      </c>
      <c r="I607" s="57" t="s">
        <v>42</v>
      </c>
      <c r="J607" s="58">
        <v>8765</v>
      </c>
      <c r="K607" s="59">
        <v>24405</v>
      </c>
      <c r="L607" s="59">
        <v>15530</v>
      </c>
      <c r="M607" s="21" t="s">
        <v>31</v>
      </c>
      <c r="N607" s="60">
        <v>4.3600000000000003</v>
      </c>
      <c r="O607" s="23">
        <f t="shared" si="18"/>
        <v>593.16972477064223</v>
      </c>
      <c r="P607" s="24">
        <v>4.04</v>
      </c>
      <c r="Q607" s="61" t="s">
        <v>43</v>
      </c>
      <c r="R607" s="62" t="s">
        <v>33</v>
      </c>
      <c r="S607" s="62" t="s">
        <v>249</v>
      </c>
      <c r="T607" s="26"/>
      <c r="U607" s="39"/>
      <c r="V607" s="28">
        <f t="shared" si="19"/>
        <v>107</v>
      </c>
      <c r="W607" s="29"/>
      <c r="X607" s="29"/>
    </row>
    <row r="608" spans="1:24" s="40" customFormat="1" ht="21" customHeight="1">
      <c r="A608" s="34"/>
      <c r="B608" s="31"/>
      <c r="C608" s="32"/>
      <c r="D608" s="56" t="s">
        <v>287</v>
      </c>
      <c r="E608" s="57" t="s">
        <v>242</v>
      </c>
      <c r="F608" s="58">
        <v>9.8390000000000004</v>
      </c>
      <c r="G608" s="57">
        <v>1567</v>
      </c>
      <c r="H608" s="58">
        <v>265</v>
      </c>
      <c r="I608" s="57" t="s">
        <v>42</v>
      </c>
      <c r="J608" s="58">
        <v>8765</v>
      </c>
      <c r="K608" s="59">
        <v>24405</v>
      </c>
      <c r="L608" s="59">
        <v>15530</v>
      </c>
      <c r="M608" s="21" t="s">
        <v>31</v>
      </c>
      <c r="N608" s="60">
        <v>4.3600000000000003</v>
      </c>
      <c r="O608" s="23">
        <f t="shared" si="18"/>
        <v>593.16972477064223</v>
      </c>
      <c r="P608" s="24">
        <v>4.04</v>
      </c>
      <c r="Q608" s="61" t="s">
        <v>43</v>
      </c>
      <c r="R608" s="62" t="s">
        <v>33</v>
      </c>
      <c r="S608" s="62" t="s">
        <v>250</v>
      </c>
      <c r="T608" s="26"/>
      <c r="U608" s="39"/>
      <c r="V608" s="28">
        <f t="shared" si="19"/>
        <v>107</v>
      </c>
      <c r="W608" s="29"/>
      <c r="X608" s="29"/>
    </row>
    <row r="609" spans="1:24" s="40" customFormat="1" ht="21" customHeight="1">
      <c r="A609" s="34"/>
      <c r="B609" s="31"/>
      <c r="C609" s="32"/>
      <c r="D609" s="56" t="s">
        <v>287</v>
      </c>
      <c r="E609" s="57" t="s">
        <v>242</v>
      </c>
      <c r="F609" s="58">
        <v>9.8390000000000004</v>
      </c>
      <c r="G609" s="57">
        <v>1567</v>
      </c>
      <c r="H609" s="58">
        <v>265</v>
      </c>
      <c r="I609" s="57" t="s">
        <v>235</v>
      </c>
      <c r="J609" s="58">
        <v>8765</v>
      </c>
      <c r="K609" s="59">
        <v>24405</v>
      </c>
      <c r="L609" s="59">
        <v>15530</v>
      </c>
      <c r="M609" s="21" t="s">
        <v>31</v>
      </c>
      <c r="N609" s="60">
        <v>4.3499999999999996</v>
      </c>
      <c r="O609" s="23">
        <f t="shared" si="18"/>
        <v>594.53333333333342</v>
      </c>
      <c r="P609" s="24">
        <v>4.04</v>
      </c>
      <c r="Q609" s="61" t="s">
        <v>43</v>
      </c>
      <c r="R609" s="62" t="s">
        <v>33</v>
      </c>
      <c r="S609" s="62" t="s">
        <v>249</v>
      </c>
      <c r="T609" s="26"/>
      <c r="U609" s="39"/>
      <c r="V609" s="28">
        <f t="shared" si="19"/>
        <v>107</v>
      </c>
      <c r="W609" s="29"/>
      <c r="X609" s="29"/>
    </row>
    <row r="610" spans="1:24" s="40" customFormat="1" ht="21" customHeight="1">
      <c r="A610" s="34"/>
      <c r="B610" s="31"/>
      <c r="C610" s="32"/>
      <c r="D610" s="56" t="s">
        <v>287</v>
      </c>
      <c r="E610" s="57" t="s">
        <v>242</v>
      </c>
      <c r="F610" s="58">
        <v>9.8390000000000004</v>
      </c>
      <c r="G610" s="57">
        <v>1567</v>
      </c>
      <c r="H610" s="58">
        <v>265</v>
      </c>
      <c r="I610" s="57" t="s">
        <v>235</v>
      </c>
      <c r="J610" s="58">
        <v>8765</v>
      </c>
      <c r="K610" s="59">
        <v>24405</v>
      </c>
      <c r="L610" s="59">
        <v>15530</v>
      </c>
      <c r="M610" s="21" t="s">
        <v>31</v>
      </c>
      <c r="N610" s="60">
        <v>4.3499999999999996</v>
      </c>
      <c r="O610" s="23">
        <f t="shared" si="18"/>
        <v>594.53333333333342</v>
      </c>
      <c r="P610" s="24">
        <v>4.04</v>
      </c>
      <c r="Q610" s="61" t="s">
        <v>43</v>
      </c>
      <c r="R610" s="62" t="s">
        <v>33</v>
      </c>
      <c r="S610" s="62" t="s">
        <v>250</v>
      </c>
      <c r="T610" s="26"/>
      <c r="U610" s="39"/>
      <c r="V610" s="28">
        <f t="shared" si="19"/>
        <v>107</v>
      </c>
      <c r="W610" s="29"/>
      <c r="X610" s="29"/>
    </row>
    <row r="611" spans="1:24" s="40" customFormat="1" ht="21" customHeight="1">
      <c r="A611" s="34"/>
      <c r="B611" s="31"/>
      <c r="C611" s="32"/>
      <c r="D611" s="56" t="s">
        <v>287</v>
      </c>
      <c r="E611" s="57" t="s">
        <v>242</v>
      </c>
      <c r="F611" s="58">
        <v>9.8390000000000004</v>
      </c>
      <c r="G611" s="57">
        <v>1814</v>
      </c>
      <c r="H611" s="58">
        <v>279</v>
      </c>
      <c r="I611" s="57" t="s">
        <v>246</v>
      </c>
      <c r="J611" s="58">
        <v>8765</v>
      </c>
      <c r="K611" s="59">
        <v>24405</v>
      </c>
      <c r="L611" s="59">
        <v>15530</v>
      </c>
      <c r="M611" s="21" t="s">
        <v>31</v>
      </c>
      <c r="N611" s="60">
        <v>4.3</v>
      </c>
      <c r="O611" s="23">
        <f t="shared" si="18"/>
        <v>601.44651162790706</v>
      </c>
      <c r="P611" s="24">
        <v>4.04</v>
      </c>
      <c r="Q611" s="61" t="s">
        <v>63</v>
      </c>
      <c r="R611" s="62" t="s">
        <v>33</v>
      </c>
      <c r="S611" s="62" t="s">
        <v>249</v>
      </c>
      <c r="T611" s="26"/>
      <c r="U611" s="39"/>
      <c r="V611" s="28">
        <f t="shared" si="19"/>
        <v>106</v>
      </c>
      <c r="W611" s="29"/>
      <c r="X611" s="29"/>
    </row>
    <row r="612" spans="1:24" s="40" customFormat="1" ht="21" customHeight="1">
      <c r="A612" s="34"/>
      <c r="B612" s="31"/>
      <c r="C612" s="32"/>
      <c r="D612" s="56" t="s">
        <v>287</v>
      </c>
      <c r="E612" s="57" t="s">
        <v>242</v>
      </c>
      <c r="F612" s="58">
        <v>9.8390000000000004</v>
      </c>
      <c r="G612" s="57">
        <v>1814</v>
      </c>
      <c r="H612" s="58">
        <v>279</v>
      </c>
      <c r="I612" s="57" t="s">
        <v>246</v>
      </c>
      <c r="J612" s="58">
        <v>8765</v>
      </c>
      <c r="K612" s="59">
        <v>24405</v>
      </c>
      <c r="L612" s="59">
        <v>15530</v>
      </c>
      <c r="M612" s="21" t="s">
        <v>31</v>
      </c>
      <c r="N612" s="60">
        <v>4.3</v>
      </c>
      <c r="O612" s="23">
        <f t="shared" si="18"/>
        <v>601.44651162790706</v>
      </c>
      <c r="P612" s="24">
        <v>4.04</v>
      </c>
      <c r="Q612" s="61" t="s">
        <v>63</v>
      </c>
      <c r="R612" s="62" t="s">
        <v>33</v>
      </c>
      <c r="S612" s="62" t="s">
        <v>250</v>
      </c>
      <c r="T612" s="26"/>
      <c r="U612" s="39"/>
      <c r="V612" s="28">
        <f t="shared" si="19"/>
        <v>106</v>
      </c>
      <c r="W612" s="29"/>
      <c r="X612" s="29"/>
    </row>
    <row r="613" spans="1:24" s="40" customFormat="1" ht="21" customHeight="1">
      <c r="A613" s="34"/>
      <c r="B613" s="31"/>
      <c r="C613" s="32"/>
      <c r="D613" s="56" t="s">
        <v>287</v>
      </c>
      <c r="E613" s="57" t="s">
        <v>242</v>
      </c>
      <c r="F613" s="58">
        <v>9.8390000000000004</v>
      </c>
      <c r="G613" s="57">
        <v>1814</v>
      </c>
      <c r="H613" s="58">
        <v>279</v>
      </c>
      <c r="I613" s="57" t="s">
        <v>243</v>
      </c>
      <c r="J613" s="58">
        <v>8765</v>
      </c>
      <c r="K613" s="59">
        <v>24405</v>
      </c>
      <c r="L613" s="59">
        <v>15530</v>
      </c>
      <c r="M613" s="21" t="s">
        <v>31</v>
      </c>
      <c r="N613" s="60">
        <v>4.2699999999999996</v>
      </c>
      <c r="O613" s="23">
        <f t="shared" si="18"/>
        <v>605.67213114754099</v>
      </c>
      <c r="P613" s="24">
        <v>4.04</v>
      </c>
      <c r="Q613" s="61" t="s">
        <v>63</v>
      </c>
      <c r="R613" s="62" t="s">
        <v>33</v>
      </c>
      <c r="S613" s="62" t="s">
        <v>249</v>
      </c>
      <c r="T613" s="26"/>
      <c r="U613" s="39"/>
      <c r="V613" s="28">
        <f t="shared" si="19"/>
        <v>105</v>
      </c>
      <c r="W613" s="29"/>
      <c r="X613" s="29"/>
    </row>
    <row r="614" spans="1:24" s="40" customFormat="1" ht="21" customHeight="1">
      <c r="A614" s="34"/>
      <c r="B614" s="31"/>
      <c r="C614" s="32"/>
      <c r="D614" s="56" t="s">
        <v>287</v>
      </c>
      <c r="E614" s="57" t="s">
        <v>242</v>
      </c>
      <c r="F614" s="58">
        <v>9.8390000000000004</v>
      </c>
      <c r="G614" s="57">
        <v>1814</v>
      </c>
      <c r="H614" s="58">
        <v>279</v>
      </c>
      <c r="I614" s="57" t="s">
        <v>243</v>
      </c>
      <c r="J614" s="58">
        <v>8765</v>
      </c>
      <c r="K614" s="59">
        <v>24405</v>
      </c>
      <c r="L614" s="59">
        <v>15530</v>
      </c>
      <c r="M614" s="21" t="s">
        <v>31</v>
      </c>
      <c r="N614" s="60">
        <v>4.2699999999999996</v>
      </c>
      <c r="O614" s="23">
        <f t="shared" si="18"/>
        <v>605.67213114754099</v>
      </c>
      <c r="P614" s="24">
        <v>4.04</v>
      </c>
      <c r="Q614" s="61" t="s">
        <v>63</v>
      </c>
      <c r="R614" s="62" t="s">
        <v>33</v>
      </c>
      <c r="S614" s="62" t="s">
        <v>250</v>
      </c>
      <c r="T614" s="26"/>
      <c r="U614" s="39"/>
      <c r="V614" s="28">
        <f t="shared" si="19"/>
        <v>105</v>
      </c>
      <c r="W614" s="29"/>
      <c r="X614" s="29"/>
    </row>
    <row r="615" spans="1:24" s="40" customFormat="1" ht="21" customHeight="1">
      <c r="A615" s="34"/>
      <c r="B615" s="31"/>
      <c r="C615" s="32"/>
      <c r="D615" s="56" t="s">
        <v>287</v>
      </c>
      <c r="E615" s="57" t="s">
        <v>242</v>
      </c>
      <c r="F615" s="58">
        <v>9.8390000000000004</v>
      </c>
      <c r="G615" s="57">
        <v>1567</v>
      </c>
      <c r="H615" s="58">
        <v>265</v>
      </c>
      <c r="I615" s="57" t="s">
        <v>42</v>
      </c>
      <c r="J615" s="58">
        <v>8765</v>
      </c>
      <c r="K615" s="59">
        <v>24405</v>
      </c>
      <c r="L615" s="59">
        <v>15530</v>
      </c>
      <c r="M615" s="21" t="s">
        <v>31</v>
      </c>
      <c r="N615" s="60">
        <v>4.26</v>
      </c>
      <c r="O615" s="23">
        <f t="shared" si="18"/>
        <v>607.09389671361509</v>
      </c>
      <c r="P615" s="24">
        <v>4.04</v>
      </c>
      <c r="Q615" s="61" t="s">
        <v>63</v>
      </c>
      <c r="R615" s="62" t="s">
        <v>33</v>
      </c>
      <c r="S615" s="62" t="s">
        <v>249</v>
      </c>
      <c r="T615" s="26"/>
      <c r="U615" s="39"/>
      <c r="V615" s="28">
        <f t="shared" si="19"/>
        <v>105</v>
      </c>
      <c r="W615" s="29"/>
      <c r="X615" s="29"/>
    </row>
    <row r="616" spans="1:24" s="40" customFormat="1" ht="21" customHeight="1">
      <c r="A616" s="34"/>
      <c r="B616" s="31"/>
      <c r="C616" s="32"/>
      <c r="D616" s="56" t="s">
        <v>287</v>
      </c>
      <c r="E616" s="57" t="s">
        <v>242</v>
      </c>
      <c r="F616" s="58">
        <v>9.8390000000000004</v>
      </c>
      <c r="G616" s="57">
        <v>1567</v>
      </c>
      <c r="H616" s="58">
        <v>265</v>
      </c>
      <c r="I616" s="57" t="s">
        <v>42</v>
      </c>
      <c r="J616" s="58">
        <v>8765</v>
      </c>
      <c r="K616" s="59">
        <v>24405</v>
      </c>
      <c r="L616" s="59">
        <v>15530</v>
      </c>
      <c r="M616" s="21" t="s">
        <v>31</v>
      </c>
      <c r="N616" s="60">
        <v>4.26</v>
      </c>
      <c r="O616" s="23">
        <f t="shared" si="18"/>
        <v>607.09389671361509</v>
      </c>
      <c r="P616" s="24">
        <v>4.04</v>
      </c>
      <c r="Q616" s="61" t="s">
        <v>63</v>
      </c>
      <c r="R616" s="62" t="s">
        <v>33</v>
      </c>
      <c r="S616" s="62" t="s">
        <v>250</v>
      </c>
      <c r="T616" s="26"/>
      <c r="U616" s="39"/>
      <c r="V616" s="28">
        <f t="shared" si="19"/>
        <v>105</v>
      </c>
      <c r="W616" s="29"/>
      <c r="X616" s="29"/>
    </row>
    <row r="617" spans="1:24" s="40" customFormat="1" ht="21" customHeight="1">
      <c r="A617" s="34"/>
      <c r="B617" s="31"/>
      <c r="C617" s="32"/>
      <c r="D617" s="56" t="s">
        <v>287</v>
      </c>
      <c r="E617" s="57" t="s">
        <v>242</v>
      </c>
      <c r="F617" s="58">
        <v>9.8390000000000004</v>
      </c>
      <c r="G617" s="57">
        <v>1567</v>
      </c>
      <c r="H617" s="58">
        <v>265</v>
      </c>
      <c r="I617" s="57" t="s">
        <v>235</v>
      </c>
      <c r="J617" s="58">
        <v>8765</v>
      </c>
      <c r="K617" s="59">
        <v>24405</v>
      </c>
      <c r="L617" s="59">
        <v>15530</v>
      </c>
      <c r="M617" s="21" t="s">
        <v>31</v>
      </c>
      <c r="N617" s="60">
        <v>4.26</v>
      </c>
      <c r="O617" s="23">
        <f t="shared" si="18"/>
        <v>607.09389671361509</v>
      </c>
      <c r="P617" s="24">
        <v>4.04</v>
      </c>
      <c r="Q617" s="61" t="s">
        <v>63</v>
      </c>
      <c r="R617" s="62" t="s">
        <v>33</v>
      </c>
      <c r="S617" s="62" t="s">
        <v>249</v>
      </c>
      <c r="T617" s="26"/>
      <c r="U617" s="39"/>
      <c r="V617" s="28">
        <f t="shared" si="19"/>
        <v>105</v>
      </c>
      <c r="W617" s="29"/>
      <c r="X617" s="29"/>
    </row>
    <row r="618" spans="1:24" s="40" customFormat="1" ht="21" customHeight="1">
      <c r="A618" s="34"/>
      <c r="B618" s="31"/>
      <c r="C618" s="32"/>
      <c r="D618" s="56" t="s">
        <v>287</v>
      </c>
      <c r="E618" s="57" t="s">
        <v>242</v>
      </c>
      <c r="F618" s="58">
        <v>9.8390000000000004</v>
      </c>
      <c r="G618" s="57">
        <v>1567</v>
      </c>
      <c r="H618" s="58">
        <v>265</v>
      </c>
      <c r="I618" s="57" t="s">
        <v>235</v>
      </c>
      <c r="J618" s="58">
        <v>8765</v>
      </c>
      <c r="K618" s="59">
        <v>24405</v>
      </c>
      <c r="L618" s="59">
        <v>15530</v>
      </c>
      <c r="M618" s="21" t="s">
        <v>31</v>
      </c>
      <c r="N618" s="60">
        <v>4.26</v>
      </c>
      <c r="O618" s="23">
        <f t="shared" si="18"/>
        <v>607.09389671361509</v>
      </c>
      <c r="P618" s="24">
        <v>4.04</v>
      </c>
      <c r="Q618" s="61" t="s">
        <v>63</v>
      </c>
      <c r="R618" s="62" t="s">
        <v>33</v>
      </c>
      <c r="S618" s="62" t="s">
        <v>250</v>
      </c>
      <c r="T618" s="26"/>
      <c r="U618" s="39"/>
      <c r="V618" s="28">
        <f t="shared" si="19"/>
        <v>105</v>
      </c>
      <c r="W618" s="29"/>
      <c r="X618" s="29"/>
    </row>
    <row r="619" spans="1:24" s="40" customFormat="1" ht="21" customHeight="1">
      <c r="A619" s="34"/>
      <c r="B619" s="31"/>
      <c r="C619" s="32"/>
      <c r="D619" s="56" t="s">
        <v>288</v>
      </c>
      <c r="E619" s="57" t="s">
        <v>242</v>
      </c>
      <c r="F619" s="58">
        <v>9.8390000000000004</v>
      </c>
      <c r="G619" s="57">
        <v>1814</v>
      </c>
      <c r="H619" s="58">
        <v>279</v>
      </c>
      <c r="I619" s="57" t="s">
        <v>246</v>
      </c>
      <c r="J619" s="58">
        <v>8765</v>
      </c>
      <c r="K619" s="59">
        <v>24405</v>
      </c>
      <c r="L619" s="59">
        <v>15530</v>
      </c>
      <c r="M619" s="21" t="s">
        <v>31</v>
      </c>
      <c r="N619" s="60">
        <v>4.41</v>
      </c>
      <c r="O619" s="23">
        <f t="shared" si="18"/>
        <v>586.44444444444434</v>
      </c>
      <c r="P619" s="24">
        <v>4.04</v>
      </c>
      <c r="Q619" s="61" t="s">
        <v>43</v>
      </c>
      <c r="R619" s="62" t="s">
        <v>33</v>
      </c>
      <c r="S619" s="62" t="s">
        <v>249</v>
      </c>
      <c r="T619" s="26"/>
      <c r="U619" s="39"/>
      <c r="V619" s="28">
        <f t="shared" si="19"/>
        <v>109</v>
      </c>
      <c r="W619" s="29"/>
      <c r="X619" s="29"/>
    </row>
    <row r="620" spans="1:24" s="40" customFormat="1" ht="21" customHeight="1">
      <c r="A620" s="34"/>
      <c r="B620" s="31"/>
      <c r="C620" s="32"/>
      <c r="D620" s="56" t="s">
        <v>288</v>
      </c>
      <c r="E620" s="57" t="s">
        <v>242</v>
      </c>
      <c r="F620" s="58">
        <v>9.8390000000000004</v>
      </c>
      <c r="G620" s="57">
        <v>1814</v>
      </c>
      <c r="H620" s="58">
        <v>279</v>
      </c>
      <c r="I620" s="57" t="s">
        <v>246</v>
      </c>
      <c r="J620" s="58">
        <v>8765</v>
      </c>
      <c r="K620" s="59">
        <v>24405</v>
      </c>
      <c r="L620" s="59">
        <v>15530</v>
      </c>
      <c r="M620" s="21" t="s">
        <v>31</v>
      </c>
      <c r="N620" s="60">
        <v>4.41</v>
      </c>
      <c r="O620" s="23">
        <f t="shared" si="18"/>
        <v>586.44444444444434</v>
      </c>
      <c r="P620" s="24">
        <v>4.04</v>
      </c>
      <c r="Q620" s="61" t="s">
        <v>43</v>
      </c>
      <c r="R620" s="62" t="s">
        <v>33</v>
      </c>
      <c r="S620" s="62" t="s">
        <v>250</v>
      </c>
      <c r="T620" s="26"/>
      <c r="U620" s="39"/>
      <c r="V620" s="28">
        <f t="shared" si="19"/>
        <v>109</v>
      </c>
      <c r="W620" s="29"/>
      <c r="X620" s="29"/>
    </row>
    <row r="621" spans="1:24" s="40" customFormat="1" ht="21" customHeight="1">
      <c r="A621" s="34"/>
      <c r="B621" s="31"/>
      <c r="C621" s="32"/>
      <c r="D621" s="56" t="s">
        <v>288</v>
      </c>
      <c r="E621" s="57" t="s">
        <v>242</v>
      </c>
      <c r="F621" s="58">
        <v>9.8390000000000004</v>
      </c>
      <c r="G621" s="57">
        <v>1814</v>
      </c>
      <c r="H621" s="58">
        <v>279</v>
      </c>
      <c r="I621" s="57" t="s">
        <v>243</v>
      </c>
      <c r="J621" s="58">
        <v>8765</v>
      </c>
      <c r="K621" s="59">
        <v>24405</v>
      </c>
      <c r="L621" s="59">
        <v>15530</v>
      </c>
      <c r="M621" s="21" t="s">
        <v>31</v>
      </c>
      <c r="N621" s="60">
        <v>4.3600000000000003</v>
      </c>
      <c r="O621" s="23">
        <f t="shared" si="18"/>
        <v>593.16972477064223</v>
      </c>
      <c r="P621" s="24">
        <v>4.04</v>
      </c>
      <c r="Q621" s="61" t="s">
        <v>43</v>
      </c>
      <c r="R621" s="62" t="s">
        <v>33</v>
      </c>
      <c r="S621" s="62" t="s">
        <v>249</v>
      </c>
      <c r="T621" s="26"/>
      <c r="U621" s="39"/>
      <c r="V621" s="28">
        <f t="shared" si="19"/>
        <v>107</v>
      </c>
      <c r="W621" s="29"/>
      <c r="X621" s="29"/>
    </row>
    <row r="622" spans="1:24" s="40" customFormat="1" ht="21" customHeight="1">
      <c r="A622" s="34"/>
      <c r="B622" s="31"/>
      <c r="C622" s="32"/>
      <c r="D622" s="56" t="s">
        <v>288</v>
      </c>
      <c r="E622" s="57" t="s">
        <v>242</v>
      </c>
      <c r="F622" s="58">
        <v>9.8390000000000004</v>
      </c>
      <c r="G622" s="57">
        <v>1814</v>
      </c>
      <c r="H622" s="58">
        <v>279</v>
      </c>
      <c r="I622" s="57" t="s">
        <v>243</v>
      </c>
      <c r="J622" s="58">
        <v>8765</v>
      </c>
      <c r="K622" s="59">
        <v>24405</v>
      </c>
      <c r="L622" s="59">
        <v>15530</v>
      </c>
      <c r="M622" s="21" t="s">
        <v>31</v>
      </c>
      <c r="N622" s="60">
        <v>4.3600000000000003</v>
      </c>
      <c r="O622" s="23">
        <f t="shared" si="18"/>
        <v>593.16972477064223</v>
      </c>
      <c r="P622" s="24">
        <v>4.04</v>
      </c>
      <c r="Q622" s="61" t="s">
        <v>43</v>
      </c>
      <c r="R622" s="62" t="s">
        <v>33</v>
      </c>
      <c r="S622" s="62" t="s">
        <v>250</v>
      </c>
      <c r="T622" s="26"/>
      <c r="U622" s="39"/>
      <c r="V622" s="28">
        <f t="shared" si="19"/>
        <v>107</v>
      </c>
      <c r="W622" s="29"/>
      <c r="X622" s="29"/>
    </row>
    <row r="623" spans="1:24" s="40" customFormat="1" ht="21" customHeight="1">
      <c r="A623" s="34"/>
      <c r="B623" s="31"/>
      <c r="C623" s="32"/>
      <c r="D623" s="56" t="s">
        <v>288</v>
      </c>
      <c r="E623" s="57" t="s">
        <v>242</v>
      </c>
      <c r="F623" s="58">
        <v>9.8390000000000004</v>
      </c>
      <c r="G623" s="57">
        <v>1814</v>
      </c>
      <c r="H623" s="58">
        <v>279</v>
      </c>
      <c r="I623" s="57" t="s">
        <v>246</v>
      </c>
      <c r="J623" s="58">
        <v>8765</v>
      </c>
      <c r="K623" s="59">
        <v>24405</v>
      </c>
      <c r="L623" s="59">
        <v>15530</v>
      </c>
      <c r="M623" s="21" t="s">
        <v>31</v>
      </c>
      <c r="N623" s="60">
        <v>4.3</v>
      </c>
      <c r="O623" s="23">
        <f t="shared" si="18"/>
        <v>601.44651162790706</v>
      </c>
      <c r="P623" s="24">
        <v>4.04</v>
      </c>
      <c r="Q623" s="61" t="s">
        <v>63</v>
      </c>
      <c r="R623" s="62" t="s">
        <v>33</v>
      </c>
      <c r="S623" s="62" t="s">
        <v>249</v>
      </c>
      <c r="T623" s="26"/>
      <c r="U623" s="39"/>
      <c r="V623" s="28">
        <f t="shared" si="19"/>
        <v>106</v>
      </c>
      <c r="W623" s="29"/>
      <c r="X623" s="29"/>
    </row>
    <row r="624" spans="1:24" s="40" customFormat="1" ht="21" customHeight="1">
      <c r="A624" s="34"/>
      <c r="B624" s="31"/>
      <c r="C624" s="32"/>
      <c r="D624" s="56" t="s">
        <v>288</v>
      </c>
      <c r="E624" s="57" t="s">
        <v>242</v>
      </c>
      <c r="F624" s="58">
        <v>9.8390000000000004</v>
      </c>
      <c r="G624" s="57">
        <v>1814</v>
      </c>
      <c r="H624" s="58">
        <v>279</v>
      </c>
      <c r="I624" s="57" t="s">
        <v>246</v>
      </c>
      <c r="J624" s="58">
        <v>8765</v>
      </c>
      <c r="K624" s="59">
        <v>24405</v>
      </c>
      <c r="L624" s="59">
        <v>15530</v>
      </c>
      <c r="M624" s="21" t="s">
        <v>31</v>
      </c>
      <c r="N624" s="60">
        <v>4.3</v>
      </c>
      <c r="O624" s="23">
        <f t="shared" si="18"/>
        <v>601.44651162790706</v>
      </c>
      <c r="P624" s="24">
        <v>4.04</v>
      </c>
      <c r="Q624" s="61" t="s">
        <v>63</v>
      </c>
      <c r="R624" s="62" t="s">
        <v>33</v>
      </c>
      <c r="S624" s="62" t="s">
        <v>250</v>
      </c>
      <c r="T624" s="26"/>
      <c r="U624" s="39"/>
      <c r="V624" s="28">
        <f t="shared" si="19"/>
        <v>106</v>
      </c>
      <c r="W624" s="29"/>
      <c r="X624" s="29"/>
    </row>
    <row r="625" spans="1:24" s="40" customFormat="1" ht="21" customHeight="1">
      <c r="A625" s="34"/>
      <c r="B625" s="31"/>
      <c r="C625" s="32"/>
      <c r="D625" s="56" t="s">
        <v>288</v>
      </c>
      <c r="E625" s="57" t="s">
        <v>242</v>
      </c>
      <c r="F625" s="58">
        <v>9.8390000000000004</v>
      </c>
      <c r="G625" s="57">
        <v>1814</v>
      </c>
      <c r="H625" s="58">
        <v>279</v>
      </c>
      <c r="I625" s="57" t="s">
        <v>243</v>
      </c>
      <c r="J625" s="58">
        <v>8765</v>
      </c>
      <c r="K625" s="59">
        <v>24405</v>
      </c>
      <c r="L625" s="59">
        <v>15530</v>
      </c>
      <c r="M625" s="21" t="s">
        <v>31</v>
      </c>
      <c r="N625" s="60">
        <v>4.2699999999999996</v>
      </c>
      <c r="O625" s="23">
        <f t="shared" si="18"/>
        <v>605.67213114754099</v>
      </c>
      <c r="P625" s="24">
        <v>4.04</v>
      </c>
      <c r="Q625" s="61" t="s">
        <v>63</v>
      </c>
      <c r="R625" s="62" t="s">
        <v>33</v>
      </c>
      <c r="S625" s="62" t="s">
        <v>249</v>
      </c>
      <c r="T625" s="26"/>
      <c r="U625" s="39"/>
      <c r="V625" s="28">
        <f t="shared" si="19"/>
        <v>105</v>
      </c>
      <c r="W625" s="29"/>
      <c r="X625" s="29"/>
    </row>
    <row r="626" spans="1:24" s="40" customFormat="1" ht="21" customHeight="1">
      <c r="A626" s="34"/>
      <c r="B626" s="31"/>
      <c r="C626" s="32"/>
      <c r="D626" s="56" t="s">
        <v>288</v>
      </c>
      <c r="E626" s="57" t="s">
        <v>242</v>
      </c>
      <c r="F626" s="58">
        <v>9.8390000000000004</v>
      </c>
      <c r="G626" s="57">
        <v>1814</v>
      </c>
      <c r="H626" s="58">
        <v>279</v>
      </c>
      <c r="I626" s="57" t="s">
        <v>243</v>
      </c>
      <c r="J626" s="58">
        <v>8765</v>
      </c>
      <c r="K626" s="59">
        <v>24405</v>
      </c>
      <c r="L626" s="59">
        <v>15530</v>
      </c>
      <c r="M626" s="21" t="s">
        <v>31</v>
      </c>
      <c r="N626" s="60">
        <v>4.2699999999999996</v>
      </c>
      <c r="O626" s="23">
        <f t="shared" si="18"/>
        <v>605.67213114754099</v>
      </c>
      <c r="P626" s="24">
        <v>4.04</v>
      </c>
      <c r="Q626" s="61" t="s">
        <v>63</v>
      </c>
      <c r="R626" s="62" t="s">
        <v>33</v>
      </c>
      <c r="S626" s="62" t="s">
        <v>250</v>
      </c>
      <c r="T626" s="26"/>
      <c r="U626" s="39"/>
      <c r="V626" s="28">
        <f t="shared" si="19"/>
        <v>105</v>
      </c>
      <c r="W626" s="29"/>
      <c r="X626" s="29"/>
    </row>
    <row r="627" spans="1:24" s="40" customFormat="1" ht="21" customHeight="1">
      <c r="A627" s="34"/>
      <c r="B627" s="31"/>
      <c r="C627" s="32"/>
      <c r="D627" s="56" t="s">
        <v>289</v>
      </c>
      <c r="E627" s="57" t="s">
        <v>242</v>
      </c>
      <c r="F627" s="58">
        <v>9.8390000000000004</v>
      </c>
      <c r="G627" s="57">
        <v>1814</v>
      </c>
      <c r="H627" s="58">
        <v>279</v>
      </c>
      <c r="I627" s="57" t="s">
        <v>246</v>
      </c>
      <c r="J627" s="58">
        <v>8765</v>
      </c>
      <c r="K627" s="59">
        <v>24405</v>
      </c>
      <c r="L627" s="59">
        <v>15530</v>
      </c>
      <c r="M627" s="21" t="s">
        <v>31</v>
      </c>
      <c r="N627" s="60">
        <v>4.41</v>
      </c>
      <c r="O627" s="23">
        <f t="shared" si="18"/>
        <v>586.44444444444434</v>
      </c>
      <c r="P627" s="24">
        <v>4.04</v>
      </c>
      <c r="Q627" s="61" t="s">
        <v>43</v>
      </c>
      <c r="R627" s="62" t="s">
        <v>33</v>
      </c>
      <c r="S627" s="62" t="s">
        <v>250</v>
      </c>
      <c r="T627" s="26"/>
      <c r="U627" s="39"/>
      <c r="V627" s="28">
        <f t="shared" si="19"/>
        <v>109</v>
      </c>
      <c r="W627" s="29"/>
      <c r="X627" s="29"/>
    </row>
    <row r="628" spans="1:24" s="40" customFormat="1" ht="21" customHeight="1">
      <c r="A628" s="34"/>
      <c r="B628" s="31"/>
      <c r="C628" s="32"/>
      <c r="D628" s="56" t="s">
        <v>289</v>
      </c>
      <c r="E628" s="57" t="s">
        <v>242</v>
      </c>
      <c r="F628" s="58">
        <v>9.8390000000000004</v>
      </c>
      <c r="G628" s="57">
        <v>1814</v>
      </c>
      <c r="H628" s="58">
        <v>279</v>
      </c>
      <c r="I628" s="57" t="s">
        <v>246</v>
      </c>
      <c r="J628" s="58">
        <v>8765</v>
      </c>
      <c r="K628" s="59">
        <v>24405</v>
      </c>
      <c r="L628" s="59">
        <v>15530</v>
      </c>
      <c r="M628" s="21" t="s">
        <v>31</v>
      </c>
      <c r="N628" s="60">
        <v>4.41</v>
      </c>
      <c r="O628" s="23">
        <f t="shared" si="18"/>
        <v>586.44444444444434</v>
      </c>
      <c r="P628" s="24">
        <v>4.04</v>
      </c>
      <c r="Q628" s="61" t="s">
        <v>43</v>
      </c>
      <c r="R628" s="62" t="s">
        <v>33</v>
      </c>
      <c r="S628" s="62" t="s">
        <v>249</v>
      </c>
      <c r="T628" s="26"/>
      <c r="U628" s="39"/>
      <c r="V628" s="28">
        <f t="shared" si="19"/>
        <v>109</v>
      </c>
      <c r="W628" s="29"/>
      <c r="X628" s="29"/>
    </row>
    <row r="629" spans="1:24" s="40" customFormat="1" ht="21" customHeight="1">
      <c r="A629" s="34"/>
      <c r="B629" s="31"/>
      <c r="C629" s="32"/>
      <c r="D629" s="56" t="s">
        <v>289</v>
      </c>
      <c r="E629" s="57" t="s">
        <v>242</v>
      </c>
      <c r="F629" s="58">
        <v>9.8390000000000004</v>
      </c>
      <c r="G629" s="57">
        <v>1814</v>
      </c>
      <c r="H629" s="58">
        <v>279</v>
      </c>
      <c r="I629" s="57" t="s">
        <v>243</v>
      </c>
      <c r="J629" s="58">
        <v>8765</v>
      </c>
      <c r="K629" s="59">
        <v>24405</v>
      </c>
      <c r="L629" s="59">
        <v>15530</v>
      </c>
      <c r="M629" s="21" t="s">
        <v>31</v>
      </c>
      <c r="N629" s="60">
        <v>4.3600000000000003</v>
      </c>
      <c r="O629" s="23">
        <f t="shared" si="18"/>
        <v>593.16972477064223</v>
      </c>
      <c r="P629" s="24">
        <v>4.04</v>
      </c>
      <c r="Q629" s="61" t="s">
        <v>43</v>
      </c>
      <c r="R629" s="62" t="s">
        <v>33</v>
      </c>
      <c r="S629" s="62" t="s">
        <v>250</v>
      </c>
      <c r="T629" s="26"/>
      <c r="U629" s="39"/>
      <c r="V629" s="28">
        <f t="shared" si="19"/>
        <v>107</v>
      </c>
      <c r="W629" s="29"/>
      <c r="X629" s="29"/>
    </row>
    <row r="630" spans="1:24" s="40" customFormat="1" ht="21" customHeight="1">
      <c r="A630" s="34"/>
      <c r="B630" s="31"/>
      <c r="C630" s="32"/>
      <c r="D630" s="56" t="s">
        <v>289</v>
      </c>
      <c r="E630" s="57" t="s">
        <v>242</v>
      </c>
      <c r="F630" s="58">
        <v>9.8390000000000004</v>
      </c>
      <c r="G630" s="57">
        <v>1814</v>
      </c>
      <c r="H630" s="58">
        <v>279</v>
      </c>
      <c r="I630" s="57" t="s">
        <v>243</v>
      </c>
      <c r="J630" s="58">
        <v>8765</v>
      </c>
      <c r="K630" s="59">
        <v>24405</v>
      </c>
      <c r="L630" s="59">
        <v>15530</v>
      </c>
      <c r="M630" s="21" t="s">
        <v>31</v>
      </c>
      <c r="N630" s="60">
        <v>4.3600000000000003</v>
      </c>
      <c r="O630" s="23">
        <f t="shared" si="18"/>
        <v>593.16972477064223</v>
      </c>
      <c r="P630" s="24">
        <v>4.04</v>
      </c>
      <c r="Q630" s="61" t="s">
        <v>43</v>
      </c>
      <c r="R630" s="62" t="s">
        <v>33</v>
      </c>
      <c r="S630" s="62" t="s">
        <v>249</v>
      </c>
      <c r="T630" s="26"/>
      <c r="U630" s="39"/>
      <c r="V630" s="28">
        <f t="shared" si="19"/>
        <v>107</v>
      </c>
      <c r="W630" s="29"/>
      <c r="X630" s="29"/>
    </row>
    <row r="631" spans="1:24" s="40" customFormat="1" ht="21" customHeight="1">
      <c r="A631" s="34"/>
      <c r="B631" s="31"/>
      <c r="C631" s="32"/>
      <c r="D631" s="56" t="s">
        <v>289</v>
      </c>
      <c r="E631" s="57" t="s">
        <v>242</v>
      </c>
      <c r="F631" s="58">
        <v>9.8390000000000004</v>
      </c>
      <c r="G631" s="57">
        <v>1814</v>
      </c>
      <c r="H631" s="58">
        <v>279</v>
      </c>
      <c r="I631" s="57" t="s">
        <v>246</v>
      </c>
      <c r="J631" s="58">
        <v>8765</v>
      </c>
      <c r="K631" s="59">
        <v>24405</v>
      </c>
      <c r="L631" s="59">
        <v>15530</v>
      </c>
      <c r="M631" s="21" t="s">
        <v>31</v>
      </c>
      <c r="N631" s="60">
        <v>4.3</v>
      </c>
      <c r="O631" s="23">
        <f t="shared" si="18"/>
        <v>601.44651162790706</v>
      </c>
      <c r="P631" s="24">
        <v>4.04</v>
      </c>
      <c r="Q631" s="61" t="s">
        <v>63</v>
      </c>
      <c r="R631" s="62" t="s">
        <v>33</v>
      </c>
      <c r="S631" s="62" t="s">
        <v>250</v>
      </c>
      <c r="T631" s="26"/>
      <c r="U631" s="39"/>
      <c r="V631" s="28">
        <f t="shared" si="19"/>
        <v>106</v>
      </c>
      <c r="W631" s="29"/>
      <c r="X631" s="29"/>
    </row>
    <row r="632" spans="1:24" s="40" customFormat="1" ht="21" customHeight="1">
      <c r="A632" s="34"/>
      <c r="B632" s="31"/>
      <c r="C632" s="32"/>
      <c r="D632" s="56" t="s">
        <v>289</v>
      </c>
      <c r="E632" s="57" t="s">
        <v>242</v>
      </c>
      <c r="F632" s="58">
        <v>9.8390000000000004</v>
      </c>
      <c r="G632" s="57">
        <v>1814</v>
      </c>
      <c r="H632" s="58">
        <v>279</v>
      </c>
      <c r="I632" s="57" t="s">
        <v>246</v>
      </c>
      <c r="J632" s="58">
        <v>8765</v>
      </c>
      <c r="K632" s="59">
        <v>24405</v>
      </c>
      <c r="L632" s="59">
        <v>15530</v>
      </c>
      <c r="M632" s="21" t="s">
        <v>31</v>
      </c>
      <c r="N632" s="60">
        <v>4.3</v>
      </c>
      <c r="O632" s="23">
        <f t="shared" si="18"/>
        <v>601.44651162790706</v>
      </c>
      <c r="P632" s="24">
        <v>4.04</v>
      </c>
      <c r="Q632" s="61" t="s">
        <v>63</v>
      </c>
      <c r="R632" s="62" t="s">
        <v>33</v>
      </c>
      <c r="S632" s="62" t="s">
        <v>249</v>
      </c>
      <c r="T632" s="26"/>
      <c r="U632" s="39"/>
      <c r="V632" s="28">
        <f t="shared" si="19"/>
        <v>106</v>
      </c>
      <c r="W632" s="29"/>
      <c r="X632" s="29"/>
    </row>
    <row r="633" spans="1:24" s="40" customFormat="1" ht="21" customHeight="1">
      <c r="A633" s="34"/>
      <c r="B633" s="31"/>
      <c r="C633" s="32"/>
      <c r="D633" s="56" t="s">
        <v>289</v>
      </c>
      <c r="E633" s="57" t="s">
        <v>242</v>
      </c>
      <c r="F633" s="58">
        <v>9.8390000000000004</v>
      </c>
      <c r="G633" s="57">
        <v>1814</v>
      </c>
      <c r="H633" s="58">
        <v>279</v>
      </c>
      <c r="I633" s="57" t="s">
        <v>243</v>
      </c>
      <c r="J633" s="58">
        <v>8765</v>
      </c>
      <c r="K633" s="59">
        <v>24405</v>
      </c>
      <c r="L633" s="59">
        <v>15530</v>
      </c>
      <c r="M633" s="21" t="s">
        <v>31</v>
      </c>
      <c r="N633" s="60">
        <v>4.2699999999999996</v>
      </c>
      <c r="O633" s="23">
        <f t="shared" si="18"/>
        <v>605.67213114754099</v>
      </c>
      <c r="P633" s="24">
        <v>4.04</v>
      </c>
      <c r="Q633" s="61" t="s">
        <v>63</v>
      </c>
      <c r="R633" s="62" t="s">
        <v>33</v>
      </c>
      <c r="S633" s="62" t="s">
        <v>250</v>
      </c>
      <c r="T633" s="26"/>
      <c r="U633" s="39"/>
      <c r="V633" s="28">
        <f t="shared" si="19"/>
        <v>105</v>
      </c>
      <c r="W633" s="29"/>
      <c r="X633" s="29"/>
    </row>
    <row r="634" spans="1:24" s="40" customFormat="1" ht="21" customHeight="1">
      <c r="A634" s="34"/>
      <c r="B634" s="31"/>
      <c r="C634" s="32"/>
      <c r="D634" s="56" t="s">
        <v>289</v>
      </c>
      <c r="E634" s="57" t="s">
        <v>242</v>
      </c>
      <c r="F634" s="58">
        <v>9.8390000000000004</v>
      </c>
      <c r="G634" s="57">
        <v>1814</v>
      </c>
      <c r="H634" s="58">
        <v>279</v>
      </c>
      <c r="I634" s="57" t="s">
        <v>243</v>
      </c>
      <c r="J634" s="58">
        <v>8765</v>
      </c>
      <c r="K634" s="59">
        <v>24405</v>
      </c>
      <c r="L634" s="59">
        <v>15530</v>
      </c>
      <c r="M634" s="21" t="s">
        <v>31</v>
      </c>
      <c r="N634" s="60">
        <v>4.2699999999999996</v>
      </c>
      <c r="O634" s="23">
        <f t="shared" si="18"/>
        <v>605.67213114754099</v>
      </c>
      <c r="P634" s="24">
        <v>4.04</v>
      </c>
      <c r="Q634" s="61" t="s">
        <v>63</v>
      </c>
      <c r="R634" s="62" t="s">
        <v>33</v>
      </c>
      <c r="S634" s="62" t="s">
        <v>249</v>
      </c>
      <c r="T634" s="26"/>
      <c r="U634" s="39"/>
      <c r="V634" s="28">
        <f t="shared" si="19"/>
        <v>105</v>
      </c>
      <c r="W634" s="29"/>
      <c r="X634" s="29"/>
    </row>
    <row r="635" spans="1:24" s="40" customFormat="1" ht="21" customHeight="1">
      <c r="A635" s="34"/>
      <c r="B635" s="31"/>
      <c r="C635" s="32"/>
      <c r="D635" s="56" t="s">
        <v>290</v>
      </c>
      <c r="E635" s="57" t="s">
        <v>242</v>
      </c>
      <c r="F635" s="58">
        <v>9.8390000000000004</v>
      </c>
      <c r="G635" s="57">
        <v>1814</v>
      </c>
      <c r="H635" s="58">
        <v>279</v>
      </c>
      <c r="I635" s="57" t="s">
        <v>246</v>
      </c>
      <c r="J635" s="58">
        <v>8765</v>
      </c>
      <c r="K635" s="59">
        <v>24405</v>
      </c>
      <c r="L635" s="59">
        <v>15530</v>
      </c>
      <c r="M635" s="21" t="s">
        <v>31</v>
      </c>
      <c r="N635" s="60">
        <v>4.41</v>
      </c>
      <c r="O635" s="23">
        <f t="shared" si="18"/>
        <v>586.44444444444434</v>
      </c>
      <c r="P635" s="24">
        <v>4.04</v>
      </c>
      <c r="Q635" s="61" t="s">
        <v>43</v>
      </c>
      <c r="R635" s="62" t="s">
        <v>33</v>
      </c>
      <c r="S635" s="62" t="s">
        <v>249</v>
      </c>
      <c r="T635" s="26"/>
      <c r="U635" s="39"/>
      <c r="V635" s="28">
        <f t="shared" si="19"/>
        <v>109</v>
      </c>
      <c r="W635" s="29"/>
      <c r="X635" s="29"/>
    </row>
    <row r="636" spans="1:24" s="40" customFormat="1" ht="21" customHeight="1">
      <c r="A636" s="34"/>
      <c r="B636" s="31"/>
      <c r="C636" s="32"/>
      <c r="D636" s="56" t="s">
        <v>290</v>
      </c>
      <c r="E636" s="57" t="s">
        <v>242</v>
      </c>
      <c r="F636" s="58">
        <v>9.8390000000000004</v>
      </c>
      <c r="G636" s="57">
        <v>1814</v>
      </c>
      <c r="H636" s="58">
        <v>279</v>
      </c>
      <c r="I636" s="57" t="s">
        <v>246</v>
      </c>
      <c r="J636" s="58">
        <v>8765</v>
      </c>
      <c r="K636" s="59">
        <v>24405</v>
      </c>
      <c r="L636" s="59">
        <v>15530</v>
      </c>
      <c r="M636" s="21" t="s">
        <v>31</v>
      </c>
      <c r="N636" s="60">
        <v>4.41</v>
      </c>
      <c r="O636" s="23">
        <f t="shared" si="18"/>
        <v>586.44444444444434</v>
      </c>
      <c r="P636" s="24">
        <v>4.04</v>
      </c>
      <c r="Q636" s="61" t="s">
        <v>43</v>
      </c>
      <c r="R636" s="62" t="s">
        <v>33</v>
      </c>
      <c r="S636" s="62" t="s">
        <v>250</v>
      </c>
      <c r="T636" s="26"/>
      <c r="U636" s="39"/>
      <c r="V636" s="28">
        <f t="shared" si="19"/>
        <v>109</v>
      </c>
      <c r="W636" s="29"/>
      <c r="X636" s="29"/>
    </row>
    <row r="637" spans="1:24" s="40" customFormat="1" ht="21" customHeight="1">
      <c r="A637" s="34"/>
      <c r="B637" s="31"/>
      <c r="C637" s="32"/>
      <c r="D637" s="56" t="s">
        <v>290</v>
      </c>
      <c r="E637" s="57" t="s">
        <v>242</v>
      </c>
      <c r="F637" s="58">
        <v>9.8390000000000004</v>
      </c>
      <c r="G637" s="57">
        <v>1814</v>
      </c>
      <c r="H637" s="58">
        <v>279</v>
      </c>
      <c r="I637" s="57" t="s">
        <v>243</v>
      </c>
      <c r="J637" s="58">
        <v>8765</v>
      </c>
      <c r="K637" s="59">
        <v>24405</v>
      </c>
      <c r="L637" s="59">
        <v>15530</v>
      </c>
      <c r="M637" s="21" t="s">
        <v>31</v>
      </c>
      <c r="N637" s="60">
        <v>4.3600000000000003</v>
      </c>
      <c r="O637" s="23">
        <f t="shared" si="18"/>
        <v>593.16972477064223</v>
      </c>
      <c r="P637" s="24">
        <v>4.04</v>
      </c>
      <c r="Q637" s="61" t="s">
        <v>43</v>
      </c>
      <c r="R637" s="62" t="s">
        <v>33</v>
      </c>
      <c r="S637" s="62" t="s">
        <v>249</v>
      </c>
      <c r="T637" s="26"/>
      <c r="U637" s="39"/>
      <c r="V637" s="28">
        <f t="shared" si="19"/>
        <v>107</v>
      </c>
      <c r="W637" s="29"/>
      <c r="X637" s="29"/>
    </row>
    <row r="638" spans="1:24" s="40" customFormat="1" ht="21" customHeight="1">
      <c r="A638" s="34"/>
      <c r="B638" s="31"/>
      <c r="C638" s="32"/>
      <c r="D638" s="56" t="s">
        <v>290</v>
      </c>
      <c r="E638" s="57" t="s">
        <v>242</v>
      </c>
      <c r="F638" s="58">
        <v>9.8390000000000004</v>
      </c>
      <c r="G638" s="57">
        <v>1814</v>
      </c>
      <c r="H638" s="58">
        <v>279</v>
      </c>
      <c r="I638" s="57" t="s">
        <v>243</v>
      </c>
      <c r="J638" s="58">
        <v>8765</v>
      </c>
      <c r="K638" s="59">
        <v>24405</v>
      </c>
      <c r="L638" s="59">
        <v>15530</v>
      </c>
      <c r="M638" s="21" t="s">
        <v>31</v>
      </c>
      <c r="N638" s="60">
        <v>4.3600000000000003</v>
      </c>
      <c r="O638" s="23">
        <f t="shared" si="18"/>
        <v>593.16972477064223</v>
      </c>
      <c r="P638" s="24">
        <v>4.04</v>
      </c>
      <c r="Q638" s="61" t="s">
        <v>43</v>
      </c>
      <c r="R638" s="62" t="s">
        <v>33</v>
      </c>
      <c r="S638" s="62" t="s">
        <v>250</v>
      </c>
      <c r="T638" s="26"/>
      <c r="U638" s="39"/>
      <c r="V638" s="28">
        <f t="shared" si="19"/>
        <v>107</v>
      </c>
      <c r="W638" s="29"/>
      <c r="X638" s="29"/>
    </row>
    <row r="639" spans="1:24" s="40" customFormat="1" ht="21" customHeight="1">
      <c r="A639" s="34"/>
      <c r="B639" s="31"/>
      <c r="C639" s="32"/>
      <c r="D639" s="56" t="s">
        <v>290</v>
      </c>
      <c r="E639" s="57" t="s">
        <v>242</v>
      </c>
      <c r="F639" s="58">
        <v>9.8390000000000004</v>
      </c>
      <c r="G639" s="57">
        <v>1814</v>
      </c>
      <c r="H639" s="58">
        <v>279</v>
      </c>
      <c r="I639" s="57" t="s">
        <v>246</v>
      </c>
      <c r="J639" s="58">
        <v>8765</v>
      </c>
      <c r="K639" s="59">
        <v>24405</v>
      </c>
      <c r="L639" s="59">
        <v>15530</v>
      </c>
      <c r="M639" s="21" t="s">
        <v>31</v>
      </c>
      <c r="N639" s="60">
        <v>4.3</v>
      </c>
      <c r="O639" s="23">
        <f t="shared" si="18"/>
        <v>601.44651162790706</v>
      </c>
      <c r="P639" s="24">
        <v>4.04</v>
      </c>
      <c r="Q639" s="61" t="s">
        <v>63</v>
      </c>
      <c r="R639" s="62" t="s">
        <v>33</v>
      </c>
      <c r="S639" s="62" t="s">
        <v>249</v>
      </c>
      <c r="T639" s="26"/>
      <c r="U639" s="39"/>
      <c r="V639" s="28">
        <f t="shared" si="19"/>
        <v>106</v>
      </c>
      <c r="W639" s="29"/>
      <c r="X639" s="29"/>
    </row>
    <row r="640" spans="1:24" s="40" customFormat="1" ht="21" customHeight="1">
      <c r="A640" s="34"/>
      <c r="B640" s="31"/>
      <c r="C640" s="32"/>
      <c r="D640" s="56" t="s">
        <v>290</v>
      </c>
      <c r="E640" s="57" t="s">
        <v>242</v>
      </c>
      <c r="F640" s="58">
        <v>9.8390000000000004</v>
      </c>
      <c r="G640" s="57">
        <v>1814</v>
      </c>
      <c r="H640" s="58">
        <v>279</v>
      </c>
      <c r="I640" s="57" t="s">
        <v>246</v>
      </c>
      <c r="J640" s="58">
        <v>8765</v>
      </c>
      <c r="K640" s="59">
        <v>24405</v>
      </c>
      <c r="L640" s="59">
        <v>15530</v>
      </c>
      <c r="M640" s="21" t="s">
        <v>31</v>
      </c>
      <c r="N640" s="60">
        <v>4.3</v>
      </c>
      <c r="O640" s="23">
        <f t="shared" si="18"/>
        <v>601.44651162790706</v>
      </c>
      <c r="P640" s="24">
        <v>4.04</v>
      </c>
      <c r="Q640" s="61" t="s">
        <v>63</v>
      </c>
      <c r="R640" s="62" t="s">
        <v>33</v>
      </c>
      <c r="S640" s="62" t="s">
        <v>250</v>
      </c>
      <c r="T640" s="26"/>
      <c r="U640" s="39"/>
      <c r="V640" s="28">
        <f t="shared" si="19"/>
        <v>106</v>
      </c>
      <c r="W640" s="29"/>
      <c r="X640" s="29"/>
    </row>
    <row r="641" spans="1:24" s="40" customFormat="1" ht="21" customHeight="1">
      <c r="A641" s="34"/>
      <c r="B641" s="31"/>
      <c r="C641" s="32"/>
      <c r="D641" s="56" t="s">
        <v>290</v>
      </c>
      <c r="E641" s="57" t="s">
        <v>242</v>
      </c>
      <c r="F641" s="58">
        <v>9.8390000000000004</v>
      </c>
      <c r="G641" s="57">
        <v>1814</v>
      </c>
      <c r="H641" s="58">
        <v>279</v>
      </c>
      <c r="I641" s="57" t="s">
        <v>243</v>
      </c>
      <c r="J641" s="58">
        <v>8765</v>
      </c>
      <c r="K641" s="59">
        <v>24405</v>
      </c>
      <c r="L641" s="59">
        <v>15530</v>
      </c>
      <c r="M641" s="21" t="s">
        <v>31</v>
      </c>
      <c r="N641" s="60">
        <v>4.2699999999999996</v>
      </c>
      <c r="O641" s="23">
        <f t="shared" si="18"/>
        <v>605.67213114754099</v>
      </c>
      <c r="P641" s="24">
        <v>4.04</v>
      </c>
      <c r="Q641" s="61" t="s">
        <v>63</v>
      </c>
      <c r="R641" s="62" t="s">
        <v>33</v>
      </c>
      <c r="S641" s="62" t="s">
        <v>249</v>
      </c>
      <c r="T641" s="26"/>
      <c r="U641" s="39"/>
      <c r="V641" s="28">
        <f t="shared" si="19"/>
        <v>105</v>
      </c>
      <c r="W641" s="29"/>
      <c r="X641" s="29"/>
    </row>
    <row r="642" spans="1:24" s="40" customFormat="1" ht="21" customHeight="1">
      <c r="A642" s="34"/>
      <c r="B642" s="31"/>
      <c r="C642" s="32"/>
      <c r="D642" s="56" t="s">
        <v>290</v>
      </c>
      <c r="E642" s="57" t="s">
        <v>242</v>
      </c>
      <c r="F642" s="58">
        <v>9.8390000000000004</v>
      </c>
      <c r="G642" s="57">
        <v>1814</v>
      </c>
      <c r="H642" s="58">
        <v>279</v>
      </c>
      <c r="I642" s="57" t="s">
        <v>243</v>
      </c>
      <c r="J642" s="58">
        <v>8765</v>
      </c>
      <c r="K642" s="59">
        <v>24405</v>
      </c>
      <c r="L642" s="59">
        <v>15530</v>
      </c>
      <c r="M642" s="21" t="s">
        <v>31</v>
      </c>
      <c r="N642" s="60">
        <v>4.2699999999999996</v>
      </c>
      <c r="O642" s="23">
        <f t="shared" si="18"/>
        <v>605.67213114754099</v>
      </c>
      <c r="P642" s="24">
        <v>4.04</v>
      </c>
      <c r="Q642" s="61" t="s">
        <v>63</v>
      </c>
      <c r="R642" s="62" t="s">
        <v>33</v>
      </c>
      <c r="S642" s="62" t="s">
        <v>250</v>
      </c>
      <c r="T642" s="26"/>
      <c r="U642" s="39"/>
      <c r="V642" s="28">
        <f t="shared" si="19"/>
        <v>105</v>
      </c>
      <c r="W642" s="29"/>
      <c r="X642" s="29"/>
    </row>
    <row r="643" spans="1:24" s="40" customFormat="1" ht="21" customHeight="1">
      <c r="A643" s="34"/>
      <c r="B643" s="31"/>
      <c r="C643" s="32"/>
      <c r="D643" s="56" t="s">
        <v>291</v>
      </c>
      <c r="E643" s="57" t="s">
        <v>242</v>
      </c>
      <c r="F643" s="58">
        <v>9.8390000000000004</v>
      </c>
      <c r="G643" s="57">
        <v>1814</v>
      </c>
      <c r="H643" s="58">
        <v>279</v>
      </c>
      <c r="I643" s="57" t="s">
        <v>246</v>
      </c>
      <c r="J643" s="58">
        <v>8765</v>
      </c>
      <c r="K643" s="59">
        <v>24405</v>
      </c>
      <c r="L643" s="59">
        <v>15530</v>
      </c>
      <c r="M643" s="21" t="s">
        <v>31</v>
      </c>
      <c r="N643" s="60">
        <v>4.41</v>
      </c>
      <c r="O643" s="23">
        <f t="shared" si="18"/>
        <v>586.44444444444434</v>
      </c>
      <c r="P643" s="24">
        <v>4.04</v>
      </c>
      <c r="Q643" s="61" t="s">
        <v>43</v>
      </c>
      <c r="R643" s="62" t="s">
        <v>33</v>
      </c>
      <c r="S643" s="62" t="s">
        <v>249</v>
      </c>
      <c r="T643" s="26"/>
      <c r="U643" s="39"/>
      <c r="V643" s="28">
        <f t="shared" si="19"/>
        <v>109</v>
      </c>
      <c r="W643" s="29"/>
      <c r="X643" s="29"/>
    </row>
    <row r="644" spans="1:24" s="40" customFormat="1" ht="21" customHeight="1">
      <c r="A644" s="34"/>
      <c r="B644" s="31"/>
      <c r="C644" s="32"/>
      <c r="D644" s="56" t="s">
        <v>291</v>
      </c>
      <c r="E644" s="57" t="s">
        <v>242</v>
      </c>
      <c r="F644" s="58">
        <v>9.8390000000000004</v>
      </c>
      <c r="G644" s="57">
        <v>1814</v>
      </c>
      <c r="H644" s="58">
        <v>279</v>
      </c>
      <c r="I644" s="57" t="s">
        <v>246</v>
      </c>
      <c r="J644" s="58">
        <v>8765</v>
      </c>
      <c r="K644" s="59">
        <v>24405</v>
      </c>
      <c r="L644" s="59">
        <v>15530</v>
      </c>
      <c r="M644" s="21" t="s">
        <v>31</v>
      </c>
      <c r="N644" s="60">
        <v>4.41</v>
      </c>
      <c r="O644" s="23">
        <f t="shared" si="18"/>
        <v>586.44444444444434</v>
      </c>
      <c r="P644" s="24">
        <v>4.04</v>
      </c>
      <c r="Q644" s="61" t="s">
        <v>43</v>
      </c>
      <c r="R644" s="62" t="s">
        <v>33</v>
      </c>
      <c r="S644" s="62" t="s">
        <v>250</v>
      </c>
      <c r="T644" s="26"/>
      <c r="U644" s="39"/>
      <c r="V644" s="28">
        <f t="shared" si="19"/>
        <v>109</v>
      </c>
      <c r="W644" s="29"/>
      <c r="X644" s="29"/>
    </row>
    <row r="645" spans="1:24" s="40" customFormat="1" ht="21" customHeight="1">
      <c r="A645" s="34"/>
      <c r="B645" s="31"/>
      <c r="C645" s="32"/>
      <c r="D645" s="56" t="s">
        <v>291</v>
      </c>
      <c r="E645" s="57" t="s">
        <v>242</v>
      </c>
      <c r="F645" s="58">
        <v>9.8390000000000004</v>
      </c>
      <c r="G645" s="57">
        <v>1814</v>
      </c>
      <c r="H645" s="58">
        <v>279</v>
      </c>
      <c r="I645" s="57" t="s">
        <v>243</v>
      </c>
      <c r="J645" s="58">
        <v>8765</v>
      </c>
      <c r="K645" s="59">
        <v>24405</v>
      </c>
      <c r="L645" s="59">
        <v>15530</v>
      </c>
      <c r="M645" s="21" t="s">
        <v>31</v>
      </c>
      <c r="N645" s="60">
        <v>4.3600000000000003</v>
      </c>
      <c r="O645" s="23">
        <f t="shared" si="18"/>
        <v>593.16972477064223</v>
      </c>
      <c r="P645" s="24">
        <v>4.04</v>
      </c>
      <c r="Q645" s="61" t="s">
        <v>43</v>
      </c>
      <c r="R645" s="62" t="s">
        <v>33</v>
      </c>
      <c r="S645" s="62" t="s">
        <v>249</v>
      </c>
      <c r="T645" s="26"/>
      <c r="U645" s="39"/>
      <c r="V645" s="28">
        <f t="shared" si="19"/>
        <v>107</v>
      </c>
      <c r="W645" s="29"/>
      <c r="X645" s="29"/>
    </row>
    <row r="646" spans="1:24" s="40" customFormat="1" ht="21" customHeight="1">
      <c r="A646" s="34"/>
      <c r="B646" s="31"/>
      <c r="C646" s="32"/>
      <c r="D646" s="56" t="s">
        <v>291</v>
      </c>
      <c r="E646" s="57" t="s">
        <v>242</v>
      </c>
      <c r="F646" s="58">
        <v>9.8390000000000004</v>
      </c>
      <c r="G646" s="57">
        <v>1814</v>
      </c>
      <c r="H646" s="58">
        <v>279</v>
      </c>
      <c r="I646" s="57" t="s">
        <v>243</v>
      </c>
      <c r="J646" s="58">
        <v>8765</v>
      </c>
      <c r="K646" s="59">
        <v>24405</v>
      </c>
      <c r="L646" s="59">
        <v>15530</v>
      </c>
      <c r="M646" s="21" t="s">
        <v>31</v>
      </c>
      <c r="N646" s="60">
        <v>4.3600000000000003</v>
      </c>
      <c r="O646" s="23">
        <f t="shared" si="18"/>
        <v>593.16972477064223</v>
      </c>
      <c r="P646" s="24">
        <v>4.04</v>
      </c>
      <c r="Q646" s="61" t="s">
        <v>43</v>
      </c>
      <c r="R646" s="62" t="s">
        <v>33</v>
      </c>
      <c r="S646" s="62" t="s">
        <v>250</v>
      </c>
      <c r="T646" s="26"/>
      <c r="U646" s="39"/>
      <c r="V646" s="28">
        <f t="shared" si="19"/>
        <v>107</v>
      </c>
      <c r="W646" s="29"/>
    </row>
    <row r="647" spans="1:24" s="40" customFormat="1" ht="21" customHeight="1">
      <c r="A647" s="34"/>
      <c r="B647" s="31"/>
      <c r="C647" s="32"/>
      <c r="D647" s="56" t="s">
        <v>291</v>
      </c>
      <c r="E647" s="57" t="s">
        <v>242</v>
      </c>
      <c r="F647" s="58">
        <v>9.8390000000000004</v>
      </c>
      <c r="G647" s="57">
        <v>1814</v>
      </c>
      <c r="H647" s="58">
        <v>279</v>
      </c>
      <c r="I647" s="57" t="s">
        <v>246</v>
      </c>
      <c r="J647" s="58">
        <v>8765</v>
      </c>
      <c r="K647" s="59">
        <v>24405</v>
      </c>
      <c r="L647" s="59">
        <v>15530</v>
      </c>
      <c r="M647" s="21" t="s">
        <v>31</v>
      </c>
      <c r="N647" s="60">
        <v>4.3</v>
      </c>
      <c r="O647" s="23">
        <f t="shared" si="18"/>
        <v>601.44651162790706</v>
      </c>
      <c r="P647" s="24">
        <v>4.04</v>
      </c>
      <c r="Q647" s="61" t="s">
        <v>63</v>
      </c>
      <c r="R647" s="62" t="s">
        <v>33</v>
      </c>
      <c r="S647" s="62" t="s">
        <v>249</v>
      </c>
      <c r="T647" s="26"/>
      <c r="U647" s="39"/>
      <c r="V647" s="28">
        <f t="shared" si="19"/>
        <v>106</v>
      </c>
      <c r="W647" s="29"/>
    </row>
    <row r="648" spans="1:24" s="40" customFormat="1" ht="21" customHeight="1">
      <c r="A648" s="34"/>
      <c r="B648" s="31"/>
      <c r="C648" s="32"/>
      <c r="D648" s="56" t="s">
        <v>291</v>
      </c>
      <c r="E648" s="57" t="s">
        <v>242</v>
      </c>
      <c r="F648" s="58">
        <v>9.8390000000000004</v>
      </c>
      <c r="G648" s="57">
        <v>1814</v>
      </c>
      <c r="H648" s="58">
        <v>279</v>
      </c>
      <c r="I648" s="57" t="s">
        <v>246</v>
      </c>
      <c r="J648" s="58">
        <v>8765</v>
      </c>
      <c r="K648" s="59">
        <v>24405</v>
      </c>
      <c r="L648" s="59">
        <v>15530</v>
      </c>
      <c r="M648" s="21" t="s">
        <v>31</v>
      </c>
      <c r="N648" s="60">
        <v>4.3</v>
      </c>
      <c r="O648" s="23">
        <f t="shared" si="18"/>
        <v>601.44651162790706</v>
      </c>
      <c r="P648" s="24">
        <v>4.04</v>
      </c>
      <c r="Q648" s="61" t="s">
        <v>63</v>
      </c>
      <c r="R648" s="62" t="s">
        <v>33</v>
      </c>
      <c r="S648" s="62" t="s">
        <v>250</v>
      </c>
      <c r="T648" s="26"/>
      <c r="U648" s="39"/>
      <c r="V648" s="28">
        <f t="shared" si="19"/>
        <v>106</v>
      </c>
      <c r="W648" s="29"/>
    </row>
    <row r="649" spans="1:24" s="40" customFormat="1" ht="21" customHeight="1">
      <c r="A649" s="34"/>
      <c r="B649" s="31"/>
      <c r="C649" s="32"/>
      <c r="D649" s="56" t="s">
        <v>291</v>
      </c>
      <c r="E649" s="57" t="s">
        <v>242</v>
      </c>
      <c r="F649" s="58">
        <v>9.8390000000000004</v>
      </c>
      <c r="G649" s="57">
        <v>1814</v>
      </c>
      <c r="H649" s="58">
        <v>279</v>
      </c>
      <c r="I649" s="57" t="s">
        <v>243</v>
      </c>
      <c r="J649" s="58">
        <v>8765</v>
      </c>
      <c r="K649" s="59">
        <v>24405</v>
      </c>
      <c r="L649" s="59">
        <v>15530</v>
      </c>
      <c r="M649" s="21" t="s">
        <v>31</v>
      </c>
      <c r="N649" s="60">
        <v>4.2699999999999996</v>
      </c>
      <c r="O649" s="23">
        <f t="shared" ref="O649:O712" si="20">IF(N649&gt;0,1/N649*37.7*68.6,"")</f>
        <v>605.67213114754099</v>
      </c>
      <c r="P649" s="24">
        <v>4.04</v>
      </c>
      <c r="Q649" s="61" t="s">
        <v>63</v>
      </c>
      <c r="R649" s="62" t="s">
        <v>33</v>
      </c>
      <c r="S649" s="62" t="s">
        <v>249</v>
      </c>
      <c r="T649" s="26"/>
      <c r="U649" s="39"/>
      <c r="V649" s="28">
        <f t="shared" ref="V649:V712" si="21">IFERROR(IF(N649&lt;P649,"",(ROUNDDOWN(N649/P649*100,0))),"")</f>
        <v>105</v>
      </c>
      <c r="W649" s="29"/>
    </row>
    <row r="650" spans="1:24" s="40" customFormat="1" ht="21" customHeight="1">
      <c r="A650" s="34"/>
      <c r="B650" s="31"/>
      <c r="C650" s="32"/>
      <c r="D650" s="56" t="s">
        <v>291</v>
      </c>
      <c r="E650" s="57" t="s">
        <v>242</v>
      </c>
      <c r="F650" s="58">
        <v>9.8390000000000004</v>
      </c>
      <c r="G650" s="57">
        <v>1814</v>
      </c>
      <c r="H650" s="58">
        <v>279</v>
      </c>
      <c r="I650" s="57" t="s">
        <v>243</v>
      </c>
      <c r="J650" s="58">
        <v>8765</v>
      </c>
      <c r="K650" s="59">
        <v>24405</v>
      </c>
      <c r="L650" s="59">
        <v>15530</v>
      </c>
      <c r="M650" s="21" t="s">
        <v>31</v>
      </c>
      <c r="N650" s="60">
        <v>4.2699999999999996</v>
      </c>
      <c r="O650" s="23">
        <f t="shared" si="20"/>
        <v>605.67213114754099</v>
      </c>
      <c r="P650" s="24">
        <v>4.04</v>
      </c>
      <c r="Q650" s="61" t="s">
        <v>63</v>
      </c>
      <c r="R650" s="62" t="s">
        <v>33</v>
      </c>
      <c r="S650" s="62" t="s">
        <v>250</v>
      </c>
      <c r="T650" s="26"/>
      <c r="U650" s="39"/>
      <c r="V650" s="28">
        <f t="shared" si="21"/>
        <v>105</v>
      </c>
      <c r="W650" s="29"/>
    </row>
    <row r="651" spans="1:24" s="40" customFormat="1" ht="21" customHeight="1">
      <c r="A651" s="34"/>
      <c r="B651" s="31"/>
      <c r="C651" s="32"/>
      <c r="D651" s="56" t="s">
        <v>292</v>
      </c>
      <c r="E651" s="57" t="s">
        <v>242</v>
      </c>
      <c r="F651" s="58">
        <v>9.8390000000000004</v>
      </c>
      <c r="G651" s="57">
        <v>1814</v>
      </c>
      <c r="H651" s="58">
        <v>279</v>
      </c>
      <c r="I651" s="57" t="s">
        <v>246</v>
      </c>
      <c r="J651" s="58">
        <v>8765</v>
      </c>
      <c r="K651" s="59">
        <v>24405</v>
      </c>
      <c r="L651" s="59">
        <v>15530</v>
      </c>
      <c r="M651" s="21" t="s">
        <v>31</v>
      </c>
      <c r="N651" s="60">
        <v>4.41</v>
      </c>
      <c r="O651" s="23">
        <f t="shared" si="20"/>
        <v>586.44444444444434</v>
      </c>
      <c r="P651" s="24">
        <v>4.04</v>
      </c>
      <c r="Q651" s="61" t="s">
        <v>43</v>
      </c>
      <c r="R651" s="62" t="s">
        <v>33</v>
      </c>
      <c r="S651" s="62" t="s">
        <v>250</v>
      </c>
      <c r="T651" s="26"/>
      <c r="U651" s="39"/>
      <c r="V651" s="28">
        <f t="shared" si="21"/>
        <v>109</v>
      </c>
      <c r="W651" s="29"/>
    </row>
    <row r="652" spans="1:24" s="40" customFormat="1" ht="21" customHeight="1">
      <c r="A652" s="34"/>
      <c r="B652" s="31"/>
      <c r="C652" s="32"/>
      <c r="D652" s="56" t="s">
        <v>292</v>
      </c>
      <c r="E652" s="57" t="s">
        <v>242</v>
      </c>
      <c r="F652" s="58">
        <v>9.8390000000000004</v>
      </c>
      <c r="G652" s="57">
        <v>1814</v>
      </c>
      <c r="H652" s="58">
        <v>279</v>
      </c>
      <c r="I652" s="57" t="s">
        <v>246</v>
      </c>
      <c r="J652" s="58">
        <v>8765</v>
      </c>
      <c r="K652" s="59">
        <v>24405</v>
      </c>
      <c r="L652" s="59">
        <v>15530</v>
      </c>
      <c r="M652" s="21" t="s">
        <v>31</v>
      </c>
      <c r="N652" s="60">
        <v>4.41</v>
      </c>
      <c r="O652" s="23">
        <f t="shared" si="20"/>
        <v>586.44444444444434</v>
      </c>
      <c r="P652" s="24">
        <v>4.04</v>
      </c>
      <c r="Q652" s="61" t="s">
        <v>43</v>
      </c>
      <c r="R652" s="62" t="s">
        <v>33</v>
      </c>
      <c r="S652" s="62" t="s">
        <v>249</v>
      </c>
      <c r="T652" s="26"/>
      <c r="U652" s="39"/>
      <c r="V652" s="28">
        <f t="shared" si="21"/>
        <v>109</v>
      </c>
      <c r="W652" s="29"/>
    </row>
    <row r="653" spans="1:24" s="40" customFormat="1" ht="21" customHeight="1">
      <c r="A653" s="34"/>
      <c r="B653" s="31"/>
      <c r="C653" s="32"/>
      <c r="D653" s="56" t="s">
        <v>292</v>
      </c>
      <c r="E653" s="57" t="s">
        <v>242</v>
      </c>
      <c r="F653" s="58">
        <v>9.8390000000000004</v>
      </c>
      <c r="G653" s="57">
        <v>1814</v>
      </c>
      <c r="H653" s="58">
        <v>279</v>
      </c>
      <c r="I653" s="57" t="s">
        <v>243</v>
      </c>
      <c r="J653" s="58">
        <v>8765</v>
      </c>
      <c r="K653" s="59">
        <v>24405</v>
      </c>
      <c r="L653" s="59">
        <v>15530</v>
      </c>
      <c r="M653" s="21" t="s">
        <v>31</v>
      </c>
      <c r="N653" s="60">
        <v>4.3600000000000003</v>
      </c>
      <c r="O653" s="23">
        <f t="shared" si="20"/>
        <v>593.16972477064223</v>
      </c>
      <c r="P653" s="24">
        <v>4.04</v>
      </c>
      <c r="Q653" s="61" t="s">
        <v>43</v>
      </c>
      <c r="R653" s="62" t="s">
        <v>33</v>
      </c>
      <c r="S653" s="62" t="s">
        <v>250</v>
      </c>
      <c r="T653" s="26"/>
      <c r="U653" s="39"/>
      <c r="V653" s="28">
        <f t="shared" si="21"/>
        <v>107</v>
      </c>
      <c r="W653" s="29"/>
    </row>
    <row r="654" spans="1:24" s="40" customFormat="1" ht="21" customHeight="1">
      <c r="A654" s="34"/>
      <c r="B654" s="31"/>
      <c r="C654" s="32"/>
      <c r="D654" s="56" t="s">
        <v>292</v>
      </c>
      <c r="E654" s="57" t="s">
        <v>242</v>
      </c>
      <c r="F654" s="58">
        <v>9.8390000000000004</v>
      </c>
      <c r="G654" s="57">
        <v>1814</v>
      </c>
      <c r="H654" s="58">
        <v>279</v>
      </c>
      <c r="I654" s="57" t="s">
        <v>243</v>
      </c>
      <c r="J654" s="58">
        <v>8765</v>
      </c>
      <c r="K654" s="59">
        <v>24405</v>
      </c>
      <c r="L654" s="59">
        <v>15530</v>
      </c>
      <c r="M654" s="21" t="s">
        <v>31</v>
      </c>
      <c r="N654" s="60">
        <v>4.3600000000000003</v>
      </c>
      <c r="O654" s="23">
        <f t="shared" si="20"/>
        <v>593.16972477064223</v>
      </c>
      <c r="P654" s="24">
        <v>4.04</v>
      </c>
      <c r="Q654" s="61" t="s">
        <v>43</v>
      </c>
      <c r="R654" s="62" t="s">
        <v>33</v>
      </c>
      <c r="S654" s="62" t="s">
        <v>249</v>
      </c>
      <c r="T654" s="26"/>
      <c r="U654" s="39"/>
      <c r="V654" s="28">
        <f t="shared" si="21"/>
        <v>107</v>
      </c>
      <c r="W654" s="29"/>
    </row>
    <row r="655" spans="1:24" s="40" customFormat="1" ht="21" customHeight="1">
      <c r="A655" s="34"/>
      <c r="B655" s="31"/>
      <c r="C655" s="32"/>
      <c r="D655" s="56" t="s">
        <v>292</v>
      </c>
      <c r="E655" s="57" t="s">
        <v>242</v>
      </c>
      <c r="F655" s="58">
        <v>9.8390000000000004</v>
      </c>
      <c r="G655" s="57">
        <v>1814</v>
      </c>
      <c r="H655" s="58">
        <v>279</v>
      </c>
      <c r="I655" s="57" t="s">
        <v>246</v>
      </c>
      <c r="J655" s="58">
        <v>8765</v>
      </c>
      <c r="K655" s="59">
        <v>24405</v>
      </c>
      <c r="L655" s="59">
        <v>15530</v>
      </c>
      <c r="M655" s="21" t="s">
        <v>31</v>
      </c>
      <c r="N655" s="60">
        <v>4.3</v>
      </c>
      <c r="O655" s="23">
        <f t="shared" si="20"/>
        <v>601.44651162790706</v>
      </c>
      <c r="P655" s="24">
        <v>4.04</v>
      </c>
      <c r="Q655" s="61" t="s">
        <v>63</v>
      </c>
      <c r="R655" s="62" t="s">
        <v>33</v>
      </c>
      <c r="S655" s="62" t="s">
        <v>250</v>
      </c>
      <c r="T655" s="26"/>
      <c r="U655" s="39"/>
      <c r="V655" s="28">
        <f t="shared" si="21"/>
        <v>106</v>
      </c>
      <c r="W655" s="29"/>
    </row>
    <row r="656" spans="1:24" s="40" customFormat="1" ht="21" customHeight="1">
      <c r="A656" s="34"/>
      <c r="B656" s="31"/>
      <c r="C656" s="32"/>
      <c r="D656" s="56" t="s">
        <v>292</v>
      </c>
      <c r="E656" s="57" t="s">
        <v>242</v>
      </c>
      <c r="F656" s="58">
        <v>9.8390000000000004</v>
      </c>
      <c r="G656" s="57">
        <v>1814</v>
      </c>
      <c r="H656" s="58">
        <v>279</v>
      </c>
      <c r="I656" s="57" t="s">
        <v>246</v>
      </c>
      <c r="J656" s="58">
        <v>8765</v>
      </c>
      <c r="K656" s="59">
        <v>24405</v>
      </c>
      <c r="L656" s="59">
        <v>15530</v>
      </c>
      <c r="M656" s="21" t="s">
        <v>31</v>
      </c>
      <c r="N656" s="60">
        <v>4.3</v>
      </c>
      <c r="O656" s="23">
        <f t="shared" si="20"/>
        <v>601.44651162790706</v>
      </c>
      <c r="P656" s="24">
        <v>4.04</v>
      </c>
      <c r="Q656" s="61" t="s">
        <v>63</v>
      </c>
      <c r="R656" s="62" t="s">
        <v>33</v>
      </c>
      <c r="S656" s="62" t="s">
        <v>249</v>
      </c>
      <c r="T656" s="26"/>
      <c r="U656" s="39"/>
      <c r="V656" s="28">
        <f t="shared" si="21"/>
        <v>106</v>
      </c>
      <c r="W656" s="29"/>
    </row>
    <row r="657" spans="1:23" s="40" customFormat="1" ht="21" customHeight="1">
      <c r="A657" s="34"/>
      <c r="B657" s="31"/>
      <c r="C657" s="32"/>
      <c r="D657" s="56" t="s">
        <v>292</v>
      </c>
      <c r="E657" s="57" t="s">
        <v>242</v>
      </c>
      <c r="F657" s="58">
        <v>9.8390000000000004</v>
      </c>
      <c r="G657" s="57">
        <v>1814</v>
      </c>
      <c r="H657" s="58">
        <v>279</v>
      </c>
      <c r="I657" s="57" t="s">
        <v>243</v>
      </c>
      <c r="J657" s="58">
        <v>8765</v>
      </c>
      <c r="K657" s="59">
        <v>24405</v>
      </c>
      <c r="L657" s="59">
        <v>15530</v>
      </c>
      <c r="M657" s="21" t="s">
        <v>31</v>
      </c>
      <c r="N657" s="60">
        <v>4.2699999999999996</v>
      </c>
      <c r="O657" s="23">
        <f t="shared" si="20"/>
        <v>605.67213114754099</v>
      </c>
      <c r="P657" s="24">
        <v>4.04</v>
      </c>
      <c r="Q657" s="61" t="s">
        <v>63</v>
      </c>
      <c r="R657" s="62" t="s">
        <v>33</v>
      </c>
      <c r="S657" s="62" t="s">
        <v>250</v>
      </c>
      <c r="T657" s="26"/>
      <c r="U657" s="39"/>
      <c r="V657" s="28">
        <f t="shared" si="21"/>
        <v>105</v>
      </c>
      <c r="W657" s="29"/>
    </row>
    <row r="658" spans="1:23" s="40" customFormat="1" ht="21" customHeight="1">
      <c r="A658" s="34"/>
      <c r="B658" s="31"/>
      <c r="C658" s="32"/>
      <c r="D658" s="56" t="s">
        <v>292</v>
      </c>
      <c r="E658" s="57" t="s">
        <v>242</v>
      </c>
      <c r="F658" s="58">
        <v>9.8390000000000004</v>
      </c>
      <c r="G658" s="57">
        <v>1814</v>
      </c>
      <c r="H658" s="58">
        <v>279</v>
      </c>
      <c r="I658" s="57" t="s">
        <v>243</v>
      </c>
      <c r="J658" s="58">
        <v>8765</v>
      </c>
      <c r="K658" s="59">
        <v>24405</v>
      </c>
      <c r="L658" s="59">
        <v>15530</v>
      </c>
      <c r="M658" s="21" t="s">
        <v>31</v>
      </c>
      <c r="N658" s="60">
        <v>4.2699999999999996</v>
      </c>
      <c r="O658" s="23">
        <f t="shared" si="20"/>
        <v>605.67213114754099</v>
      </c>
      <c r="P658" s="24">
        <v>4.04</v>
      </c>
      <c r="Q658" s="61" t="s">
        <v>63</v>
      </c>
      <c r="R658" s="62" t="s">
        <v>33</v>
      </c>
      <c r="S658" s="62" t="s">
        <v>249</v>
      </c>
      <c r="T658" s="26"/>
      <c r="U658" s="39"/>
      <c r="V658" s="28">
        <f t="shared" si="21"/>
        <v>105</v>
      </c>
      <c r="W658" s="29"/>
    </row>
    <row r="659" spans="1:23" s="40" customFormat="1" ht="21" customHeight="1">
      <c r="A659" s="34"/>
      <c r="B659" s="31"/>
      <c r="C659" s="32"/>
      <c r="D659" s="56" t="s">
        <v>293</v>
      </c>
      <c r="E659" s="57" t="s">
        <v>242</v>
      </c>
      <c r="F659" s="58">
        <v>9.8390000000000004</v>
      </c>
      <c r="G659" s="57">
        <v>1814</v>
      </c>
      <c r="H659" s="58">
        <v>279</v>
      </c>
      <c r="I659" s="57" t="s">
        <v>246</v>
      </c>
      <c r="J659" s="58">
        <v>8765</v>
      </c>
      <c r="K659" s="59">
        <v>24405</v>
      </c>
      <c r="L659" s="59">
        <v>15530</v>
      </c>
      <c r="M659" s="21" t="s">
        <v>31</v>
      </c>
      <c r="N659" s="60">
        <v>4.41</v>
      </c>
      <c r="O659" s="23">
        <f t="shared" si="20"/>
        <v>586.44444444444434</v>
      </c>
      <c r="P659" s="24">
        <v>4.04</v>
      </c>
      <c r="Q659" s="61" t="s">
        <v>43</v>
      </c>
      <c r="R659" s="62" t="s">
        <v>33</v>
      </c>
      <c r="S659" s="62" t="s">
        <v>249</v>
      </c>
      <c r="T659" s="26"/>
      <c r="U659" s="39"/>
      <c r="V659" s="28">
        <f t="shared" si="21"/>
        <v>109</v>
      </c>
      <c r="W659" s="29"/>
    </row>
    <row r="660" spans="1:23" s="40" customFormat="1" ht="21" customHeight="1">
      <c r="A660" s="34"/>
      <c r="B660" s="31"/>
      <c r="C660" s="32"/>
      <c r="D660" s="56" t="s">
        <v>293</v>
      </c>
      <c r="E660" s="57" t="s">
        <v>242</v>
      </c>
      <c r="F660" s="58">
        <v>9.8390000000000004</v>
      </c>
      <c r="G660" s="57">
        <v>1814</v>
      </c>
      <c r="H660" s="58">
        <v>279</v>
      </c>
      <c r="I660" s="57" t="s">
        <v>246</v>
      </c>
      <c r="J660" s="58">
        <v>8765</v>
      </c>
      <c r="K660" s="59">
        <v>24405</v>
      </c>
      <c r="L660" s="59">
        <v>15530</v>
      </c>
      <c r="M660" s="21" t="s">
        <v>31</v>
      </c>
      <c r="N660" s="60">
        <v>4.41</v>
      </c>
      <c r="O660" s="23">
        <f t="shared" si="20"/>
        <v>586.44444444444434</v>
      </c>
      <c r="P660" s="24">
        <v>4.04</v>
      </c>
      <c r="Q660" s="61" t="s">
        <v>43</v>
      </c>
      <c r="R660" s="62" t="s">
        <v>33</v>
      </c>
      <c r="S660" s="62" t="s">
        <v>250</v>
      </c>
      <c r="T660" s="26"/>
      <c r="U660" s="39"/>
      <c r="V660" s="28">
        <f t="shared" si="21"/>
        <v>109</v>
      </c>
      <c r="W660" s="29"/>
    </row>
    <row r="661" spans="1:23" s="40" customFormat="1" ht="21" customHeight="1">
      <c r="A661" s="34"/>
      <c r="B661" s="31"/>
      <c r="C661" s="32"/>
      <c r="D661" s="56" t="s">
        <v>293</v>
      </c>
      <c r="E661" s="57" t="s">
        <v>242</v>
      </c>
      <c r="F661" s="58">
        <v>9.8390000000000004</v>
      </c>
      <c r="G661" s="57">
        <v>1814</v>
      </c>
      <c r="H661" s="58">
        <v>279</v>
      </c>
      <c r="I661" s="57" t="s">
        <v>243</v>
      </c>
      <c r="J661" s="58">
        <v>8765</v>
      </c>
      <c r="K661" s="59">
        <v>24405</v>
      </c>
      <c r="L661" s="59">
        <v>15530</v>
      </c>
      <c r="M661" s="21" t="s">
        <v>31</v>
      </c>
      <c r="N661" s="60">
        <v>4.3600000000000003</v>
      </c>
      <c r="O661" s="23">
        <f t="shared" si="20"/>
        <v>593.16972477064223</v>
      </c>
      <c r="P661" s="24">
        <v>4.04</v>
      </c>
      <c r="Q661" s="61" t="s">
        <v>43</v>
      </c>
      <c r="R661" s="62" t="s">
        <v>33</v>
      </c>
      <c r="S661" s="62" t="s">
        <v>249</v>
      </c>
      <c r="T661" s="26"/>
      <c r="U661" s="39"/>
      <c r="V661" s="28">
        <f t="shared" si="21"/>
        <v>107</v>
      </c>
      <c r="W661" s="29"/>
    </row>
    <row r="662" spans="1:23" s="40" customFormat="1" ht="21" customHeight="1">
      <c r="A662" s="34"/>
      <c r="B662" s="31"/>
      <c r="C662" s="32"/>
      <c r="D662" s="56" t="s">
        <v>293</v>
      </c>
      <c r="E662" s="57" t="s">
        <v>242</v>
      </c>
      <c r="F662" s="58">
        <v>9.8390000000000004</v>
      </c>
      <c r="G662" s="57">
        <v>1814</v>
      </c>
      <c r="H662" s="58">
        <v>279</v>
      </c>
      <c r="I662" s="57" t="s">
        <v>243</v>
      </c>
      <c r="J662" s="58">
        <v>8765</v>
      </c>
      <c r="K662" s="59">
        <v>24405</v>
      </c>
      <c r="L662" s="59">
        <v>15530</v>
      </c>
      <c r="M662" s="21" t="s">
        <v>31</v>
      </c>
      <c r="N662" s="60">
        <v>4.3600000000000003</v>
      </c>
      <c r="O662" s="23">
        <f t="shared" si="20"/>
        <v>593.16972477064223</v>
      </c>
      <c r="P662" s="24">
        <v>4.04</v>
      </c>
      <c r="Q662" s="61" t="s">
        <v>43</v>
      </c>
      <c r="R662" s="62" t="s">
        <v>33</v>
      </c>
      <c r="S662" s="62" t="s">
        <v>250</v>
      </c>
      <c r="T662" s="26"/>
      <c r="U662" s="39"/>
      <c r="V662" s="28">
        <f t="shared" si="21"/>
        <v>107</v>
      </c>
      <c r="W662" s="29"/>
    </row>
    <row r="663" spans="1:23" s="40" customFormat="1" ht="21" customHeight="1">
      <c r="A663" s="34"/>
      <c r="B663" s="31"/>
      <c r="C663" s="32"/>
      <c r="D663" s="56" t="s">
        <v>293</v>
      </c>
      <c r="E663" s="57" t="s">
        <v>242</v>
      </c>
      <c r="F663" s="58">
        <v>9.8390000000000004</v>
      </c>
      <c r="G663" s="57">
        <v>1814</v>
      </c>
      <c r="H663" s="58">
        <v>279</v>
      </c>
      <c r="I663" s="57" t="s">
        <v>246</v>
      </c>
      <c r="J663" s="58">
        <v>8765</v>
      </c>
      <c r="K663" s="59">
        <v>24405</v>
      </c>
      <c r="L663" s="59">
        <v>15530</v>
      </c>
      <c r="M663" s="21" t="s">
        <v>31</v>
      </c>
      <c r="N663" s="60">
        <v>4.3</v>
      </c>
      <c r="O663" s="23">
        <f t="shared" si="20"/>
        <v>601.44651162790706</v>
      </c>
      <c r="P663" s="24">
        <v>4.04</v>
      </c>
      <c r="Q663" s="61" t="s">
        <v>63</v>
      </c>
      <c r="R663" s="62" t="s">
        <v>33</v>
      </c>
      <c r="S663" s="62" t="s">
        <v>249</v>
      </c>
      <c r="T663" s="26"/>
      <c r="U663" s="39"/>
      <c r="V663" s="28">
        <f t="shared" si="21"/>
        <v>106</v>
      </c>
      <c r="W663" s="29"/>
    </row>
    <row r="664" spans="1:23" s="40" customFormat="1" ht="21" customHeight="1">
      <c r="A664" s="34"/>
      <c r="B664" s="31"/>
      <c r="C664" s="32"/>
      <c r="D664" s="56" t="s">
        <v>293</v>
      </c>
      <c r="E664" s="57" t="s">
        <v>242</v>
      </c>
      <c r="F664" s="58">
        <v>9.8390000000000004</v>
      </c>
      <c r="G664" s="57">
        <v>1814</v>
      </c>
      <c r="H664" s="58">
        <v>279</v>
      </c>
      <c r="I664" s="57" t="s">
        <v>246</v>
      </c>
      <c r="J664" s="58">
        <v>8765</v>
      </c>
      <c r="K664" s="59">
        <v>24405</v>
      </c>
      <c r="L664" s="59">
        <v>15530</v>
      </c>
      <c r="M664" s="21" t="s">
        <v>31</v>
      </c>
      <c r="N664" s="60">
        <v>4.3</v>
      </c>
      <c r="O664" s="23">
        <f t="shared" si="20"/>
        <v>601.44651162790706</v>
      </c>
      <c r="P664" s="24">
        <v>4.04</v>
      </c>
      <c r="Q664" s="61" t="s">
        <v>63</v>
      </c>
      <c r="R664" s="62" t="s">
        <v>33</v>
      </c>
      <c r="S664" s="62" t="s">
        <v>250</v>
      </c>
      <c r="T664" s="26"/>
      <c r="U664" s="39"/>
      <c r="V664" s="28">
        <f t="shared" si="21"/>
        <v>106</v>
      </c>
      <c r="W664" s="29"/>
    </row>
    <row r="665" spans="1:23" s="40" customFormat="1" ht="21" customHeight="1">
      <c r="A665" s="34"/>
      <c r="B665" s="31"/>
      <c r="C665" s="32"/>
      <c r="D665" s="56" t="s">
        <v>293</v>
      </c>
      <c r="E665" s="57" t="s">
        <v>242</v>
      </c>
      <c r="F665" s="58">
        <v>9.8390000000000004</v>
      </c>
      <c r="G665" s="57">
        <v>1814</v>
      </c>
      <c r="H665" s="58">
        <v>279</v>
      </c>
      <c r="I665" s="57" t="s">
        <v>243</v>
      </c>
      <c r="J665" s="58">
        <v>8765</v>
      </c>
      <c r="K665" s="59">
        <v>24405</v>
      </c>
      <c r="L665" s="59">
        <v>15530</v>
      </c>
      <c r="M665" s="21" t="s">
        <v>31</v>
      </c>
      <c r="N665" s="60">
        <v>4.2699999999999996</v>
      </c>
      <c r="O665" s="23">
        <f t="shared" si="20"/>
        <v>605.67213114754099</v>
      </c>
      <c r="P665" s="24">
        <v>4.04</v>
      </c>
      <c r="Q665" s="61" t="s">
        <v>63</v>
      </c>
      <c r="R665" s="62" t="s">
        <v>33</v>
      </c>
      <c r="S665" s="62" t="s">
        <v>249</v>
      </c>
      <c r="T665" s="26"/>
      <c r="U665" s="39"/>
      <c r="V665" s="28">
        <f t="shared" si="21"/>
        <v>105</v>
      </c>
      <c r="W665" s="29"/>
    </row>
    <row r="666" spans="1:23" s="40" customFormat="1" ht="21" customHeight="1">
      <c r="A666" s="34"/>
      <c r="B666" s="31"/>
      <c r="C666" s="32"/>
      <c r="D666" s="56" t="s">
        <v>293</v>
      </c>
      <c r="E666" s="57" t="s">
        <v>242</v>
      </c>
      <c r="F666" s="58">
        <v>9.8390000000000004</v>
      </c>
      <c r="G666" s="57">
        <v>1814</v>
      </c>
      <c r="H666" s="58">
        <v>279</v>
      </c>
      <c r="I666" s="57" t="s">
        <v>243</v>
      </c>
      <c r="J666" s="58">
        <v>8765</v>
      </c>
      <c r="K666" s="59">
        <v>24405</v>
      </c>
      <c r="L666" s="59">
        <v>15530</v>
      </c>
      <c r="M666" s="21" t="s">
        <v>31</v>
      </c>
      <c r="N666" s="60">
        <v>4.2699999999999996</v>
      </c>
      <c r="O666" s="23">
        <f t="shared" si="20"/>
        <v>605.67213114754099</v>
      </c>
      <c r="P666" s="24">
        <v>4.04</v>
      </c>
      <c r="Q666" s="61" t="s">
        <v>63</v>
      </c>
      <c r="R666" s="62" t="s">
        <v>33</v>
      </c>
      <c r="S666" s="62" t="s">
        <v>250</v>
      </c>
      <c r="T666" s="26"/>
      <c r="U666" s="39"/>
      <c r="V666" s="28">
        <f t="shared" si="21"/>
        <v>105</v>
      </c>
      <c r="W666" s="29"/>
    </row>
    <row r="667" spans="1:23" s="40" customFormat="1" ht="21" customHeight="1">
      <c r="A667" s="34"/>
      <c r="B667" s="31"/>
      <c r="C667" s="32"/>
      <c r="D667" s="56" t="s">
        <v>294</v>
      </c>
      <c r="E667" s="57" t="s">
        <v>242</v>
      </c>
      <c r="F667" s="58">
        <v>9.8390000000000004</v>
      </c>
      <c r="G667" s="57">
        <v>1814</v>
      </c>
      <c r="H667" s="58">
        <v>279</v>
      </c>
      <c r="I667" s="57" t="s">
        <v>246</v>
      </c>
      <c r="J667" s="58">
        <v>8765</v>
      </c>
      <c r="K667" s="59">
        <v>24405</v>
      </c>
      <c r="L667" s="59">
        <v>15530</v>
      </c>
      <c r="M667" s="21" t="s">
        <v>31</v>
      </c>
      <c r="N667" s="60">
        <v>4.41</v>
      </c>
      <c r="O667" s="23">
        <f t="shared" si="20"/>
        <v>586.44444444444434</v>
      </c>
      <c r="P667" s="24">
        <v>4.04</v>
      </c>
      <c r="Q667" s="61" t="s">
        <v>43</v>
      </c>
      <c r="R667" s="62" t="s">
        <v>33</v>
      </c>
      <c r="S667" s="62" t="s">
        <v>236</v>
      </c>
      <c r="T667" s="26"/>
      <c r="U667" s="39"/>
      <c r="V667" s="28">
        <f t="shared" si="21"/>
        <v>109</v>
      </c>
      <c r="W667" s="29"/>
    </row>
    <row r="668" spans="1:23" s="40" customFormat="1" ht="21" customHeight="1">
      <c r="A668" s="34"/>
      <c r="B668" s="31"/>
      <c r="C668" s="32"/>
      <c r="D668" s="56" t="s">
        <v>294</v>
      </c>
      <c r="E668" s="57" t="s">
        <v>242</v>
      </c>
      <c r="F668" s="58">
        <v>9.8390000000000004</v>
      </c>
      <c r="G668" s="57">
        <v>1814</v>
      </c>
      <c r="H668" s="58">
        <v>279</v>
      </c>
      <c r="I668" s="57" t="s">
        <v>246</v>
      </c>
      <c r="J668" s="58">
        <v>8765</v>
      </c>
      <c r="K668" s="59">
        <v>24405</v>
      </c>
      <c r="L668" s="59">
        <v>15530</v>
      </c>
      <c r="M668" s="21" t="s">
        <v>31</v>
      </c>
      <c r="N668" s="60">
        <v>4.41</v>
      </c>
      <c r="O668" s="23">
        <f t="shared" si="20"/>
        <v>586.44444444444434</v>
      </c>
      <c r="P668" s="24">
        <v>4.04</v>
      </c>
      <c r="Q668" s="61" t="s">
        <v>43</v>
      </c>
      <c r="R668" s="62" t="s">
        <v>33</v>
      </c>
      <c r="S668" s="62" t="s">
        <v>253</v>
      </c>
      <c r="T668" s="26"/>
      <c r="U668" s="39"/>
      <c r="V668" s="28">
        <f t="shared" si="21"/>
        <v>109</v>
      </c>
      <c r="W668" s="29"/>
    </row>
    <row r="669" spans="1:23" s="40" customFormat="1" ht="21" customHeight="1">
      <c r="A669" s="34"/>
      <c r="B669" s="31"/>
      <c r="C669" s="32"/>
      <c r="D669" s="56" t="s">
        <v>294</v>
      </c>
      <c r="E669" s="57" t="s">
        <v>242</v>
      </c>
      <c r="F669" s="58">
        <v>9.8390000000000004</v>
      </c>
      <c r="G669" s="57">
        <v>1814</v>
      </c>
      <c r="H669" s="58">
        <v>279</v>
      </c>
      <c r="I669" s="57" t="s">
        <v>243</v>
      </c>
      <c r="J669" s="58">
        <v>8765</v>
      </c>
      <c r="K669" s="59">
        <v>24405</v>
      </c>
      <c r="L669" s="59">
        <v>15530</v>
      </c>
      <c r="M669" s="21" t="s">
        <v>31</v>
      </c>
      <c r="N669" s="60">
        <v>4.3600000000000003</v>
      </c>
      <c r="O669" s="23">
        <f t="shared" si="20"/>
        <v>593.16972477064223</v>
      </c>
      <c r="P669" s="24">
        <v>4.04</v>
      </c>
      <c r="Q669" s="61" t="s">
        <v>43</v>
      </c>
      <c r="R669" s="62" t="s">
        <v>33</v>
      </c>
      <c r="S669" s="62" t="s">
        <v>236</v>
      </c>
      <c r="T669" s="26"/>
      <c r="U669" s="39"/>
      <c r="V669" s="28">
        <f t="shared" si="21"/>
        <v>107</v>
      </c>
      <c r="W669" s="29"/>
    </row>
    <row r="670" spans="1:23" s="40" customFormat="1" ht="21" customHeight="1">
      <c r="A670" s="34"/>
      <c r="B670" s="31"/>
      <c r="C670" s="32"/>
      <c r="D670" s="56" t="s">
        <v>294</v>
      </c>
      <c r="E670" s="57" t="s">
        <v>242</v>
      </c>
      <c r="F670" s="58">
        <v>9.8390000000000004</v>
      </c>
      <c r="G670" s="57">
        <v>1814</v>
      </c>
      <c r="H670" s="58">
        <v>279</v>
      </c>
      <c r="I670" s="57" t="s">
        <v>243</v>
      </c>
      <c r="J670" s="58">
        <v>8765</v>
      </c>
      <c r="K670" s="59">
        <v>24405</v>
      </c>
      <c r="L670" s="59">
        <v>15530</v>
      </c>
      <c r="M670" s="21" t="s">
        <v>31</v>
      </c>
      <c r="N670" s="60">
        <v>4.3600000000000003</v>
      </c>
      <c r="O670" s="23">
        <f t="shared" si="20"/>
        <v>593.16972477064223</v>
      </c>
      <c r="P670" s="24">
        <v>4.04</v>
      </c>
      <c r="Q670" s="61" t="s">
        <v>43</v>
      </c>
      <c r="R670" s="62" t="s">
        <v>33</v>
      </c>
      <c r="S670" s="62" t="s">
        <v>253</v>
      </c>
      <c r="T670" s="26"/>
      <c r="U670" s="39"/>
      <c r="V670" s="28">
        <f t="shared" si="21"/>
        <v>107</v>
      </c>
      <c r="W670" s="29"/>
    </row>
    <row r="671" spans="1:23" s="40" customFormat="1" ht="21" customHeight="1">
      <c r="A671" s="34"/>
      <c r="B671" s="31"/>
      <c r="C671" s="32"/>
      <c r="D671" s="56" t="s">
        <v>294</v>
      </c>
      <c r="E671" s="57" t="s">
        <v>242</v>
      </c>
      <c r="F671" s="58">
        <v>9.8390000000000004</v>
      </c>
      <c r="G671" s="57">
        <v>1814</v>
      </c>
      <c r="H671" s="58">
        <v>279</v>
      </c>
      <c r="I671" s="57" t="s">
        <v>246</v>
      </c>
      <c r="J671" s="58">
        <v>8765</v>
      </c>
      <c r="K671" s="59">
        <v>24405</v>
      </c>
      <c r="L671" s="59">
        <v>15530</v>
      </c>
      <c r="M671" s="21" t="s">
        <v>31</v>
      </c>
      <c r="N671" s="60">
        <v>4.3</v>
      </c>
      <c r="O671" s="23">
        <f t="shared" si="20"/>
        <v>601.44651162790706</v>
      </c>
      <c r="P671" s="24">
        <v>4.04</v>
      </c>
      <c r="Q671" s="61" t="s">
        <v>63</v>
      </c>
      <c r="R671" s="62" t="s">
        <v>33</v>
      </c>
      <c r="S671" s="62" t="s">
        <v>236</v>
      </c>
      <c r="T671" s="26"/>
      <c r="U671" s="39"/>
      <c r="V671" s="28">
        <f t="shared" si="21"/>
        <v>106</v>
      </c>
      <c r="W671" s="29"/>
    </row>
    <row r="672" spans="1:23" s="40" customFormat="1" ht="21" customHeight="1">
      <c r="A672" s="34"/>
      <c r="B672" s="31"/>
      <c r="C672" s="32"/>
      <c r="D672" s="56" t="s">
        <v>294</v>
      </c>
      <c r="E672" s="57" t="s">
        <v>242</v>
      </c>
      <c r="F672" s="58">
        <v>9.8390000000000004</v>
      </c>
      <c r="G672" s="57">
        <v>1814</v>
      </c>
      <c r="H672" s="58">
        <v>279</v>
      </c>
      <c r="I672" s="57" t="s">
        <v>246</v>
      </c>
      <c r="J672" s="58">
        <v>8765</v>
      </c>
      <c r="K672" s="59">
        <v>24405</v>
      </c>
      <c r="L672" s="59">
        <v>15530</v>
      </c>
      <c r="M672" s="21" t="s">
        <v>31</v>
      </c>
      <c r="N672" s="60">
        <v>4.3</v>
      </c>
      <c r="O672" s="23">
        <f t="shared" si="20"/>
        <v>601.44651162790706</v>
      </c>
      <c r="P672" s="24">
        <v>4.04</v>
      </c>
      <c r="Q672" s="61" t="s">
        <v>63</v>
      </c>
      <c r="R672" s="62" t="s">
        <v>33</v>
      </c>
      <c r="S672" s="62" t="s">
        <v>253</v>
      </c>
      <c r="T672" s="26"/>
      <c r="U672" s="39"/>
      <c r="V672" s="28">
        <f t="shared" si="21"/>
        <v>106</v>
      </c>
      <c r="W672" s="29"/>
    </row>
    <row r="673" spans="1:23" s="40" customFormat="1" ht="21" customHeight="1">
      <c r="A673" s="34"/>
      <c r="B673" s="31"/>
      <c r="C673" s="32"/>
      <c r="D673" s="56" t="s">
        <v>294</v>
      </c>
      <c r="E673" s="57" t="s">
        <v>242</v>
      </c>
      <c r="F673" s="58">
        <v>9.8390000000000004</v>
      </c>
      <c r="G673" s="57">
        <v>1814</v>
      </c>
      <c r="H673" s="58">
        <v>279</v>
      </c>
      <c r="I673" s="57" t="s">
        <v>243</v>
      </c>
      <c r="J673" s="58">
        <v>8765</v>
      </c>
      <c r="K673" s="59">
        <v>24405</v>
      </c>
      <c r="L673" s="59">
        <v>15530</v>
      </c>
      <c r="M673" s="21" t="s">
        <v>31</v>
      </c>
      <c r="N673" s="60">
        <v>4.2699999999999996</v>
      </c>
      <c r="O673" s="23">
        <f t="shared" si="20"/>
        <v>605.67213114754099</v>
      </c>
      <c r="P673" s="24">
        <v>4.04</v>
      </c>
      <c r="Q673" s="61" t="s">
        <v>63</v>
      </c>
      <c r="R673" s="62" t="s">
        <v>33</v>
      </c>
      <c r="S673" s="62" t="s">
        <v>236</v>
      </c>
      <c r="T673" s="26"/>
      <c r="U673" s="39"/>
      <c r="V673" s="28">
        <f t="shared" si="21"/>
        <v>105</v>
      </c>
      <c r="W673" s="29"/>
    </row>
    <row r="674" spans="1:23" s="40" customFormat="1" ht="21" customHeight="1">
      <c r="A674" s="34"/>
      <c r="B674" s="31"/>
      <c r="C674" s="32"/>
      <c r="D674" s="56" t="s">
        <v>294</v>
      </c>
      <c r="E674" s="57" t="s">
        <v>242</v>
      </c>
      <c r="F674" s="58">
        <v>9.8390000000000004</v>
      </c>
      <c r="G674" s="57">
        <v>1814</v>
      </c>
      <c r="H674" s="58">
        <v>279</v>
      </c>
      <c r="I674" s="57" t="s">
        <v>243</v>
      </c>
      <c r="J674" s="58">
        <v>8765</v>
      </c>
      <c r="K674" s="59">
        <v>24405</v>
      </c>
      <c r="L674" s="59">
        <v>15530</v>
      </c>
      <c r="M674" s="21" t="s">
        <v>31</v>
      </c>
      <c r="N674" s="60">
        <v>4.2699999999999996</v>
      </c>
      <c r="O674" s="23">
        <f t="shared" si="20"/>
        <v>605.67213114754099</v>
      </c>
      <c r="P674" s="24">
        <v>4.04</v>
      </c>
      <c r="Q674" s="61" t="s">
        <v>63</v>
      </c>
      <c r="R674" s="62" t="s">
        <v>33</v>
      </c>
      <c r="S674" s="62" t="s">
        <v>253</v>
      </c>
      <c r="T674" s="26"/>
      <c r="U674" s="39"/>
      <c r="V674" s="28">
        <f t="shared" si="21"/>
        <v>105</v>
      </c>
      <c r="W674" s="29"/>
    </row>
    <row r="675" spans="1:23" s="40" customFormat="1" ht="21" customHeight="1">
      <c r="A675" s="34"/>
      <c r="B675" s="31"/>
      <c r="C675" s="32"/>
      <c r="D675" s="56" t="s">
        <v>295</v>
      </c>
      <c r="E675" s="57" t="s">
        <v>242</v>
      </c>
      <c r="F675" s="58">
        <v>9.8390000000000004</v>
      </c>
      <c r="G675" s="57">
        <v>1814</v>
      </c>
      <c r="H675" s="58">
        <v>279</v>
      </c>
      <c r="I675" s="57" t="s">
        <v>246</v>
      </c>
      <c r="J675" s="58">
        <v>8765</v>
      </c>
      <c r="K675" s="59">
        <v>24405</v>
      </c>
      <c r="L675" s="59">
        <v>15530</v>
      </c>
      <c r="M675" s="21" t="s">
        <v>31</v>
      </c>
      <c r="N675" s="60">
        <v>4.41</v>
      </c>
      <c r="O675" s="23">
        <f t="shared" si="20"/>
        <v>586.44444444444434</v>
      </c>
      <c r="P675" s="24">
        <v>4.04</v>
      </c>
      <c r="Q675" s="61" t="s">
        <v>43</v>
      </c>
      <c r="R675" s="62" t="s">
        <v>33</v>
      </c>
      <c r="S675" s="62" t="s">
        <v>236</v>
      </c>
      <c r="T675" s="26"/>
      <c r="U675" s="39"/>
      <c r="V675" s="28">
        <f t="shared" si="21"/>
        <v>109</v>
      </c>
      <c r="W675" s="29"/>
    </row>
    <row r="676" spans="1:23" s="40" customFormat="1" ht="21" customHeight="1">
      <c r="A676" s="34"/>
      <c r="B676" s="31"/>
      <c r="C676" s="32"/>
      <c r="D676" s="56" t="s">
        <v>295</v>
      </c>
      <c r="E676" s="57" t="s">
        <v>242</v>
      </c>
      <c r="F676" s="58">
        <v>9.8390000000000004</v>
      </c>
      <c r="G676" s="57">
        <v>1814</v>
      </c>
      <c r="H676" s="58">
        <v>279</v>
      </c>
      <c r="I676" s="57" t="s">
        <v>243</v>
      </c>
      <c r="J676" s="58">
        <v>8765</v>
      </c>
      <c r="K676" s="59">
        <v>24405</v>
      </c>
      <c r="L676" s="59">
        <v>15530</v>
      </c>
      <c r="M676" s="21" t="s">
        <v>31</v>
      </c>
      <c r="N676" s="60">
        <v>4.3600000000000003</v>
      </c>
      <c r="O676" s="23">
        <f t="shared" si="20"/>
        <v>593.16972477064223</v>
      </c>
      <c r="P676" s="24">
        <v>4.04</v>
      </c>
      <c r="Q676" s="61" t="s">
        <v>43</v>
      </c>
      <c r="R676" s="62" t="s">
        <v>33</v>
      </c>
      <c r="S676" s="62" t="s">
        <v>236</v>
      </c>
      <c r="T676" s="26"/>
      <c r="U676" s="39"/>
      <c r="V676" s="28">
        <f t="shared" si="21"/>
        <v>107</v>
      </c>
      <c r="W676" s="29"/>
    </row>
    <row r="677" spans="1:23" s="40" customFormat="1" ht="21" customHeight="1">
      <c r="A677" s="34"/>
      <c r="B677" s="31"/>
      <c r="C677" s="32"/>
      <c r="D677" s="56" t="s">
        <v>295</v>
      </c>
      <c r="E677" s="57" t="s">
        <v>242</v>
      </c>
      <c r="F677" s="58">
        <v>9.8390000000000004</v>
      </c>
      <c r="G677" s="57">
        <v>1814</v>
      </c>
      <c r="H677" s="58">
        <v>279</v>
      </c>
      <c r="I677" s="57" t="s">
        <v>246</v>
      </c>
      <c r="J677" s="58">
        <v>8765</v>
      </c>
      <c r="K677" s="59">
        <v>24405</v>
      </c>
      <c r="L677" s="59">
        <v>15530</v>
      </c>
      <c r="M677" s="21" t="s">
        <v>31</v>
      </c>
      <c r="N677" s="60">
        <v>4.3</v>
      </c>
      <c r="O677" s="23">
        <f t="shared" si="20"/>
        <v>601.44651162790706</v>
      </c>
      <c r="P677" s="24">
        <v>4.04</v>
      </c>
      <c r="Q677" s="61" t="s">
        <v>63</v>
      </c>
      <c r="R677" s="62" t="s">
        <v>33</v>
      </c>
      <c r="S677" s="62" t="s">
        <v>236</v>
      </c>
      <c r="T677" s="26"/>
      <c r="U677" s="39"/>
      <c r="V677" s="28">
        <f t="shared" si="21"/>
        <v>106</v>
      </c>
      <c r="W677" s="29"/>
    </row>
    <row r="678" spans="1:23" s="40" customFormat="1" ht="21" customHeight="1">
      <c r="A678" s="34"/>
      <c r="B678" s="31"/>
      <c r="C678" s="32"/>
      <c r="D678" s="56" t="s">
        <v>295</v>
      </c>
      <c r="E678" s="57" t="s">
        <v>242</v>
      </c>
      <c r="F678" s="58">
        <v>9.8390000000000004</v>
      </c>
      <c r="G678" s="57">
        <v>1814</v>
      </c>
      <c r="H678" s="58">
        <v>279</v>
      </c>
      <c r="I678" s="57" t="s">
        <v>243</v>
      </c>
      <c r="J678" s="58">
        <v>8765</v>
      </c>
      <c r="K678" s="59">
        <v>24405</v>
      </c>
      <c r="L678" s="59">
        <v>15530</v>
      </c>
      <c r="M678" s="21" t="s">
        <v>31</v>
      </c>
      <c r="N678" s="60">
        <v>4.2699999999999996</v>
      </c>
      <c r="O678" s="23">
        <f t="shared" si="20"/>
        <v>605.67213114754099</v>
      </c>
      <c r="P678" s="24">
        <v>4.04</v>
      </c>
      <c r="Q678" s="61" t="s">
        <v>63</v>
      </c>
      <c r="R678" s="62" t="s">
        <v>33</v>
      </c>
      <c r="S678" s="62" t="s">
        <v>236</v>
      </c>
      <c r="T678" s="26"/>
      <c r="U678" s="39"/>
      <c r="V678" s="28">
        <f t="shared" si="21"/>
        <v>105</v>
      </c>
      <c r="W678" s="29"/>
    </row>
    <row r="679" spans="1:23" s="40" customFormat="1" ht="21" customHeight="1">
      <c r="A679" s="34"/>
      <c r="B679" s="31"/>
      <c r="C679" s="32"/>
      <c r="D679" s="56" t="s">
        <v>296</v>
      </c>
      <c r="E679" s="57" t="s">
        <v>242</v>
      </c>
      <c r="F679" s="58">
        <v>9.8390000000000004</v>
      </c>
      <c r="G679" s="57">
        <v>1814</v>
      </c>
      <c r="H679" s="58">
        <v>279</v>
      </c>
      <c r="I679" s="57" t="s">
        <v>246</v>
      </c>
      <c r="J679" s="58">
        <v>8765</v>
      </c>
      <c r="K679" s="59">
        <v>24405</v>
      </c>
      <c r="L679" s="59">
        <v>15530</v>
      </c>
      <c r="M679" s="21" t="s">
        <v>31</v>
      </c>
      <c r="N679" s="60">
        <v>4.41</v>
      </c>
      <c r="O679" s="23">
        <f t="shared" si="20"/>
        <v>586.44444444444434</v>
      </c>
      <c r="P679" s="24">
        <v>4.04</v>
      </c>
      <c r="Q679" s="61" t="s">
        <v>43</v>
      </c>
      <c r="R679" s="62" t="s">
        <v>33</v>
      </c>
      <c r="S679" s="62" t="s">
        <v>236</v>
      </c>
      <c r="T679" s="26"/>
      <c r="U679" s="39"/>
      <c r="V679" s="28">
        <f t="shared" si="21"/>
        <v>109</v>
      </c>
      <c r="W679" s="29"/>
    </row>
    <row r="680" spans="1:23" s="40" customFormat="1" ht="21" customHeight="1">
      <c r="A680" s="34"/>
      <c r="B680" s="31"/>
      <c r="C680" s="32"/>
      <c r="D680" s="56" t="s">
        <v>296</v>
      </c>
      <c r="E680" s="57" t="s">
        <v>242</v>
      </c>
      <c r="F680" s="58">
        <v>9.8390000000000004</v>
      </c>
      <c r="G680" s="57">
        <v>1567</v>
      </c>
      <c r="H680" s="58">
        <v>265</v>
      </c>
      <c r="I680" s="57" t="s">
        <v>243</v>
      </c>
      <c r="J680" s="58">
        <v>8765</v>
      </c>
      <c r="K680" s="59">
        <v>24405</v>
      </c>
      <c r="L680" s="59">
        <v>15530</v>
      </c>
      <c r="M680" s="21" t="s">
        <v>31</v>
      </c>
      <c r="N680" s="60">
        <v>4.3899999999999997</v>
      </c>
      <c r="O680" s="23">
        <f t="shared" si="20"/>
        <v>589.11617312072894</v>
      </c>
      <c r="P680" s="24">
        <v>4.04</v>
      </c>
      <c r="Q680" s="61" t="s">
        <v>43</v>
      </c>
      <c r="R680" s="62" t="s">
        <v>33</v>
      </c>
      <c r="S680" s="62" t="s">
        <v>236</v>
      </c>
      <c r="T680" s="26"/>
      <c r="U680" s="39"/>
      <c r="V680" s="28">
        <f t="shared" si="21"/>
        <v>108</v>
      </c>
      <c r="W680" s="29"/>
    </row>
    <row r="681" spans="1:23" s="40" customFormat="1" ht="21" customHeight="1">
      <c r="A681" s="34"/>
      <c r="B681" s="31"/>
      <c r="C681" s="32"/>
      <c r="D681" s="56" t="s">
        <v>296</v>
      </c>
      <c r="E681" s="57" t="s">
        <v>242</v>
      </c>
      <c r="F681" s="58">
        <v>9.8390000000000004</v>
      </c>
      <c r="G681" s="57">
        <v>1814</v>
      </c>
      <c r="H681" s="58">
        <v>279</v>
      </c>
      <c r="I681" s="57" t="s">
        <v>243</v>
      </c>
      <c r="J681" s="58">
        <v>8765</v>
      </c>
      <c r="K681" s="59">
        <v>24405</v>
      </c>
      <c r="L681" s="59">
        <v>15530</v>
      </c>
      <c r="M681" s="21" t="s">
        <v>31</v>
      </c>
      <c r="N681" s="60">
        <v>4.3600000000000003</v>
      </c>
      <c r="O681" s="23">
        <f t="shared" si="20"/>
        <v>593.16972477064223</v>
      </c>
      <c r="P681" s="24">
        <v>4.04</v>
      </c>
      <c r="Q681" s="61" t="s">
        <v>43</v>
      </c>
      <c r="R681" s="62" t="s">
        <v>33</v>
      </c>
      <c r="S681" s="62" t="s">
        <v>236</v>
      </c>
      <c r="T681" s="26"/>
      <c r="U681" s="39"/>
      <c r="V681" s="28">
        <f t="shared" si="21"/>
        <v>107</v>
      </c>
      <c r="W681" s="29"/>
    </row>
    <row r="682" spans="1:23" s="40" customFormat="1" ht="21" customHeight="1">
      <c r="A682" s="34"/>
      <c r="B682" s="31"/>
      <c r="C682" s="32"/>
      <c r="D682" s="56" t="s">
        <v>296</v>
      </c>
      <c r="E682" s="57" t="s">
        <v>242</v>
      </c>
      <c r="F682" s="58">
        <v>9.8390000000000004</v>
      </c>
      <c r="G682" s="57">
        <v>1567</v>
      </c>
      <c r="H682" s="58">
        <v>265</v>
      </c>
      <c r="I682" s="57" t="s">
        <v>42</v>
      </c>
      <c r="J682" s="58">
        <v>8765</v>
      </c>
      <c r="K682" s="59">
        <v>24405</v>
      </c>
      <c r="L682" s="59">
        <v>15530</v>
      </c>
      <c r="M682" s="21" t="s">
        <v>31</v>
      </c>
      <c r="N682" s="60">
        <v>4.3600000000000003</v>
      </c>
      <c r="O682" s="23">
        <f t="shared" si="20"/>
        <v>593.16972477064223</v>
      </c>
      <c r="P682" s="24">
        <v>4.04</v>
      </c>
      <c r="Q682" s="61" t="s">
        <v>43</v>
      </c>
      <c r="R682" s="62" t="s">
        <v>33</v>
      </c>
      <c r="S682" s="62" t="s">
        <v>236</v>
      </c>
      <c r="T682" s="26"/>
      <c r="U682" s="39"/>
      <c r="V682" s="28">
        <f t="shared" si="21"/>
        <v>107</v>
      </c>
      <c r="W682" s="29"/>
    </row>
    <row r="683" spans="1:23" s="40" customFormat="1" ht="21" customHeight="1">
      <c r="A683" s="34"/>
      <c r="B683" s="31"/>
      <c r="C683" s="32"/>
      <c r="D683" s="56" t="s">
        <v>296</v>
      </c>
      <c r="E683" s="57" t="s">
        <v>242</v>
      </c>
      <c r="F683" s="58">
        <v>9.8390000000000004</v>
      </c>
      <c r="G683" s="57">
        <v>1567</v>
      </c>
      <c r="H683" s="58">
        <v>265</v>
      </c>
      <c r="I683" s="57" t="s">
        <v>235</v>
      </c>
      <c r="J683" s="58">
        <v>8765</v>
      </c>
      <c r="K683" s="59">
        <v>24405</v>
      </c>
      <c r="L683" s="59">
        <v>15530</v>
      </c>
      <c r="M683" s="21" t="s">
        <v>31</v>
      </c>
      <c r="N683" s="60">
        <v>4.3499999999999996</v>
      </c>
      <c r="O683" s="23">
        <f t="shared" si="20"/>
        <v>594.53333333333342</v>
      </c>
      <c r="P683" s="24">
        <v>4.04</v>
      </c>
      <c r="Q683" s="61" t="s">
        <v>43</v>
      </c>
      <c r="R683" s="62" t="s">
        <v>33</v>
      </c>
      <c r="S683" s="62" t="s">
        <v>236</v>
      </c>
      <c r="T683" s="26"/>
      <c r="U683" s="39"/>
      <c r="V683" s="28">
        <f t="shared" si="21"/>
        <v>107</v>
      </c>
      <c r="W683" s="29"/>
    </row>
    <row r="684" spans="1:23" s="40" customFormat="1" ht="21" customHeight="1">
      <c r="A684" s="34"/>
      <c r="B684" s="31"/>
      <c r="C684" s="32"/>
      <c r="D684" s="56" t="s">
        <v>296</v>
      </c>
      <c r="E684" s="57" t="s">
        <v>242</v>
      </c>
      <c r="F684" s="58">
        <v>9.8390000000000004</v>
      </c>
      <c r="G684" s="57">
        <v>1567</v>
      </c>
      <c r="H684" s="58">
        <v>265</v>
      </c>
      <c r="I684" s="57" t="s">
        <v>243</v>
      </c>
      <c r="J684" s="58">
        <v>8765</v>
      </c>
      <c r="K684" s="59">
        <v>24405</v>
      </c>
      <c r="L684" s="59">
        <v>15530</v>
      </c>
      <c r="M684" s="21" t="s">
        <v>31</v>
      </c>
      <c r="N684" s="60">
        <v>4.3</v>
      </c>
      <c r="O684" s="23">
        <f t="shared" si="20"/>
        <v>601.44651162790706</v>
      </c>
      <c r="P684" s="24">
        <v>4.04</v>
      </c>
      <c r="Q684" s="61" t="s">
        <v>63</v>
      </c>
      <c r="R684" s="62" t="s">
        <v>33</v>
      </c>
      <c r="S684" s="62" t="s">
        <v>236</v>
      </c>
      <c r="T684" s="26"/>
      <c r="U684" s="39"/>
      <c r="V684" s="28">
        <f t="shared" si="21"/>
        <v>106</v>
      </c>
      <c r="W684" s="29"/>
    </row>
    <row r="685" spans="1:23" s="40" customFormat="1" ht="21" customHeight="1">
      <c r="A685" s="34"/>
      <c r="B685" s="31"/>
      <c r="C685" s="32"/>
      <c r="D685" s="56" t="s">
        <v>296</v>
      </c>
      <c r="E685" s="57" t="s">
        <v>242</v>
      </c>
      <c r="F685" s="58">
        <v>9.8390000000000004</v>
      </c>
      <c r="G685" s="57">
        <v>1814</v>
      </c>
      <c r="H685" s="58">
        <v>279</v>
      </c>
      <c r="I685" s="57" t="s">
        <v>246</v>
      </c>
      <c r="J685" s="58">
        <v>8765</v>
      </c>
      <c r="K685" s="59">
        <v>24405</v>
      </c>
      <c r="L685" s="59">
        <v>15530</v>
      </c>
      <c r="M685" s="21" t="s">
        <v>31</v>
      </c>
      <c r="N685" s="60">
        <v>4.3</v>
      </c>
      <c r="O685" s="23">
        <f t="shared" si="20"/>
        <v>601.44651162790706</v>
      </c>
      <c r="P685" s="24">
        <v>4.04</v>
      </c>
      <c r="Q685" s="61" t="s">
        <v>63</v>
      </c>
      <c r="R685" s="62" t="s">
        <v>33</v>
      </c>
      <c r="S685" s="62" t="s">
        <v>236</v>
      </c>
      <c r="T685" s="26"/>
      <c r="U685" s="39"/>
      <c r="V685" s="28">
        <f t="shared" si="21"/>
        <v>106</v>
      </c>
      <c r="W685" s="29"/>
    </row>
    <row r="686" spans="1:23" s="40" customFormat="1" ht="21" customHeight="1">
      <c r="A686" s="34"/>
      <c r="B686" s="31"/>
      <c r="C686" s="32"/>
      <c r="D686" s="56" t="s">
        <v>296</v>
      </c>
      <c r="E686" s="57" t="s">
        <v>242</v>
      </c>
      <c r="F686" s="58">
        <v>9.8390000000000004</v>
      </c>
      <c r="G686" s="57">
        <v>1814</v>
      </c>
      <c r="H686" s="58">
        <v>279</v>
      </c>
      <c r="I686" s="57" t="s">
        <v>243</v>
      </c>
      <c r="J686" s="58">
        <v>8765</v>
      </c>
      <c r="K686" s="59">
        <v>24405</v>
      </c>
      <c r="L686" s="59">
        <v>15530</v>
      </c>
      <c r="M686" s="21" t="s">
        <v>31</v>
      </c>
      <c r="N686" s="60">
        <v>4.2699999999999996</v>
      </c>
      <c r="O686" s="23">
        <f t="shared" si="20"/>
        <v>605.67213114754099</v>
      </c>
      <c r="P686" s="24">
        <v>4.04</v>
      </c>
      <c r="Q686" s="61" t="s">
        <v>63</v>
      </c>
      <c r="R686" s="62" t="s">
        <v>33</v>
      </c>
      <c r="S686" s="62" t="s">
        <v>236</v>
      </c>
      <c r="T686" s="26"/>
      <c r="U686" s="39"/>
      <c r="V686" s="28">
        <f t="shared" si="21"/>
        <v>105</v>
      </c>
      <c r="W686" s="29"/>
    </row>
    <row r="687" spans="1:23" s="40" customFormat="1" ht="21" customHeight="1">
      <c r="A687" s="34"/>
      <c r="B687" s="31"/>
      <c r="C687" s="32"/>
      <c r="D687" s="56" t="s">
        <v>296</v>
      </c>
      <c r="E687" s="57" t="s">
        <v>242</v>
      </c>
      <c r="F687" s="58">
        <v>9.8390000000000004</v>
      </c>
      <c r="G687" s="57">
        <v>1567</v>
      </c>
      <c r="H687" s="58">
        <v>265</v>
      </c>
      <c r="I687" s="57" t="s">
        <v>42</v>
      </c>
      <c r="J687" s="58">
        <v>8765</v>
      </c>
      <c r="K687" s="59">
        <v>24405</v>
      </c>
      <c r="L687" s="59">
        <v>15530</v>
      </c>
      <c r="M687" s="21" t="s">
        <v>31</v>
      </c>
      <c r="N687" s="60">
        <v>4.26</v>
      </c>
      <c r="O687" s="23">
        <f t="shared" si="20"/>
        <v>607.09389671361509</v>
      </c>
      <c r="P687" s="24">
        <v>4.04</v>
      </c>
      <c r="Q687" s="61" t="s">
        <v>63</v>
      </c>
      <c r="R687" s="62" t="s">
        <v>33</v>
      </c>
      <c r="S687" s="62" t="s">
        <v>236</v>
      </c>
      <c r="T687" s="26"/>
      <c r="U687" s="39"/>
      <c r="V687" s="28">
        <f t="shared" si="21"/>
        <v>105</v>
      </c>
      <c r="W687" s="29"/>
    </row>
    <row r="688" spans="1:23" s="40" customFormat="1" ht="21" customHeight="1">
      <c r="A688" s="34"/>
      <c r="B688" s="31"/>
      <c r="C688" s="32"/>
      <c r="D688" s="56" t="s">
        <v>296</v>
      </c>
      <c r="E688" s="57" t="s">
        <v>242</v>
      </c>
      <c r="F688" s="58">
        <v>9.8390000000000004</v>
      </c>
      <c r="G688" s="57">
        <v>1567</v>
      </c>
      <c r="H688" s="58">
        <v>265</v>
      </c>
      <c r="I688" s="57" t="s">
        <v>235</v>
      </c>
      <c r="J688" s="58">
        <v>8765</v>
      </c>
      <c r="K688" s="59">
        <v>24405</v>
      </c>
      <c r="L688" s="59">
        <v>15530</v>
      </c>
      <c r="M688" s="21" t="s">
        <v>31</v>
      </c>
      <c r="N688" s="60">
        <v>4.26</v>
      </c>
      <c r="O688" s="23">
        <f t="shared" si="20"/>
        <v>607.09389671361509</v>
      </c>
      <c r="P688" s="24">
        <v>4.04</v>
      </c>
      <c r="Q688" s="61" t="s">
        <v>63</v>
      </c>
      <c r="R688" s="62" t="s">
        <v>33</v>
      </c>
      <c r="S688" s="62" t="s">
        <v>236</v>
      </c>
      <c r="T688" s="26"/>
      <c r="U688" s="39"/>
      <c r="V688" s="28">
        <f t="shared" si="21"/>
        <v>105</v>
      </c>
      <c r="W688" s="29"/>
    </row>
    <row r="689" spans="1:23" s="40" customFormat="1" ht="21" customHeight="1">
      <c r="A689" s="34"/>
      <c r="B689" s="31"/>
      <c r="C689" s="32"/>
      <c r="D689" s="56" t="s">
        <v>297</v>
      </c>
      <c r="E689" s="57" t="s">
        <v>242</v>
      </c>
      <c r="F689" s="58">
        <v>9.8390000000000004</v>
      </c>
      <c r="G689" s="57">
        <v>1814</v>
      </c>
      <c r="H689" s="58">
        <v>279</v>
      </c>
      <c r="I689" s="57" t="s">
        <v>246</v>
      </c>
      <c r="J689" s="58">
        <v>8765</v>
      </c>
      <c r="K689" s="59">
        <v>24405</v>
      </c>
      <c r="L689" s="59">
        <v>15530</v>
      </c>
      <c r="M689" s="21" t="s">
        <v>31</v>
      </c>
      <c r="N689" s="60">
        <v>4.41</v>
      </c>
      <c r="O689" s="23">
        <f t="shared" si="20"/>
        <v>586.44444444444434</v>
      </c>
      <c r="P689" s="24">
        <v>4.04</v>
      </c>
      <c r="Q689" s="61" t="s">
        <v>43</v>
      </c>
      <c r="R689" s="62" t="s">
        <v>33</v>
      </c>
      <c r="S689" s="62" t="s">
        <v>236</v>
      </c>
      <c r="T689" s="26"/>
      <c r="U689" s="39"/>
      <c r="V689" s="28">
        <f t="shared" si="21"/>
        <v>109</v>
      </c>
      <c r="W689" s="29"/>
    </row>
    <row r="690" spans="1:23" s="40" customFormat="1" ht="21" customHeight="1">
      <c r="A690" s="34"/>
      <c r="B690" s="31"/>
      <c r="C690" s="32"/>
      <c r="D690" s="56" t="s">
        <v>297</v>
      </c>
      <c r="E690" s="57" t="s">
        <v>242</v>
      </c>
      <c r="F690" s="58">
        <v>9.8390000000000004</v>
      </c>
      <c r="G690" s="57">
        <v>1814</v>
      </c>
      <c r="H690" s="58">
        <v>279</v>
      </c>
      <c r="I690" s="57" t="s">
        <v>246</v>
      </c>
      <c r="J690" s="58">
        <v>8765</v>
      </c>
      <c r="K690" s="59">
        <v>24405</v>
      </c>
      <c r="L690" s="59">
        <v>15530</v>
      </c>
      <c r="M690" s="21" t="s">
        <v>31</v>
      </c>
      <c r="N690" s="60">
        <v>4.41</v>
      </c>
      <c r="O690" s="23">
        <f t="shared" si="20"/>
        <v>586.44444444444434</v>
      </c>
      <c r="P690" s="24">
        <v>4.04</v>
      </c>
      <c r="Q690" s="61" t="s">
        <v>43</v>
      </c>
      <c r="R690" s="62" t="s">
        <v>33</v>
      </c>
      <c r="S690" s="62" t="s">
        <v>253</v>
      </c>
      <c r="T690" s="26"/>
      <c r="U690" s="39"/>
      <c r="V690" s="28">
        <f t="shared" si="21"/>
        <v>109</v>
      </c>
      <c r="W690" s="29"/>
    </row>
    <row r="691" spans="1:23" s="40" customFormat="1" ht="21" customHeight="1">
      <c r="A691" s="34"/>
      <c r="B691" s="31"/>
      <c r="C691" s="32"/>
      <c r="D691" s="56" t="s">
        <v>297</v>
      </c>
      <c r="E691" s="57" t="s">
        <v>242</v>
      </c>
      <c r="F691" s="58">
        <v>9.8390000000000004</v>
      </c>
      <c r="G691" s="57">
        <v>1814</v>
      </c>
      <c r="H691" s="58">
        <v>279</v>
      </c>
      <c r="I691" s="57" t="s">
        <v>243</v>
      </c>
      <c r="J691" s="58">
        <v>8765</v>
      </c>
      <c r="K691" s="59">
        <v>24405</v>
      </c>
      <c r="L691" s="59">
        <v>15530</v>
      </c>
      <c r="M691" s="21" t="s">
        <v>31</v>
      </c>
      <c r="N691" s="60">
        <v>4.3600000000000003</v>
      </c>
      <c r="O691" s="23">
        <f t="shared" si="20"/>
        <v>593.16972477064223</v>
      </c>
      <c r="P691" s="24">
        <v>4.04</v>
      </c>
      <c r="Q691" s="61" t="s">
        <v>43</v>
      </c>
      <c r="R691" s="62" t="s">
        <v>33</v>
      </c>
      <c r="S691" s="62" t="s">
        <v>236</v>
      </c>
      <c r="T691" s="26"/>
      <c r="U691" s="39"/>
      <c r="V691" s="28">
        <f t="shared" si="21"/>
        <v>107</v>
      </c>
      <c r="W691" s="29"/>
    </row>
    <row r="692" spans="1:23" s="40" customFormat="1" ht="21" customHeight="1">
      <c r="A692" s="34"/>
      <c r="B692" s="31"/>
      <c r="C692" s="32"/>
      <c r="D692" s="56" t="s">
        <v>297</v>
      </c>
      <c r="E692" s="57" t="s">
        <v>242</v>
      </c>
      <c r="F692" s="58">
        <v>9.8390000000000004</v>
      </c>
      <c r="G692" s="57">
        <v>1814</v>
      </c>
      <c r="H692" s="58">
        <v>279</v>
      </c>
      <c r="I692" s="57" t="s">
        <v>243</v>
      </c>
      <c r="J692" s="58">
        <v>8765</v>
      </c>
      <c r="K692" s="59">
        <v>24405</v>
      </c>
      <c r="L692" s="59">
        <v>15530</v>
      </c>
      <c r="M692" s="21" t="s">
        <v>31</v>
      </c>
      <c r="N692" s="60">
        <v>4.3600000000000003</v>
      </c>
      <c r="O692" s="23">
        <f t="shared" si="20"/>
        <v>593.16972477064223</v>
      </c>
      <c r="P692" s="24">
        <v>4.04</v>
      </c>
      <c r="Q692" s="61" t="s">
        <v>43</v>
      </c>
      <c r="R692" s="62" t="s">
        <v>33</v>
      </c>
      <c r="S692" s="62" t="s">
        <v>253</v>
      </c>
      <c r="T692" s="26"/>
      <c r="U692" s="39"/>
      <c r="V692" s="28">
        <f t="shared" si="21"/>
        <v>107</v>
      </c>
      <c r="W692" s="29"/>
    </row>
    <row r="693" spans="1:23" s="40" customFormat="1" ht="21" customHeight="1">
      <c r="A693" s="34"/>
      <c r="B693" s="31"/>
      <c r="C693" s="32"/>
      <c r="D693" s="56" t="s">
        <v>297</v>
      </c>
      <c r="E693" s="57" t="s">
        <v>242</v>
      </c>
      <c r="F693" s="58">
        <v>9.8390000000000004</v>
      </c>
      <c r="G693" s="57">
        <v>1814</v>
      </c>
      <c r="H693" s="58">
        <v>279</v>
      </c>
      <c r="I693" s="57" t="s">
        <v>246</v>
      </c>
      <c r="J693" s="58">
        <v>8765</v>
      </c>
      <c r="K693" s="59">
        <v>24405</v>
      </c>
      <c r="L693" s="59">
        <v>15530</v>
      </c>
      <c r="M693" s="21" t="s">
        <v>31</v>
      </c>
      <c r="N693" s="60">
        <v>4.3</v>
      </c>
      <c r="O693" s="23">
        <f t="shared" si="20"/>
        <v>601.44651162790706</v>
      </c>
      <c r="P693" s="24">
        <v>4.04</v>
      </c>
      <c r="Q693" s="61" t="s">
        <v>63</v>
      </c>
      <c r="R693" s="62" t="s">
        <v>33</v>
      </c>
      <c r="S693" s="62" t="s">
        <v>236</v>
      </c>
      <c r="T693" s="26"/>
      <c r="U693" s="39"/>
      <c r="V693" s="28">
        <f t="shared" si="21"/>
        <v>106</v>
      </c>
      <c r="W693" s="29"/>
    </row>
    <row r="694" spans="1:23" s="40" customFormat="1" ht="21" customHeight="1">
      <c r="A694" s="34"/>
      <c r="B694" s="31"/>
      <c r="C694" s="32"/>
      <c r="D694" s="56" t="s">
        <v>297</v>
      </c>
      <c r="E694" s="57" t="s">
        <v>242</v>
      </c>
      <c r="F694" s="58">
        <v>9.8390000000000004</v>
      </c>
      <c r="G694" s="57">
        <v>1814</v>
      </c>
      <c r="H694" s="58">
        <v>279</v>
      </c>
      <c r="I694" s="57" t="s">
        <v>246</v>
      </c>
      <c r="J694" s="58">
        <v>8765</v>
      </c>
      <c r="K694" s="59">
        <v>24405</v>
      </c>
      <c r="L694" s="59">
        <v>15530</v>
      </c>
      <c r="M694" s="21" t="s">
        <v>31</v>
      </c>
      <c r="N694" s="60">
        <v>4.3</v>
      </c>
      <c r="O694" s="23">
        <f t="shared" si="20"/>
        <v>601.44651162790706</v>
      </c>
      <c r="P694" s="24">
        <v>4.04</v>
      </c>
      <c r="Q694" s="61" t="s">
        <v>63</v>
      </c>
      <c r="R694" s="62" t="s">
        <v>33</v>
      </c>
      <c r="S694" s="62" t="s">
        <v>253</v>
      </c>
      <c r="T694" s="26"/>
      <c r="U694" s="39"/>
      <c r="V694" s="28">
        <f t="shared" si="21"/>
        <v>106</v>
      </c>
      <c r="W694" s="29"/>
    </row>
    <row r="695" spans="1:23" s="40" customFormat="1" ht="21" customHeight="1">
      <c r="A695" s="34"/>
      <c r="B695" s="31"/>
      <c r="C695" s="32"/>
      <c r="D695" s="56" t="s">
        <v>297</v>
      </c>
      <c r="E695" s="57" t="s">
        <v>242</v>
      </c>
      <c r="F695" s="58">
        <v>9.8390000000000004</v>
      </c>
      <c r="G695" s="57">
        <v>1814</v>
      </c>
      <c r="H695" s="58">
        <v>279</v>
      </c>
      <c r="I695" s="57" t="s">
        <v>243</v>
      </c>
      <c r="J695" s="58">
        <v>8765</v>
      </c>
      <c r="K695" s="59">
        <v>24405</v>
      </c>
      <c r="L695" s="59">
        <v>15530</v>
      </c>
      <c r="M695" s="21" t="s">
        <v>31</v>
      </c>
      <c r="N695" s="60">
        <v>4.2699999999999996</v>
      </c>
      <c r="O695" s="23">
        <f t="shared" si="20"/>
        <v>605.67213114754099</v>
      </c>
      <c r="P695" s="24">
        <v>4.04</v>
      </c>
      <c r="Q695" s="61" t="s">
        <v>63</v>
      </c>
      <c r="R695" s="62" t="s">
        <v>33</v>
      </c>
      <c r="S695" s="62" t="s">
        <v>236</v>
      </c>
      <c r="T695" s="26"/>
      <c r="U695" s="39"/>
      <c r="V695" s="28">
        <f t="shared" si="21"/>
        <v>105</v>
      </c>
      <c r="W695" s="29"/>
    </row>
    <row r="696" spans="1:23" s="40" customFormat="1" ht="21" customHeight="1">
      <c r="A696" s="34"/>
      <c r="B696" s="31"/>
      <c r="C696" s="32"/>
      <c r="D696" s="56" t="s">
        <v>297</v>
      </c>
      <c r="E696" s="57" t="s">
        <v>242</v>
      </c>
      <c r="F696" s="58">
        <v>9.8390000000000004</v>
      </c>
      <c r="G696" s="57">
        <v>1814</v>
      </c>
      <c r="H696" s="58">
        <v>279</v>
      </c>
      <c r="I696" s="57" t="s">
        <v>243</v>
      </c>
      <c r="J696" s="58">
        <v>8765</v>
      </c>
      <c r="K696" s="59">
        <v>24405</v>
      </c>
      <c r="L696" s="59">
        <v>15530</v>
      </c>
      <c r="M696" s="21" t="s">
        <v>31</v>
      </c>
      <c r="N696" s="60">
        <v>4.2699999999999996</v>
      </c>
      <c r="O696" s="23">
        <f t="shared" si="20"/>
        <v>605.67213114754099</v>
      </c>
      <c r="P696" s="24">
        <v>4.04</v>
      </c>
      <c r="Q696" s="61" t="s">
        <v>63</v>
      </c>
      <c r="R696" s="62" t="s">
        <v>33</v>
      </c>
      <c r="S696" s="62" t="s">
        <v>253</v>
      </c>
      <c r="T696" s="26"/>
      <c r="U696" s="39"/>
      <c r="V696" s="28">
        <f t="shared" si="21"/>
        <v>105</v>
      </c>
      <c r="W696" s="29"/>
    </row>
    <row r="697" spans="1:23" s="40" customFormat="1" ht="21" customHeight="1">
      <c r="A697" s="34"/>
      <c r="B697" s="31"/>
      <c r="C697" s="32"/>
      <c r="D697" s="56" t="s">
        <v>298</v>
      </c>
      <c r="E697" s="57" t="s">
        <v>242</v>
      </c>
      <c r="F697" s="58">
        <v>9.8390000000000004</v>
      </c>
      <c r="G697" s="57">
        <v>1814</v>
      </c>
      <c r="H697" s="58">
        <v>279</v>
      </c>
      <c r="I697" s="57" t="s">
        <v>246</v>
      </c>
      <c r="J697" s="58">
        <v>8765</v>
      </c>
      <c r="K697" s="59">
        <v>24405</v>
      </c>
      <c r="L697" s="59">
        <v>15530</v>
      </c>
      <c r="M697" s="21" t="s">
        <v>31</v>
      </c>
      <c r="N697" s="60">
        <v>4.41</v>
      </c>
      <c r="O697" s="23">
        <f t="shared" si="20"/>
        <v>586.44444444444434</v>
      </c>
      <c r="P697" s="24">
        <v>4.04</v>
      </c>
      <c r="Q697" s="61" t="s">
        <v>43</v>
      </c>
      <c r="R697" s="62" t="s">
        <v>33</v>
      </c>
      <c r="S697" s="62" t="s">
        <v>236</v>
      </c>
      <c r="T697" s="26"/>
      <c r="U697" s="39"/>
      <c r="V697" s="28">
        <f t="shared" si="21"/>
        <v>109</v>
      </c>
      <c r="W697" s="29"/>
    </row>
    <row r="698" spans="1:23" s="40" customFormat="1" ht="21" customHeight="1">
      <c r="A698" s="34"/>
      <c r="B698" s="31"/>
      <c r="C698" s="32"/>
      <c r="D698" s="56" t="s">
        <v>298</v>
      </c>
      <c r="E698" s="57" t="s">
        <v>242</v>
      </c>
      <c r="F698" s="58">
        <v>9.8390000000000004</v>
      </c>
      <c r="G698" s="57">
        <v>1814</v>
      </c>
      <c r="H698" s="58">
        <v>279</v>
      </c>
      <c r="I698" s="57" t="s">
        <v>243</v>
      </c>
      <c r="J698" s="58">
        <v>8765</v>
      </c>
      <c r="K698" s="59">
        <v>24405</v>
      </c>
      <c r="L698" s="59">
        <v>15530</v>
      </c>
      <c r="M698" s="21" t="s">
        <v>31</v>
      </c>
      <c r="N698" s="60">
        <v>4.3600000000000003</v>
      </c>
      <c r="O698" s="23">
        <f t="shared" si="20"/>
        <v>593.16972477064223</v>
      </c>
      <c r="P698" s="24">
        <v>4.04</v>
      </c>
      <c r="Q698" s="61" t="s">
        <v>43</v>
      </c>
      <c r="R698" s="62" t="s">
        <v>33</v>
      </c>
      <c r="S698" s="62" t="s">
        <v>236</v>
      </c>
      <c r="T698" s="26"/>
      <c r="U698" s="39"/>
      <c r="V698" s="28">
        <f t="shared" si="21"/>
        <v>107</v>
      </c>
      <c r="W698" s="29"/>
    </row>
    <row r="699" spans="1:23" s="40" customFormat="1" ht="21" customHeight="1">
      <c r="A699" s="34"/>
      <c r="B699" s="31"/>
      <c r="C699" s="32"/>
      <c r="D699" s="56" t="s">
        <v>298</v>
      </c>
      <c r="E699" s="57" t="s">
        <v>242</v>
      </c>
      <c r="F699" s="58">
        <v>9.8390000000000004</v>
      </c>
      <c r="G699" s="57">
        <v>1814</v>
      </c>
      <c r="H699" s="58">
        <v>279</v>
      </c>
      <c r="I699" s="57" t="s">
        <v>246</v>
      </c>
      <c r="J699" s="58">
        <v>8765</v>
      </c>
      <c r="K699" s="59">
        <v>24405</v>
      </c>
      <c r="L699" s="59">
        <v>15530</v>
      </c>
      <c r="M699" s="21" t="s">
        <v>31</v>
      </c>
      <c r="N699" s="60">
        <v>4.3</v>
      </c>
      <c r="O699" s="23">
        <f t="shared" si="20"/>
        <v>601.44651162790706</v>
      </c>
      <c r="P699" s="24">
        <v>4.04</v>
      </c>
      <c r="Q699" s="61" t="s">
        <v>63</v>
      </c>
      <c r="R699" s="62" t="s">
        <v>33</v>
      </c>
      <c r="S699" s="62" t="s">
        <v>236</v>
      </c>
      <c r="T699" s="26"/>
      <c r="U699" s="39"/>
      <c r="V699" s="28">
        <f t="shared" si="21"/>
        <v>106</v>
      </c>
      <c r="W699" s="29"/>
    </row>
    <row r="700" spans="1:23" s="40" customFormat="1" ht="21" customHeight="1">
      <c r="A700" s="34"/>
      <c r="B700" s="31"/>
      <c r="C700" s="32"/>
      <c r="D700" s="56" t="s">
        <v>298</v>
      </c>
      <c r="E700" s="57" t="s">
        <v>242</v>
      </c>
      <c r="F700" s="58">
        <v>9.8390000000000004</v>
      </c>
      <c r="G700" s="57">
        <v>1814</v>
      </c>
      <c r="H700" s="58">
        <v>279</v>
      </c>
      <c r="I700" s="57" t="s">
        <v>243</v>
      </c>
      <c r="J700" s="58">
        <v>8765</v>
      </c>
      <c r="K700" s="59">
        <v>24405</v>
      </c>
      <c r="L700" s="59">
        <v>15530</v>
      </c>
      <c r="M700" s="21" t="s">
        <v>31</v>
      </c>
      <c r="N700" s="60">
        <v>4.2699999999999996</v>
      </c>
      <c r="O700" s="23">
        <f t="shared" si="20"/>
        <v>605.67213114754099</v>
      </c>
      <c r="P700" s="24">
        <v>4.04</v>
      </c>
      <c r="Q700" s="61" t="s">
        <v>63</v>
      </c>
      <c r="R700" s="62" t="s">
        <v>33</v>
      </c>
      <c r="S700" s="62" t="s">
        <v>236</v>
      </c>
      <c r="T700" s="26"/>
      <c r="U700" s="39"/>
      <c r="V700" s="28">
        <f t="shared" si="21"/>
        <v>105</v>
      </c>
      <c r="W700" s="29"/>
    </row>
    <row r="701" spans="1:23" s="40" customFormat="1" ht="21" customHeight="1">
      <c r="A701" s="34"/>
      <c r="B701" s="31"/>
      <c r="C701" s="32"/>
      <c r="D701" s="56" t="s">
        <v>299</v>
      </c>
      <c r="E701" s="57" t="s">
        <v>242</v>
      </c>
      <c r="F701" s="58">
        <v>9.8390000000000004</v>
      </c>
      <c r="G701" s="57">
        <v>1814</v>
      </c>
      <c r="H701" s="58">
        <v>279</v>
      </c>
      <c r="I701" s="57" t="s">
        <v>246</v>
      </c>
      <c r="J701" s="58">
        <v>8765</v>
      </c>
      <c r="K701" s="59">
        <v>24405</v>
      </c>
      <c r="L701" s="59">
        <v>15530</v>
      </c>
      <c r="M701" s="21" t="s">
        <v>31</v>
      </c>
      <c r="N701" s="60">
        <v>4.41</v>
      </c>
      <c r="O701" s="23">
        <f t="shared" si="20"/>
        <v>586.44444444444434</v>
      </c>
      <c r="P701" s="24">
        <v>4.04</v>
      </c>
      <c r="Q701" s="61" t="s">
        <v>43</v>
      </c>
      <c r="R701" s="62" t="s">
        <v>33</v>
      </c>
      <c r="S701" s="62" t="s">
        <v>253</v>
      </c>
      <c r="T701" s="26"/>
      <c r="U701" s="39"/>
      <c r="V701" s="28">
        <f t="shared" si="21"/>
        <v>109</v>
      </c>
      <c r="W701" s="29"/>
    </row>
    <row r="702" spans="1:23" s="40" customFormat="1" ht="21" customHeight="1">
      <c r="A702" s="34"/>
      <c r="B702" s="31"/>
      <c r="C702" s="32"/>
      <c r="D702" s="56" t="s">
        <v>299</v>
      </c>
      <c r="E702" s="57" t="s">
        <v>242</v>
      </c>
      <c r="F702" s="58">
        <v>9.8390000000000004</v>
      </c>
      <c r="G702" s="57">
        <v>1814</v>
      </c>
      <c r="H702" s="58">
        <v>279</v>
      </c>
      <c r="I702" s="57" t="s">
        <v>246</v>
      </c>
      <c r="J702" s="58">
        <v>8765</v>
      </c>
      <c r="K702" s="59">
        <v>24405</v>
      </c>
      <c r="L702" s="59">
        <v>15530</v>
      </c>
      <c r="M702" s="21" t="s">
        <v>31</v>
      </c>
      <c r="N702" s="60">
        <v>4.41</v>
      </c>
      <c r="O702" s="23">
        <f t="shared" si="20"/>
        <v>586.44444444444434</v>
      </c>
      <c r="P702" s="24">
        <v>4.04</v>
      </c>
      <c r="Q702" s="61" t="s">
        <v>43</v>
      </c>
      <c r="R702" s="62" t="s">
        <v>33</v>
      </c>
      <c r="S702" s="62" t="s">
        <v>236</v>
      </c>
      <c r="T702" s="26"/>
      <c r="U702" s="39"/>
      <c r="V702" s="28">
        <f t="shared" si="21"/>
        <v>109</v>
      </c>
      <c r="W702" s="29"/>
    </row>
    <row r="703" spans="1:23" s="40" customFormat="1" ht="21" customHeight="1">
      <c r="A703" s="34"/>
      <c r="B703" s="31"/>
      <c r="C703" s="32"/>
      <c r="D703" s="56" t="s">
        <v>299</v>
      </c>
      <c r="E703" s="57" t="s">
        <v>242</v>
      </c>
      <c r="F703" s="58">
        <v>9.8390000000000004</v>
      </c>
      <c r="G703" s="57">
        <v>1814</v>
      </c>
      <c r="H703" s="58">
        <v>279</v>
      </c>
      <c r="I703" s="57" t="s">
        <v>243</v>
      </c>
      <c r="J703" s="58">
        <v>8765</v>
      </c>
      <c r="K703" s="59">
        <v>24405</v>
      </c>
      <c r="L703" s="59">
        <v>15530</v>
      </c>
      <c r="M703" s="21" t="s">
        <v>31</v>
      </c>
      <c r="N703" s="60">
        <v>4.3600000000000003</v>
      </c>
      <c r="O703" s="23">
        <f t="shared" si="20"/>
        <v>593.16972477064223</v>
      </c>
      <c r="P703" s="24">
        <v>4.04</v>
      </c>
      <c r="Q703" s="61" t="s">
        <v>43</v>
      </c>
      <c r="R703" s="62" t="s">
        <v>33</v>
      </c>
      <c r="S703" s="62" t="s">
        <v>253</v>
      </c>
      <c r="T703" s="26"/>
      <c r="U703" s="39"/>
      <c r="V703" s="28">
        <f t="shared" si="21"/>
        <v>107</v>
      </c>
      <c r="W703" s="29"/>
    </row>
    <row r="704" spans="1:23" s="40" customFormat="1" ht="21" customHeight="1">
      <c r="A704" s="34"/>
      <c r="B704" s="31"/>
      <c r="C704" s="32"/>
      <c r="D704" s="56" t="s">
        <v>299</v>
      </c>
      <c r="E704" s="57" t="s">
        <v>242</v>
      </c>
      <c r="F704" s="58">
        <v>9.8390000000000004</v>
      </c>
      <c r="G704" s="57">
        <v>1814</v>
      </c>
      <c r="H704" s="58">
        <v>279</v>
      </c>
      <c r="I704" s="57" t="s">
        <v>243</v>
      </c>
      <c r="J704" s="58">
        <v>8765</v>
      </c>
      <c r="K704" s="59">
        <v>24405</v>
      </c>
      <c r="L704" s="59">
        <v>15530</v>
      </c>
      <c r="M704" s="21" t="s">
        <v>31</v>
      </c>
      <c r="N704" s="60">
        <v>4.3600000000000003</v>
      </c>
      <c r="O704" s="23">
        <f t="shared" si="20"/>
        <v>593.16972477064223</v>
      </c>
      <c r="P704" s="24">
        <v>4.04</v>
      </c>
      <c r="Q704" s="61" t="s">
        <v>43</v>
      </c>
      <c r="R704" s="62" t="s">
        <v>33</v>
      </c>
      <c r="S704" s="62" t="s">
        <v>236</v>
      </c>
      <c r="T704" s="26"/>
      <c r="U704" s="39"/>
      <c r="V704" s="28">
        <f t="shared" si="21"/>
        <v>107</v>
      </c>
      <c r="W704" s="29"/>
    </row>
    <row r="705" spans="1:23" s="40" customFormat="1" ht="21" customHeight="1">
      <c r="A705" s="34"/>
      <c r="B705" s="31"/>
      <c r="C705" s="32"/>
      <c r="D705" s="56" t="s">
        <v>299</v>
      </c>
      <c r="E705" s="57" t="s">
        <v>242</v>
      </c>
      <c r="F705" s="58">
        <v>9.8390000000000004</v>
      </c>
      <c r="G705" s="57">
        <v>1814</v>
      </c>
      <c r="H705" s="58">
        <v>279</v>
      </c>
      <c r="I705" s="57" t="s">
        <v>246</v>
      </c>
      <c r="J705" s="58">
        <v>8765</v>
      </c>
      <c r="K705" s="59">
        <v>24405</v>
      </c>
      <c r="L705" s="59">
        <v>15530</v>
      </c>
      <c r="M705" s="21" t="s">
        <v>31</v>
      </c>
      <c r="N705" s="60">
        <v>4.3</v>
      </c>
      <c r="O705" s="23">
        <f t="shared" si="20"/>
        <v>601.44651162790706</v>
      </c>
      <c r="P705" s="24">
        <v>4.04</v>
      </c>
      <c r="Q705" s="61" t="s">
        <v>63</v>
      </c>
      <c r="R705" s="62" t="s">
        <v>33</v>
      </c>
      <c r="S705" s="62" t="s">
        <v>253</v>
      </c>
      <c r="T705" s="26"/>
      <c r="U705" s="39"/>
      <c r="V705" s="28">
        <f t="shared" si="21"/>
        <v>106</v>
      </c>
      <c r="W705" s="29"/>
    </row>
    <row r="706" spans="1:23" s="40" customFormat="1" ht="21" customHeight="1">
      <c r="A706" s="34"/>
      <c r="B706" s="31"/>
      <c r="C706" s="32"/>
      <c r="D706" s="56" t="s">
        <v>299</v>
      </c>
      <c r="E706" s="57" t="s">
        <v>242</v>
      </c>
      <c r="F706" s="58">
        <v>9.8390000000000004</v>
      </c>
      <c r="G706" s="57">
        <v>1814</v>
      </c>
      <c r="H706" s="58">
        <v>279</v>
      </c>
      <c r="I706" s="57" t="s">
        <v>246</v>
      </c>
      <c r="J706" s="58">
        <v>8765</v>
      </c>
      <c r="K706" s="59">
        <v>24405</v>
      </c>
      <c r="L706" s="59">
        <v>15530</v>
      </c>
      <c r="M706" s="21" t="s">
        <v>31</v>
      </c>
      <c r="N706" s="60">
        <v>4.3</v>
      </c>
      <c r="O706" s="23">
        <f t="shared" si="20"/>
        <v>601.44651162790706</v>
      </c>
      <c r="P706" s="24">
        <v>4.04</v>
      </c>
      <c r="Q706" s="61" t="s">
        <v>63</v>
      </c>
      <c r="R706" s="62" t="s">
        <v>33</v>
      </c>
      <c r="S706" s="62" t="s">
        <v>236</v>
      </c>
      <c r="T706" s="26"/>
      <c r="U706" s="39"/>
      <c r="V706" s="28">
        <f t="shared" si="21"/>
        <v>106</v>
      </c>
      <c r="W706" s="29"/>
    </row>
    <row r="707" spans="1:23" s="40" customFormat="1" ht="21" customHeight="1">
      <c r="A707" s="34"/>
      <c r="B707" s="31"/>
      <c r="C707" s="32"/>
      <c r="D707" s="56" t="s">
        <v>299</v>
      </c>
      <c r="E707" s="57" t="s">
        <v>242</v>
      </c>
      <c r="F707" s="58">
        <v>9.8390000000000004</v>
      </c>
      <c r="G707" s="57">
        <v>1814</v>
      </c>
      <c r="H707" s="58">
        <v>279</v>
      </c>
      <c r="I707" s="57" t="s">
        <v>243</v>
      </c>
      <c r="J707" s="58">
        <v>8765</v>
      </c>
      <c r="K707" s="59">
        <v>24405</v>
      </c>
      <c r="L707" s="59">
        <v>15530</v>
      </c>
      <c r="M707" s="21" t="s">
        <v>31</v>
      </c>
      <c r="N707" s="60">
        <v>4.2699999999999996</v>
      </c>
      <c r="O707" s="23">
        <f t="shared" si="20"/>
        <v>605.67213114754099</v>
      </c>
      <c r="P707" s="24">
        <v>4.04</v>
      </c>
      <c r="Q707" s="61" t="s">
        <v>63</v>
      </c>
      <c r="R707" s="62" t="s">
        <v>33</v>
      </c>
      <c r="S707" s="62" t="s">
        <v>253</v>
      </c>
      <c r="T707" s="26"/>
      <c r="U707" s="39"/>
      <c r="V707" s="28">
        <f t="shared" si="21"/>
        <v>105</v>
      </c>
      <c r="W707" s="29"/>
    </row>
    <row r="708" spans="1:23" s="40" customFormat="1" ht="21" customHeight="1">
      <c r="A708" s="34"/>
      <c r="B708" s="31"/>
      <c r="C708" s="32"/>
      <c r="D708" s="56" t="s">
        <v>299</v>
      </c>
      <c r="E708" s="57" t="s">
        <v>242</v>
      </c>
      <c r="F708" s="58">
        <v>9.8390000000000004</v>
      </c>
      <c r="G708" s="57">
        <v>1814</v>
      </c>
      <c r="H708" s="58">
        <v>279</v>
      </c>
      <c r="I708" s="57" t="s">
        <v>243</v>
      </c>
      <c r="J708" s="58">
        <v>8765</v>
      </c>
      <c r="K708" s="59">
        <v>24405</v>
      </c>
      <c r="L708" s="59">
        <v>15530</v>
      </c>
      <c r="M708" s="21" t="s">
        <v>31</v>
      </c>
      <c r="N708" s="60">
        <v>4.2699999999999996</v>
      </c>
      <c r="O708" s="23">
        <f t="shared" si="20"/>
        <v>605.67213114754099</v>
      </c>
      <c r="P708" s="24">
        <v>4.04</v>
      </c>
      <c r="Q708" s="61" t="s">
        <v>63</v>
      </c>
      <c r="R708" s="62" t="s">
        <v>33</v>
      </c>
      <c r="S708" s="62" t="s">
        <v>236</v>
      </c>
      <c r="T708" s="26"/>
      <c r="U708" s="39"/>
      <c r="V708" s="28">
        <f t="shared" si="21"/>
        <v>105</v>
      </c>
      <c r="W708" s="29"/>
    </row>
    <row r="709" spans="1:23" s="40" customFormat="1" ht="21" customHeight="1">
      <c r="A709" s="34"/>
      <c r="B709" s="31"/>
      <c r="C709" s="32"/>
      <c r="D709" s="56" t="s">
        <v>300</v>
      </c>
      <c r="E709" s="57" t="s">
        <v>242</v>
      </c>
      <c r="F709" s="58">
        <v>9.8390000000000004</v>
      </c>
      <c r="G709" s="57">
        <v>1567</v>
      </c>
      <c r="H709" s="58">
        <v>265</v>
      </c>
      <c r="I709" s="57" t="s">
        <v>42</v>
      </c>
      <c r="J709" s="58">
        <v>8765</v>
      </c>
      <c r="K709" s="59">
        <v>24405</v>
      </c>
      <c r="L709" s="59">
        <v>15530</v>
      </c>
      <c r="M709" s="21" t="s">
        <v>31</v>
      </c>
      <c r="N709" s="60">
        <v>4.3600000000000003</v>
      </c>
      <c r="O709" s="23">
        <f t="shared" si="20"/>
        <v>593.16972477064223</v>
      </c>
      <c r="P709" s="24">
        <v>4.04</v>
      </c>
      <c r="Q709" s="61" t="s">
        <v>43</v>
      </c>
      <c r="R709" s="62" t="s">
        <v>33</v>
      </c>
      <c r="S709" s="62" t="s">
        <v>244</v>
      </c>
      <c r="T709" s="26"/>
      <c r="U709" s="39"/>
      <c r="V709" s="28">
        <f t="shared" si="21"/>
        <v>107</v>
      </c>
      <c r="W709" s="29"/>
    </row>
    <row r="710" spans="1:23" s="40" customFormat="1" ht="21" customHeight="1">
      <c r="A710" s="34"/>
      <c r="B710" s="31"/>
      <c r="C710" s="32"/>
      <c r="D710" s="56" t="s">
        <v>300</v>
      </c>
      <c r="E710" s="57" t="s">
        <v>242</v>
      </c>
      <c r="F710" s="58">
        <v>9.8390000000000004</v>
      </c>
      <c r="G710" s="57">
        <v>1567</v>
      </c>
      <c r="H710" s="58">
        <v>265</v>
      </c>
      <c r="I710" s="57" t="s">
        <v>42</v>
      </c>
      <c r="J710" s="58">
        <v>8765</v>
      </c>
      <c r="K710" s="59">
        <v>24405</v>
      </c>
      <c r="L710" s="59">
        <v>15530</v>
      </c>
      <c r="M710" s="21" t="s">
        <v>31</v>
      </c>
      <c r="N710" s="60">
        <v>4.3600000000000003</v>
      </c>
      <c r="O710" s="23">
        <f t="shared" si="20"/>
        <v>593.16972477064223</v>
      </c>
      <c r="P710" s="24">
        <v>4.04</v>
      </c>
      <c r="Q710" s="61" t="s">
        <v>43</v>
      </c>
      <c r="R710" s="62" t="s">
        <v>33</v>
      </c>
      <c r="S710" s="62" t="s">
        <v>245</v>
      </c>
      <c r="T710" s="26"/>
      <c r="U710" s="39"/>
      <c r="V710" s="28">
        <f t="shared" si="21"/>
        <v>107</v>
      </c>
      <c r="W710" s="29"/>
    </row>
    <row r="711" spans="1:23" s="40" customFormat="1" ht="21" customHeight="1">
      <c r="A711" s="34"/>
      <c r="B711" s="31"/>
      <c r="C711" s="32"/>
      <c r="D711" s="56" t="s">
        <v>300</v>
      </c>
      <c r="E711" s="57" t="s">
        <v>242</v>
      </c>
      <c r="F711" s="58">
        <v>9.8390000000000004</v>
      </c>
      <c r="G711" s="57">
        <v>1567</v>
      </c>
      <c r="H711" s="58">
        <v>265</v>
      </c>
      <c r="I711" s="57" t="s">
        <v>235</v>
      </c>
      <c r="J711" s="58">
        <v>8765</v>
      </c>
      <c r="K711" s="59">
        <v>24405</v>
      </c>
      <c r="L711" s="59">
        <v>15530</v>
      </c>
      <c r="M711" s="21" t="s">
        <v>31</v>
      </c>
      <c r="N711" s="60">
        <v>4.3499999999999996</v>
      </c>
      <c r="O711" s="23">
        <f t="shared" si="20"/>
        <v>594.53333333333342</v>
      </c>
      <c r="P711" s="24">
        <v>4.04</v>
      </c>
      <c r="Q711" s="61" t="s">
        <v>43</v>
      </c>
      <c r="R711" s="62" t="s">
        <v>33</v>
      </c>
      <c r="S711" s="62" t="s">
        <v>244</v>
      </c>
      <c r="T711" s="26"/>
      <c r="U711" s="39"/>
      <c r="V711" s="28">
        <f t="shared" si="21"/>
        <v>107</v>
      </c>
      <c r="W711" s="29"/>
    </row>
    <row r="712" spans="1:23" s="40" customFormat="1" ht="21" customHeight="1">
      <c r="A712" s="34"/>
      <c r="B712" s="31"/>
      <c r="C712" s="32"/>
      <c r="D712" s="56" t="s">
        <v>300</v>
      </c>
      <c r="E712" s="57" t="s">
        <v>242</v>
      </c>
      <c r="F712" s="58">
        <v>9.8390000000000004</v>
      </c>
      <c r="G712" s="57">
        <v>1567</v>
      </c>
      <c r="H712" s="58">
        <v>265</v>
      </c>
      <c r="I712" s="57" t="s">
        <v>235</v>
      </c>
      <c r="J712" s="58">
        <v>8765</v>
      </c>
      <c r="K712" s="59">
        <v>24405</v>
      </c>
      <c r="L712" s="59">
        <v>15530</v>
      </c>
      <c r="M712" s="21" t="s">
        <v>31</v>
      </c>
      <c r="N712" s="60">
        <v>4.3499999999999996</v>
      </c>
      <c r="O712" s="23">
        <f t="shared" si="20"/>
        <v>594.53333333333342</v>
      </c>
      <c r="P712" s="24">
        <v>4.04</v>
      </c>
      <c r="Q712" s="61" t="s">
        <v>43</v>
      </c>
      <c r="R712" s="62" t="s">
        <v>33</v>
      </c>
      <c r="S712" s="62" t="s">
        <v>245</v>
      </c>
      <c r="T712" s="26"/>
      <c r="U712" s="39"/>
      <c r="V712" s="28">
        <f t="shared" si="21"/>
        <v>107</v>
      </c>
      <c r="W712" s="29"/>
    </row>
    <row r="713" spans="1:23" s="40" customFormat="1" ht="21" customHeight="1">
      <c r="A713" s="34"/>
      <c r="B713" s="31"/>
      <c r="C713" s="32"/>
      <c r="D713" s="56" t="s">
        <v>300</v>
      </c>
      <c r="E713" s="57" t="s">
        <v>242</v>
      </c>
      <c r="F713" s="58">
        <v>9.8390000000000004</v>
      </c>
      <c r="G713" s="57">
        <v>1567</v>
      </c>
      <c r="H713" s="58">
        <v>265</v>
      </c>
      <c r="I713" s="57" t="s">
        <v>42</v>
      </c>
      <c r="J713" s="58">
        <v>8765</v>
      </c>
      <c r="K713" s="59">
        <v>24405</v>
      </c>
      <c r="L713" s="59">
        <v>15530</v>
      </c>
      <c r="M713" s="21" t="s">
        <v>31</v>
      </c>
      <c r="N713" s="60">
        <v>4.26</v>
      </c>
      <c r="O713" s="23">
        <f t="shared" ref="O713:O776" si="22">IF(N713&gt;0,1/N713*37.7*68.6,"")</f>
        <v>607.09389671361509</v>
      </c>
      <c r="P713" s="24">
        <v>4.04</v>
      </c>
      <c r="Q713" s="61" t="s">
        <v>63</v>
      </c>
      <c r="R713" s="62" t="s">
        <v>33</v>
      </c>
      <c r="S713" s="62" t="s">
        <v>244</v>
      </c>
      <c r="T713" s="26"/>
      <c r="U713" s="39"/>
      <c r="V713" s="28">
        <f t="shared" ref="V713:V776" si="23">IFERROR(IF(N713&lt;P713,"",(ROUNDDOWN(N713/P713*100,0))),"")</f>
        <v>105</v>
      </c>
      <c r="W713" s="29"/>
    </row>
    <row r="714" spans="1:23" s="40" customFormat="1" ht="21" customHeight="1">
      <c r="A714" s="34"/>
      <c r="B714" s="31"/>
      <c r="C714" s="32"/>
      <c r="D714" s="56" t="s">
        <v>300</v>
      </c>
      <c r="E714" s="57" t="s">
        <v>242</v>
      </c>
      <c r="F714" s="58">
        <v>9.8390000000000004</v>
      </c>
      <c r="G714" s="57">
        <v>1567</v>
      </c>
      <c r="H714" s="58">
        <v>265</v>
      </c>
      <c r="I714" s="57" t="s">
        <v>42</v>
      </c>
      <c r="J714" s="58">
        <v>8765</v>
      </c>
      <c r="K714" s="59">
        <v>24405</v>
      </c>
      <c r="L714" s="59">
        <v>15530</v>
      </c>
      <c r="M714" s="21" t="s">
        <v>31</v>
      </c>
      <c r="N714" s="60">
        <v>4.26</v>
      </c>
      <c r="O714" s="23">
        <f t="shared" si="22"/>
        <v>607.09389671361509</v>
      </c>
      <c r="P714" s="24">
        <v>4.04</v>
      </c>
      <c r="Q714" s="61" t="s">
        <v>63</v>
      </c>
      <c r="R714" s="62" t="s">
        <v>33</v>
      </c>
      <c r="S714" s="62" t="s">
        <v>245</v>
      </c>
      <c r="T714" s="26"/>
      <c r="U714" s="39"/>
      <c r="V714" s="28">
        <f t="shared" si="23"/>
        <v>105</v>
      </c>
      <c r="W714" s="29"/>
    </row>
    <row r="715" spans="1:23" s="40" customFormat="1" ht="21" customHeight="1">
      <c r="A715" s="34"/>
      <c r="B715" s="31"/>
      <c r="C715" s="32"/>
      <c r="D715" s="56" t="s">
        <v>300</v>
      </c>
      <c r="E715" s="57" t="s">
        <v>242</v>
      </c>
      <c r="F715" s="58">
        <v>9.8390000000000004</v>
      </c>
      <c r="G715" s="57">
        <v>1567</v>
      </c>
      <c r="H715" s="58">
        <v>265</v>
      </c>
      <c r="I715" s="57" t="s">
        <v>235</v>
      </c>
      <c r="J715" s="58">
        <v>8765</v>
      </c>
      <c r="K715" s="59">
        <v>24405</v>
      </c>
      <c r="L715" s="59">
        <v>15530</v>
      </c>
      <c r="M715" s="21" t="s">
        <v>31</v>
      </c>
      <c r="N715" s="60">
        <v>4.26</v>
      </c>
      <c r="O715" s="23">
        <f t="shared" si="22"/>
        <v>607.09389671361509</v>
      </c>
      <c r="P715" s="24">
        <v>4.04</v>
      </c>
      <c r="Q715" s="61" t="s">
        <v>63</v>
      </c>
      <c r="R715" s="62" t="s">
        <v>33</v>
      </c>
      <c r="S715" s="62" t="s">
        <v>244</v>
      </c>
      <c r="T715" s="26"/>
      <c r="U715" s="39"/>
      <c r="V715" s="28">
        <f t="shared" si="23"/>
        <v>105</v>
      </c>
      <c r="W715" s="29"/>
    </row>
    <row r="716" spans="1:23" s="40" customFormat="1" ht="21" customHeight="1">
      <c r="A716" s="34"/>
      <c r="B716" s="31"/>
      <c r="C716" s="32"/>
      <c r="D716" s="56" t="s">
        <v>300</v>
      </c>
      <c r="E716" s="57" t="s">
        <v>242</v>
      </c>
      <c r="F716" s="58">
        <v>9.8390000000000004</v>
      </c>
      <c r="G716" s="57">
        <v>1567</v>
      </c>
      <c r="H716" s="58">
        <v>265</v>
      </c>
      <c r="I716" s="57" t="s">
        <v>235</v>
      </c>
      <c r="J716" s="58">
        <v>8765</v>
      </c>
      <c r="K716" s="59">
        <v>24405</v>
      </c>
      <c r="L716" s="59">
        <v>15530</v>
      </c>
      <c r="M716" s="21" t="s">
        <v>31</v>
      </c>
      <c r="N716" s="60">
        <v>4.26</v>
      </c>
      <c r="O716" s="23">
        <f t="shared" si="22"/>
        <v>607.09389671361509</v>
      </c>
      <c r="P716" s="24">
        <v>4.04</v>
      </c>
      <c r="Q716" s="61" t="s">
        <v>63</v>
      </c>
      <c r="R716" s="62" t="s">
        <v>33</v>
      </c>
      <c r="S716" s="62" t="s">
        <v>245</v>
      </c>
      <c r="T716" s="26"/>
      <c r="U716" s="39"/>
      <c r="V716" s="28">
        <f t="shared" si="23"/>
        <v>105</v>
      </c>
      <c r="W716" s="29"/>
    </row>
    <row r="717" spans="1:23" s="40" customFormat="1" ht="21" customHeight="1">
      <c r="A717" s="34"/>
      <c r="B717" s="31"/>
      <c r="C717" s="32"/>
      <c r="D717" s="56" t="s">
        <v>301</v>
      </c>
      <c r="E717" s="57" t="s">
        <v>242</v>
      </c>
      <c r="F717" s="58">
        <v>9.8390000000000004</v>
      </c>
      <c r="G717" s="57">
        <v>1567</v>
      </c>
      <c r="H717" s="58">
        <v>265</v>
      </c>
      <c r="I717" s="57" t="s">
        <v>42</v>
      </c>
      <c r="J717" s="58">
        <v>8765</v>
      </c>
      <c r="K717" s="59">
        <v>24405</v>
      </c>
      <c r="L717" s="59">
        <v>15530</v>
      </c>
      <c r="M717" s="21" t="s">
        <v>31</v>
      </c>
      <c r="N717" s="60">
        <v>4.3600000000000003</v>
      </c>
      <c r="O717" s="23">
        <f t="shared" si="22"/>
        <v>593.16972477064223</v>
      </c>
      <c r="P717" s="24">
        <v>4.04</v>
      </c>
      <c r="Q717" s="61" t="s">
        <v>43</v>
      </c>
      <c r="R717" s="62" t="s">
        <v>33</v>
      </c>
      <c r="S717" s="62" t="s">
        <v>244</v>
      </c>
      <c r="T717" s="26"/>
      <c r="U717" s="39"/>
      <c r="V717" s="28">
        <f t="shared" si="23"/>
        <v>107</v>
      </c>
      <c r="W717" s="29"/>
    </row>
    <row r="718" spans="1:23" s="40" customFormat="1" ht="21" customHeight="1">
      <c r="A718" s="34"/>
      <c r="B718" s="31"/>
      <c r="C718" s="32"/>
      <c r="D718" s="56" t="s">
        <v>301</v>
      </c>
      <c r="E718" s="57" t="s">
        <v>242</v>
      </c>
      <c r="F718" s="58">
        <v>9.8390000000000004</v>
      </c>
      <c r="G718" s="57">
        <v>1567</v>
      </c>
      <c r="H718" s="58">
        <v>265</v>
      </c>
      <c r="I718" s="57" t="s">
        <v>42</v>
      </c>
      <c r="J718" s="58">
        <v>8765</v>
      </c>
      <c r="K718" s="59">
        <v>24405</v>
      </c>
      <c r="L718" s="59">
        <v>15530</v>
      </c>
      <c r="M718" s="21" t="s">
        <v>31</v>
      </c>
      <c r="N718" s="60">
        <v>4.3600000000000003</v>
      </c>
      <c r="O718" s="23">
        <f t="shared" si="22"/>
        <v>593.16972477064223</v>
      </c>
      <c r="P718" s="24">
        <v>4.04</v>
      </c>
      <c r="Q718" s="61" t="s">
        <v>43</v>
      </c>
      <c r="R718" s="62" t="s">
        <v>33</v>
      </c>
      <c r="S718" s="62" t="s">
        <v>245</v>
      </c>
      <c r="T718" s="26"/>
      <c r="U718" s="39"/>
      <c r="V718" s="28">
        <f t="shared" si="23"/>
        <v>107</v>
      </c>
      <c r="W718" s="29"/>
    </row>
    <row r="719" spans="1:23" s="40" customFormat="1" ht="21" customHeight="1">
      <c r="A719" s="34"/>
      <c r="B719" s="31"/>
      <c r="C719" s="32"/>
      <c r="D719" s="56" t="s">
        <v>301</v>
      </c>
      <c r="E719" s="57" t="s">
        <v>242</v>
      </c>
      <c r="F719" s="58">
        <v>9.8390000000000004</v>
      </c>
      <c r="G719" s="57">
        <v>1567</v>
      </c>
      <c r="H719" s="58">
        <v>265</v>
      </c>
      <c r="I719" s="57" t="s">
        <v>235</v>
      </c>
      <c r="J719" s="58">
        <v>8765</v>
      </c>
      <c r="K719" s="59">
        <v>24405</v>
      </c>
      <c r="L719" s="59">
        <v>15530</v>
      </c>
      <c r="M719" s="21" t="s">
        <v>31</v>
      </c>
      <c r="N719" s="60">
        <v>4.3499999999999996</v>
      </c>
      <c r="O719" s="23">
        <f t="shared" si="22"/>
        <v>594.53333333333342</v>
      </c>
      <c r="P719" s="24">
        <v>4.04</v>
      </c>
      <c r="Q719" s="61" t="s">
        <v>43</v>
      </c>
      <c r="R719" s="62" t="s">
        <v>33</v>
      </c>
      <c r="S719" s="62" t="s">
        <v>244</v>
      </c>
      <c r="T719" s="26"/>
      <c r="U719" s="39"/>
      <c r="V719" s="28">
        <f t="shared" si="23"/>
        <v>107</v>
      </c>
      <c r="W719" s="29"/>
    </row>
    <row r="720" spans="1:23" s="40" customFormat="1" ht="21" customHeight="1">
      <c r="A720" s="34"/>
      <c r="B720" s="31"/>
      <c r="C720" s="32"/>
      <c r="D720" s="56" t="s">
        <v>301</v>
      </c>
      <c r="E720" s="57" t="s">
        <v>242</v>
      </c>
      <c r="F720" s="58">
        <v>9.8390000000000004</v>
      </c>
      <c r="G720" s="57">
        <v>1567</v>
      </c>
      <c r="H720" s="58">
        <v>265</v>
      </c>
      <c r="I720" s="57" t="s">
        <v>235</v>
      </c>
      <c r="J720" s="58">
        <v>8765</v>
      </c>
      <c r="K720" s="59">
        <v>24405</v>
      </c>
      <c r="L720" s="59">
        <v>15530</v>
      </c>
      <c r="M720" s="21" t="s">
        <v>31</v>
      </c>
      <c r="N720" s="60">
        <v>4.3499999999999996</v>
      </c>
      <c r="O720" s="23">
        <f t="shared" si="22"/>
        <v>594.53333333333342</v>
      </c>
      <c r="P720" s="24">
        <v>4.04</v>
      </c>
      <c r="Q720" s="61" t="s">
        <v>43</v>
      </c>
      <c r="R720" s="62" t="s">
        <v>33</v>
      </c>
      <c r="S720" s="62" t="s">
        <v>245</v>
      </c>
      <c r="T720" s="26"/>
      <c r="U720" s="39"/>
      <c r="V720" s="28">
        <f t="shared" si="23"/>
        <v>107</v>
      </c>
      <c r="W720" s="29"/>
    </row>
    <row r="721" spans="1:23" s="40" customFormat="1" ht="21" customHeight="1">
      <c r="A721" s="34"/>
      <c r="B721" s="31"/>
      <c r="C721" s="32"/>
      <c r="D721" s="56" t="s">
        <v>301</v>
      </c>
      <c r="E721" s="57" t="s">
        <v>242</v>
      </c>
      <c r="F721" s="58">
        <v>9.8390000000000004</v>
      </c>
      <c r="G721" s="57">
        <v>1567</v>
      </c>
      <c r="H721" s="58">
        <v>265</v>
      </c>
      <c r="I721" s="57" t="s">
        <v>42</v>
      </c>
      <c r="J721" s="58">
        <v>8765</v>
      </c>
      <c r="K721" s="59">
        <v>24405</v>
      </c>
      <c r="L721" s="59">
        <v>15530</v>
      </c>
      <c r="M721" s="21" t="s">
        <v>31</v>
      </c>
      <c r="N721" s="60">
        <v>4.26</v>
      </c>
      <c r="O721" s="23">
        <f t="shared" si="22"/>
        <v>607.09389671361509</v>
      </c>
      <c r="P721" s="24">
        <v>4.04</v>
      </c>
      <c r="Q721" s="61" t="s">
        <v>63</v>
      </c>
      <c r="R721" s="62" t="s">
        <v>33</v>
      </c>
      <c r="S721" s="62" t="s">
        <v>244</v>
      </c>
      <c r="T721" s="26"/>
      <c r="U721" s="39"/>
      <c r="V721" s="28">
        <f t="shared" si="23"/>
        <v>105</v>
      </c>
      <c r="W721" s="29"/>
    </row>
    <row r="722" spans="1:23" s="40" customFormat="1" ht="21" customHeight="1">
      <c r="A722" s="34"/>
      <c r="B722" s="31"/>
      <c r="C722" s="32"/>
      <c r="D722" s="56" t="s">
        <v>301</v>
      </c>
      <c r="E722" s="57" t="s">
        <v>242</v>
      </c>
      <c r="F722" s="58">
        <v>9.8390000000000004</v>
      </c>
      <c r="G722" s="57">
        <v>1567</v>
      </c>
      <c r="H722" s="58">
        <v>265</v>
      </c>
      <c r="I722" s="57" t="s">
        <v>42</v>
      </c>
      <c r="J722" s="58">
        <v>8765</v>
      </c>
      <c r="K722" s="59">
        <v>24405</v>
      </c>
      <c r="L722" s="59">
        <v>15530</v>
      </c>
      <c r="M722" s="21" t="s">
        <v>31</v>
      </c>
      <c r="N722" s="60">
        <v>4.26</v>
      </c>
      <c r="O722" s="23">
        <f t="shared" si="22"/>
        <v>607.09389671361509</v>
      </c>
      <c r="P722" s="24">
        <v>4.04</v>
      </c>
      <c r="Q722" s="61" t="s">
        <v>63</v>
      </c>
      <c r="R722" s="62" t="s">
        <v>33</v>
      </c>
      <c r="S722" s="62" t="s">
        <v>245</v>
      </c>
      <c r="T722" s="26"/>
      <c r="U722" s="39"/>
      <c r="V722" s="28">
        <f t="shared" si="23"/>
        <v>105</v>
      </c>
      <c r="W722" s="29"/>
    </row>
    <row r="723" spans="1:23" s="40" customFormat="1" ht="21" customHeight="1">
      <c r="A723" s="34"/>
      <c r="B723" s="31"/>
      <c r="C723" s="32"/>
      <c r="D723" s="56" t="s">
        <v>301</v>
      </c>
      <c r="E723" s="57" t="s">
        <v>242</v>
      </c>
      <c r="F723" s="58">
        <v>9.8390000000000004</v>
      </c>
      <c r="G723" s="57">
        <v>1567</v>
      </c>
      <c r="H723" s="58">
        <v>265</v>
      </c>
      <c r="I723" s="57" t="s">
        <v>235</v>
      </c>
      <c r="J723" s="58">
        <v>8765</v>
      </c>
      <c r="K723" s="59">
        <v>24405</v>
      </c>
      <c r="L723" s="59">
        <v>15530</v>
      </c>
      <c r="M723" s="21" t="s">
        <v>31</v>
      </c>
      <c r="N723" s="60">
        <v>4.26</v>
      </c>
      <c r="O723" s="23">
        <f t="shared" si="22"/>
        <v>607.09389671361509</v>
      </c>
      <c r="P723" s="24">
        <v>4.04</v>
      </c>
      <c r="Q723" s="61" t="s">
        <v>63</v>
      </c>
      <c r="R723" s="62" t="s">
        <v>33</v>
      </c>
      <c r="S723" s="62" t="s">
        <v>244</v>
      </c>
      <c r="T723" s="26"/>
      <c r="U723" s="39"/>
      <c r="V723" s="28">
        <f t="shared" si="23"/>
        <v>105</v>
      </c>
      <c r="W723" s="29"/>
    </row>
    <row r="724" spans="1:23" s="40" customFormat="1" ht="21" customHeight="1">
      <c r="A724" s="34"/>
      <c r="B724" s="31"/>
      <c r="C724" s="32"/>
      <c r="D724" s="56" t="s">
        <v>301</v>
      </c>
      <c r="E724" s="57" t="s">
        <v>242</v>
      </c>
      <c r="F724" s="58">
        <v>9.8390000000000004</v>
      </c>
      <c r="G724" s="57">
        <v>1567</v>
      </c>
      <c r="H724" s="58">
        <v>265</v>
      </c>
      <c r="I724" s="57" t="s">
        <v>235</v>
      </c>
      <c r="J724" s="58">
        <v>8765</v>
      </c>
      <c r="K724" s="59">
        <v>24405</v>
      </c>
      <c r="L724" s="59">
        <v>15530</v>
      </c>
      <c r="M724" s="21" t="s">
        <v>31</v>
      </c>
      <c r="N724" s="60">
        <v>4.26</v>
      </c>
      <c r="O724" s="23">
        <f t="shared" si="22"/>
        <v>607.09389671361509</v>
      </c>
      <c r="P724" s="24">
        <v>4.04</v>
      </c>
      <c r="Q724" s="61" t="s">
        <v>63</v>
      </c>
      <c r="R724" s="62" t="s">
        <v>33</v>
      </c>
      <c r="S724" s="62" t="s">
        <v>245</v>
      </c>
      <c r="T724" s="26"/>
      <c r="U724" s="39"/>
      <c r="V724" s="28">
        <f t="shared" si="23"/>
        <v>105</v>
      </c>
      <c r="W724" s="29"/>
    </row>
    <row r="725" spans="1:23" s="40" customFormat="1" ht="21" customHeight="1">
      <c r="A725" s="30"/>
      <c r="B725" s="31"/>
      <c r="C725" s="32"/>
      <c r="D725" s="66" t="s">
        <v>302</v>
      </c>
      <c r="E725" s="19" t="s">
        <v>233</v>
      </c>
      <c r="F725" s="54" t="s">
        <v>234</v>
      </c>
      <c r="G725" s="19">
        <v>1422</v>
      </c>
      <c r="H725" s="20">
        <v>250</v>
      </c>
      <c r="I725" s="19" t="s">
        <v>239</v>
      </c>
      <c r="J725" s="20">
        <v>8688</v>
      </c>
      <c r="K725" s="21">
        <v>19887</v>
      </c>
      <c r="L725" s="21">
        <v>11089</v>
      </c>
      <c r="M725" s="21" t="s">
        <v>31</v>
      </c>
      <c r="N725" s="45">
        <v>4.3</v>
      </c>
      <c r="O725" s="23">
        <f t="shared" si="22"/>
        <v>601.44651162790706</v>
      </c>
      <c r="P725" s="46">
        <v>4.1500000000000004</v>
      </c>
      <c r="Q725" s="25" t="s">
        <v>62</v>
      </c>
      <c r="R725" s="26" t="s">
        <v>189</v>
      </c>
      <c r="S725" s="26" t="s">
        <v>262</v>
      </c>
      <c r="T725" s="26"/>
      <c r="U725" s="67"/>
      <c r="V725" s="28">
        <f t="shared" si="23"/>
        <v>103</v>
      </c>
    </row>
    <row r="726" spans="1:23" s="40" customFormat="1" ht="21" customHeight="1">
      <c r="A726" s="30"/>
      <c r="B726" s="31"/>
      <c r="C726" s="32"/>
      <c r="D726" s="66" t="s">
        <v>302</v>
      </c>
      <c r="E726" s="19" t="s">
        <v>233</v>
      </c>
      <c r="F726" s="54" t="s">
        <v>234</v>
      </c>
      <c r="G726" s="19">
        <v>1422</v>
      </c>
      <c r="H726" s="20">
        <v>250</v>
      </c>
      <c r="I726" s="19" t="s">
        <v>239</v>
      </c>
      <c r="J726" s="20">
        <v>8688</v>
      </c>
      <c r="K726" s="21">
        <v>19887</v>
      </c>
      <c r="L726" s="21">
        <v>11089</v>
      </c>
      <c r="M726" s="21" t="s">
        <v>31</v>
      </c>
      <c r="N726" s="45">
        <v>4.2</v>
      </c>
      <c r="O726" s="23">
        <f t="shared" si="22"/>
        <v>615.76666666666665</v>
      </c>
      <c r="P726" s="46">
        <v>4.1500000000000004</v>
      </c>
      <c r="Q726" s="25" t="s">
        <v>77</v>
      </c>
      <c r="R726" s="26" t="s">
        <v>189</v>
      </c>
      <c r="S726" s="26" t="s">
        <v>262</v>
      </c>
      <c r="T726" s="26"/>
      <c r="U726" s="67"/>
      <c r="V726" s="28">
        <f t="shared" si="23"/>
        <v>101</v>
      </c>
    </row>
    <row r="727" spans="1:23" s="40" customFormat="1" ht="21" customHeight="1">
      <c r="A727" s="30"/>
      <c r="B727" s="31"/>
      <c r="C727" s="32"/>
      <c r="D727" s="18" t="s">
        <v>303</v>
      </c>
      <c r="E727" s="19" t="s">
        <v>260</v>
      </c>
      <c r="F727" s="20">
        <v>9.8390000000000004</v>
      </c>
      <c r="G727" s="19">
        <v>1814</v>
      </c>
      <c r="H727" s="20">
        <v>279</v>
      </c>
      <c r="I727" s="19" t="s">
        <v>261</v>
      </c>
      <c r="J727" s="20">
        <v>8688</v>
      </c>
      <c r="K727" s="21">
        <v>19887</v>
      </c>
      <c r="L727" s="21">
        <v>11089</v>
      </c>
      <c r="M727" s="21" t="s">
        <v>31</v>
      </c>
      <c r="N727" s="45">
        <v>4.3</v>
      </c>
      <c r="O727" s="23">
        <f t="shared" si="22"/>
        <v>601.44651162790706</v>
      </c>
      <c r="P727" s="46">
        <v>4.1500000000000004</v>
      </c>
      <c r="Q727" s="25" t="s">
        <v>77</v>
      </c>
      <c r="R727" s="26" t="s">
        <v>189</v>
      </c>
      <c r="S727" s="26" t="s">
        <v>262</v>
      </c>
      <c r="T727" s="26"/>
      <c r="U727" s="67"/>
      <c r="V727" s="28">
        <f t="shared" si="23"/>
        <v>103</v>
      </c>
    </row>
    <row r="728" spans="1:23" s="40" customFormat="1" ht="21" customHeight="1">
      <c r="A728" s="30"/>
      <c r="B728" s="31"/>
      <c r="C728" s="32"/>
      <c r="D728" s="66" t="s">
        <v>304</v>
      </c>
      <c r="E728" s="19" t="s">
        <v>233</v>
      </c>
      <c r="F728" s="54" t="s">
        <v>234</v>
      </c>
      <c r="G728" s="19">
        <v>1422</v>
      </c>
      <c r="H728" s="20">
        <v>250</v>
      </c>
      <c r="I728" s="19" t="s">
        <v>239</v>
      </c>
      <c r="J728" s="20">
        <v>8688</v>
      </c>
      <c r="K728" s="21">
        <v>19887</v>
      </c>
      <c r="L728" s="21">
        <v>11089</v>
      </c>
      <c r="M728" s="21" t="s">
        <v>31</v>
      </c>
      <c r="N728" s="45">
        <v>4.3</v>
      </c>
      <c r="O728" s="23">
        <f t="shared" si="22"/>
        <v>601.44651162790706</v>
      </c>
      <c r="P728" s="46">
        <v>4.1500000000000004</v>
      </c>
      <c r="Q728" s="25" t="s">
        <v>62</v>
      </c>
      <c r="R728" s="26" t="s">
        <v>189</v>
      </c>
      <c r="S728" s="26" t="s">
        <v>305</v>
      </c>
      <c r="T728" s="26"/>
      <c r="U728" s="67"/>
      <c r="V728" s="28">
        <f t="shared" si="23"/>
        <v>103</v>
      </c>
    </row>
    <row r="729" spans="1:23" s="40" customFormat="1" ht="21" customHeight="1">
      <c r="A729" s="34"/>
      <c r="B729" s="31"/>
      <c r="C729" s="32"/>
      <c r="D729" s="18" t="s">
        <v>306</v>
      </c>
      <c r="E729" s="19" t="s">
        <v>237</v>
      </c>
      <c r="F729" s="20" t="s">
        <v>307</v>
      </c>
      <c r="G729" s="19">
        <v>1422</v>
      </c>
      <c r="H729" s="20">
        <v>250</v>
      </c>
      <c r="I729" s="19" t="s">
        <v>235</v>
      </c>
      <c r="J729" s="20">
        <v>8688</v>
      </c>
      <c r="K729" s="21">
        <v>19887</v>
      </c>
      <c r="L729" s="21">
        <v>11089</v>
      </c>
      <c r="M729" s="21" t="s">
        <v>31</v>
      </c>
      <c r="N729" s="22">
        <v>4.3</v>
      </c>
      <c r="O729" s="23">
        <f t="shared" si="22"/>
        <v>601.44651162790706</v>
      </c>
      <c r="P729" s="24">
        <v>4.1500000000000004</v>
      </c>
      <c r="Q729" s="25" t="s">
        <v>62</v>
      </c>
      <c r="R729" s="26" t="s">
        <v>33</v>
      </c>
      <c r="S729" s="26" t="s">
        <v>266</v>
      </c>
      <c r="T729" s="26"/>
      <c r="U729" s="39"/>
      <c r="V729" s="28">
        <f t="shared" si="23"/>
        <v>103</v>
      </c>
    </row>
    <row r="730" spans="1:23" s="40" customFormat="1" ht="21" customHeight="1">
      <c r="A730" s="30"/>
      <c r="B730" s="31"/>
      <c r="C730" s="32"/>
      <c r="D730" s="66" t="s">
        <v>304</v>
      </c>
      <c r="E730" s="19" t="s">
        <v>233</v>
      </c>
      <c r="F730" s="54" t="s">
        <v>234</v>
      </c>
      <c r="G730" s="19">
        <v>1422</v>
      </c>
      <c r="H730" s="20">
        <v>250</v>
      </c>
      <c r="I730" s="19" t="s">
        <v>239</v>
      </c>
      <c r="J730" s="20">
        <v>8688</v>
      </c>
      <c r="K730" s="21">
        <v>19887</v>
      </c>
      <c r="L730" s="21">
        <v>11089</v>
      </c>
      <c r="M730" s="21" t="s">
        <v>31</v>
      </c>
      <c r="N730" s="45">
        <v>4.2</v>
      </c>
      <c r="O730" s="23">
        <f t="shared" si="22"/>
        <v>615.76666666666665</v>
      </c>
      <c r="P730" s="46">
        <v>4.1500000000000004</v>
      </c>
      <c r="Q730" s="25" t="s">
        <v>77</v>
      </c>
      <c r="R730" s="26" t="s">
        <v>189</v>
      </c>
      <c r="S730" s="26" t="s">
        <v>305</v>
      </c>
      <c r="T730" s="26"/>
      <c r="U730" s="67"/>
      <c r="V730" s="28">
        <f t="shared" si="23"/>
        <v>101</v>
      </c>
    </row>
    <row r="731" spans="1:23" s="40" customFormat="1" ht="21" customHeight="1">
      <c r="A731" s="34"/>
      <c r="B731" s="31"/>
      <c r="C731" s="32"/>
      <c r="D731" s="18" t="s">
        <v>306</v>
      </c>
      <c r="E731" s="19" t="s">
        <v>237</v>
      </c>
      <c r="F731" s="20" t="s">
        <v>307</v>
      </c>
      <c r="G731" s="19">
        <v>1422</v>
      </c>
      <c r="H731" s="20">
        <v>250</v>
      </c>
      <c r="I731" s="19" t="s">
        <v>235</v>
      </c>
      <c r="J731" s="20">
        <v>8688</v>
      </c>
      <c r="K731" s="21">
        <v>19887</v>
      </c>
      <c r="L731" s="21">
        <v>11089</v>
      </c>
      <c r="M731" s="21" t="s">
        <v>31</v>
      </c>
      <c r="N731" s="22">
        <v>4.2</v>
      </c>
      <c r="O731" s="23">
        <f t="shared" si="22"/>
        <v>615.76666666666665</v>
      </c>
      <c r="P731" s="24">
        <v>4.1500000000000004</v>
      </c>
      <c r="Q731" s="25" t="s">
        <v>77</v>
      </c>
      <c r="R731" s="26" t="s">
        <v>33</v>
      </c>
      <c r="S731" s="26" t="s">
        <v>266</v>
      </c>
      <c r="T731" s="26"/>
      <c r="U731" s="39"/>
      <c r="V731" s="28">
        <f t="shared" si="23"/>
        <v>101</v>
      </c>
    </row>
    <row r="732" spans="1:23" s="40" customFormat="1" ht="21" customHeight="1">
      <c r="A732" s="30"/>
      <c r="B732" s="31"/>
      <c r="C732" s="32"/>
      <c r="D732" s="18" t="s">
        <v>308</v>
      </c>
      <c r="E732" s="19" t="s">
        <v>260</v>
      </c>
      <c r="F732" s="20">
        <v>9.8390000000000004</v>
      </c>
      <c r="G732" s="19">
        <v>1814</v>
      </c>
      <c r="H732" s="20">
        <v>279</v>
      </c>
      <c r="I732" s="19" t="s">
        <v>261</v>
      </c>
      <c r="J732" s="20">
        <v>8688</v>
      </c>
      <c r="K732" s="21">
        <v>19887</v>
      </c>
      <c r="L732" s="21">
        <v>11089</v>
      </c>
      <c r="M732" s="21" t="s">
        <v>31</v>
      </c>
      <c r="N732" s="45">
        <v>4.3</v>
      </c>
      <c r="O732" s="23">
        <f t="shared" si="22"/>
        <v>601.44651162790706</v>
      </c>
      <c r="P732" s="46">
        <v>4.1500000000000004</v>
      </c>
      <c r="Q732" s="25" t="s">
        <v>77</v>
      </c>
      <c r="R732" s="26" t="s">
        <v>189</v>
      </c>
      <c r="S732" s="26" t="s">
        <v>264</v>
      </c>
      <c r="T732" s="26"/>
      <c r="U732" s="67"/>
      <c r="V732" s="28">
        <f t="shared" si="23"/>
        <v>103</v>
      </c>
    </row>
    <row r="733" spans="1:23" s="40" customFormat="1" ht="21" customHeight="1">
      <c r="A733" s="30"/>
      <c r="B733" s="31"/>
      <c r="C733" s="32"/>
      <c r="D733" s="18" t="s">
        <v>308</v>
      </c>
      <c r="E733" s="19" t="s">
        <v>260</v>
      </c>
      <c r="F733" s="20">
        <v>9.8390000000000004</v>
      </c>
      <c r="G733" s="19">
        <v>1814</v>
      </c>
      <c r="H733" s="20">
        <v>279</v>
      </c>
      <c r="I733" s="19" t="s">
        <v>246</v>
      </c>
      <c r="J733" s="20">
        <v>8688</v>
      </c>
      <c r="K733" s="21">
        <v>19887</v>
      </c>
      <c r="L733" s="21">
        <v>11089</v>
      </c>
      <c r="M733" s="21" t="s">
        <v>31</v>
      </c>
      <c r="N733" s="45">
        <v>4.3</v>
      </c>
      <c r="O733" s="23">
        <f t="shared" si="22"/>
        <v>601.44651162790706</v>
      </c>
      <c r="P733" s="46">
        <v>4.1500000000000004</v>
      </c>
      <c r="Q733" s="25" t="s">
        <v>77</v>
      </c>
      <c r="R733" s="26" t="s">
        <v>189</v>
      </c>
      <c r="S733" s="26" t="s">
        <v>264</v>
      </c>
      <c r="T733" s="26"/>
      <c r="U733" s="67"/>
      <c r="V733" s="28">
        <f t="shared" si="23"/>
        <v>103</v>
      </c>
    </row>
    <row r="734" spans="1:23" s="40" customFormat="1" ht="21" customHeight="1">
      <c r="A734" s="34"/>
      <c r="B734" s="31"/>
      <c r="C734" s="32"/>
      <c r="D734" s="18" t="s">
        <v>309</v>
      </c>
      <c r="E734" s="19" t="s">
        <v>242</v>
      </c>
      <c r="F734" s="20">
        <v>9.8390000000000004</v>
      </c>
      <c r="G734" s="19">
        <v>1814</v>
      </c>
      <c r="H734" s="20">
        <v>279</v>
      </c>
      <c r="I734" s="19" t="s">
        <v>243</v>
      </c>
      <c r="J734" s="20">
        <v>8688</v>
      </c>
      <c r="K734" s="21">
        <v>19887</v>
      </c>
      <c r="L734" s="21">
        <v>11089</v>
      </c>
      <c r="M734" s="21" t="s">
        <v>31</v>
      </c>
      <c r="N734" s="22">
        <v>4.3</v>
      </c>
      <c r="O734" s="23">
        <f t="shared" si="22"/>
        <v>601.44651162790706</v>
      </c>
      <c r="P734" s="24">
        <v>4.1500000000000004</v>
      </c>
      <c r="Q734" s="25" t="s">
        <v>77</v>
      </c>
      <c r="R734" s="26" t="s">
        <v>33</v>
      </c>
      <c r="S734" s="26" t="s">
        <v>266</v>
      </c>
      <c r="T734" s="26"/>
      <c r="U734" s="39"/>
      <c r="V734" s="28">
        <f t="shared" si="23"/>
        <v>103</v>
      </c>
    </row>
    <row r="735" spans="1:23" s="40" customFormat="1" ht="21" customHeight="1">
      <c r="A735" s="34"/>
      <c r="B735" s="31"/>
      <c r="C735" s="32"/>
      <c r="D735" s="18" t="s">
        <v>309</v>
      </c>
      <c r="E735" s="19" t="s">
        <v>242</v>
      </c>
      <c r="F735" s="20">
        <v>9.8390000000000004</v>
      </c>
      <c r="G735" s="19">
        <v>1814</v>
      </c>
      <c r="H735" s="20">
        <v>279</v>
      </c>
      <c r="I735" s="19" t="s">
        <v>246</v>
      </c>
      <c r="J735" s="20">
        <v>8688</v>
      </c>
      <c r="K735" s="21">
        <v>19887</v>
      </c>
      <c r="L735" s="21">
        <v>11089</v>
      </c>
      <c r="M735" s="21" t="s">
        <v>31</v>
      </c>
      <c r="N735" s="22">
        <v>4.3</v>
      </c>
      <c r="O735" s="23">
        <f t="shared" si="22"/>
        <v>601.44651162790706</v>
      </c>
      <c r="P735" s="24">
        <v>4.1500000000000004</v>
      </c>
      <c r="Q735" s="25" t="s">
        <v>77</v>
      </c>
      <c r="R735" s="26" t="s">
        <v>33</v>
      </c>
      <c r="S735" s="26" t="s">
        <v>266</v>
      </c>
      <c r="T735" s="26"/>
      <c r="U735" s="39"/>
      <c r="V735" s="28">
        <f t="shared" si="23"/>
        <v>103</v>
      </c>
    </row>
    <row r="736" spans="1:23" s="40" customFormat="1" ht="21" customHeight="1">
      <c r="A736" s="30"/>
      <c r="B736" s="31"/>
      <c r="C736" s="32"/>
      <c r="D736" s="66" t="s">
        <v>310</v>
      </c>
      <c r="E736" s="19" t="s">
        <v>233</v>
      </c>
      <c r="F736" s="54" t="s">
        <v>234</v>
      </c>
      <c r="G736" s="19">
        <v>1422</v>
      </c>
      <c r="H736" s="20">
        <v>250</v>
      </c>
      <c r="I736" s="19" t="s">
        <v>239</v>
      </c>
      <c r="J736" s="20">
        <v>8688</v>
      </c>
      <c r="K736" s="21">
        <v>19887</v>
      </c>
      <c r="L736" s="21">
        <v>11089</v>
      </c>
      <c r="M736" s="21" t="s">
        <v>31</v>
      </c>
      <c r="N736" s="45">
        <v>4.3</v>
      </c>
      <c r="O736" s="23">
        <f t="shared" si="22"/>
        <v>601.44651162790706</v>
      </c>
      <c r="P736" s="46">
        <v>4.1500000000000004</v>
      </c>
      <c r="Q736" s="25" t="s">
        <v>62</v>
      </c>
      <c r="R736" s="26" t="s">
        <v>189</v>
      </c>
      <c r="S736" s="26" t="s">
        <v>305</v>
      </c>
      <c r="T736" s="26"/>
      <c r="U736" s="67"/>
      <c r="V736" s="28">
        <f t="shared" si="23"/>
        <v>103</v>
      </c>
    </row>
    <row r="737" spans="1:22" s="40" customFormat="1" ht="21" customHeight="1">
      <c r="A737" s="34"/>
      <c r="B737" s="31"/>
      <c r="C737" s="32"/>
      <c r="D737" s="18" t="s">
        <v>311</v>
      </c>
      <c r="E737" s="19" t="s">
        <v>237</v>
      </c>
      <c r="F737" s="20" t="s">
        <v>307</v>
      </c>
      <c r="G737" s="19">
        <v>1422</v>
      </c>
      <c r="H737" s="20">
        <v>250</v>
      </c>
      <c r="I737" s="19" t="s">
        <v>235</v>
      </c>
      <c r="J737" s="20">
        <v>8688</v>
      </c>
      <c r="K737" s="21">
        <v>19887</v>
      </c>
      <c r="L737" s="21">
        <v>11089</v>
      </c>
      <c r="M737" s="21" t="s">
        <v>31</v>
      </c>
      <c r="N737" s="22">
        <v>4.3</v>
      </c>
      <c r="O737" s="23">
        <f t="shared" si="22"/>
        <v>601.44651162790706</v>
      </c>
      <c r="P737" s="24">
        <v>4.1500000000000004</v>
      </c>
      <c r="Q737" s="25" t="s">
        <v>62</v>
      </c>
      <c r="R737" s="26" t="s">
        <v>33</v>
      </c>
      <c r="S737" s="26" t="s">
        <v>266</v>
      </c>
      <c r="T737" s="26"/>
      <c r="U737" s="39"/>
      <c r="V737" s="28">
        <f t="shared" si="23"/>
        <v>103</v>
      </c>
    </row>
    <row r="738" spans="1:22" s="40" customFormat="1" ht="21" customHeight="1">
      <c r="A738" s="30"/>
      <c r="B738" s="31"/>
      <c r="C738" s="32"/>
      <c r="D738" s="66" t="s">
        <v>310</v>
      </c>
      <c r="E738" s="19" t="s">
        <v>233</v>
      </c>
      <c r="F738" s="54" t="s">
        <v>234</v>
      </c>
      <c r="G738" s="19">
        <v>1422</v>
      </c>
      <c r="H738" s="20">
        <v>250</v>
      </c>
      <c r="I738" s="19" t="s">
        <v>239</v>
      </c>
      <c r="J738" s="20">
        <v>8688</v>
      </c>
      <c r="K738" s="21">
        <v>19887</v>
      </c>
      <c r="L738" s="21">
        <v>11089</v>
      </c>
      <c r="M738" s="21" t="s">
        <v>31</v>
      </c>
      <c r="N738" s="45">
        <v>4.2</v>
      </c>
      <c r="O738" s="23">
        <f t="shared" si="22"/>
        <v>615.76666666666665</v>
      </c>
      <c r="P738" s="46">
        <v>4.1500000000000004</v>
      </c>
      <c r="Q738" s="25" t="s">
        <v>77</v>
      </c>
      <c r="R738" s="26" t="s">
        <v>189</v>
      </c>
      <c r="S738" s="26" t="s">
        <v>305</v>
      </c>
      <c r="T738" s="26"/>
      <c r="U738" s="67"/>
      <c r="V738" s="28">
        <f t="shared" si="23"/>
        <v>101</v>
      </c>
    </row>
    <row r="739" spans="1:22" s="40" customFormat="1" ht="21" customHeight="1">
      <c r="A739" s="34"/>
      <c r="B739" s="31"/>
      <c r="C739" s="32"/>
      <c r="D739" s="18" t="s">
        <v>311</v>
      </c>
      <c r="E739" s="19" t="s">
        <v>237</v>
      </c>
      <c r="F739" s="20" t="s">
        <v>307</v>
      </c>
      <c r="G739" s="19">
        <v>1422</v>
      </c>
      <c r="H739" s="20">
        <v>250</v>
      </c>
      <c r="I739" s="19" t="s">
        <v>235</v>
      </c>
      <c r="J739" s="20">
        <v>8688</v>
      </c>
      <c r="K739" s="21">
        <v>19887</v>
      </c>
      <c r="L739" s="21">
        <v>11089</v>
      </c>
      <c r="M739" s="21" t="s">
        <v>31</v>
      </c>
      <c r="N739" s="22">
        <v>4.2</v>
      </c>
      <c r="O739" s="23">
        <f t="shared" si="22"/>
        <v>615.76666666666665</v>
      </c>
      <c r="P739" s="24">
        <v>4.1500000000000004</v>
      </c>
      <c r="Q739" s="25" t="s">
        <v>77</v>
      </c>
      <c r="R739" s="26" t="s">
        <v>33</v>
      </c>
      <c r="S739" s="26" t="s">
        <v>266</v>
      </c>
      <c r="T739" s="26"/>
      <c r="U739" s="39"/>
      <c r="V739" s="28">
        <f t="shared" si="23"/>
        <v>101</v>
      </c>
    </row>
    <row r="740" spans="1:22" s="40" customFormat="1" ht="21" customHeight="1">
      <c r="A740" s="30"/>
      <c r="B740" s="31"/>
      <c r="C740" s="32"/>
      <c r="D740" s="66" t="s">
        <v>312</v>
      </c>
      <c r="E740" s="19" t="s">
        <v>233</v>
      </c>
      <c r="F740" s="54" t="s">
        <v>234</v>
      </c>
      <c r="G740" s="19">
        <v>1422</v>
      </c>
      <c r="H740" s="20">
        <v>250</v>
      </c>
      <c r="I740" s="19" t="s">
        <v>239</v>
      </c>
      <c r="J740" s="20">
        <v>8688</v>
      </c>
      <c r="K740" s="21">
        <v>19887</v>
      </c>
      <c r="L740" s="21">
        <v>11089</v>
      </c>
      <c r="M740" s="21" t="s">
        <v>31</v>
      </c>
      <c r="N740" s="45">
        <v>4.3</v>
      </c>
      <c r="O740" s="23">
        <f t="shared" si="22"/>
        <v>601.44651162790706</v>
      </c>
      <c r="P740" s="46">
        <v>4.1500000000000004</v>
      </c>
      <c r="Q740" s="25" t="s">
        <v>62</v>
      </c>
      <c r="R740" s="26" t="s">
        <v>189</v>
      </c>
      <c r="S740" s="26" t="s">
        <v>305</v>
      </c>
      <c r="T740" s="26"/>
      <c r="U740" s="67"/>
      <c r="V740" s="28">
        <f t="shared" si="23"/>
        <v>103</v>
      </c>
    </row>
    <row r="741" spans="1:22" s="40" customFormat="1" ht="21" customHeight="1">
      <c r="A741" s="34"/>
      <c r="B741" s="31"/>
      <c r="C741" s="32"/>
      <c r="D741" s="18" t="s">
        <v>313</v>
      </c>
      <c r="E741" s="19" t="s">
        <v>237</v>
      </c>
      <c r="F741" s="20" t="s">
        <v>307</v>
      </c>
      <c r="G741" s="19">
        <v>1422</v>
      </c>
      <c r="H741" s="20">
        <v>250</v>
      </c>
      <c r="I741" s="19" t="s">
        <v>235</v>
      </c>
      <c r="J741" s="20">
        <v>8688</v>
      </c>
      <c r="K741" s="21">
        <v>19887</v>
      </c>
      <c r="L741" s="21">
        <v>11089</v>
      </c>
      <c r="M741" s="21" t="s">
        <v>31</v>
      </c>
      <c r="N741" s="22">
        <v>4.3</v>
      </c>
      <c r="O741" s="23">
        <f t="shared" si="22"/>
        <v>601.44651162790706</v>
      </c>
      <c r="P741" s="24">
        <v>4.1500000000000004</v>
      </c>
      <c r="Q741" s="25" t="s">
        <v>62</v>
      </c>
      <c r="R741" s="26" t="s">
        <v>33</v>
      </c>
      <c r="S741" s="26" t="s">
        <v>266</v>
      </c>
      <c r="T741" s="26"/>
      <c r="U741" s="39"/>
      <c r="V741" s="28">
        <f t="shared" si="23"/>
        <v>103</v>
      </c>
    </row>
    <row r="742" spans="1:22" s="40" customFormat="1" ht="21" customHeight="1">
      <c r="A742" s="30"/>
      <c r="B742" s="31"/>
      <c r="C742" s="32"/>
      <c r="D742" s="66" t="s">
        <v>312</v>
      </c>
      <c r="E742" s="19" t="s">
        <v>233</v>
      </c>
      <c r="F742" s="54" t="s">
        <v>234</v>
      </c>
      <c r="G742" s="19">
        <v>1422</v>
      </c>
      <c r="H742" s="20">
        <v>250</v>
      </c>
      <c r="I742" s="19" t="s">
        <v>239</v>
      </c>
      <c r="J742" s="20">
        <v>8688</v>
      </c>
      <c r="K742" s="21">
        <v>19887</v>
      </c>
      <c r="L742" s="21">
        <v>11089</v>
      </c>
      <c r="M742" s="21" t="s">
        <v>31</v>
      </c>
      <c r="N742" s="45">
        <v>4.2</v>
      </c>
      <c r="O742" s="23">
        <f t="shared" si="22"/>
        <v>615.76666666666665</v>
      </c>
      <c r="P742" s="46">
        <v>4.1500000000000004</v>
      </c>
      <c r="Q742" s="25" t="s">
        <v>77</v>
      </c>
      <c r="R742" s="26" t="s">
        <v>189</v>
      </c>
      <c r="S742" s="26" t="s">
        <v>305</v>
      </c>
      <c r="T742" s="26"/>
      <c r="U742" s="67"/>
      <c r="V742" s="28">
        <f t="shared" si="23"/>
        <v>101</v>
      </c>
    </row>
    <row r="743" spans="1:22" s="40" customFormat="1" ht="21" customHeight="1">
      <c r="A743" s="34"/>
      <c r="B743" s="31"/>
      <c r="C743" s="32"/>
      <c r="D743" s="18" t="s">
        <v>313</v>
      </c>
      <c r="E743" s="19" t="s">
        <v>237</v>
      </c>
      <c r="F743" s="20" t="s">
        <v>307</v>
      </c>
      <c r="G743" s="19">
        <v>1422</v>
      </c>
      <c r="H743" s="20">
        <v>250</v>
      </c>
      <c r="I743" s="19" t="s">
        <v>235</v>
      </c>
      <c r="J743" s="20">
        <v>8688</v>
      </c>
      <c r="K743" s="21">
        <v>19887</v>
      </c>
      <c r="L743" s="21">
        <v>11089</v>
      </c>
      <c r="M743" s="21" t="s">
        <v>31</v>
      </c>
      <c r="N743" s="22">
        <v>4.2</v>
      </c>
      <c r="O743" s="23">
        <f t="shared" si="22"/>
        <v>615.76666666666665</v>
      </c>
      <c r="P743" s="24">
        <v>4.1500000000000004</v>
      </c>
      <c r="Q743" s="25" t="s">
        <v>77</v>
      </c>
      <c r="R743" s="26" t="s">
        <v>33</v>
      </c>
      <c r="S743" s="26" t="s">
        <v>266</v>
      </c>
      <c r="T743" s="26"/>
      <c r="U743" s="39"/>
      <c r="V743" s="28">
        <f t="shared" si="23"/>
        <v>101</v>
      </c>
    </row>
    <row r="744" spans="1:22" s="40" customFormat="1" ht="21" customHeight="1">
      <c r="A744" s="30"/>
      <c r="B744" s="31"/>
      <c r="C744" s="32"/>
      <c r="D744" s="18" t="s">
        <v>314</v>
      </c>
      <c r="E744" s="19" t="s">
        <v>260</v>
      </c>
      <c r="F744" s="20">
        <v>9.8390000000000004</v>
      </c>
      <c r="G744" s="19">
        <v>1814</v>
      </c>
      <c r="H744" s="20">
        <v>279</v>
      </c>
      <c r="I744" s="19" t="s">
        <v>261</v>
      </c>
      <c r="J744" s="20">
        <v>8688</v>
      </c>
      <c r="K744" s="21">
        <v>19887</v>
      </c>
      <c r="L744" s="21">
        <v>11089</v>
      </c>
      <c r="M744" s="21" t="s">
        <v>31</v>
      </c>
      <c r="N744" s="45">
        <v>4.3</v>
      </c>
      <c r="O744" s="23">
        <f t="shared" si="22"/>
        <v>601.44651162790706</v>
      </c>
      <c r="P744" s="46">
        <v>4.1500000000000004</v>
      </c>
      <c r="Q744" s="25" t="s">
        <v>77</v>
      </c>
      <c r="R744" s="26" t="s">
        <v>189</v>
      </c>
      <c r="S744" s="26" t="s">
        <v>264</v>
      </c>
      <c r="T744" s="26"/>
      <c r="U744" s="67"/>
      <c r="V744" s="28">
        <f t="shared" si="23"/>
        <v>103</v>
      </c>
    </row>
    <row r="745" spans="1:22" s="40" customFormat="1" ht="21" customHeight="1">
      <c r="A745" s="30"/>
      <c r="B745" s="31"/>
      <c r="C745" s="32"/>
      <c r="D745" s="18" t="s">
        <v>314</v>
      </c>
      <c r="E745" s="19" t="s">
        <v>260</v>
      </c>
      <c r="F745" s="20">
        <v>9.8390000000000004</v>
      </c>
      <c r="G745" s="19">
        <v>1814</v>
      </c>
      <c r="H745" s="20">
        <v>279</v>
      </c>
      <c r="I745" s="19" t="s">
        <v>246</v>
      </c>
      <c r="J745" s="20">
        <v>8688</v>
      </c>
      <c r="K745" s="21">
        <v>19887</v>
      </c>
      <c r="L745" s="21">
        <v>11089</v>
      </c>
      <c r="M745" s="21" t="s">
        <v>31</v>
      </c>
      <c r="N745" s="45">
        <v>4.3</v>
      </c>
      <c r="O745" s="23">
        <f t="shared" si="22"/>
        <v>601.44651162790706</v>
      </c>
      <c r="P745" s="46">
        <v>4.1500000000000004</v>
      </c>
      <c r="Q745" s="25" t="s">
        <v>77</v>
      </c>
      <c r="R745" s="26" t="s">
        <v>189</v>
      </c>
      <c r="S745" s="26" t="s">
        <v>264</v>
      </c>
      <c r="T745" s="26"/>
      <c r="U745" s="67"/>
      <c r="V745" s="28">
        <f t="shared" si="23"/>
        <v>103</v>
      </c>
    </row>
    <row r="746" spans="1:22" s="40" customFormat="1" ht="21" customHeight="1">
      <c r="A746" s="34"/>
      <c r="B746" s="31"/>
      <c r="C746" s="32"/>
      <c r="D746" s="18" t="s">
        <v>315</v>
      </c>
      <c r="E746" s="19" t="s">
        <v>242</v>
      </c>
      <c r="F746" s="20">
        <v>9.8390000000000004</v>
      </c>
      <c r="G746" s="19">
        <v>1814</v>
      </c>
      <c r="H746" s="20">
        <v>279</v>
      </c>
      <c r="I746" s="19" t="s">
        <v>243</v>
      </c>
      <c r="J746" s="20">
        <v>8688</v>
      </c>
      <c r="K746" s="21">
        <v>19887</v>
      </c>
      <c r="L746" s="21">
        <v>11089</v>
      </c>
      <c r="M746" s="21" t="s">
        <v>31</v>
      </c>
      <c r="N746" s="22">
        <v>4.3</v>
      </c>
      <c r="O746" s="23">
        <f t="shared" si="22"/>
        <v>601.44651162790706</v>
      </c>
      <c r="P746" s="24">
        <v>4.1500000000000004</v>
      </c>
      <c r="Q746" s="25" t="s">
        <v>77</v>
      </c>
      <c r="R746" s="26" t="s">
        <v>33</v>
      </c>
      <c r="S746" s="26" t="s">
        <v>266</v>
      </c>
      <c r="T746" s="26"/>
      <c r="U746" s="39"/>
      <c r="V746" s="28">
        <f t="shared" si="23"/>
        <v>103</v>
      </c>
    </row>
    <row r="747" spans="1:22" s="40" customFormat="1" ht="21" customHeight="1">
      <c r="A747" s="34"/>
      <c r="B747" s="31"/>
      <c r="C747" s="32"/>
      <c r="D747" s="18" t="s">
        <v>315</v>
      </c>
      <c r="E747" s="19" t="s">
        <v>242</v>
      </c>
      <c r="F747" s="20">
        <v>9.8390000000000004</v>
      </c>
      <c r="G747" s="19">
        <v>1814</v>
      </c>
      <c r="H747" s="20">
        <v>279</v>
      </c>
      <c r="I747" s="19" t="s">
        <v>246</v>
      </c>
      <c r="J747" s="20">
        <v>8688</v>
      </c>
      <c r="K747" s="21">
        <v>19887</v>
      </c>
      <c r="L747" s="21">
        <v>11089</v>
      </c>
      <c r="M747" s="21" t="s">
        <v>31</v>
      </c>
      <c r="N747" s="22">
        <v>4.3</v>
      </c>
      <c r="O747" s="23">
        <f t="shared" si="22"/>
        <v>601.44651162790706</v>
      </c>
      <c r="P747" s="24">
        <v>4.1500000000000004</v>
      </c>
      <c r="Q747" s="25" t="s">
        <v>77</v>
      </c>
      <c r="R747" s="26" t="s">
        <v>33</v>
      </c>
      <c r="S747" s="26" t="s">
        <v>266</v>
      </c>
      <c r="T747" s="26"/>
      <c r="U747" s="39"/>
      <c r="V747" s="28">
        <f t="shared" si="23"/>
        <v>103</v>
      </c>
    </row>
    <row r="748" spans="1:22" s="40" customFormat="1" ht="21" customHeight="1">
      <c r="A748" s="30"/>
      <c r="B748" s="31"/>
      <c r="C748" s="32"/>
      <c r="D748" s="18" t="s">
        <v>316</v>
      </c>
      <c r="E748" s="19" t="s">
        <v>233</v>
      </c>
      <c r="F748" s="54" t="s">
        <v>234</v>
      </c>
      <c r="G748" s="19">
        <v>1422</v>
      </c>
      <c r="H748" s="20">
        <v>250</v>
      </c>
      <c r="I748" s="19" t="s">
        <v>239</v>
      </c>
      <c r="J748" s="20">
        <v>8688</v>
      </c>
      <c r="K748" s="21">
        <v>19887</v>
      </c>
      <c r="L748" s="21">
        <v>11089</v>
      </c>
      <c r="M748" s="21" t="s">
        <v>31</v>
      </c>
      <c r="N748" s="45">
        <v>4.3</v>
      </c>
      <c r="O748" s="23">
        <f t="shared" si="22"/>
        <v>601.44651162790706</v>
      </c>
      <c r="P748" s="46">
        <v>4.1500000000000004</v>
      </c>
      <c r="Q748" s="25" t="s">
        <v>62</v>
      </c>
      <c r="R748" s="26" t="s">
        <v>189</v>
      </c>
      <c r="S748" s="26" t="s">
        <v>270</v>
      </c>
      <c r="T748" s="26"/>
      <c r="U748" s="67"/>
      <c r="V748" s="28">
        <f t="shared" si="23"/>
        <v>103</v>
      </c>
    </row>
    <row r="749" spans="1:22" s="40" customFormat="1" ht="21" customHeight="1">
      <c r="A749" s="34"/>
      <c r="B749" s="31"/>
      <c r="C749" s="32"/>
      <c r="D749" s="18" t="s">
        <v>317</v>
      </c>
      <c r="E749" s="19" t="s">
        <v>237</v>
      </c>
      <c r="F749" s="20" t="s">
        <v>307</v>
      </c>
      <c r="G749" s="19">
        <v>1422</v>
      </c>
      <c r="H749" s="20">
        <v>250</v>
      </c>
      <c r="I749" s="19" t="s">
        <v>235</v>
      </c>
      <c r="J749" s="20">
        <v>8688</v>
      </c>
      <c r="K749" s="21">
        <v>19887</v>
      </c>
      <c r="L749" s="21">
        <v>11089</v>
      </c>
      <c r="M749" s="21" t="s">
        <v>31</v>
      </c>
      <c r="N749" s="22">
        <v>4.3</v>
      </c>
      <c r="O749" s="23">
        <f t="shared" si="22"/>
        <v>601.44651162790706</v>
      </c>
      <c r="P749" s="24">
        <v>4.1500000000000004</v>
      </c>
      <c r="Q749" s="25" t="s">
        <v>62</v>
      </c>
      <c r="R749" s="26" t="s">
        <v>33</v>
      </c>
      <c r="S749" s="26" t="s">
        <v>272</v>
      </c>
      <c r="T749" s="26"/>
      <c r="U749" s="39"/>
      <c r="V749" s="28">
        <f t="shared" si="23"/>
        <v>103</v>
      </c>
    </row>
    <row r="750" spans="1:22" s="40" customFormat="1" ht="21" customHeight="1">
      <c r="A750" s="30"/>
      <c r="B750" s="31"/>
      <c r="C750" s="32"/>
      <c r="D750" s="18" t="s">
        <v>316</v>
      </c>
      <c r="E750" s="19" t="s">
        <v>233</v>
      </c>
      <c r="F750" s="54" t="s">
        <v>234</v>
      </c>
      <c r="G750" s="19">
        <v>1422</v>
      </c>
      <c r="H750" s="20">
        <v>250</v>
      </c>
      <c r="I750" s="19" t="s">
        <v>239</v>
      </c>
      <c r="J750" s="20">
        <v>8688</v>
      </c>
      <c r="K750" s="21">
        <v>19887</v>
      </c>
      <c r="L750" s="21">
        <v>11089</v>
      </c>
      <c r="M750" s="21" t="s">
        <v>31</v>
      </c>
      <c r="N750" s="45">
        <v>4.2</v>
      </c>
      <c r="O750" s="23">
        <f t="shared" si="22"/>
        <v>615.76666666666665</v>
      </c>
      <c r="P750" s="46">
        <v>4.1500000000000004</v>
      </c>
      <c r="Q750" s="25" t="s">
        <v>77</v>
      </c>
      <c r="R750" s="26" t="s">
        <v>189</v>
      </c>
      <c r="S750" s="26" t="s">
        <v>270</v>
      </c>
      <c r="T750" s="26"/>
      <c r="U750" s="67"/>
      <c r="V750" s="28">
        <f t="shared" si="23"/>
        <v>101</v>
      </c>
    </row>
    <row r="751" spans="1:22" s="40" customFormat="1" ht="21" customHeight="1">
      <c r="A751" s="34"/>
      <c r="B751" s="31"/>
      <c r="C751" s="32"/>
      <c r="D751" s="18" t="s">
        <v>317</v>
      </c>
      <c r="E751" s="19" t="s">
        <v>237</v>
      </c>
      <c r="F751" s="20" t="s">
        <v>307</v>
      </c>
      <c r="G751" s="19">
        <v>1422</v>
      </c>
      <c r="H751" s="20">
        <v>250</v>
      </c>
      <c r="I751" s="19" t="s">
        <v>235</v>
      </c>
      <c r="J751" s="20">
        <v>8688</v>
      </c>
      <c r="K751" s="21">
        <v>19887</v>
      </c>
      <c r="L751" s="21">
        <v>11089</v>
      </c>
      <c r="M751" s="21" t="s">
        <v>31</v>
      </c>
      <c r="N751" s="22">
        <v>4.2</v>
      </c>
      <c r="O751" s="23">
        <f t="shared" si="22"/>
        <v>615.76666666666665</v>
      </c>
      <c r="P751" s="24">
        <v>4.1500000000000004</v>
      </c>
      <c r="Q751" s="25" t="s">
        <v>77</v>
      </c>
      <c r="R751" s="26" t="s">
        <v>33</v>
      </c>
      <c r="S751" s="26" t="s">
        <v>272</v>
      </c>
      <c r="T751" s="26"/>
      <c r="U751" s="39"/>
      <c r="V751" s="28">
        <f t="shared" si="23"/>
        <v>101</v>
      </c>
    </row>
    <row r="752" spans="1:22" s="40" customFormat="1" ht="21" customHeight="1">
      <c r="A752" s="30"/>
      <c r="B752" s="31"/>
      <c r="C752" s="32"/>
      <c r="D752" s="18" t="s">
        <v>318</v>
      </c>
      <c r="E752" s="19" t="s">
        <v>260</v>
      </c>
      <c r="F752" s="20">
        <v>9.8390000000000004</v>
      </c>
      <c r="G752" s="19">
        <v>1814</v>
      </c>
      <c r="H752" s="20">
        <v>279</v>
      </c>
      <c r="I752" s="19" t="s">
        <v>261</v>
      </c>
      <c r="J752" s="20">
        <v>8688</v>
      </c>
      <c r="K752" s="21">
        <v>19887</v>
      </c>
      <c r="L752" s="21">
        <v>11089</v>
      </c>
      <c r="M752" s="21" t="s">
        <v>31</v>
      </c>
      <c r="N752" s="45">
        <v>4.3</v>
      </c>
      <c r="O752" s="23">
        <f t="shared" si="22"/>
        <v>601.44651162790706</v>
      </c>
      <c r="P752" s="46">
        <v>4.1500000000000004</v>
      </c>
      <c r="Q752" s="25" t="s">
        <v>77</v>
      </c>
      <c r="R752" s="26" t="s">
        <v>189</v>
      </c>
      <c r="S752" s="26" t="s">
        <v>270</v>
      </c>
      <c r="T752" s="26"/>
      <c r="U752" s="67"/>
      <c r="V752" s="28">
        <f t="shared" si="23"/>
        <v>103</v>
      </c>
    </row>
    <row r="753" spans="1:23" s="40" customFormat="1" ht="21" customHeight="1">
      <c r="A753" s="30"/>
      <c r="B753" s="31"/>
      <c r="C753" s="32"/>
      <c r="D753" s="18" t="s">
        <v>318</v>
      </c>
      <c r="E753" s="19" t="s">
        <v>260</v>
      </c>
      <c r="F753" s="20">
        <v>9.8390000000000004</v>
      </c>
      <c r="G753" s="19">
        <v>1814</v>
      </c>
      <c r="H753" s="20">
        <v>279</v>
      </c>
      <c r="I753" s="19" t="s">
        <v>246</v>
      </c>
      <c r="J753" s="20">
        <v>8688</v>
      </c>
      <c r="K753" s="21">
        <v>19887</v>
      </c>
      <c r="L753" s="21">
        <v>11089</v>
      </c>
      <c r="M753" s="21" t="s">
        <v>31</v>
      </c>
      <c r="N753" s="45">
        <v>4.3</v>
      </c>
      <c r="O753" s="23">
        <f t="shared" si="22"/>
        <v>601.44651162790706</v>
      </c>
      <c r="P753" s="46">
        <v>4.1500000000000004</v>
      </c>
      <c r="Q753" s="25" t="s">
        <v>77</v>
      </c>
      <c r="R753" s="26" t="s">
        <v>189</v>
      </c>
      <c r="S753" s="26" t="s">
        <v>270</v>
      </c>
      <c r="T753" s="26"/>
      <c r="U753" s="67"/>
      <c r="V753" s="28">
        <f t="shared" si="23"/>
        <v>103</v>
      </c>
    </row>
    <row r="754" spans="1:23" s="40" customFormat="1" ht="21" customHeight="1">
      <c r="A754" s="34"/>
      <c r="B754" s="31"/>
      <c r="C754" s="32"/>
      <c r="D754" s="18" t="s">
        <v>319</v>
      </c>
      <c r="E754" s="19" t="s">
        <v>242</v>
      </c>
      <c r="F754" s="20">
        <v>9.8390000000000004</v>
      </c>
      <c r="G754" s="19">
        <v>1814</v>
      </c>
      <c r="H754" s="20">
        <v>279</v>
      </c>
      <c r="I754" s="19" t="s">
        <v>243</v>
      </c>
      <c r="J754" s="20">
        <v>8688</v>
      </c>
      <c r="K754" s="21">
        <v>19887</v>
      </c>
      <c r="L754" s="21">
        <v>11089</v>
      </c>
      <c r="M754" s="21" t="s">
        <v>31</v>
      </c>
      <c r="N754" s="22">
        <v>4.3</v>
      </c>
      <c r="O754" s="23">
        <f t="shared" si="22"/>
        <v>601.44651162790706</v>
      </c>
      <c r="P754" s="24">
        <v>4.1500000000000004</v>
      </c>
      <c r="Q754" s="25" t="s">
        <v>77</v>
      </c>
      <c r="R754" s="26" t="s">
        <v>33</v>
      </c>
      <c r="S754" s="26" t="s">
        <v>272</v>
      </c>
      <c r="T754" s="26"/>
      <c r="U754" s="39"/>
      <c r="V754" s="28">
        <f t="shared" si="23"/>
        <v>103</v>
      </c>
    </row>
    <row r="755" spans="1:23" s="40" customFormat="1" ht="21" customHeight="1">
      <c r="A755" s="34"/>
      <c r="B755" s="31"/>
      <c r="C755" s="32"/>
      <c r="D755" s="18" t="s">
        <v>319</v>
      </c>
      <c r="E755" s="19" t="s">
        <v>242</v>
      </c>
      <c r="F755" s="20">
        <v>9.8390000000000004</v>
      </c>
      <c r="G755" s="19">
        <v>1814</v>
      </c>
      <c r="H755" s="20">
        <v>279</v>
      </c>
      <c r="I755" s="19" t="s">
        <v>246</v>
      </c>
      <c r="J755" s="20">
        <v>8688</v>
      </c>
      <c r="K755" s="21">
        <v>19887</v>
      </c>
      <c r="L755" s="21">
        <v>11089</v>
      </c>
      <c r="M755" s="21" t="s">
        <v>31</v>
      </c>
      <c r="N755" s="22">
        <v>4.3</v>
      </c>
      <c r="O755" s="23">
        <f t="shared" si="22"/>
        <v>601.44651162790706</v>
      </c>
      <c r="P755" s="24">
        <v>4.1500000000000004</v>
      </c>
      <c r="Q755" s="25" t="s">
        <v>77</v>
      </c>
      <c r="R755" s="26" t="s">
        <v>33</v>
      </c>
      <c r="S755" s="26" t="s">
        <v>272</v>
      </c>
      <c r="T755" s="26"/>
      <c r="U755" s="39"/>
      <c r="V755" s="28">
        <f t="shared" si="23"/>
        <v>103</v>
      </c>
      <c r="W755" s="29"/>
    </row>
    <row r="756" spans="1:23" s="40" customFormat="1" ht="21" customHeight="1">
      <c r="A756" s="30"/>
      <c r="B756" s="31"/>
      <c r="C756" s="32"/>
      <c r="D756" s="18" t="s">
        <v>320</v>
      </c>
      <c r="E756" s="19" t="s">
        <v>260</v>
      </c>
      <c r="F756" s="20">
        <v>9.8390000000000004</v>
      </c>
      <c r="G756" s="19">
        <v>1814</v>
      </c>
      <c r="H756" s="20">
        <v>279</v>
      </c>
      <c r="I756" s="19" t="s">
        <v>261</v>
      </c>
      <c r="J756" s="20">
        <v>8688</v>
      </c>
      <c r="K756" s="21">
        <v>19887</v>
      </c>
      <c r="L756" s="21">
        <v>11089</v>
      </c>
      <c r="M756" s="21" t="s">
        <v>31</v>
      </c>
      <c r="N756" s="45">
        <v>4.3</v>
      </c>
      <c r="O756" s="23">
        <f t="shared" si="22"/>
        <v>601.44651162790706</v>
      </c>
      <c r="P756" s="46">
        <v>4.1500000000000004</v>
      </c>
      <c r="Q756" s="25" t="s">
        <v>77</v>
      </c>
      <c r="R756" s="26" t="s">
        <v>189</v>
      </c>
      <c r="S756" s="26" t="s">
        <v>274</v>
      </c>
      <c r="T756" s="26"/>
      <c r="U756" s="67"/>
      <c r="V756" s="28">
        <f t="shared" si="23"/>
        <v>103</v>
      </c>
      <c r="W756" s="29"/>
    </row>
    <row r="757" spans="1:23" s="40" customFormat="1" ht="21" customHeight="1">
      <c r="A757" s="30"/>
      <c r="B757" s="31"/>
      <c r="C757" s="32"/>
      <c r="D757" s="18" t="s">
        <v>320</v>
      </c>
      <c r="E757" s="19" t="s">
        <v>260</v>
      </c>
      <c r="F757" s="20">
        <v>9.8390000000000004</v>
      </c>
      <c r="G757" s="19">
        <v>1814</v>
      </c>
      <c r="H757" s="20">
        <v>279</v>
      </c>
      <c r="I757" s="19" t="s">
        <v>246</v>
      </c>
      <c r="J757" s="20">
        <v>8688</v>
      </c>
      <c r="K757" s="21">
        <v>19887</v>
      </c>
      <c r="L757" s="21">
        <v>11089</v>
      </c>
      <c r="M757" s="21" t="s">
        <v>31</v>
      </c>
      <c r="N757" s="45">
        <v>4.3</v>
      </c>
      <c r="O757" s="23">
        <f t="shared" si="22"/>
        <v>601.44651162790706</v>
      </c>
      <c r="P757" s="46">
        <v>4.1500000000000004</v>
      </c>
      <c r="Q757" s="25" t="s">
        <v>77</v>
      </c>
      <c r="R757" s="26" t="s">
        <v>189</v>
      </c>
      <c r="S757" s="26" t="s">
        <v>274</v>
      </c>
      <c r="T757" s="26"/>
      <c r="U757" s="67"/>
      <c r="V757" s="28">
        <f t="shared" si="23"/>
        <v>103</v>
      </c>
      <c r="W757" s="29"/>
    </row>
    <row r="758" spans="1:23" s="40" customFormat="1" ht="21" customHeight="1">
      <c r="A758" s="30"/>
      <c r="B758" s="31"/>
      <c r="C758" s="32"/>
      <c r="D758" s="66" t="s">
        <v>321</v>
      </c>
      <c r="E758" s="19" t="s">
        <v>233</v>
      </c>
      <c r="F758" s="54" t="s">
        <v>234</v>
      </c>
      <c r="G758" s="19">
        <v>1422</v>
      </c>
      <c r="H758" s="20">
        <v>250</v>
      </c>
      <c r="I758" s="19" t="s">
        <v>239</v>
      </c>
      <c r="J758" s="20">
        <v>8688</v>
      </c>
      <c r="K758" s="21">
        <v>19887</v>
      </c>
      <c r="L758" s="21">
        <v>11089</v>
      </c>
      <c r="M758" s="21" t="s">
        <v>31</v>
      </c>
      <c r="N758" s="45">
        <v>4.3</v>
      </c>
      <c r="O758" s="23">
        <f t="shared" si="22"/>
        <v>601.44651162790706</v>
      </c>
      <c r="P758" s="46">
        <v>4.1500000000000004</v>
      </c>
      <c r="Q758" s="25" t="s">
        <v>62</v>
      </c>
      <c r="R758" s="26" t="s">
        <v>189</v>
      </c>
      <c r="S758" s="26" t="s">
        <v>274</v>
      </c>
      <c r="T758" s="26"/>
      <c r="U758" s="67"/>
      <c r="V758" s="28">
        <f t="shared" si="23"/>
        <v>103</v>
      </c>
      <c r="W758" s="29"/>
    </row>
    <row r="759" spans="1:23" s="40" customFormat="1" ht="21" customHeight="1">
      <c r="A759" s="34"/>
      <c r="B759" s="31"/>
      <c r="C759" s="32"/>
      <c r="D759" s="18" t="s">
        <v>322</v>
      </c>
      <c r="E759" s="19" t="s">
        <v>237</v>
      </c>
      <c r="F759" s="20" t="s">
        <v>307</v>
      </c>
      <c r="G759" s="19">
        <v>1422</v>
      </c>
      <c r="H759" s="20">
        <v>250</v>
      </c>
      <c r="I759" s="19" t="s">
        <v>235</v>
      </c>
      <c r="J759" s="20">
        <v>8688</v>
      </c>
      <c r="K759" s="21">
        <v>19887</v>
      </c>
      <c r="L759" s="21">
        <v>11089</v>
      </c>
      <c r="M759" s="21" t="s">
        <v>31</v>
      </c>
      <c r="N759" s="22">
        <v>4.3</v>
      </c>
      <c r="O759" s="23">
        <f t="shared" si="22"/>
        <v>601.44651162790706</v>
      </c>
      <c r="P759" s="24">
        <v>4.1500000000000004</v>
      </c>
      <c r="Q759" s="25" t="s">
        <v>62</v>
      </c>
      <c r="R759" s="26" t="s">
        <v>33</v>
      </c>
      <c r="S759" s="26" t="s">
        <v>277</v>
      </c>
      <c r="T759" s="26"/>
      <c r="U759" s="39"/>
      <c r="V759" s="28">
        <f t="shared" si="23"/>
        <v>103</v>
      </c>
      <c r="W759" s="29"/>
    </row>
    <row r="760" spans="1:23" s="40" customFormat="1" ht="21" customHeight="1">
      <c r="A760" s="30"/>
      <c r="B760" s="31"/>
      <c r="C760" s="32"/>
      <c r="D760" s="66" t="s">
        <v>321</v>
      </c>
      <c r="E760" s="19" t="s">
        <v>233</v>
      </c>
      <c r="F760" s="54" t="s">
        <v>234</v>
      </c>
      <c r="G760" s="19">
        <v>1422</v>
      </c>
      <c r="H760" s="20">
        <v>250</v>
      </c>
      <c r="I760" s="19" t="s">
        <v>239</v>
      </c>
      <c r="J760" s="20">
        <v>8688</v>
      </c>
      <c r="K760" s="21">
        <v>19887</v>
      </c>
      <c r="L760" s="21">
        <v>11089</v>
      </c>
      <c r="M760" s="21" t="s">
        <v>31</v>
      </c>
      <c r="N760" s="45">
        <v>4.2</v>
      </c>
      <c r="O760" s="23">
        <f t="shared" si="22"/>
        <v>615.76666666666665</v>
      </c>
      <c r="P760" s="46">
        <v>4.1500000000000004</v>
      </c>
      <c r="Q760" s="25" t="s">
        <v>77</v>
      </c>
      <c r="R760" s="26" t="s">
        <v>189</v>
      </c>
      <c r="S760" s="26" t="s">
        <v>274</v>
      </c>
      <c r="T760" s="26"/>
      <c r="U760" s="67"/>
      <c r="V760" s="28">
        <f t="shared" si="23"/>
        <v>101</v>
      </c>
      <c r="W760" s="29"/>
    </row>
    <row r="761" spans="1:23" s="40" customFormat="1" ht="21" customHeight="1">
      <c r="A761" s="34"/>
      <c r="B761" s="31"/>
      <c r="C761" s="32"/>
      <c r="D761" s="18" t="s">
        <v>322</v>
      </c>
      <c r="E761" s="19" t="s">
        <v>237</v>
      </c>
      <c r="F761" s="20" t="s">
        <v>307</v>
      </c>
      <c r="G761" s="19">
        <v>1422</v>
      </c>
      <c r="H761" s="20">
        <v>250</v>
      </c>
      <c r="I761" s="19" t="s">
        <v>235</v>
      </c>
      <c r="J761" s="20">
        <v>8688</v>
      </c>
      <c r="K761" s="21">
        <v>19887</v>
      </c>
      <c r="L761" s="21">
        <v>11089</v>
      </c>
      <c r="M761" s="21" t="s">
        <v>31</v>
      </c>
      <c r="N761" s="22">
        <v>4.2</v>
      </c>
      <c r="O761" s="23">
        <f t="shared" si="22"/>
        <v>615.76666666666665</v>
      </c>
      <c r="P761" s="24">
        <v>4.1500000000000004</v>
      </c>
      <c r="Q761" s="25" t="s">
        <v>77</v>
      </c>
      <c r="R761" s="26" t="s">
        <v>33</v>
      </c>
      <c r="S761" s="26" t="s">
        <v>277</v>
      </c>
      <c r="T761" s="26"/>
      <c r="U761" s="39"/>
      <c r="V761" s="28">
        <f t="shared" si="23"/>
        <v>101</v>
      </c>
      <c r="W761" s="29"/>
    </row>
    <row r="762" spans="1:23" s="40" customFormat="1" ht="21" customHeight="1">
      <c r="A762" s="30"/>
      <c r="B762" s="31"/>
      <c r="C762" s="32"/>
      <c r="D762" s="18" t="s">
        <v>323</v>
      </c>
      <c r="E762" s="19" t="s">
        <v>260</v>
      </c>
      <c r="F762" s="20">
        <v>9.8390000000000004</v>
      </c>
      <c r="G762" s="19">
        <v>1814</v>
      </c>
      <c r="H762" s="20">
        <v>279</v>
      </c>
      <c r="I762" s="19" t="s">
        <v>261</v>
      </c>
      <c r="J762" s="20">
        <v>8688</v>
      </c>
      <c r="K762" s="21">
        <v>19887</v>
      </c>
      <c r="L762" s="21">
        <v>11089</v>
      </c>
      <c r="M762" s="21" t="s">
        <v>31</v>
      </c>
      <c r="N762" s="45">
        <v>4.3</v>
      </c>
      <c r="O762" s="23">
        <f t="shared" si="22"/>
        <v>601.44651162790706</v>
      </c>
      <c r="P762" s="46">
        <v>4.1500000000000004</v>
      </c>
      <c r="Q762" s="25" t="s">
        <v>77</v>
      </c>
      <c r="R762" s="26" t="s">
        <v>189</v>
      </c>
      <c r="S762" s="26" t="s">
        <v>274</v>
      </c>
      <c r="T762" s="26"/>
      <c r="U762" s="67"/>
      <c r="V762" s="28">
        <f t="shared" si="23"/>
        <v>103</v>
      </c>
      <c r="W762" s="29"/>
    </row>
    <row r="763" spans="1:23" s="40" customFormat="1" ht="21" customHeight="1">
      <c r="A763" s="30"/>
      <c r="B763" s="31"/>
      <c r="C763" s="32"/>
      <c r="D763" s="18" t="s">
        <v>323</v>
      </c>
      <c r="E763" s="19" t="s">
        <v>260</v>
      </c>
      <c r="F763" s="20">
        <v>9.8390000000000004</v>
      </c>
      <c r="G763" s="19">
        <v>1814</v>
      </c>
      <c r="H763" s="20">
        <v>279</v>
      </c>
      <c r="I763" s="19" t="s">
        <v>324</v>
      </c>
      <c r="J763" s="20">
        <v>8688</v>
      </c>
      <c r="K763" s="21">
        <v>19887</v>
      </c>
      <c r="L763" s="21">
        <v>11089</v>
      </c>
      <c r="M763" s="21" t="s">
        <v>31</v>
      </c>
      <c r="N763" s="45">
        <v>4.3</v>
      </c>
      <c r="O763" s="23">
        <f t="shared" si="22"/>
        <v>601.44651162790706</v>
      </c>
      <c r="P763" s="46">
        <v>4.1500000000000004</v>
      </c>
      <c r="Q763" s="25" t="s">
        <v>77</v>
      </c>
      <c r="R763" s="26" t="s">
        <v>189</v>
      </c>
      <c r="S763" s="26" t="s">
        <v>274</v>
      </c>
      <c r="T763" s="26"/>
      <c r="U763" s="67"/>
      <c r="V763" s="28">
        <f t="shared" si="23"/>
        <v>103</v>
      </c>
      <c r="W763" s="29"/>
    </row>
    <row r="764" spans="1:23" s="40" customFormat="1" ht="21" customHeight="1">
      <c r="A764" s="34"/>
      <c r="B764" s="31"/>
      <c r="C764" s="32"/>
      <c r="D764" s="18" t="s">
        <v>325</v>
      </c>
      <c r="E764" s="19" t="s">
        <v>242</v>
      </c>
      <c r="F764" s="20">
        <v>9.8390000000000004</v>
      </c>
      <c r="G764" s="19">
        <v>1814</v>
      </c>
      <c r="H764" s="20">
        <v>279</v>
      </c>
      <c r="I764" s="19" t="s">
        <v>243</v>
      </c>
      <c r="J764" s="20">
        <v>8688</v>
      </c>
      <c r="K764" s="21">
        <v>19887</v>
      </c>
      <c r="L764" s="21">
        <v>11089</v>
      </c>
      <c r="M764" s="21" t="s">
        <v>31</v>
      </c>
      <c r="N764" s="22">
        <v>4.3</v>
      </c>
      <c r="O764" s="23">
        <f t="shared" si="22"/>
        <v>601.44651162790706</v>
      </c>
      <c r="P764" s="24">
        <v>4.1500000000000004</v>
      </c>
      <c r="Q764" s="25" t="s">
        <v>77</v>
      </c>
      <c r="R764" s="26" t="s">
        <v>33</v>
      </c>
      <c r="S764" s="26" t="s">
        <v>277</v>
      </c>
      <c r="T764" s="26"/>
      <c r="U764" s="39"/>
      <c r="V764" s="28">
        <f t="shared" si="23"/>
        <v>103</v>
      </c>
      <c r="W764" s="29"/>
    </row>
    <row r="765" spans="1:23" s="40" customFormat="1" ht="21" customHeight="1">
      <c r="A765" s="34"/>
      <c r="B765" s="31"/>
      <c r="C765" s="32"/>
      <c r="D765" s="18" t="s">
        <v>325</v>
      </c>
      <c r="E765" s="19" t="s">
        <v>242</v>
      </c>
      <c r="F765" s="20">
        <v>9.8390000000000004</v>
      </c>
      <c r="G765" s="19">
        <v>1814</v>
      </c>
      <c r="H765" s="20">
        <v>279</v>
      </c>
      <c r="I765" s="19" t="s">
        <v>278</v>
      </c>
      <c r="J765" s="20">
        <v>8688</v>
      </c>
      <c r="K765" s="21">
        <v>19887</v>
      </c>
      <c r="L765" s="21">
        <v>11089</v>
      </c>
      <c r="M765" s="21" t="s">
        <v>31</v>
      </c>
      <c r="N765" s="22">
        <v>4.3</v>
      </c>
      <c r="O765" s="23">
        <f t="shared" si="22"/>
        <v>601.44651162790706</v>
      </c>
      <c r="P765" s="24">
        <v>4.1500000000000004</v>
      </c>
      <c r="Q765" s="25" t="s">
        <v>77</v>
      </c>
      <c r="R765" s="26" t="s">
        <v>33</v>
      </c>
      <c r="S765" s="26" t="s">
        <v>277</v>
      </c>
      <c r="T765" s="26"/>
      <c r="U765" s="39"/>
      <c r="V765" s="28">
        <f t="shared" si="23"/>
        <v>103</v>
      </c>
      <c r="W765" s="29"/>
    </row>
    <row r="766" spans="1:23" s="40" customFormat="1" ht="21" customHeight="1">
      <c r="A766" s="30"/>
      <c r="B766" s="31"/>
      <c r="C766" s="32"/>
      <c r="D766" s="18" t="s">
        <v>326</v>
      </c>
      <c r="E766" s="19" t="s">
        <v>260</v>
      </c>
      <c r="F766" s="20">
        <v>9.8390000000000004</v>
      </c>
      <c r="G766" s="19">
        <v>1814</v>
      </c>
      <c r="H766" s="20">
        <v>279</v>
      </c>
      <c r="I766" s="19" t="s">
        <v>261</v>
      </c>
      <c r="J766" s="20">
        <v>8765</v>
      </c>
      <c r="K766" s="21">
        <v>24405</v>
      </c>
      <c r="L766" s="21">
        <v>15530</v>
      </c>
      <c r="M766" s="21" t="s">
        <v>31</v>
      </c>
      <c r="N766" s="45">
        <v>4.25</v>
      </c>
      <c r="O766" s="23">
        <f t="shared" si="22"/>
        <v>608.52235294117645</v>
      </c>
      <c r="P766" s="46">
        <v>4.04</v>
      </c>
      <c r="Q766" s="25" t="s">
        <v>62</v>
      </c>
      <c r="R766" s="26" t="s">
        <v>189</v>
      </c>
      <c r="S766" s="26" t="s">
        <v>264</v>
      </c>
      <c r="T766" s="26"/>
      <c r="U766" s="67"/>
      <c r="V766" s="28">
        <f t="shared" si="23"/>
        <v>105</v>
      </c>
      <c r="W766" s="29"/>
    </row>
    <row r="767" spans="1:23" s="40" customFormat="1" ht="21" customHeight="1">
      <c r="A767" s="30"/>
      <c r="B767" s="31"/>
      <c r="C767" s="32"/>
      <c r="D767" s="18" t="s">
        <v>326</v>
      </c>
      <c r="E767" s="19" t="s">
        <v>260</v>
      </c>
      <c r="F767" s="20">
        <v>9.8390000000000004</v>
      </c>
      <c r="G767" s="19">
        <v>1814</v>
      </c>
      <c r="H767" s="20">
        <v>279</v>
      </c>
      <c r="I767" s="19" t="s">
        <v>246</v>
      </c>
      <c r="J767" s="20">
        <v>8765</v>
      </c>
      <c r="K767" s="21">
        <v>24405</v>
      </c>
      <c r="L767" s="21">
        <v>15530</v>
      </c>
      <c r="M767" s="21" t="s">
        <v>31</v>
      </c>
      <c r="N767" s="45">
        <v>4.25</v>
      </c>
      <c r="O767" s="23">
        <f t="shared" si="22"/>
        <v>608.52235294117645</v>
      </c>
      <c r="P767" s="46">
        <v>4.04</v>
      </c>
      <c r="Q767" s="25" t="s">
        <v>62</v>
      </c>
      <c r="R767" s="26" t="s">
        <v>189</v>
      </c>
      <c r="S767" s="26" t="s">
        <v>264</v>
      </c>
      <c r="T767" s="26"/>
      <c r="U767" s="67"/>
      <c r="V767" s="28">
        <f t="shared" si="23"/>
        <v>105</v>
      </c>
      <c r="W767" s="29"/>
    </row>
    <row r="768" spans="1:23" s="40" customFormat="1" ht="21" customHeight="1">
      <c r="A768" s="30"/>
      <c r="B768" s="31"/>
      <c r="C768" s="32"/>
      <c r="D768" s="18" t="s">
        <v>327</v>
      </c>
      <c r="E768" s="19" t="s">
        <v>260</v>
      </c>
      <c r="F768" s="20">
        <v>9.8390000000000004</v>
      </c>
      <c r="G768" s="19">
        <v>1814</v>
      </c>
      <c r="H768" s="20">
        <v>279</v>
      </c>
      <c r="I768" s="19" t="s">
        <v>261</v>
      </c>
      <c r="J768" s="20">
        <v>8765</v>
      </c>
      <c r="K768" s="21">
        <v>24405</v>
      </c>
      <c r="L768" s="21">
        <v>15530</v>
      </c>
      <c r="M768" s="21" t="s">
        <v>31</v>
      </c>
      <c r="N768" s="45">
        <v>4.25</v>
      </c>
      <c r="O768" s="23">
        <f t="shared" si="22"/>
        <v>608.52235294117645</v>
      </c>
      <c r="P768" s="46">
        <v>4.04</v>
      </c>
      <c r="Q768" s="25" t="s">
        <v>62</v>
      </c>
      <c r="R768" s="26" t="s">
        <v>189</v>
      </c>
      <c r="S768" s="26" t="s">
        <v>328</v>
      </c>
      <c r="T768" s="26"/>
      <c r="U768" s="67"/>
      <c r="V768" s="28">
        <f t="shared" si="23"/>
        <v>105</v>
      </c>
      <c r="W768" s="29"/>
    </row>
    <row r="769" spans="1:23" s="40" customFormat="1" ht="21" customHeight="1">
      <c r="A769" s="30"/>
      <c r="B769" s="31"/>
      <c r="C769" s="32"/>
      <c r="D769" s="18" t="s">
        <v>327</v>
      </c>
      <c r="E769" s="19" t="s">
        <v>260</v>
      </c>
      <c r="F769" s="20">
        <v>9.8390000000000004</v>
      </c>
      <c r="G769" s="19">
        <v>1814</v>
      </c>
      <c r="H769" s="20">
        <v>279</v>
      </c>
      <c r="I769" s="19" t="s">
        <v>246</v>
      </c>
      <c r="J769" s="20">
        <v>8765</v>
      </c>
      <c r="K769" s="21">
        <v>24405</v>
      </c>
      <c r="L769" s="21">
        <v>15530</v>
      </c>
      <c r="M769" s="21" t="s">
        <v>31</v>
      </c>
      <c r="N769" s="45">
        <v>4.25</v>
      </c>
      <c r="O769" s="23">
        <f t="shared" si="22"/>
        <v>608.52235294117645</v>
      </c>
      <c r="P769" s="46">
        <v>4.04</v>
      </c>
      <c r="Q769" s="25" t="s">
        <v>62</v>
      </c>
      <c r="R769" s="26" t="s">
        <v>189</v>
      </c>
      <c r="S769" s="26" t="s">
        <v>328</v>
      </c>
      <c r="T769" s="26"/>
      <c r="U769" s="67"/>
      <c r="V769" s="28">
        <f t="shared" si="23"/>
        <v>105</v>
      </c>
      <c r="W769" s="29"/>
    </row>
    <row r="770" spans="1:23" s="40" customFormat="1" ht="21" customHeight="1">
      <c r="A770" s="30"/>
      <c r="B770" s="31"/>
      <c r="C770" s="32"/>
      <c r="D770" s="18" t="s">
        <v>329</v>
      </c>
      <c r="E770" s="19" t="s">
        <v>260</v>
      </c>
      <c r="F770" s="20">
        <v>9.8390000000000004</v>
      </c>
      <c r="G770" s="19">
        <v>1814</v>
      </c>
      <c r="H770" s="20">
        <v>279</v>
      </c>
      <c r="I770" s="19" t="s">
        <v>261</v>
      </c>
      <c r="J770" s="20">
        <v>8765</v>
      </c>
      <c r="K770" s="21">
        <v>24405</v>
      </c>
      <c r="L770" s="21">
        <v>15530</v>
      </c>
      <c r="M770" s="21" t="s">
        <v>31</v>
      </c>
      <c r="N770" s="45">
        <v>4.25</v>
      </c>
      <c r="O770" s="23">
        <f t="shared" si="22"/>
        <v>608.52235294117645</v>
      </c>
      <c r="P770" s="46">
        <v>4.04</v>
      </c>
      <c r="Q770" s="25" t="s">
        <v>62</v>
      </c>
      <c r="R770" s="26" t="s">
        <v>189</v>
      </c>
      <c r="S770" s="26" t="s">
        <v>328</v>
      </c>
      <c r="T770" s="26"/>
      <c r="U770" s="67"/>
      <c r="V770" s="28">
        <f t="shared" si="23"/>
        <v>105</v>
      </c>
      <c r="W770" s="29"/>
    </row>
    <row r="771" spans="1:23" s="40" customFormat="1" ht="21" customHeight="1">
      <c r="A771" s="30"/>
      <c r="B771" s="31"/>
      <c r="C771" s="32"/>
      <c r="D771" s="18" t="s">
        <v>329</v>
      </c>
      <c r="E771" s="19" t="s">
        <v>260</v>
      </c>
      <c r="F771" s="20">
        <v>9.8390000000000004</v>
      </c>
      <c r="G771" s="19">
        <v>1814</v>
      </c>
      <c r="H771" s="20">
        <v>279</v>
      </c>
      <c r="I771" s="19" t="s">
        <v>246</v>
      </c>
      <c r="J771" s="20">
        <v>8765</v>
      </c>
      <c r="K771" s="21">
        <v>24405</v>
      </c>
      <c r="L771" s="21">
        <v>15530</v>
      </c>
      <c r="M771" s="21" t="s">
        <v>31</v>
      </c>
      <c r="N771" s="45">
        <v>4.25</v>
      </c>
      <c r="O771" s="23">
        <f t="shared" si="22"/>
        <v>608.52235294117645</v>
      </c>
      <c r="P771" s="46">
        <v>4.04</v>
      </c>
      <c r="Q771" s="25" t="s">
        <v>62</v>
      </c>
      <c r="R771" s="26" t="s">
        <v>189</v>
      </c>
      <c r="S771" s="26" t="s">
        <v>328</v>
      </c>
      <c r="T771" s="26"/>
      <c r="U771" s="67"/>
      <c r="V771" s="28">
        <f t="shared" si="23"/>
        <v>105</v>
      </c>
      <c r="W771" s="29"/>
    </row>
    <row r="772" spans="1:23" s="40" customFormat="1" ht="21" customHeight="1">
      <c r="A772" s="30"/>
      <c r="B772" s="31"/>
      <c r="C772" s="32"/>
      <c r="D772" s="18" t="s">
        <v>330</v>
      </c>
      <c r="E772" s="19" t="s">
        <v>260</v>
      </c>
      <c r="F772" s="20">
        <v>9.8390000000000004</v>
      </c>
      <c r="G772" s="19">
        <v>1814</v>
      </c>
      <c r="H772" s="20">
        <v>279</v>
      </c>
      <c r="I772" s="19" t="s">
        <v>261</v>
      </c>
      <c r="J772" s="20">
        <v>8765</v>
      </c>
      <c r="K772" s="21">
        <v>24405</v>
      </c>
      <c r="L772" s="21">
        <v>15530</v>
      </c>
      <c r="M772" s="21" t="s">
        <v>31</v>
      </c>
      <c r="N772" s="45">
        <v>4.25</v>
      </c>
      <c r="O772" s="23">
        <f t="shared" si="22"/>
        <v>608.52235294117645</v>
      </c>
      <c r="P772" s="46">
        <v>4.04</v>
      </c>
      <c r="Q772" s="25" t="s">
        <v>62</v>
      </c>
      <c r="R772" s="26" t="s">
        <v>189</v>
      </c>
      <c r="S772" s="26" t="s">
        <v>328</v>
      </c>
      <c r="T772" s="26"/>
      <c r="U772" s="67"/>
      <c r="V772" s="28">
        <f t="shared" si="23"/>
        <v>105</v>
      </c>
      <c r="W772" s="29"/>
    </row>
    <row r="773" spans="1:23" s="40" customFormat="1" ht="21" customHeight="1">
      <c r="A773" s="30"/>
      <c r="B773" s="31"/>
      <c r="C773" s="32"/>
      <c r="D773" s="18" t="s">
        <v>330</v>
      </c>
      <c r="E773" s="19" t="s">
        <v>260</v>
      </c>
      <c r="F773" s="20">
        <v>9.8390000000000004</v>
      </c>
      <c r="G773" s="19">
        <v>1814</v>
      </c>
      <c r="H773" s="20">
        <v>279</v>
      </c>
      <c r="I773" s="19" t="s">
        <v>246</v>
      </c>
      <c r="J773" s="20">
        <v>8765</v>
      </c>
      <c r="K773" s="21">
        <v>24405</v>
      </c>
      <c r="L773" s="21">
        <v>15530</v>
      </c>
      <c r="M773" s="21" t="s">
        <v>31</v>
      </c>
      <c r="N773" s="45">
        <v>4.25</v>
      </c>
      <c r="O773" s="23">
        <f t="shared" si="22"/>
        <v>608.52235294117645</v>
      </c>
      <c r="P773" s="46">
        <v>4.04</v>
      </c>
      <c r="Q773" s="25" t="s">
        <v>62</v>
      </c>
      <c r="R773" s="26" t="s">
        <v>189</v>
      </c>
      <c r="S773" s="26" t="s">
        <v>328</v>
      </c>
      <c r="T773" s="26"/>
      <c r="U773" s="67"/>
      <c r="V773" s="28">
        <f t="shared" si="23"/>
        <v>105</v>
      </c>
      <c r="W773" s="29"/>
    </row>
    <row r="774" spans="1:23" s="40" customFormat="1" ht="21" customHeight="1">
      <c r="A774" s="30"/>
      <c r="B774" s="31"/>
      <c r="C774" s="32"/>
      <c r="D774" s="18" t="s">
        <v>331</v>
      </c>
      <c r="E774" s="19" t="s">
        <v>260</v>
      </c>
      <c r="F774" s="20">
        <v>9.8390000000000004</v>
      </c>
      <c r="G774" s="19">
        <v>1814</v>
      </c>
      <c r="H774" s="20">
        <v>279</v>
      </c>
      <c r="I774" s="19" t="s">
        <v>261</v>
      </c>
      <c r="J774" s="20">
        <v>8765</v>
      </c>
      <c r="K774" s="21">
        <v>24405</v>
      </c>
      <c r="L774" s="21">
        <v>15530</v>
      </c>
      <c r="M774" s="21" t="s">
        <v>31</v>
      </c>
      <c r="N774" s="45">
        <v>4.25</v>
      </c>
      <c r="O774" s="23">
        <f t="shared" si="22"/>
        <v>608.52235294117645</v>
      </c>
      <c r="P774" s="46">
        <v>4.04</v>
      </c>
      <c r="Q774" s="25" t="s">
        <v>62</v>
      </c>
      <c r="R774" s="26" t="s">
        <v>189</v>
      </c>
      <c r="S774" s="26" t="s">
        <v>328</v>
      </c>
      <c r="T774" s="26"/>
      <c r="U774" s="67"/>
      <c r="V774" s="28">
        <f t="shared" si="23"/>
        <v>105</v>
      </c>
      <c r="W774" s="29"/>
    </row>
    <row r="775" spans="1:23" s="40" customFormat="1" ht="21" customHeight="1">
      <c r="A775" s="30"/>
      <c r="B775" s="31"/>
      <c r="C775" s="32"/>
      <c r="D775" s="18" t="s">
        <v>331</v>
      </c>
      <c r="E775" s="19" t="s">
        <v>260</v>
      </c>
      <c r="F775" s="20">
        <v>9.8390000000000004</v>
      </c>
      <c r="G775" s="19">
        <v>1814</v>
      </c>
      <c r="H775" s="20">
        <v>279</v>
      </c>
      <c r="I775" s="19" t="s">
        <v>246</v>
      </c>
      <c r="J775" s="20">
        <v>8765</v>
      </c>
      <c r="K775" s="21">
        <v>24405</v>
      </c>
      <c r="L775" s="21">
        <v>15530</v>
      </c>
      <c r="M775" s="21" t="s">
        <v>31</v>
      </c>
      <c r="N775" s="45">
        <v>4.25</v>
      </c>
      <c r="O775" s="23">
        <f t="shared" si="22"/>
        <v>608.52235294117645</v>
      </c>
      <c r="P775" s="46">
        <v>4.04</v>
      </c>
      <c r="Q775" s="25" t="s">
        <v>62</v>
      </c>
      <c r="R775" s="26" t="s">
        <v>189</v>
      </c>
      <c r="S775" s="26" t="s">
        <v>328</v>
      </c>
      <c r="T775" s="26"/>
      <c r="U775" s="67"/>
      <c r="V775" s="28">
        <f t="shared" si="23"/>
        <v>105</v>
      </c>
      <c r="W775" s="29"/>
    </row>
    <row r="776" spans="1:23" s="40" customFormat="1" ht="21" customHeight="1">
      <c r="A776" s="30"/>
      <c r="B776" s="31"/>
      <c r="C776" s="32"/>
      <c r="D776" s="18" t="s">
        <v>332</v>
      </c>
      <c r="E776" s="19" t="s">
        <v>260</v>
      </c>
      <c r="F776" s="20">
        <v>9.8390000000000004</v>
      </c>
      <c r="G776" s="19">
        <v>1814</v>
      </c>
      <c r="H776" s="20">
        <v>279</v>
      </c>
      <c r="I776" s="19" t="s">
        <v>261</v>
      </c>
      <c r="J776" s="20">
        <v>8765</v>
      </c>
      <c r="K776" s="21">
        <v>24405</v>
      </c>
      <c r="L776" s="21">
        <v>15530</v>
      </c>
      <c r="M776" s="21" t="s">
        <v>31</v>
      </c>
      <c r="N776" s="45">
        <v>4.25</v>
      </c>
      <c r="O776" s="23">
        <f t="shared" si="22"/>
        <v>608.52235294117645</v>
      </c>
      <c r="P776" s="46">
        <v>4.04</v>
      </c>
      <c r="Q776" s="25" t="s">
        <v>62</v>
      </c>
      <c r="R776" s="26" t="s">
        <v>189</v>
      </c>
      <c r="S776" s="26" t="s">
        <v>328</v>
      </c>
      <c r="T776" s="26"/>
      <c r="U776" s="67"/>
      <c r="V776" s="28">
        <f t="shared" si="23"/>
        <v>105</v>
      </c>
      <c r="W776" s="29"/>
    </row>
    <row r="777" spans="1:23" s="40" customFormat="1" ht="21" customHeight="1">
      <c r="A777" s="30"/>
      <c r="B777" s="31"/>
      <c r="C777" s="32"/>
      <c r="D777" s="18" t="s">
        <v>332</v>
      </c>
      <c r="E777" s="19" t="s">
        <v>260</v>
      </c>
      <c r="F777" s="20">
        <v>9.8390000000000004</v>
      </c>
      <c r="G777" s="19">
        <v>1814</v>
      </c>
      <c r="H777" s="20">
        <v>279</v>
      </c>
      <c r="I777" s="19" t="s">
        <v>246</v>
      </c>
      <c r="J777" s="20">
        <v>8765</v>
      </c>
      <c r="K777" s="21">
        <v>24405</v>
      </c>
      <c r="L777" s="21">
        <v>15530</v>
      </c>
      <c r="M777" s="21" t="s">
        <v>31</v>
      </c>
      <c r="N777" s="45">
        <v>4.25</v>
      </c>
      <c r="O777" s="23">
        <f t="shared" ref="O777:O840" si="24">IF(N777&gt;0,1/N777*37.7*68.6,"")</f>
        <v>608.52235294117645</v>
      </c>
      <c r="P777" s="46">
        <v>4.04</v>
      </c>
      <c r="Q777" s="25" t="s">
        <v>62</v>
      </c>
      <c r="R777" s="26" t="s">
        <v>189</v>
      </c>
      <c r="S777" s="26" t="s">
        <v>328</v>
      </c>
      <c r="T777" s="26"/>
      <c r="U777" s="67"/>
      <c r="V777" s="28">
        <f t="shared" ref="V777:V840" si="25">IFERROR(IF(N777&lt;P777,"",(ROUNDDOWN(N777/P777*100,0))),"")</f>
        <v>105</v>
      </c>
      <c r="W777" s="29"/>
    </row>
    <row r="778" spans="1:23" s="40" customFormat="1" ht="21" customHeight="1">
      <c r="A778" s="30"/>
      <c r="B778" s="31"/>
      <c r="C778" s="32"/>
      <c r="D778" s="18" t="s">
        <v>333</v>
      </c>
      <c r="E778" s="19" t="s">
        <v>260</v>
      </c>
      <c r="F778" s="20">
        <v>9.8390000000000004</v>
      </c>
      <c r="G778" s="19">
        <v>1814</v>
      </c>
      <c r="H778" s="20">
        <v>279</v>
      </c>
      <c r="I778" s="19" t="s">
        <v>261</v>
      </c>
      <c r="J778" s="20">
        <v>8765</v>
      </c>
      <c r="K778" s="21">
        <v>24405</v>
      </c>
      <c r="L778" s="21">
        <v>15530</v>
      </c>
      <c r="M778" s="21" t="s">
        <v>31</v>
      </c>
      <c r="N778" s="45">
        <v>4.25</v>
      </c>
      <c r="O778" s="23">
        <f t="shared" si="24"/>
        <v>608.52235294117645</v>
      </c>
      <c r="P778" s="46">
        <v>4.04</v>
      </c>
      <c r="Q778" s="25" t="s">
        <v>62</v>
      </c>
      <c r="R778" s="26" t="s">
        <v>189</v>
      </c>
      <c r="S778" s="26" t="s">
        <v>270</v>
      </c>
      <c r="T778" s="26"/>
      <c r="U778" s="67"/>
      <c r="V778" s="28">
        <f t="shared" si="25"/>
        <v>105</v>
      </c>
      <c r="W778" s="29"/>
    </row>
    <row r="779" spans="1:23" s="40" customFormat="1" ht="21" customHeight="1">
      <c r="A779" s="30"/>
      <c r="B779" s="31"/>
      <c r="C779" s="32"/>
      <c r="D779" s="18" t="s">
        <v>333</v>
      </c>
      <c r="E779" s="19" t="s">
        <v>260</v>
      </c>
      <c r="F779" s="20">
        <v>9.8390000000000004</v>
      </c>
      <c r="G779" s="19">
        <v>1814</v>
      </c>
      <c r="H779" s="20">
        <v>279</v>
      </c>
      <c r="I779" s="19" t="s">
        <v>261</v>
      </c>
      <c r="J779" s="20">
        <v>8765</v>
      </c>
      <c r="K779" s="21">
        <v>24405</v>
      </c>
      <c r="L779" s="21">
        <v>15530</v>
      </c>
      <c r="M779" s="21" t="s">
        <v>31</v>
      </c>
      <c r="N779" s="45">
        <v>4.25</v>
      </c>
      <c r="O779" s="23">
        <f t="shared" si="24"/>
        <v>608.52235294117645</v>
      </c>
      <c r="P779" s="46">
        <v>4.04</v>
      </c>
      <c r="Q779" s="25" t="s">
        <v>62</v>
      </c>
      <c r="R779" s="26" t="s">
        <v>189</v>
      </c>
      <c r="S779" s="26" t="s">
        <v>272</v>
      </c>
      <c r="T779" s="26"/>
      <c r="U779" s="67"/>
      <c r="V779" s="28">
        <f t="shared" si="25"/>
        <v>105</v>
      </c>
      <c r="W779" s="29"/>
    </row>
    <row r="780" spans="1:23" s="40" customFormat="1" ht="21" customHeight="1">
      <c r="A780" s="30"/>
      <c r="B780" s="31"/>
      <c r="C780" s="32"/>
      <c r="D780" s="18" t="s">
        <v>333</v>
      </c>
      <c r="E780" s="19" t="s">
        <v>260</v>
      </c>
      <c r="F780" s="20">
        <v>9.8390000000000004</v>
      </c>
      <c r="G780" s="19">
        <v>1814</v>
      </c>
      <c r="H780" s="20">
        <v>279</v>
      </c>
      <c r="I780" s="19" t="s">
        <v>246</v>
      </c>
      <c r="J780" s="20">
        <v>8765</v>
      </c>
      <c r="K780" s="21">
        <v>24405</v>
      </c>
      <c r="L780" s="21">
        <v>15530</v>
      </c>
      <c r="M780" s="21" t="s">
        <v>31</v>
      </c>
      <c r="N780" s="45">
        <v>4.25</v>
      </c>
      <c r="O780" s="23">
        <f t="shared" si="24"/>
        <v>608.52235294117645</v>
      </c>
      <c r="P780" s="46">
        <v>4.04</v>
      </c>
      <c r="Q780" s="25" t="s">
        <v>62</v>
      </c>
      <c r="R780" s="26" t="s">
        <v>189</v>
      </c>
      <c r="S780" s="26" t="s">
        <v>270</v>
      </c>
      <c r="T780" s="26"/>
      <c r="U780" s="67"/>
      <c r="V780" s="28">
        <f t="shared" si="25"/>
        <v>105</v>
      </c>
      <c r="W780" s="29"/>
    </row>
    <row r="781" spans="1:23" s="40" customFormat="1" ht="21" customHeight="1">
      <c r="A781" s="30"/>
      <c r="B781" s="31"/>
      <c r="C781" s="32"/>
      <c r="D781" s="18" t="s">
        <v>333</v>
      </c>
      <c r="E781" s="19" t="s">
        <v>260</v>
      </c>
      <c r="F781" s="20">
        <v>9.8390000000000004</v>
      </c>
      <c r="G781" s="19">
        <v>1814</v>
      </c>
      <c r="H781" s="20">
        <v>279</v>
      </c>
      <c r="I781" s="19" t="s">
        <v>246</v>
      </c>
      <c r="J781" s="20">
        <v>8765</v>
      </c>
      <c r="K781" s="21">
        <v>24405</v>
      </c>
      <c r="L781" s="21">
        <v>15530</v>
      </c>
      <c r="M781" s="21" t="s">
        <v>31</v>
      </c>
      <c r="N781" s="45">
        <v>4.25</v>
      </c>
      <c r="O781" s="23">
        <f t="shared" si="24"/>
        <v>608.52235294117645</v>
      </c>
      <c r="P781" s="46">
        <v>4.04</v>
      </c>
      <c r="Q781" s="25" t="s">
        <v>62</v>
      </c>
      <c r="R781" s="26" t="s">
        <v>189</v>
      </c>
      <c r="S781" s="26" t="s">
        <v>272</v>
      </c>
      <c r="T781" s="26"/>
      <c r="U781" s="67"/>
      <c r="V781" s="28">
        <f t="shared" si="25"/>
        <v>105</v>
      </c>
      <c r="W781" s="29"/>
    </row>
    <row r="782" spans="1:23" s="40" customFormat="1" ht="21" customHeight="1">
      <c r="A782" s="30"/>
      <c r="B782" s="31"/>
      <c r="C782" s="32"/>
      <c r="D782" s="18" t="s">
        <v>334</v>
      </c>
      <c r="E782" s="19" t="s">
        <v>260</v>
      </c>
      <c r="F782" s="20">
        <v>9.8390000000000004</v>
      </c>
      <c r="G782" s="19">
        <v>1814</v>
      </c>
      <c r="H782" s="20">
        <v>279</v>
      </c>
      <c r="I782" s="19" t="s">
        <v>261</v>
      </c>
      <c r="J782" s="20">
        <v>8765</v>
      </c>
      <c r="K782" s="21">
        <v>24405</v>
      </c>
      <c r="L782" s="21">
        <v>15530</v>
      </c>
      <c r="M782" s="21" t="s">
        <v>31</v>
      </c>
      <c r="N782" s="45">
        <v>4.25</v>
      </c>
      <c r="O782" s="23">
        <f t="shared" si="24"/>
        <v>608.52235294117645</v>
      </c>
      <c r="P782" s="46">
        <v>4.04</v>
      </c>
      <c r="Q782" s="25" t="s">
        <v>62</v>
      </c>
      <c r="R782" s="26" t="s">
        <v>189</v>
      </c>
      <c r="S782" s="26" t="s">
        <v>270</v>
      </c>
      <c r="T782" s="26"/>
      <c r="U782" s="67"/>
      <c r="V782" s="28">
        <f t="shared" si="25"/>
        <v>105</v>
      </c>
      <c r="W782" s="29"/>
    </row>
    <row r="783" spans="1:23" s="40" customFormat="1" ht="21" customHeight="1">
      <c r="A783" s="30"/>
      <c r="B783" s="31"/>
      <c r="C783" s="32"/>
      <c r="D783" s="18" t="s">
        <v>334</v>
      </c>
      <c r="E783" s="19" t="s">
        <v>260</v>
      </c>
      <c r="F783" s="20">
        <v>9.8390000000000004</v>
      </c>
      <c r="G783" s="19">
        <v>1814</v>
      </c>
      <c r="H783" s="20">
        <v>279</v>
      </c>
      <c r="I783" s="19" t="s">
        <v>261</v>
      </c>
      <c r="J783" s="20">
        <v>8765</v>
      </c>
      <c r="K783" s="21">
        <v>24405</v>
      </c>
      <c r="L783" s="21">
        <v>15530</v>
      </c>
      <c r="M783" s="21" t="s">
        <v>31</v>
      </c>
      <c r="N783" s="45">
        <v>4.25</v>
      </c>
      <c r="O783" s="23">
        <f t="shared" si="24"/>
        <v>608.52235294117645</v>
      </c>
      <c r="P783" s="46">
        <v>4.04</v>
      </c>
      <c r="Q783" s="25" t="s">
        <v>62</v>
      </c>
      <c r="R783" s="26" t="s">
        <v>189</v>
      </c>
      <c r="S783" s="26" t="s">
        <v>272</v>
      </c>
      <c r="T783" s="26"/>
      <c r="U783" s="67"/>
      <c r="V783" s="28">
        <f t="shared" si="25"/>
        <v>105</v>
      </c>
      <c r="W783" s="29"/>
    </row>
    <row r="784" spans="1:23" s="40" customFormat="1" ht="21" customHeight="1">
      <c r="A784" s="30"/>
      <c r="B784" s="31"/>
      <c r="C784" s="32"/>
      <c r="D784" s="18" t="s">
        <v>334</v>
      </c>
      <c r="E784" s="19" t="s">
        <v>260</v>
      </c>
      <c r="F784" s="20">
        <v>9.8390000000000004</v>
      </c>
      <c r="G784" s="19">
        <v>1814</v>
      </c>
      <c r="H784" s="20">
        <v>279</v>
      </c>
      <c r="I784" s="19" t="s">
        <v>246</v>
      </c>
      <c r="J784" s="20">
        <v>8765</v>
      </c>
      <c r="K784" s="21">
        <v>24405</v>
      </c>
      <c r="L784" s="21">
        <v>15530</v>
      </c>
      <c r="M784" s="21" t="s">
        <v>31</v>
      </c>
      <c r="N784" s="45">
        <v>4.25</v>
      </c>
      <c r="O784" s="23">
        <f t="shared" si="24"/>
        <v>608.52235294117645</v>
      </c>
      <c r="P784" s="46">
        <v>4.04</v>
      </c>
      <c r="Q784" s="25" t="s">
        <v>62</v>
      </c>
      <c r="R784" s="26" t="s">
        <v>189</v>
      </c>
      <c r="S784" s="26" t="s">
        <v>270</v>
      </c>
      <c r="T784" s="26"/>
      <c r="U784" s="67"/>
      <c r="V784" s="28">
        <f t="shared" si="25"/>
        <v>105</v>
      </c>
      <c r="W784" s="29"/>
    </row>
    <row r="785" spans="1:23" s="40" customFormat="1" ht="21" customHeight="1">
      <c r="A785" s="30"/>
      <c r="B785" s="31"/>
      <c r="C785" s="32"/>
      <c r="D785" s="18" t="s">
        <v>334</v>
      </c>
      <c r="E785" s="19" t="s">
        <v>260</v>
      </c>
      <c r="F785" s="20">
        <v>9.8390000000000004</v>
      </c>
      <c r="G785" s="19">
        <v>1814</v>
      </c>
      <c r="H785" s="20">
        <v>279</v>
      </c>
      <c r="I785" s="19" t="s">
        <v>246</v>
      </c>
      <c r="J785" s="20">
        <v>8765</v>
      </c>
      <c r="K785" s="21">
        <v>24405</v>
      </c>
      <c r="L785" s="21">
        <v>15530</v>
      </c>
      <c r="M785" s="21" t="s">
        <v>31</v>
      </c>
      <c r="N785" s="45">
        <v>4.25</v>
      </c>
      <c r="O785" s="23">
        <f t="shared" si="24"/>
        <v>608.52235294117645</v>
      </c>
      <c r="P785" s="46">
        <v>4.04</v>
      </c>
      <c r="Q785" s="25" t="s">
        <v>62</v>
      </c>
      <c r="R785" s="26" t="s">
        <v>189</v>
      </c>
      <c r="S785" s="26" t="s">
        <v>272</v>
      </c>
      <c r="T785" s="26"/>
      <c r="U785" s="67"/>
      <c r="V785" s="28">
        <f t="shared" si="25"/>
        <v>105</v>
      </c>
      <c r="W785" s="29"/>
    </row>
    <row r="786" spans="1:23" s="40" customFormat="1" ht="21" customHeight="1">
      <c r="A786" s="30"/>
      <c r="B786" s="31"/>
      <c r="C786" s="32"/>
      <c r="D786" s="18" t="s">
        <v>335</v>
      </c>
      <c r="E786" s="19" t="s">
        <v>260</v>
      </c>
      <c r="F786" s="20">
        <v>9.8390000000000004</v>
      </c>
      <c r="G786" s="19">
        <v>1814</v>
      </c>
      <c r="H786" s="20">
        <v>279</v>
      </c>
      <c r="I786" s="19" t="s">
        <v>261</v>
      </c>
      <c r="J786" s="20">
        <v>8765</v>
      </c>
      <c r="K786" s="21">
        <v>24405</v>
      </c>
      <c r="L786" s="21">
        <v>15530</v>
      </c>
      <c r="M786" s="21" t="s">
        <v>31</v>
      </c>
      <c r="N786" s="45">
        <v>4.25</v>
      </c>
      <c r="O786" s="23">
        <f t="shared" si="24"/>
        <v>608.52235294117645</v>
      </c>
      <c r="P786" s="46">
        <v>4.04</v>
      </c>
      <c r="Q786" s="25" t="s">
        <v>62</v>
      </c>
      <c r="R786" s="26" t="s">
        <v>189</v>
      </c>
      <c r="S786" s="26" t="s">
        <v>270</v>
      </c>
      <c r="T786" s="26"/>
      <c r="U786" s="67"/>
      <c r="V786" s="28">
        <f t="shared" si="25"/>
        <v>105</v>
      </c>
      <c r="W786" s="29"/>
    </row>
    <row r="787" spans="1:23" s="40" customFormat="1" ht="21" customHeight="1">
      <c r="A787" s="30"/>
      <c r="B787" s="31"/>
      <c r="C787" s="32"/>
      <c r="D787" s="18" t="s">
        <v>335</v>
      </c>
      <c r="E787" s="19" t="s">
        <v>260</v>
      </c>
      <c r="F787" s="20">
        <v>9.8390000000000004</v>
      </c>
      <c r="G787" s="19">
        <v>1814</v>
      </c>
      <c r="H787" s="20">
        <v>279</v>
      </c>
      <c r="I787" s="19" t="s">
        <v>246</v>
      </c>
      <c r="J787" s="20">
        <v>8765</v>
      </c>
      <c r="K787" s="21">
        <v>24405</v>
      </c>
      <c r="L787" s="21">
        <v>15530</v>
      </c>
      <c r="M787" s="21" t="s">
        <v>31</v>
      </c>
      <c r="N787" s="45">
        <v>4.25</v>
      </c>
      <c r="O787" s="23">
        <f t="shared" si="24"/>
        <v>608.52235294117645</v>
      </c>
      <c r="P787" s="46">
        <v>4.04</v>
      </c>
      <c r="Q787" s="25" t="s">
        <v>62</v>
      </c>
      <c r="R787" s="26" t="s">
        <v>189</v>
      </c>
      <c r="S787" s="26" t="s">
        <v>270</v>
      </c>
      <c r="T787" s="26"/>
      <c r="U787" s="67"/>
      <c r="V787" s="28">
        <f t="shared" si="25"/>
        <v>105</v>
      </c>
      <c r="W787" s="29"/>
    </row>
    <row r="788" spans="1:23" s="40" customFormat="1" ht="21" customHeight="1">
      <c r="A788" s="34"/>
      <c r="B788" s="31"/>
      <c r="C788" s="32"/>
      <c r="D788" s="18" t="s">
        <v>336</v>
      </c>
      <c r="E788" s="19" t="s">
        <v>242</v>
      </c>
      <c r="F788" s="20">
        <v>9.8390000000000004</v>
      </c>
      <c r="G788" s="19">
        <v>1814</v>
      </c>
      <c r="H788" s="20">
        <v>279</v>
      </c>
      <c r="I788" s="19" t="s">
        <v>243</v>
      </c>
      <c r="J788" s="20">
        <v>8765</v>
      </c>
      <c r="K788" s="21">
        <v>24405</v>
      </c>
      <c r="L788" s="21">
        <v>15530</v>
      </c>
      <c r="M788" s="21" t="s">
        <v>31</v>
      </c>
      <c r="N788" s="45">
        <v>4.25</v>
      </c>
      <c r="O788" s="23">
        <f t="shared" si="24"/>
        <v>608.52235294117645</v>
      </c>
      <c r="P788" s="46">
        <v>4.04</v>
      </c>
      <c r="Q788" s="25" t="s">
        <v>62</v>
      </c>
      <c r="R788" s="26" t="s">
        <v>33</v>
      </c>
      <c r="S788" s="26" t="s">
        <v>272</v>
      </c>
      <c r="T788" s="26"/>
      <c r="U788" s="39"/>
      <c r="V788" s="28">
        <f t="shared" si="25"/>
        <v>105</v>
      </c>
      <c r="W788" s="29"/>
    </row>
    <row r="789" spans="1:23" s="40" customFormat="1" ht="21" customHeight="1">
      <c r="A789" s="34"/>
      <c r="B789" s="31"/>
      <c r="C789" s="32"/>
      <c r="D789" s="18" t="s">
        <v>336</v>
      </c>
      <c r="E789" s="19" t="s">
        <v>242</v>
      </c>
      <c r="F789" s="20">
        <v>9.8390000000000004</v>
      </c>
      <c r="G789" s="19">
        <v>1814</v>
      </c>
      <c r="H789" s="20">
        <v>279</v>
      </c>
      <c r="I789" s="19" t="s">
        <v>246</v>
      </c>
      <c r="J789" s="20">
        <v>8765</v>
      </c>
      <c r="K789" s="21">
        <v>24405</v>
      </c>
      <c r="L789" s="21">
        <v>15530</v>
      </c>
      <c r="M789" s="21" t="s">
        <v>31</v>
      </c>
      <c r="N789" s="45">
        <v>4.25</v>
      </c>
      <c r="O789" s="23">
        <f t="shared" si="24"/>
        <v>608.52235294117645</v>
      </c>
      <c r="P789" s="46">
        <v>4.04</v>
      </c>
      <c r="Q789" s="25" t="s">
        <v>62</v>
      </c>
      <c r="R789" s="26" t="s">
        <v>33</v>
      </c>
      <c r="S789" s="26" t="s">
        <v>272</v>
      </c>
      <c r="T789" s="26"/>
      <c r="U789" s="39"/>
      <c r="V789" s="28">
        <f t="shared" si="25"/>
        <v>105</v>
      </c>
      <c r="W789" s="29"/>
    </row>
    <row r="790" spans="1:23" s="40" customFormat="1" ht="21" customHeight="1">
      <c r="A790" s="30"/>
      <c r="B790" s="31"/>
      <c r="C790" s="32"/>
      <c r="D790" s="18" t="s">
        <v>337</v>
      </c>
      <c r="E790" s="19" t="s">
        <v>260</v>
      </c>
      <c r="F790" s="20">
        <v>9.8390000000000004</v>
      </c>
      <c r="G790" s="19">
        <v>1814</v>
      </c>
      <c r="H790" s="20">
        <v>279</v>
      </c>
      <c r="I790" s="19" t="s">
        <v>261</v>
      </c>
      <c r="J790" s="20">
        <v>8765</v>
      </c>
      <c r="K790" s="21">
        <v>24405</v>
      </c>
      <c r="L790" s="21">
        <v>15530</v>
      </c>
      <c r="M790" s="21" t="s">
        <v>31</v>
      </c>
      <c r="N790" s="45">
        <v>4.25</v>
      </c>
      <c r="O790" s="23">
        <f t="shared" si="24"/>
        <v>608.52235294117645</v>
      </c>
      <c r="P790" s="46">
        <v>4.04</v>
      </c>
      <c r="Q790" s="25" t="s">
        <v>62</v>
      </c>
      <c r="R790" s="26" t="s">
        <v>189</v>
      </c>
      <c r="S790" s="26" t="s">
        <v>270</v>
      </c>
      <c r="T790" s="26"/>
      <c r="U790" s="67"/>
      <c r="V790" s="28">
        <f t="shared" si="25"/>
        <v>105</v>
      </c>
      <c r="W790" s="29"/>
    </row>
    <row r="791" spans="1:23" s="40" customFormat="1" ht="21" customHeight="1">
      <c r="A791" s="30"/>
      <c r="B791" s="31"/>
      <c r="C791" s="32"/>
      <c r="D791" s="18" t="s">
        <v>337</v>
      </c>
      <c r="E791" s="19" t="s">
        <v>260</v>
      </c>
      <c r="F791" s="20">
        <v>9.8390000000000004</v>
      </c>
      <c r="G791" s="19">
        <v>1814</v>
      </c>
      <c r="H791" s="20">
        <v>279</v>
      </c>
      <c r="I791" s="19" t="s">
        <v>246</v>
      </c>
      <c r="J791" s="20">
        <v>8765</v>
      </c>
      <c r="K791" s="21">
        <v>24405</v>
      </c>
      <c r="L791" s="21">
        <v>15530</v>
      </c>
      <c r="M791" s="21" t="s">
        <v>31</v>
      </c>
      <c r="N791" s="45">
        <v>4.25</v>
      </c>
      <c r="O791" s="23">
        <f t="shared" si="24"/>
        <v>608.52235294117645</v>
      </c>
      <c r="P791" s="46">
        <v>4.04</v>
      </c>
      <c r="Q791" s="25" t="s">
        <v>62</v>
      </c>
      <c r="R791" s="26" t="s">
        <v>189</v>
      </c>
      <c r="S791" s="26" t="s">
        <v>270</v>
      </c>
      <c r="T791" s="26"/>
      <c r="U791" s="67"/>
      <c r="V791" s="28">
        <f t="shared" si="25"/>
        <v>105</v>
      </c>
      <c r="W791" s="29"/>
    </row>
    <row r="792" spans="1:23" s="40" customFormat="1" ht="21" customHeight="1">
      <c r="A792" s="34"/>
      <c r="B792" s="31"/>
      <c r="C792" s="32"/>
      <c r="D792" s="18" t="s">
        <v>338</v>
      </c>
      <c r="E792" s="19" t="s">
        <v>242</v>
      </c>
      <c r="F792" s="20">
        <v>9.8390000000000004</v>
      </c>
      <c r="G792" s="19">
        <v>1814</v>
      </c>
      <c r="H792" s="20">
        <v>279</v>
      </c>
      <c r="I792" s="19" t="s">
        <v>243</v>
      </c>
      <c r="J792" s="20">
        <v>8765</v>
      </c>
      <c r="K792" s="21">
        <v>24405</v>
      </c>
      <c r="L792" s="21">
        <v>15530</v>
      </c>
      <c r="M792" s="21" t="s">
        <v>31</v>
      </c>
      <c r="N792" s="45">
        <v>4.25</v>
      </c>
      <c r="O792" s="23">
        <f t="shared" si="24"/>
        <v>608.52235294117645</v>
      </c>
      <c r="P792" s="46">
        <v>4.04</v>
      </c>
      <c r="Q792" s="25" t="s">
        <v>62</v>
      </c>
      <c r="R792" s="26" t="s">
        <v>33</v>
      </c>
      <c r="S792" s="26" t="s">
        <v>272</v>
      </c>
      <c r="T792" s="26"/>
      <c r="U792" s="39"/>
      <c r="V792" s="28">
        <f t="shared" si="25"/>
        <v>105</v>
      </c>
      <c r="W792" s="29"/>
    </row>
    <row r="793" spans="1:23" s="40" customFormat="1" ht="21" customHeight="1">
      <c r="A793" s="34"/>
      <c r="B793" s="31"/>
      <c r="C793" s="32"/>
      <c r="D793" s="18" t="s">
        <v>338</v>
      </c>
      <c r="E793" s="19" t="s">
        <v>242</v>
      </c>
      <c r="F793" s="20">
        <v>9.8390000000000004</v>
      </c>
      <c r="G793" s="19">
        <v>1814</v>
      </c>
      <c r="H793" s="20">
        <v>279</v>
      </c>
      <c r="I793" s="19" t="s">
        <v>246</v>
      </c>
      <c r="J793" s="20">
        <v>8765</v>
      </c>
      <c r="K793" s="21">
        <v>24405</v>
      </c>
      <c r="L793" s="21">
        <v>15530</v>
      </c>
      <c r="M793" s="21" t="s">
        <v>31</v>
      </c>
      <c r="N793" s="45">
        <v>4.25</v>
      </c>
      <c r="O793" s="23">
        <f t="shared" si="24"/>
        <v>608.52235294117645</v>
      </c>
      <c r="P793" s="46">
        <v>4.04</v>
      </c>
      <c r="Q793" s="25" t="s">
        <v>62</v>
      </c>
      <c r="R793" s="26" t="s">
        <v>33</v>
      </c>
      <c r="S793" s="26" t="s">
        <v>272</v>
      </c>
      <c r="T793" s="26"/>
      <c r="U793" s="39"/>
      <c r="V793" s="28">
        <f t="shared" si="25"/>
        <v>105</v>
      </c>
      <c r="W793" s="29"/>
    </row>
    <row r="794" spans="1:23" s="40" customFormat="1" ht="21" customHeight="1">
      <c r="A794" s="30"/>
      <c r="B794" s="31"/>
      <c r="C794" s="32"/>
      <c r="D794" s="18" t="s">
        <v>339</v>
      </c>
      <c r="E794" s="19" t="s">
        <v>260</v>
      </c>
      <c r="F794" s="20">
        <v>9.8390000000000004</v>
      </c>
      <c r="G794" s="19">
        <v>1814</v>
      </c>
      <c r="H794" s="20">
        <v>279</v>
      </c>
      <c r="I794" s="19" t="s">
        <v>261</v>
      </c>
      <c r="J794" s="20">
        <v>8765</v>
      </c>
      <c r="K794" s="21">
        <v>24405</v>
      </c>
      <c r="L794" s="21">
        <v>15530</v>
      </c>
      <c r="M794" s="21" t="s">
        <v>31</v>
      </c>
      <c r="N794" s="45">
        <v>4.25</v>
      </c>
      <c r="O794" s="23">
        <f t="shared" si="24"/>
        <v>608.52235294117645</v>
      </c>
      <c r="P794" s="46">
        <v>4.04</v>
      </c>
      <c r="Q794" s="25" t="s">
        <v>62</v>
      </c>
      <c r="R794" s="26" t="s">
        <v>189</v>
      </c>
      <c r="S794" s="26" t="s">
        <v>270</v>
      </c>
      <c r="T794" s="26"/>
      <c r="U794" s="67"/>
      <c r="V794" s="28">
        <f t="shared" si="25"/>
        <v>105</v>
      </c>
      <c r="W794" s="29"/>
    </row>
    <row r="795" spans="1:23" s="40" customFormat="1" ht="21" customHeight="1">
      <c r="A795" s="30"/>
      <c r="B795" s="31"/>
      <c r="C795" s="32"/>
      <c r="D795" s="18" t="s">
        <v>339</v>
      </c>
      <c r="E795" s="19" t="s">
        <v>260</v>
      </c>
      <c r="F795" s="20">
        <v>9.8390000000000004</v>
      </c>
      <c r="G795" s="19">
        <v>1814</v>
      </c>
      <c r="H795" s="20">
        <v>279</v>
      </c>
      <c r="I795" s="19" t="s">
        <v>246</v>
      </c>
      <c r="J795" s="20">
        <v>8765</v>
      </c>
      <c r="K795" s="21">
        <v>24405</v>
      </c>
      <c r="L795" s="21">
        <v>15530</v>
      </c>
      <c r="M795" s="21" t="s">
        <v>31</v>
      </c>
      <c r="N795" s="45">
        <v>4.25</v>
      </c>
      <c r="O795" s="23">
        <f t="shared" si="24"/>
        <v>608.52235294117645</v>
      </c>
      <c r="P795" s="46">
        <v>4.04</v>
      </c>
      <c r="Q795" s="25" t="s">
        <v>62</v>
      </c>
      <c r="R795" s="26" t="s">
        <v>189</v>
      </c>
      <c r="S795" s="26" t="s">
        <v>270</v>
      </c>
      <c r="T795" s="26"/>
      <c r="U795" s="67"/>
      <c r="V795" s="28">
        <f t="shared" si="25"/>
        <v>105</v>
      </c>
      <c r="W795" s="29"/>
    </row>
    <row r="796" spans="1:23" s="40" customFormat="1" ht="21" customHeight="1">
      <c r="A796" s="34"/>
      <c r="B796" s="31"/>
      <c r="C796" s="32"/>
      <c r="D796" s="18" t="s">
        <v>340</v>
      </c>
      <c r="E796" s="19" t="s">
        <v>242</v>
      </c>
      <c r="F796" s="20">
        <v>9.8390000000000004</v>
      </c>
      <c r="G796" s="19">
        <v>1814</v>
      </c>
      <c r="H796" s="20">
        <v>279</v>
      </c>
      <c r="I796" s="19" t="s">
        <v>243</v>
      </c>
      <c r="J796" s="20">
        <v>8765</v>
      </c>
      <c r="K796" s="21">
        <v>24405</v>
      </c>
      <c r="L796" s="21">
        <v>15530</v>
      </c>
      <c r="M796" s="21" t="s">
        <v>31</v>
      </c>
      <c r="N796" s="45">
        <v>4.25</v>
      </c>
      <c r="O796" s="23">
        <f t="shared" si="24"/>
        <v>608.52235294117645</v>
      </c>
      <c r="P796" s="46">
        <v>4.04</v>
      </c>
      <c r="Q796" s="25" t="s">
        <v>62</v>
      </c>
      <c r="R796" s="26" t="s">
        <v>33</v>
      </c>
      <c r="S796" s="26" t="s">
        <v>272</v>
      </c>
      <c r="T796" s="26"/>
      <c r="U796" s="39"/>
      <c r="V796" s="28">
        <f t="shared" si="25"/>
        <v>105</v>
      </c>
      <c r="W796" s="29"/>
    </row>
    <row r="797" spans="1:23" s="40" customFormat="1" ht="21" customHeight="1">
      <c r="A797" s="34"/>
      <c r="B797" s="31"/>
      <c r="C797" s="32"/>
      <c r="D797" s="18" t="s">
        <v>340</v>
      </c>
      <c r="E797" s="19" t="s">
        <v>242</v>
      </c>
      <c r="F797" s="20">
        <v>9.8390000000000004</v>
      </c>
      <c r="G797" s="19">
        <v>1814</v>
      </c>
      <c r="H797" s="20">
        <v>279</v>
      </c>
      <c r="I797" s="19" t="s">
        <v>246</v>
      </c>
      <c r="J797" s="20">
        <v>8765</v>
      </c>
      <c r="K797" s="21">
        <v>24405</v>
      </c>
      <c r="L797" s="21">
        <v>15530</v>
      </c>
      <c r="M797" s="21" t="s">
        <v>31</v>
      </c>
      <c r="N797" s="45">
        <v>4.25</v>
      </c>
      <c r="O797" s="23">
        <f t="shared" si="24"/>
        <v>608.52235294117645</v>
      </c>
      <c r="P797" s="46">
        <v>4.04</v>
      </c>
      <c r="Q797" s="25" t="s">
        <v>62</v>
      </c>
      <c r="R797" s="26" t="s">
        <v>33</v>
      </c>
      <c r="S797" s="26" t="s">
        <v>272</v>
      </c>
      <c r="T797" s="26"/>
      <c r="U797" s="39"/>
      <c r="V797" s="28">
        <f t="shared" si="25"/>
        <v>105</v>
      </c>
      <c r="W797" s="29"/>
    </row>
    <row r="798" spans="1:23" s="40" customFormat="1" ht="21" customHeight="1">
      <c r="A798" s="30"/>
      <c r="B798" s="31"/>
      <c r="C798" s="32"/>
      <c r="D798" s="18" t="s">
        <v>341</v>
      </c>
      <c r="E798" s="19" t="s">
        <v>260</v>
      </c>
      <c r="F798" s="20">
        <v>9.8390000000000004</v>
      </c>
      <c r="G798" s="19">
        <v>1814</v>
      </c>
      <c r="H798" s="20">
        <v>279</v>
      </c>
      <c r="I798" s="19" t="s">
        <v>261</v>
      </c>
      <c r="J798" s="20">
        <v>8765</v>
      </c>
      <c r="K798" s="21">
        <v>24405</v>
      </c>
      <c r="L798" s="21">
        <v>15530</v>
      </c>
      <c r="M798" s="21" t="s">
        <v>31</v>
      </c>
      <c r="N798" s="45">
        <v>4.25</v>
      </c>
      <c r="O798" s="23">
        <f t="shared" si="24"/>
        <v>608.52235294117645</v>
      </c>
      <c r="P798" s="46">
        <v>4.04</v>
      </c>
      <c r="Q798" s="25" t="s">
        <v>62</v>
      </c>
      <c r="R798" s="26" t="s">
        <v>189</v>
      </c>
      <c r="S798" s="26" t="s">
        <v>270</v>
      </c>
      <c r="T798" s="26"/>
      <c r="U798" s="67"/>
      <c r="V798" s="28">
        <f t="shared" si="25"/>
        <v>105</v>
      </c>
      <c r="W798" s="29"/>
    </row>
    <row r="799" spans="1:23" s="40" customFormat="1" ht="21" customHeight="1">
      <c r="A799" s="30"/>
      <c r="B799" s="31"/>
      <c r="C799" s="32"/>
      <c r="D799" s="18" t="s">
        <v>341</v>
      </c>
      <c r="E799" s="19" t="s">
        <v>260</v>
      </c>
      <c r="F799" s="20">
        <v>9.8390000000000004</v>
      </c>
      <c r="G799" s="19">
        <v>1814</v>
      </c>
      <c r="H799" s="20">
        <v>279</v>
      </c>
      <c r="I799" s="19" t="s">
        <v>246</v>
      </c>
      <c r="J799" s="20">
        <v>8765</v>
      </c>
      <c r="K799" s="21">
        <v>24405</v>
      </c>
      <c r="L799" s="21">
        <v>15530</v>
      </c>
      <c r="M799" s="21" t="s">
        <v>31</v>
      </c>
      <c r="N799" s="45">
        <v>4.25</v>
      </c>
      <c r="O799" s="23">
        <f t="shared" si="24"/>
        <v>608.52235294117645</v>
      </c>
      <c r="P799" s="46">
        <v>4.04</v>
      </c>
      <c r="Q799" s="25" t="s">
        <v>62</v>
      </c>
      <c r="R799" s="26" t="s">
        <v>189</v>
      </c>
      <c r="S799" s="26" t="s">
        <v>270</v>
      </c>
      <c r="T799" s="26"/>
      <c r="U799" s="67"/>
      <c r="V799" s="28">
        <f t="shared" si="25"/>
        <v>105</v>
      </c>
      <c r="W799" s="29"/>
    </row>
    <row r="800" spans="1:23" s="40" customFormat="1" ht="21" customHeight="1">
      <c r="A800" s="34"/>
      <c r="B800" s="31"/>
      <c r="C800" s="32"/>
      <c r="D800" s="18" t="s">
        <v>342</v>
      </c>
      <c r="E800" s="19" t="s">
        <v>242</v>
      </c>
      <c r="F800" s="20">
        <v>9.8390000000000004</v>
      </c>
      <c r="G800" s="19">
        <v>1814</v>
      </c>
      <c r="H800" s="20">
        <v>279</v>
      </c>
      <c r="I800" s="19" t="s">
        <v>243</v>
      </c>
      <c r="J800" s="20">
        <v>8765</v>
      </c>
      <c r="K800" s="21">
        <v>24405</v>
      </c>
      <c r="L800" s="21">
        <v>15530</v>
      </c>
      <c r="M800" s="21" t="s">
        <v>31</v>
      </c>
      <c r="N800" s="45">
        <v>4.25</v>
      </c>
      <c r="O800" s="23">
        <f t="shared" si="24"/>
        <v>608.52235294117645</v>
      </c>
      <c r="P800" s="46">
        <v>4.04</v>
      </c>
      <c r="Q800" s="25" t="s">
        <v>62</v>
      </c>
      <c r="R800" s="26" t="s">
        <v>33</v>
      </c>
      <c r="S800" s="26" t="s">
        <v>272</v>
      </c>
      <c r="T800" s="26"/>
      <c r="U800" s="39"/>
      <c r="V800" s="28">
        <f t="shared" si="25"/>
        <v>105</v>
      </c>
      <c r="W800" s="29"/>
    </row>
    <row r="801" spans="1:23" s="40" customFormat="1" ht="21" customHeight="1">
      <c r="A801" s="34"/>
      <c r="B801" s="31"/>
      <c r="C801" s="32"/>
      <c r="D801" s="18" t="s">
        <v>342</v>
      </c>
      <c r="E801" s="19" t="s">
        <v>242</v>
      </c>
      <c r="F801" s="20">
        <v>9.8390000000000004</v>
      </c>
      <c r="G801" s="19">
        <v>1814</v>
      </c>
      <c r="H801" s="20">
        <v>279</v>
      </c>
      <c r="I801" s="19" t="s">
        <v>246</v>
      </c>
      <c r="J801" s="20">
        <v>8765</v>
      </c>
      <c r="K801" s="21">
        <v>24405</v>
      </c>
      <c r="L801" s="21">
        <v>15530</v>
      </c>
      <c r="M801" s="21" t="s">
        <v>31</v>
      </c>
      <c r="N801" s="45">
        <v>4.25</v>
      </c>
      <c r="O801" s="23">
        <f t="shared" si="24"/>
        <v>608.52235294117645</v>
      </c>
      <c r="P801" s="46">
        <v>4.04</v>
      </c>
      <c r="Q801" s="25" t="s">
        <v>62</v>
      </c>
      <c r="R801" s="26" t="s">
        <v>33</v>
      </c>
      <c r="S801" s="26" t="s">
        <v>272</v>
      </c>
      <c r="T801" s="26"/>
      <c r="U801" s="39"/>
      <c r="V801" s="28">
        <f t="shared" si="25"/>
        <v>105</v>
      </c>
      <c r="W801" s="29"/>
    </row>
    <row r="802" spans="1:23" s="40" customFormat="1" ht="21" customHeight="1">
      <c r="A802" s="30"/>
      <c r="B802" s="31"/>
      <c r="C802" s="32"/>
      <c r="D802" s="18" t="s">
        <v>343</v>
      </c>
      <c r="E802" s="19" t="s">
        <v>260</v>
      </c>
      <c r="F802" s="20">
        <v>9.8390000000000004</v>
      </c>
      <c r="G802" s="19">
        <v>1814</v>
      </c>
      <c r="H802" s="20">
        <v>279</v>
      </c>
      <c r="I802" s="19" t="s">
        <v>261</v>
      </c>
      <c r="J802" s="20">
        <v>8765</v>
      </c>
      <c r="K802" s="21">
        <v>24405</v>
      </c>
      <c r="L802" s="21">
        <v>15530</v>
      </c>
      <c r="M802" s="21" t="s">
        <v>31</v>
      </c>
      <c r="N802" s="45">
        <v>4.25</v>
      </c>
      <c r="O802" s="23">
        <f t="shared" si="24"/>
        <v>608.52235294117645</v>
      </c>
      <c r="P802" s="46">
        <v>4.04</v>
      </c>
      <c r="Q802" s="25" t="s">
        <v>62</v>
      </c>
      <c r="R802" s="26" t="s">
        <v>189</v>
      </c>
      <c r="S802" s="26" t="s">
        <v>270</v>
      </c>
      <c r="T802" s="26"/>
      <c r="U802" s="67"/>
      <c r="V802" s="28">
        <f t="shared" si="25"/>
        <v>105</v>
      </c>
      <c r="W802" s="29"/>
    </row>
    <row r="803" spans="1:23" s="40" customFormat="1" ht="21" customHeight="1">
      <c r="A803" s="30"/>
      <c r="B803" s="31"/>
      <c r="C803" s="32"/>
      <c r="D803" s="18" t="s">
        <v>343</v>
      </c>
      <c r="E803" s="19" t="s">
        <v>260</v>
      </c>
      <c r="F803" s="20">
        <v>9.8390000000000004</v>
      </c>
      <c r="G803" s="19">
        <v>1814</v>
      </c>
      <c r="H803" s="20">
        <v>279</v>
      </c>
      <c r="I803" s="19" t="s">
        <v>246</v>
      </c>
      <c r="J803" s="20">
        <v>8765</v>
      </c>
      <c r="K803" s="21">
        <v>24405</v>
      </c>
      <c r="L803" s="21">
        <v>15530</v>
      </c>
      <c r="M803" s="21" t="s">
        <v>31</v>
      </c>
      <c r="N803" s="45">
        <v>4.25</v>
      </c>
      <c r="O803" s="23">
        <f t="shared" si="24"/>
        <v>608.52235294117645</v>
      </c>
      <c r="P803" s="46">
        <v>4.04</v>
      </c>
      <c r="Q803" s="25" t="s">
        <v>62</v>
      </c>
      <c r="R803" s="26" t="s">
        <v>189</v>
      </c>
      <c r="S803" s="26" t="s">
        <v>270</v>
      </c>
      <c r="T803" s="26"/>
      <c r="U803" s="67"/>
      <c r="V803" s="28">
        <f t="shared" si="25"/>
        <v>105</v>
      </c>
      <c r="W803" s="29"/>
    </row>
    <row r="804" spans="1:23" s="40" customFormat="1" ht="21" customHeight="1">
      <c r="A804" s="34"/>
      <c r="B804" s="31"/>
      <c r="C804" s="32"/>
      <c r="D804" s="18" t="s">
        <v>344</v>
      </c>
      <c r="E804" s="19" t="s">
        <v>242</v>
      </c>
      <c r="F804" s="20">
        <v>9.8390000000000004</v>
      </c>
      <c r="G804" s="19">
        <v>1814</v>
      </c>
      <c r="H804" s="20">
        <v>279</v>
      </c>
      <c r="I804" s="19" t="s">
        <v>243</v>
      </c>
      <c r="J804" s="20">
        <v>8765</v>
      </c>
      <c r="K804" s="21">
        <v>24405</v>
      </c>
      <c r="L804" s="21">
        <v>15530</v>
      </c>
      <c r="M804" s="21" t="s">
        <v>31</v>
      </c>
      <c r="N804" s="45">
        <v>4.25</v>
      </c>
      <c r="O804" s="23">
        <f t="shared" si="24"/>
        <v>608.52235294117645</v>
      </c>
      <c r="P804" s="46">
        <v>4.04</v>
      </c>
      <c r="Q804" s="25" t="s">
        <v>62</v>
      </c>
      <c r="R804" s="26" t="s">
        <v>33</v>
      </c>
      <c r="S804" s="26" t="s">
        <v>272</v>
      </c>
      <c r="T804" s="26"/>
      <c r="U804" s="39"/>
      <c r="V804" s="28">
        <f t="shared" si="25"/>
        <v>105</v>
      </c>
      <c r="W804" s="29"/>
    </row>
    <row r="805" spans="1:23" s="40" customFormat="1" ht="21" customHeight="1">
      <c r="A805" s="34"/>
      <c r="B805" s="31"/>
      <c r="C805" s="32"/>
      <c r="D805" s="18" t="s">
        <v>344</v>
      </c>
      <c r="E805" s="19" t="s">
        <v>242</v>
      </c>
      <c r="F805" s="20">
        <v>9.8390000000000004</v>
      </c>
      <c r="G805" s="19">
        <v>1814</v>
      </c>
      <c r="H805" s="20">
        <v>279</v>
      </c>
      <c r="I805" s="19" t="s">
        <v>246</v>
      </c>
      <c r="J805" s="20">
        <v>8765</v>
      </c>
      <c r="K805" s="21">
        <v>24405</v>
      </c>
      <c r="L805" s="21">
        <v>15530</v>
      </c>
      <c r="M805" s="21" t="s">
        <v>31</v>
      </c>
      <c r="N805" s="45">
        <v>4.25</v>
      </c>
      <c r="O805" s="23">
        <f t="shared" si="24"/>
        <v>608.52235294117645</v>
      </c>
      <c r="P805" s="46">
        <v>4.04</v>
      </c>
      <c r="Q805" s="25" t="s">
        <v>62</v>
      </c>
      <c r="R805" s="26" t="s">
        <v>33</v>
      </c>
      <c r="S805" s="26" t="s">
        <v>272</v>
      </c>
      <c r="T805" s="26"/>
      <c r="U805" s="39"/>
      <c r="V805" s="28">
        <f t="shared" si="25"/>
        <v>105</v>
      </c>
      <c r="W805" s="29"/>
    </row>
    <row r="806" spans="1:23" s="40" customFormat="1" ht="21" customHeight="1">
      <c r="A806" s="30"/>
      <c r="B806" s="31"/>
      <c r="C806" s="32"/>
      <c r="D806" s="18" t="s">
        <v>345</v>
      </c>
      <c r="E806" s="19" t="s">
        <v>260</v>
      </c>
      <c r="F806" s="20">
        <v>9.8390000000000004</v>
      </c>
      <c r="G806" s="19">
        <v>1814</v>
      </c>
      <c r="H806" s="20">
        <v>279</v>
      </c>
      <c r="I806" s="19" t="s">
        <v>261</v>
      </c>
      <c r="J806" s="20">
        <v>8765</v>
      </c>
      <c r="K806" s="21">
        <v>24405</v>
      </c>
      <c r="L806" s="21">
        <v>15530</v>
      </c>
      <c r="M806" s="21" t="s">
        <v>31</v>
      </c>
      <c r="N806" s="45">
        <v>4.25</v>
      </c>
      <c r="O806" s="23">
        <f t="shared" si="24"/>
        <v>608.52235294117645</v>
      </c>
      <c r="P806" s="46">
        <v>4.04</v>
      </c>
      <c r="Q806" s="25" t="s">
        <v>62</v>
      </c>
      <c r="R806" s="26" t="s">
        <v>189</v>
      </c>
      <c r="S806" s="26" t="s">
        <v>274</v>
      </c>
      <c r="T806" s="26"/>
      <c r="U806" s="67"/>
      <c r="V806" s="28">
        <f t="shared" si="25"/>
        <v>105</v>
      </c>
      <c r="W806" s="29"/>
    </row>
    <row r="807" spans="1:23" s="40" customFormat="1" ht="21" customHeight="1">
      <c r="A807" s="30"/>
      <c r="B807" s="31"/>
      <c r="C807" s="32"/>
      <c r="D807" s="18" t="s">
        <v>345</v>
      </c>
      <c r="E807" s="19" t="s">
        <v>260</v>
      </c>
      <c r="F807" s="20">
        <v>9.8390000000000004</v>
      </c>
      <c r="G807" s="19">
        <v>1814</v>
      </c>
      <c r="H807" s="20">
        <v>279</v>
      </c>
      <c r="I807" s="19" t="s">
        <v>246</v>
      </c>
      <c r="J807" s="20">
        <v>8765</v>
      </c>
      <c r="K807" s="21">
        <v>24405</v>
      </c>
      <c r="L807" s="21">
        <v>15530</v>
      </c>
      <c r="M807" s="21" t="s">
        <v>31</v>
      </c>
      <c r="N807" s="45">
        <v>4.25</v>
      </c>
      <c r="O807" s="23">
        <f t="shared" si="24"/>
        <v>608.52235294117645</v>
      </c>
      <c r="P807" s="46">
        <v>4.04</v>
      </c>
      <c r="Q807" s="25" t="s">
        <v>62</v>
      </c>
      <c r="R807" s="26" t="s">
        <v>189</v>
      </c>
      <c r="S807" s="26" t="s">
        <v>274</v>
      </c>
      <c r="T807" s="26"/>
      <c r="U807" s="67"/>
      <c r="V807" s="28">
        <f t="shared" si="25"/>
        <v>105</v>
      </c>
      <c r="W807" s="29"/>
    </row>
    <row r="808" spans="1:23" s="40" customFormat="1" ht="21" customHeight="1">
      <c r="A808" s="34"/>
      <c r="B808" s="31"/>
      <c r="C808" s="32"/>
      <c r="D808" s="18" t="s">
        <v>345</v>
      </c>
      <c r="E808" s="19" t="s">
        <v>260</v>
      </c>
      <c r="F808" s="20">
        <v>9.8390000000000004</v>
      </c>
      <c r="G808" s="19">
        <v>1814</v>
      </c>
      <c r="H808" s="20">
        <v>279</v>
      </c>
      <c r="I808" s="19" t="s">
        <v>243</v>
      </c>
      <c r="J808" s="20">
        <v>8765</v>
      </c>
      <c r="K808" s="21">
        <v>24405</v>
      </c>
      <c r="L808" s="21">
        <v>15530</v>
      </c>
      <c r="M808" s="21" t="s">
        <v>31</v>
      </c>
      <c r="N808" s="22">
        <v>4.25</v>
      </c>
      <c r="O808" s="23">
        <f t="shared" si="24"/>
        <v>608.52235294117645</v>
      </c>
      <c r="P808" s="24">
        <v>4.04</v>
      </c>
      <c r="Q808" s="25" t="s">
        <v>43</v>
      </c>
      <c r="R808" s="26" t="s">
        <v>33</v>
      </c>
      <c r="S808" s="26" t="s">
        <v>277</v>
      </c>
      <c r="T808" s="26"/>
      <c r="U808" s="39"/>
      <c r="V808" s="28">
        <f t="shared" si="25"/>
        <v>105</v>
      </c>
      <c r="W808" s="29"/>
    </row>
    <row r="809" spans="1:23" s="40" customFormat="1" ht="21" customHeight="1">
      <c r="A809" s="34"/>
      <c r="B809" s="31"/>
      <c r="C809" s="32"/>
      <c r="D809" s="18" t="s">
        <v>345</v>
      </c>
      <c r="E809" s="19" t="s">
        <v>260</v>
      </c>
      <c r="F809" s="20">
        <v>9.8390000000000004</v>
      </c>
      <c r="G809" s="19">
        <v>1814</v>
      </c>
      <c r="H809" s="20">
        <v>279</v>
      </c>
      <c r="I809" s="19" t="s">
        <v>246</v>
      </c>
      <c r="J809" s="20">
        <v>8765</v>
      </c>
      <c r="K809" s="21">
        <v>24405</v>
      </c>
      <c r="L809" s="21">
        <v>15530</v>
      </c>
      <c r="M809" s="21" t="s">
        <v>31</v>
      </c>
      <c r="N809" s="22">
        <v>4.25</v>
      </c>
      <c r="O809" s="23">
        <f t="shared" si="24"/>
        <v>608.52235294117645</v>
      </c>
      <c r="P809" s="24">
        <v>4.04</v>
      </c>
      <c r="Q809" s="25" t="s">
        <v>43</v>
      </c>
      <c r="R809" s="26" t="s">
        <v>33</v>
      </c>
      <c r="S809" s="26" t="s">
        <v>277</v>
      </c>
      <c r="T809" s="26"/>
      <c r="U809" s="39"/>
      <c r="V809" s="28">
        <f t="shared" si="25"/>
        <v>105</v>
      </c>
      <c r="W809" s="29"/>
    </row>
    <row r="810" spans="1:23" s="40" customFormat="1" ht="21" customHeight="1">
      <c r="A810" s="30"/>
      <c r="B810" s="31"/>
      <c r="C810" s="32"/>
      <c r="D810" s="18" t="s">
        <v>346</v>
      </c>
      <c r="E810" s="19" t="s">
        <v>260</v>
      </c>
      <c r="F810" s="20">
        <v>9.8390000000000004</v>
      </c>
      <c r="G810" s="19">
        <v>1814</v>
      </c>
      <c r="H810" s="20">
        <v>279</v>
      </c>
      <c r="I810" s="19" t="s">
        <v>261</v>
      </c>
      <c r="J810" s="20">
        <v>8765</v>
      </c>
      <c r="K810" s="21">
        <v>24405</v>
      </c>
      <c r="L810" s="21">
        <v>15530</v>
      </c>
      <c r="M810" s="21" t="s">
        <v>31</v>
      </c>
      <c r="N810" s="45">
        <v>4.25</v>
      </c>
      <c r="O810" s="23">
        <f t="shared" si="24"/>
        <v>608.52235294117645</v>
      </c>
      <c r="P810" s="46">
        <v>4.04</v>
      </c>
      <c r="Q810" s="25" t="s">
        <v>62</v>
      </c>
      <c r="R810" s="26" t="s">
        <v>189</v>
      </c>
      <c r="S810" s="26" t="s">
        <v>274</v>
      </c>
      <c r="T810" s="26"/>
      <c r="U810" s="67"/>
      <c r="V810" s="28">
        <f t="shared" si="25"/>
        <v>105</v>
      </c>
      <c r="W810" s="29"/>
    </row>
    <row r="811" spans="1:23" s="40" customFormat="1" ht="21" customHeight="1">
      <c r="A811" s="30"/>
      <c r="B811" s="31"/>
      <c r="C811" s="32"/>
      <c r="D811" s="18" t="s">
        <v>346</v>
      </c>
      <c r="E811" s="19" t="s">
        <v>260</v>
      </c>
      <c r="F811" s="20">
        <v>9.8390000000000004</v>
      </c>
      <c r="G811" s="19">
        <v>1814</v>
      </c>
      <c r="H811" s="20">
        <v>279</v>
      </c>
      <c r="I811" s="19" t="s">
        <v>246</v>
      </c>
      <c r="J811" s="20">
        <v>8765</v>
      </c>
      <c r="K811" s="21">
        <v>24405</v>
      </c>
      <c r="L811" s="21">
        <v>15530</v>
      </c>
      <c r="M811" s="21" t="s">
        <v>31</v>
      </c>
      <c r="N811" s="45">
        <v>4.25</v>
      </c>
      <c r="O811" s="23">
        <f t="shared" si="24"/>
        <v>608.52235294117645</v>
      </c>
      <c r="P811" s="46">
        <v>4.04</v>
      </c>
      <c r="Q811" s="25" t="s">
        <v>62</v>
      </c>
      <c r="R811" s="26" t="s">
        <v>189</v>
      </c>
      <c r="S811" s="26" t="s">
        <v>274</v>
      </c>
      <c r="T811" s="26"/>
      <c r="U811" s="67"/>
      <c r="V811" s="28">
        <f t="shared" si="25"/>
        <v>105</v>
      </c>
      <c r="W811" s="29"/>
    </row>
    <row r="812" spans="1:23" s="40" customFormat="1" ht="21" customHeight="1">
      <c r="A812" s="30"/>
      <c r="B812" s="31"/>
      <c r="C812" s="32"/>
      <c r="D812" s="18" t="s">
        <v>347</v>
      </c>
      <c r="E812" s="19" t="s">
        <v>260</v>
      </c>
      <c r="F812" s="20">
        <v>9.8390000000000004</v>
      </c>
      <c r="G812" s="19">
        <v>1814</v>
      </c>
      <c r="H812" s="20">
        <v>279</v>
      </c>
      <c r="I812" s="19" t="s">
        <v>261</v>
      </c>
      <c r="J812" s="20">
        <v>8765</v>
      </c>
      <c r="K812" s="21">
        <v>24405</v>
      </c>
      <c r="L812" s="21">
        <v>15530</v>
      </c>
      <c r="M812" s="21" t="s">
        <v>31</v>
      </c>
      <c r="N812" s="45">
        <v>4.25</v>
      </c>
      <c r="O812" s="23">
        <f t="shared" si="24"/>
        <v>608.52235294117645</v>
      </c>
      <c r="P812" s="46">
        <v>4.04</v>
      </c>
      <c r="Q812" s="25" t="s">
        <v>62</v>
      </c>
      <c r="R812" s="26" t="s">
        <v>189</v>
      </c>
      <c r="S812" s="26" t="s">
        <v>274</v>
      </c>
      <c r="T812" s="26"/>
      <c r="U812" s="67"/>
      <c r="V812" s="28">
        <f t="shared" si="25"/>
        <v>105</v>
      </c>
      <c r="W812" s="29"/>
    </row>
    <row r="813" spans="1:23" s="40" customFormat="1" ht="21" customHeight="1">
      <c r="A813" s="30"/>
      <c r="B813" s="31"/>
      <c r="C813" s="32"/>
      <c r="D813" s="18" t="s">
        <v>347</v>
      </c>
      <c r="E813" s="19" t="s">
        <v>260</v>
      </c>
      <c r="F813" s="20">
        <v>9.8390000000000004</v>
      </c>
      <c r="G813" s="19">
        <v>1814</v>
      </c>
      <c r="H813" s="20">
        <v>279</v>
      </c>
      <c r="I813" s="19" t="s">
        <v>246</v>
      </c>
      <c r="J813" s="20">
        <v>8765</v>
      </c>
      <c r="K813" s="21">
        <v>24405</v>
      </c>
      <c r="L813" s="21">
        <v>15530</v>
      </c>
      <c r="M813" s="21" t="s">
        <v>31</v>
      </c>
      <c r="N813" s="45">
        <v>4.25</v>
      </c>
      <c r="O813" s="23">
        <f t="shared" si="24"/>
        <v>608.52235294117645</v>
      </c>
      <c r="P813" s="46">
        <v>4.04</v>
      </c>
      <c r="Q813" s="25" t="s">
        <v>62</v>
      </c>
      <c r="R813" s="26" t="s">
        <v>189</v>
      </c>
      <c r="S813" s="26" t="s">
        <v>274</v>
      </c>
      <c r="T813" s="26"/>
      <c r="U813" s="67"/>
      <c r="V813" s="28">
        <f t="shared" si="25"/>
        <v>105</v>
      </c>
      <c r="W813" s="29"/>
    </row>
    <row r="814" spans="1:23" s="40" customFormat="1" ht="21" customHeight="1">
      <c r="A814" s="30"/>
      <c r="B814" s="31"/>
      <c r="C814" s="32"/>
      <c r="D814" s="18" t="s">
        <v>348</v>
      </c>
      <c r="E814" s="19" t="s">
        <v>260</v>
      </c>
      <c r="F814" s="20">
        <v>9.8390000000000004</v>
      </c>
      <c r="G814" s="19">
        <v>1814</v>
      </c>
      <c r="H814" s="20">
        <v>279</v>
      </c>
      <c r="I814" s="19" t="s">
        <v>261</v>
      </c>
      <c r="J814" s="20">
        <v>8765</v>
      </c>
      <c r="K814" s="21">
        <v>24405</v>
      </c>
      <c r="L814" s="21">
        <v>15530</v>
      </c>
      <c r="M814" s="21" t="s">
        <v>31</v>
      </c>
      <c r="N814" s="45">
        <v>4.25</v>
      </c>
      <c r="O814" s="23">
        <f t="shared" si="24"/>
        <v>608.52235294117645</v>
      </c>
      <c r="P814" s="46">
        <v>4.04</v>
      </c>
      <c r="Q814" s="25" t="s">
        <v>62</v>
      </c>
      <c r="R814" s="26" t="s">
        <v>189</v>
      </c>
      <c r="S814" s="26" t="s">
        <v>274</v>
      </c>
      <c r="T814" s="26"/>
      <c r="U814" s="67"/>
      <c r="V814" s="28">
        <f t="shared" si="25"/>
        <v>105</v>
      </c>
      <c r="W814" s="29"/>
    </row>
    <row r="815" spans="1:23" s="40" customFormat="1" ht="21" customHeight="1">
      <c r="A815" s="30"/>
      <c r="B815" s="31"/>
      <c r="C815" s="32"/>
      <c r="D815" s="18" t="s">
        <v>348</v>
      </c>
      <c r="E815" s="19" t="s">
        <v>260</v>
      </c>
      <c r="F815" s="20">
        <v>9.8390000000000004</v>
      </c>
      <c r="G815" s="19">
        <v>1814</v>
      </c>
      <c r="H815" s="20">
        <v>279</v>
      </c>
      <c r="I815" s="19" t="s">
        <v>246</v>
      </c>
      <c r="J815" s="20">
        <v>8765</v>
      </c>
      <c r="K815" s="21">
        <v>24405</v>
      </c>
      <c r="L815" s="21">
        <v>15530</v>
      </c>
      <c r="M815" s="21" t="s">
        <v>31</v>
      </c>
      <c r="N815" s="45">
        <v>4.25</v>
      </c>
      <c r="O815" s="23">
        <f t="shared" si="24"/>
        <v>608.52235294117645</v>
      </c>
      <c r="P815" s="46">
        <v>4.04</v>
      </c>
      <c r="Q815" s="25" t="s">
        <v>62</v>
      </c>
      <c r="R815" s="26" t="s">
        <v>189</v>
      </c>
      <c r="S815" s="26" t="s">
        <v>274</v>
      </c>
      <c r="T815" s="26"/>
      <c r="U815" s="67"/>
      <c r="V815" s="28">
        <f t="shared" si="25"/>
        <v>105</v>
      </c>
      <c r="W815" s="29"/>
    </row>
    <row r="816" spans="1:23" s="40" customFormat="1" ht="21" customHeight="1">
      <c r="A816" s="34"/>
      <c r="B816" s="31"/>
      <c r="C816" s="32"/>
      <c r="D816" s="18" t="s">
        <v>349</v>
      </c>
      <c r="E816" s="19" t="s">
        <v>242</v>
      </c>
      <c r="F816" s="20">
        <v>9.8390000000000004</v>
      </c>
      <c r="G816" s="19">
        <v>1814</v>
      </c>
      <c r="H816" s="20">
        <v>279</v>
      </c>
      <c r="I816" s="19" t="s">
        <v>243</v>
      </c>
      <c r="J816" s="20">
        <v>8765</v>
      </c>
      <c r="K816" s="21">
        <v>24405</v>
      </c>
      <c r="L816" s="21">
        <v>15530</v>
      </c>
      <c r="M816" s="21" t="s">
        <v>31</v>
      </c>
      <c r="N816" s="45">
        <v>4.25</v>
      </c>
      <c r="O816" s="23">
        <f t="shared" si="24"/>
        <v>608.52235294117645</v>
      </c>
      <c r="P816" s="46">
        <v>4.04</v>
      </c>
      <c r="Q816" s="25" t="s">
        <v>62</v>
      </c>
      <c r="R816" s="26" t="s">
        <v>33</v>
      </c>
      <c r="S816" s="26" t="s">
        <v>277</v>
      </c>
      <c r="T816" s="26"/>
      <c r="U816" s="39"/>
      <c r="V816" s="28">
        <f t="shared" si="25"/>
        <v>105</v>
      </c>
      <c r="W816" s="29"/>
    </row>
    <row r="817" spans="1:23" s="40" customFormat="1" ht="21" customHeight="1">
      <c r="A817" s="34"/>
      <c r="B817" s="31"/>
      <c r="C817" s="32"/>
      <c r="D817" s="18" t="s">
        <v>349</v>
      </c>
      <c r="E817" s="19" t="s">
        <v>242</v>
      </c>
      <c r="F817" s="20">
        <v>9.8390000000000004</v>
      </c>
      <c r="G817" s="19">
        <v>1814</v>
      </c>
      <c r="H817" s="20">
        <v>279</v>
      </c>
      <c r="I817" s="19" t="s">
        <v>246</v>
      </c>
      <c r="J817" s="20">
        <v>8765</v>
      </c>
      <c r="K817" s="21">
        <v>24405</v>
      </c>
      <c r="L817" s="21">
        <v>15530</v>
      </c>
      <c r="M817" s="21" t="s">
        <v>31</v>
      </c>
      <c r="N817" s="45">
        <v>4.25</v>
      </c>
      <c r="O817" s="23">
        <f t="shared" si="24"/>
        <v>608.52235294117645</v>
      </c>
      <c r="P817" s="46">
        <v>4.04</v>
      </c>
      <c r="Q817" s="25" t="s">
        <v>62</v>
      </c>
      <c r="R817" s="26" t="s">
        <v>33</v>
      </c>
      <c r="S817" s="26" t="s">
        <v>277</v>
      </c>
      <c r="T817" s="26"/>
      <c r="U817" s="39"/>
      <c r="V817" s="28">
        <f t="shared" si="25"/>
        <v>105</v>
      </c>
      <c r="W817" s="29"/>
    </row>
    <row r="818" spans="1:23" s="40" customFormat="1" ht="21" customHeight="1">
      <c r="A818" s="30"/>
      <c r="B818" s="31"/>
      <c r="C818" s="32"/>
      <c r="D818" s="18" t="s">
        <v>350</v>
      </c>
      <c r="E818" s="19" t="s">
        <v>260</v>
      </c>
      <c r="F818" s="20">
        <v>9.8390000000000004</v>
      </c>
      <c r="G818" s="19">
        <v>1814</v>
      </c>
      <c r="H818" s="20">
        <v>279</v>
      </c>
      <c r="I818" s="19" t="s">
        <v>261</v>
      </c>
      <c r="J818" s="20">
        <v>8765</v>
      </c>
      <c r="K818" s="21">
        <v>24405</v>
      </c>
      <c r="L818" s="21">
        <v>15530</v>
      </c>
      <c r="M818" s="21" t="s">
        <v>31</v>
      </c>
      <c r="N818" s="45">
        <v>4.25</v>
      </c>
      <c r="O818" s="23">
        <f t="shared" si="24"/>
        <v>608.52235294117645</v>
      </c>
      <c r="P818" s="46">
        <v>4.04</v>
      </c>
      <c r="Q818" s="25" t="s">
        <v>62</v>
      </c>
      <c r="R818" s="26" t="s">
        <v>189</v>
      </c>
      <c r="S818" s="26" t="s">
        <v>274</v>
      </c>
      <c r="T818" s="26"/>
      <c r="U818" s="67"/>
      <c r="V818" s="28">
        <f t="shared" si="25"/>
        <v>105</v>
      </c>
      <c r="W818" s="29"/>
    </row>
    <row r="819" spans="1:23" s="40" customFormat="1" ht="21" customHeight="1">
      <c r="A819" s="30"/>
      <c r="B819" s="31"/>
      <c r="C819" s="32"/>
      <c r="D819" s="18" t="s">
        <v>350</v>
      </c>
      <c r="E819" s="19" t="s">
        <v>260</v>
      </c>
      <c r="F819" s="20">
        <v>9.8390000000000004</v>
      </c>
      <c r="G819" s="19">
        <v>1814</v>
      </c>
      <c r="H819" s="20">
        <v>279</v>
      </c>
      <c r="I819" s="19" t="s">
        <v>246</v>
      </c>
      <c r="J819" s="20">
        <v>8765</v>
      </c>
      <c r="K819" s="21">
        <v>24405</v>
      </c>
      <c r="L819" s="21">
        <v>15530</v>
      </c>
      <c r="M819" s="21" t="s">
        <v>31</v>
      </c>
      <c r="N819" s="45">
        <v>4.25</v>
      </c>
      <c r="O819" s="23">
        <f t="shared" si="24"/>
        <v>608.52235294117645</v>
      </c>
      <c r="P819" s="46">
        <v>4.04</v>
      </c>
      <c r="Q819" s="25" t="s">
        <v>62</v>
      </c>
      <c r="R819" s="26" t="s">
        <v>189</v>
      </c>
      <c r="S819" s="26" t="s">
        <v>274</v>
      </c>
      <c r="T819" s="26"/>
      <c r="U819" s="67"/>
      <c r="V819" s="28">
        <f t="shared" si="25"/>
        <v>105</v>
      </c>
      <c r="W819" s="29"/>
    </row>
    <row r="820" spans="1:23" s="40" customFormat="1" ht="21" customHeight="1">
      <c r="A820" s="30"/>
      <c r="B820" s="31"/>
      <c r="C820" s="32"/>
      <c r="D820" s="18" t="s">
        <v>351</v>
      </c>
      <c r="E820" s="19" t="s">
        <v>260</v>
      </c>
      <c r="F820" s="20">
        <v>9.8390000000000004</v>
      </c>
      <c r="G820" s="19">
        <v>1814</v>
      </c>
      <c r="H820" s="20">
        <v>279</v>
      </c>
      <c r="I820" s="19" t="s">
        <v>261</v>
      </c>
      <c r="J820" s="20">
        <v>8765</v>
      </c>
      <c r="K820" s="21">
        <v>24405</v>
      </c>
      <c r="L820" s="21">
        <v>15530</v>
      </c>
      <c r="M820" s="21" t="s">
        <v>31</v>
      </c>
      <c r="N820" s="45">
        <v>4.25</v>
      </c>
      <c r="O820" s="23">
        <f t="shared" si="24"/>
        <v>608.52235294117645</v>
      </c>
      <c r="P820" s="46">
        <v>4.04</v>
      </c>
      <c r="Q820" s="25" t="s">
        <v>62</v>
      </c>
      <c r="R820" s="26" t="s">
        <v>189</v>
      </c>
      <c r="S820" s="26" t="s">
        <v>274</v>
      </c>
      <c r="T820" s="26"/>
      <c r="U820" s="67"/>
      <c r="V820" s="28">
        <f t="shared" si="25"/>
        <v>105</v>
      </c>
      <c r="W820" s="29"/>
    </row>
    <row r="821" spans="1:23" s="40" customFormat="1" ht="21" customHeight="1">
      <c r="A821" s="30"/>
      <c r="B821" s="31"/>
      <c r="C821" s="32"/>
      <c r="D821" s="18" t="s">
        <v>351</v>
      </c>
      <c r="E821" s="19" t="s">
        <v>260</v>
      </c>
      <c r="F821" s="20">
        <v>9.8390000000000004</v>
      </c>
      <c r="G821" s="19">
        <v>1814</v>
      </c>
      <c r="H821" s="20">
        <v>279</v>
      </c>
      <c r="I821" s="19" t="s">
        <v>246</v>
      </c>
      <c r="J821" s="20">
        <v>8765</v>
      </c>
      <c r="K821" s="21">
        <v>24405</v>
      </c>
      <c r="L821" s="21">
        <v>15530</v>
      </c>
      <c r="M821" s="21" t="s">
        <v>31</v>
      </c>
      <c r="N821" s="45">
        <v>4.25</v>
      </c>
      <c r="O821" s="23">
        <f t="shared" si="24"/>
        <v>608.52235294117645</v>
      </c>
      <c r="P821" s="46">
        <v>4.04</v>
      </c>
      <c r="Q821" s="25" t="s">
        <v>62</v>
      </c>
      <c r="R821" s="26" t="s">
        <v>189</v>
      </c>
      <c r="S821" s="26" t="s">
        <v>274</v>
      </c>
      <c r="T821" s="26"/>
      <c r="U821" s="67"/>
      <c r="V821" s="28">
        <f t="shared" si="25"/>
        <v>105</v>
      </c>
      <c r="W821" s="29"/>
    </row>
    <row r="822" spans="1:23" s="40" customFormat="1" ht="21" customHeight="1">
      <c r="A822" s="34"/>
      <c r="B822" s="31"/>
      <c r="C822" s="32"/>
      <c r="D822" s="18" t="s">
        <v>352</v>
      </c>
      <c r="E822" s="19" t="s">
        <v>242</v>
      </c>
      <c r="F822" s="20">
        <v>9.8390000000000004</v>
      </c>
      <c r="G822" s="19">
        <v>1814</v>
      </c>
      <c r="H822" s="20">
        <v>279</v>
      </c>
      <c r="I822" s="19" t="s">
        <v>243</v>
      </c>
      <c r="J822" s="20">
        <v>8765</v>
      </c>
      <c r="K822" s="21">
        <v>24405</v>
      </c>
      <c r="L822" s="21">
        <v>15530</v>
      </c>
      <c r="M822" s="21" t="s">
        <v>31</v>
      </c>
      <c r="N822" s="45">
        <v>4.25</v>
      </c>
      <c r="O822" s="23">
        <f t="shared" si="24"/>
        <v>608.52235294117645</v>
      </c>
      <c r="P822" s="46">
        <v>4.04</v>
      </c>
      <c r="Q822" s="25" t="s">
        <v>62</v>
      </c>
      <c r="R822" s="26" t="s">
        <v>33</v>
      </c>
      <c r="S822" s="26" t="s">
        <v>277</v>
      </c>
      <c r="T822" s="26"/>
      <c r="U822" s="39"/>
      <c r="V822" s="28">
        <f t="shared" si="25"/>
        <v>105</v>
      </c>
      <c r="W822" s="29"/>
    </row>
    <row r="823" spans="1:23" s="40" customFormat="1" ht="21" customHeight="1">
      <c r="A823" s="34"/>
      <c r="B823" s="31"/>
      <c r="C823" s="32"/>
      <c r="D823" s="18" t="s">
        <v>352</v>
      </c>
      <c r="E823" s="19" t="s">
        <v>242</v>
      </c>
      <c r="F823" s="20">
        <v>9.8390000000000004</v>
      </c>
      <c r="G823" s="19">
        <v>1814</v>
      </c>
      <c r="H823" s="20">
        <v>279</v>
      </c>
      <c r="I823" s="19" t="s">
        <v>246</v>
      </c>
      <c r="J823" s="20">
        <v>8765</v>
      </c>
      <c r="K823" s="21">
        <v>24405</v>
      </c>
      <c r="L823" s="21">
        <v>15530</v>
      </c>
      <c r="M823" s="21" t="s">
        <v>31</v>
      </c>
      <c r="N823" s="45">
        <v>4.25</v>
      </c>
      <c r="O823" s="23">
        <f t="shared" si="24"/>
        <v>608.52235294117645</v>
      </c>
      <c r="P823" s="46">
        <v>4.04</v>
      </c>
      <c r="Q823" s="25" t="s">
        <v>62</v>
      </c>
      <c r="R823" s="26" t="s">
        <v>33</v>
      </c>
      <c r="S823" s="26" t="s">
        <v>277</v>
      </c>
      <c r="T823" s="26"/>
      <c r="U823" s="39"/>
      <c r="V823" s="28">
        <f t="shared" si="25"/>
        <v>105</v>
      </c>
      <c r="W823" s="29"/>
    </row>
    <row r="824" spans="1:23" s="40" customFormat="1" ht="21" customHeight="1">
      <c r="A824" s="34"/>
      <c r="B824" s="31"/>
      <c r="C824" s="32"/>
      <c r="D824" s="18" t="s">
        <v>353</v>
      </c>
      <c r="E824" s="19" t="s">
        <v>354</v>
      </c>
      <c r="F824" s="20">
        <v>15.680999999999999</v>
      </c>
      <c r="G824" s="19">
        <v>1863</v>
      </c>
      <c r="H824" s="20">
        <v>309</v>
      </c>
      <c r="I824" s="19" t="s">
        <v>30</v>
      </c>
      <c r="J824" s="20">
        <v>8688</v>
      </c>
      <c r="K824" s="21">
        <v>19887</v>
      </c>
      <c r="L824" s="21">
        <v>11089</v>
      </c>
      <c r="M824" s="21" t="s">
        <v>31</v>
      </c>
      <c r="N824" s="22">
        <v>4.2</v>
      </c>
      <c r="O824" s="23">
        <f t="shared" si="24"/>
        <v>615.76666666666665</v>
      </c>
      <c r="P824" s="46">
        <v>4.1500000000000004</v>
      </c>
      <c r="Q824" s="25" t="s">
        <v>62</v>
      </c>
      <c r="R824" s="26" t="s">
        <v>33</v>
      </c>
      <c r="S824" s="26" t="s">
        <v>355</v>
      </c>
      <c r="T824" s="26"/>
      <c r="U824" s="39"/>
      <c r="V824" s="28">
        <f t="shared" si="25"/>
        <v>101</v>
      </c>
      <c r="W824" s="29"/>
    </row>
    <row r="825" spans="1:23" s="40" customFormat="1" ht="21" customHeight="1">
      <c r="A825" s="30"/>
      <c r="B825" s="31"/>
      <c r="C825" s="32"/>
      <c r="D825" s="18" t="s">
        <v>356</v>
      </c>
      <c r="E825" s="19" t="s">
        <v>260</v>
      </c>
      <c r="F825" s="20">
        <v>9.8390000000000004</v>
      </c>
      <c r="G825" s="19">
        <v>1814</v>
      </c>
      <c r="H825" s="20">
        <v>279</v>
      </c>
      <c r="I825" s="19" t="s">
        <v>324</v>
      </c>
      <c r="J825" s="20">
        <v>8765</v>
      </c>
      <c r="K825" s="21">
        <v>24405</v>
      </c>
      <c r="L825" s="21">
        <v>15530</v>
      </c>
      <c r="M825" s="21" t="s">
        <v>31</v>
      </c>
      <c r="N825" s="45">
        <v>4.2</v>
      </c>
      <c r="O825" s="23">
        <f t="shared" si="24"/>
        <v>615.76666666666665</v>
      </c>
      <c r="P825" s="46">
        <v>4.04</v>
      </c>
      <c r="Q825" s="25" t="s">
        <v>62</v>
      </c>
      <c r="R825" s="26" t="s">
        <v>189</v>
      </c>
      <c r="S825" s="26" t="s">
        <v>274</v>
      </c>
      <c r="T825" s="26"/>
      <c r="U825" s="67"/>
      <c r="V825" s="28">
        <f t="shared" si="25"/>
        <v>103</v>
      </c>
      <c r="W825" s="29"/>
    </row>
    <row r="826" spans="1:23" s="40" customFormat="1" ht="21" customHeight="1">
      <c r="A826" s="34"/>
      <c r="B826" s="31"/>
      <c r="C826" s="32"/>
      <c r="D826" s="18" t="s">
        <v>357</v>
      </c>
      <c r="E826" s="19" t="s">
        <v>242</v>
      </c>
      <c r="F826" s="20">
        <v>9.8390000000000004</v>
      </c>
      <c r="G826" s="19">
        <v>1814</v>
      </c>
      <c r="H826" s="20">
        <v>279</v>
      </c>
      <c r="I826" s="19" t="s">
        <v>278</v>
      </c>
      <c r="J826" s="20">
        <v>8765</v>
      </c>
      <c r="K826" s="21">
        <v>24405</v>
      </c>
      <c r="L826" s="21">
        <v>15530</v>
      </c>
      <c r="M826" s="21" t="s">
        <v>31</v>
      </c>
      <c r="N826" s="22">
        <v>4.2</v>
      </c>
      <c r="O826" s="23">
        <f t="shared" si="24"/>
        <v>615.76666666666665</v>
      </c>
      <c r="P826" s="46">
        <v>4.04</v>
      </c>
      <c r="Q826" s="25" t="s">
        <v>62</v>
      </c>
      <c r="R826" s="26" t="s">
        <v>33</v>
      </c>
      <c r="S826" s="26" t="s">
        <v>277</v>
      </c>
      <c r="T826" s="26"/>
      <c r="U826" s="39"/>
      <c r="V826" s="28">
        <f t="shared" si="25"/>
        <v>103</v>
      </c>
      <c r="W826" s="29"/>
    </row>
    <row r="827" spans="1:23" s="40" customFormat="1" ht="21" customHeight="1">
      <c r="A827" s="30"/>
      <c r="B827" s="31"/>
      <c r="C827" s="32"/>
      <c r="D827" s="18" t="s">
        <v>356</v>
      </c>
      <c r="E827" s="19" t="s">
        <v>260</v>
      </c>
      <c r="F827" s="20">
        <v>9.8390000000000004</v>
      </c>
      <c r="G827" s="19">
        <v>1814</v>
      </c>
      <c r="H827" s="20">
        <v>279</v>
      </c>
      <c r="I827" s="19" t="s">
        <v>261</v>
      </c>
      <c r="J827" s="20">
        <v>8765</v>
      </c>
      <c r="K827" s="21">
        <v>24405</v>
      </c>
      <c r="L827" s="21">
        <v>15530</v>
      </c>
      <c r="M827" s="21" t="s">
        <v>31</v>
      </c>
      <c r="N827" s="45">
        <v>4.1500000000000004</v>
      </c>
      <c r="O827" s="23">
        <f t="shared" si="24"/>
        <v>623.1855421686746</v>
      </c>
      <c r="P827" s="46">
        <v>4.04</v>
      </c>
      <c r="Q827" s="25" t="s">
        <v>77</v>
      </c>
      <c r="R827" s="26" t="s">
        <v>189</v>
      </c>
      <c r="S827" s="26" t="s">
        <v>274</v>
      </c>
      <c r="T827" s="26"/>
      <c r="U827" s="67"/>
      <c r="V827" s="28">
        <f t="shared" si="25"/>
        <v>102</v>
      </c>
      <c r="W827" s="29"/>
    </row>
    <row r="828" spans="1:23" s="40" customFormat="1" ht="21" customHeight="1">
      <c r="A828" s="30"/>
      <c r="B828" s="31"/>
      <c r="C828" s="32"/>
      <c r="D828" s="18" t="s">
        <v>356</v>
      </c>
      <c r="E828" s="19" t="s">
        <v>260</v>
      </c>
      <c r="F828" s="20">
        <v>9.8390000000000004</v>
      </c>
      <c r="G828" s="19">
        <v>1814</v>
      </c>
      <c r="H828" s="20">
        <v>279</v>
      </c>
      <c r="I828" s="19" t="s">
        <v>246</v>
      </c>
      <c r="J828" s="20">
        <v>8765</v>
      </c>
      <c r="K828" s="21">
        <v>24405</v>
      </c>
      <c r="L828" s="21">
        <v>15530</v>
      </c>
      <c r="M828" s="21" t="s">
        <v>31</v>
      </c>
      <c r="N828" s="45">
        <v>4.1500000000000004</v>
      </c>
      <c r="O828" s="23">
        <f t="shared" si="24"/>
        <v>623.1855421686746</v>
      </c>
      <c r="P828" s="46">
        <v>4.04</v>
      </c>
      <c r="Q828" s="25" t="s">
        <v>77</v>
      </c>
      <c r="R828" s="26" t="s">
        <v>189</v>
      </c>
      <c r="S828" s="26" t="s">
        <v>274</v>
      </c>
      <c r="T828" s="26"/>
      <c r="U828" s="67"/>
      <c r="V828" s="28">
        <f t="shared" si="25"/>
        <v>102</v>
      </c>
      <c r="W828" s="29"/>
    </row>
    <row r="829" spans="1:23" s="40" customFormat="1" ht="21" customHeight="1">
      <c r="A829" s="30"/>
      <c r="B829" s="31"/>
      <c r="C829" s="32"/>
      <c r="D829" s="18" t="s">
        <v>356</v>
      </c>
      <c r="E829" s="19" t="s">
        <v>260</v>
      </c>
      <c r="F829" s="20">
        <v>9.8390000000000004</v>
      </c>
      <c r="G829" s="19">
        <v>1814</v>
      </c>
      <c r="H829" s="20">
        <v>279</v>
      </c>
      <c r="I829" s="19" t="s">
        <v>324</v>
      </c>
      <c r="J829" s="20">
        <v>8765</v>
      </c>
      <c r="K829" s="21">
        <v>24405</v>
      </c>
      <c r="L829" s="21">
        <v>15530</v>
      </c>
      <c r="M829" s="21" t="s">
        <v>31</v>
      </c>
      <c r="N829" s="45">
        <v>4.1500000000000004</v>
      </c>
      <c r="O829" s="23">
        <f t="shared" si="24"/>
        <v>623.1855421686746</v>
      </c>
      <c r="P829" s="46">
        <v>4.04</v>
      </c>
      <c r="Q829" s="25" t="s">
        <v>77</v>
      </c>
      <c r="R829" s="26" t="s">
        <v>189</v>
      </c>
      <c r="S829" s="26" t="s">
        <v>274</v>
      </c>
      <c r="T829" s="26"/>
      <c r="U829" s="67"/>
      <c r="V829" s="28">
        <f t="shared" si="25"/>
        <v>102</v>
      </c>
      <c r="W829" s="29"/>
    </row>
    <row r="830" spans="1:23" s="40" customFormat="1" ht="21" customHeight="1">
      <c r="A830" s="34"/>
      <c r="B830" s="31"/>
      <c r="C830" s="32"/>
      <c r="D830" s="18" t="s">
        <v>357</v>
      </c>
      <c r="E830" s="19" t="s">
        <v>242</v>
      </c>
      <c r="F830" s="20">
        <v>9.8390000000000004</v>
      </c>
      <c r="G830" s="19">
        <v>1814</v>
      </c>
      <c r="H830" s="20">
        <v>279</v>
      </c>
      <c r="I830" s="19" t="s">
        <v>243</v>
      </c>
      <c r="J830" s="20">
        <v>8765</v>
      </c>
      <c r="K830" s="21">
        <v>24405</v>
      </c>
      <c r="L830" s="21">
        <v>15530</v>
      </c>
      <c r="M830" s="21" t="s">
        <v>31</v>
      </c>
      <c r="N830" s="22">
        <v>4.1500000000000004</v>
      </c>
      <c r="O830" s="23">
        <f t="shared" si="24"/>
        <v>623.1855421686746</v>
      </c>
      <c r="P830" s="46">
        <v>4.04</v>
      </c>
      <c r="Q830" s="25" t="s">
        <v>77</v>
      </c>
      <c r="R830" s="26" t="s">
        <v>33</v>
      </c>
      <c r="S830" s="26" t="s">
        <v>277</v>
      </c>
      <c r="T830" s="26"/>
      <c r="U830" s="39"/>
      <c r="V830" s="28">
        <f t="shared" si="25"/>
        <v>102</v>
      </c>
      <c r="W830" s="29"/>
    </row>
    <row r="831" spans="1:23" s="40" customFormat="1" ht="21" customHeight="1">
      <c r="A831" s="34"/>
      <c r="B831" s="31"/>
      <c r="C831" s="32"/>
      <c r="D831" s="18" t="s">
        <v>357</v>
      </c>
      <c r="E831" s="19" t="s">
        <v>242</v>
      </c>
      <c r="F831" s="20">
        <v>9.8390000000000004</v>
      </c>
      <c r="G831" s="19">
        <v>1814</v>
      </c>
      <c r="H831" s="20">
        <v>279</v>
      </c>
      <c r="I831" s="19" t="s">
        <v>246</v>
      </c>
      <c r="J831" s="20">
        <v>8765</v>
      </c>
      <c r="K831" s="21">
        <v>24405</v>
      </c>
      <c r="L831" s="21">
        <v>15530</v>
      </c>
      <c r="M831" s="21" t="s">
        <v>31</v>
      </c>
      <c r="N831" s="22">
        <v>4.1500000000000004</v>
      </c>
      <c r="O831" s="23">
        <f t="shared" si="24"/>
        <v>623.1855421686746</v>
      </c>
      <c r="P831" s="46">
        <v>4.04</v>
      </c>
      <c r="Q831" s="25" t="s">
        <v>77</v>
      </c>
      <c r="R831" s="26" t="s">
        <v>33</v>
      </c>
      <c r="S831" s="26" t="s">
        <v>277</v>
      </c>
      <c r="T831" s="26"/>
      <c r="U831" s="39"/>
      <c r="V831" s="28">
        <f t="shared" si="25"/>
        <v>102</v>
      </c>
      <c r="W831" s="29"/>
    </row>
    <row r="832" spans="1:23" s="40" customFormat="1" ht="21" customHeight="1">
      <c r="A832" s="34"/>
      <c r="B832" s="31"/>
      <c r="C832" s="32"/>
      <c r="D832" s="18" t="s">
        <v>357</v>
      </c>
      <c r="E832" s="19" t="s">
        <v>242</v>
      </c>
      <c r="F832" s="20">
        <v>9.8390000000000004</v>
      </c>
      <c r="G832" s="19">
        <v>1814</v>
      </c>
      <c r="H832" s="20">
        <v>279</v>
      </c>
      <c r="I832" s="19" t="s">
        <v>278</v>
      </c>
      <c r="J832" s="20">
        <v>8765</v>
      </c>
      <c r="K832" s="21">
        <v>24405</v>
      </c>
      <c r="L832" s="21">
        <v>15530</v>
      </c>
      <c r="M832" s="21" t="s">
        <v>31</v>
      </c>
      <c r="N832" s="22">
        <v>4.1500000000000004</v>
      </c>
      <c r="O832" s="23">
        <f t="shared" si="24"/>
        <v>623.1855421686746</v>
      </c>
      <c r="P832" s="46">
        <v>4.04</v>
      </c>
      <c r="Q832" s="25" t="s">
        <v>77</v>
      </c>
      <c r="R832" s="26" t="s">
        <v>33</v>
      </c>
      <c r="S832" s="26" t="s">
        <v>277</v>
      </c>
      <c r="T832" s="26"/>
      <c r="U832" s="39"/>
      <c r="V832" s="28">
        <f t="shared" si="25"/>
        <v>102</v>
      </c>
      <c r="W832" s="29"/>
    </row>
    <row r="833" spans="1:23" s="40" customFormat="1" ht="21" customHeight="1">
      <c r="A833" s="30"/>
      <c r="B833" s="31"/>
      <c r="C833" s="32"/>
      <c r="D833" s="18" t="s">
        <v>358</v>
      </c>
      <c r="E833" s="19" t="s">
        <v>260</v>
      </c>
      <c r="F833" s="20">
        <v>9.8390000000000004</v>
      </c>
      <c r="G833" s="19">
        <v>1814</v>
      </c>
      <c r="H833" s="20">
        <v>279</v>
      </c>
      <c r="I833" s="19" t="s">
        <v>324</v>
      </c>
      <c r="J833" s="20">
        <v>8765</v>
      </c>
      <c r="K833" s="21">
        <v>24405</v>
      </c>
      <c r="L833" s="21">
        <v>15530</v>
      </c>
      <c r="M833" s="21" t="s">
        <v>31</v>
      </c>
      <c r="N833" s="45">
        <v>4.2</v>
      </c>
      <c r="O833" s="23">
        <f t="shared" si="24"/>
        <v>615.76666666666665</v>
      </c>
      <c r="P833" s="46">
        <v>4.04</v>
      </c>
      <c r="Q833" s="25" t="s">
        <v>62</v>
      </c>
      <c r="R833" s="26" t="s">
        <v>189</v>
      </c>
      <c r="S833" s="26" t="s">
        <v>274</v>
      </c>
      <c r="T833" s="26"/>
      <c r="U833" s="67"/>
      <c r="V833" s="28">
        <f t="shared" si="25"/>
        <v>103</v>
      </c>
      <c r="W833" s="29"/>
    </row>
    <row r="834" spans="1:23" s="40" customFormat="1" ht="21" customHeight="1">
      <c r="A834" s="34"/>
      <c r="B834" s="31"/>
      <c r="C834" s="32"/>
      <c r="D834" s="18" t="s">
        <v>359</v>
      </c>
      <c r="E834" s="19" t="s">
        <v>242</v>
      </c>
      <c r="F834" s="20">
        <v>9.8390000000000004</v>
      </c>
      <c r="G834" s="19">
        <v>1814</v>
      </c>
      <c r="H834" s="20">
        <v>279</v>
      </c>
      <c r="I834" s="19" t="s">
        <v>278</v>
      </c>
      <c r="J834" s="20">
        <v>8765</v>
      </c>
      <c r="K834" s="21">
        <v>24405</v>
      </c>
      <c r="L834" s="21">
        <v>15530</v>
      </c>
      <c r="M834" s="21" t="s">
        <v>31</v>
      </c>
      <c r="N834" s="22">
        <v>4.2</v>
      </c>
      <c r="O834" s="23">
        <f t="shared" si="24"/>
        <v>615.76666666666665</v>
      </c>
      <c r="P834" s="46">
        <v>4.04</v>
      </c>
      <c r="Q834" s="25" t="s">
        <v>62</v>
      </c>
      <c r="R834" s="26" t="s">
        <v>33</v>
      </c>
      <c r="S834" s="26" t="s">
        <v>277</v>
      </c>
      <c r="T834" s="26"/>
      <c r="U834" s="39"/>
      <c r="V834" s="28">
        <f t="shared" si="25"/>
        <v>103</v>
      </c>
      <c r="W834" s="29"/>
    </row>
    <row r="835" spans="1:23" s="40" customFormat="1" ht="21" customHeight="1">
      <c r="A835" s="30"/>
      <c r="B835" s="31"/>
      <c r="C835" s="32"/>
      <c r="D835" s="18" t="s">
        <v>358</v>
      </c>
      <c r="E835" s="19" t="s">
        <v>260</v>
      </c>
      <c r="F835" s="20">
        <v>9.8390000000000004</v>
      </c>
      <c r="G835" s="19">
        <v>1814</v>
      </c>
      <c r="H835" s="20">
        <v>279</v>
      </c>
      <c r="I835" s="19" t="s">
        <v>261</v>
      </c>
      <c r="J835" s="20">
        <v>8765</v>
      </c>
      <c r="K835" s="21">
        <v>24405</v>
      </c>
      <c r="L835" s="21">
        <v>15530</v>
      </c>
      <c r="M835" s="21" t="s">
        <v>31</v>
      </c>
      <c r="N835" s="45">
        <v>4.1500000000000004</v>
      </c>
      <c r="O835" s="23">
        <f t="shared" si="24"/>
        <v>623.1855421686746</v>
      </c>
      <c r="P835" s="46">
        <v>4.04</v>
      </c>
      <c r="Q835" s="25" t="s">
        <v>77</v>
      </c>
      <c r="R835" s="26" t="s">
        <v>189</v>
      </c>
      <c r="S835" s="26" t="s">
        <v>274</v>
      </c>
      <c r="T835" s="26"/>
      <c r="U835" s="67"/>
      <c r="V835" s="28">
        <f t="shared" si="25"/>
        <v>102</v>
      </c>
      <c r="W835" s="29"/>
    </row>
    <row r="836" spans="1:23" s="40" customFormat="1" ht="21" customHeight="1">
      <c r="A836" s="30"/>
      <c r="B836" s="31"/>
      <c r="C836" s="32"/>
      <c r="D836" s="18" t="s">
        <v>358</v>
      </c>
      <c r="E836" s="19" t="s">
        <v>260</v>
      </c>
      <c r="F836" s="20">
        <v>9.8390000000000004</v>
      </c>
      <c r="G836" s="19">
        <v>1814</v>
      </c>
      <c r="H836" s="20">
        <v>279</v>
      </c>
      <c r="I836" s="19" t="s">
        <v>246</v>
      </c>
      <c r="J836" s="20">
        <v>8765</v>
      </c>
      <c r="K836" s="21">
        <v>24405</v>
      </c>
      <c r="L836" s="21">
        <v>15530</v>
      </c>
      <c r="M836" s="21" t="s">
        <v>31</v>
      </c>
      <c r="N836" s="45">
        <v>4.1500000000000004</v>
      </c>
      <c r="O836" s="23">
        <f t="shared" si="24"/>
        <v>623.1855421686746</v>
      </c>
      <c r="P836" s="46">
        <v>4.04</v>
      </c>
      <c r="Q836" s="25" t="s">
        <v>77</v>
      </c>
      <c r="R836" s="26" t="s">
        <v>189</v>
      </c>
      <c r="S836" s="26" t="s">
        <v>274</v>
      </c>
      <c r="T836" s="26"/>
      <c r="U836" s="67"/>
      <c r="V836" s="28">
        <f t="shared" si="25"/>
        <v>102</v>
      </c>
      <c r="W836" s="29"/>
    </row>
    <row r="837" spans="1:23" s="40" customFormat="1" ht="21" customHeight="1">
      <c r="A837" s="30"/>
      <c r="B837" s="31"/>
      <c r="C837" s="32"/>
      <c r="D837" s="18" t="s">
        <v>358</v>
      </c>
      <c r="E837" s="19" t="s">
        <v>260</v>
      </c>
      <c r="F837" s="20">
        <v>9.8390000000000004</v>
      </c>
      <c r="G837" s="19">
        <v>1814</v>
      </c>
      <c r="H837" s="20">
        <v>279</v>
      </c>
      <c r="I837" s="19" t="s">
        <v>324</v>
      </c>
      <c r="J837" s="20">
        <v>8765</v>
      </c>
      <c r="K837" s="21">
        <v>24405</v>
      </c>
      <c r="L837" s="21">
        <v>15530</v>
      </c>
      <c r="M837" s="21" t="s">
        <v>31</v>
      </c>
      <c r="N837" s="45">
        <v>4.1500000000000004</v>
      </c>
      <c r="O837" s="23">
        <f t="shared" si="24"/>
        <v>623.1855421686746</v>
      </c>
      <c r="P837" s="46">
        <v>4.04</v>
      </c>
      <c r="Q837" s="25" t="s">
        <v>77</v>
      </c>
      <c r="R837" s="26" t="s">
        <v>189</v>
      </c>
      <c r="S837" s="26" t="s">
        <v>274</v>
      </c>
      <c r="T837" s="26"/>
      <c r="U837" s="67"/>
      <c r="V837" s="28">
        <f t="shared" si="25"/>
        <v>102</v>
      </c>
      <c r="W837" s="29"/>
    </row>
    <row r="838" spans="1:23" s="40" customFormat="1" ht="21" customHeight="1">
      <c r="A838" s="34"/>
      <c r="B838" s="31"/>
      <c r="C838" s="32"/>
      <c r="D838" s="18" t="s">
        <v>359</v>
      </c>
      <c r="E838" s="19" t="s">
        <v>242</v>
      </c>
      <c r="F838" s="20">
        <v>9.8390000000000004</v>
      </c>
      <c r="G838" s="19">
        <v>1814</v>
      </c>
      <c r="H838" s="20">
        <v>279</v>
      </c>
      <c r="I838" s="19" t="s">
        <v>243</v>
      </c>
      <c r="J838" s="20">
        <v>8765</v>
      </c>
      <c r="K838" s="21">
        <v>24405</v>
      </c>
      <c r="L838" s="21">
        <v>15530</v>
      </c>
      <c r="M838" s="21" t="s">
        <v>31</v>
      </c>
      <c r="N838" s="22">
        <v>4.1500000000000004</v>
      </c>
      <c r="O838" s="23">
        <f t="shared" si="24"/>
        <v>623.1855421686746</v>
      </c>
      <c r="P838" s="46">
        <v>4.04</v>
      </c>
      <c r="Q838" s="25" t="s">
        <v>77</v>
      </c>
      <c r="R838" s="26" t="s">
        <v>33</v>
      </c>
      <c r="S838" s="26" t="s">
        <v>277</v>
      </c>
      <c r="T838" s="26"/>
      <c r="U838" s="39"/>
      <c r="V838" s="28">
        <f t="shared" si="25"/>
        <v>102</v>
      </c>
      <c r="W838" s="29"/>
    </row>
    <row r="839" spans="1:23" s="40" customFormat="1" ht="21" customHeight="1">
      <c r="A839" s="34"/>
      <c r="B839" s="31"/>
      <c r="C839" s="32"/>
      <c r="D839" s="18" t="s">
        <v>359</v>
      </c>
      <c r="E839" s="19" t="s">
        <v>242</v>
      </c>
      <c r="F839" s="20">
        <v>9.8390000000000004</v>
      </c>
      <c r="G839" s="19">
        <v>1814</v>
      </c>
      <c r="H839" s="20">
        <v>279</v>
      </c>
      <c r="I839" s="19" t="s">
        <v>246</v>
      </c>
      <c r="J839" s="20">
        <v>8765</v>
      </c>
      <c r="K839" s="21">
        <v>24405</v>
      </c>
      <c r="L839" s="21">
        <v>15530</v>
      </c>
      <c r="M839" s="21" t="s">
        <v>31</v>
      </c>
      <c r="N839" s="22">
        <v>4.1500000000000004</v>
      </c>
      <c r="O839" s="23">
        <f t="shared" si="24"/>
        <v>623.1855421686746</v>
      </c>
      <c r="P839" s="46">
        <v>4.04</v>
      </c>
      <c r="Q839" s="25" t="s">
        <v>77</v>
      </c>
      <c r="R839" s="26" t="s">
        <v>33</v>
      </c>
      <c r="S839" s="26" t="s">
        <v>277</v>
      </c>
      <c r="T839" s="26"/>
      <c r="U839" s="39"/>
      <c r="V839" s="28">
        <f t="shared" si="25"/>
        <v>102</v>
      </c>
      <c r="W839" s="29"/>
    </row>
    <row r="840" spans="1:23" s="40" customFormat="1" ht="21" customHeight="1">
      <c r="A840" s="34"/>
      <c r="B840" s="31"/>
      <c r="C840" s="32"/>
      <c r="D840" s="18" t="s">
        <v>359</v>
      </c>
      <c r="E840" s="19" t="s">
        <v>242</v>
      </c>
      <c r="F840" s="20">
        <v>9.8390000000000004</v>
      </c>
      <c r="G840" s="19">
        <v>1814</v>
      </c>
      <c r="H840" s="20">
        <v>279</v>
      </c>
      <c r="I840" s="19" t="s">
        <v>278</v>
      </c>
      <c r="J840" s="20">
        <v>8765</v>
      </c>
      <c r="K840" s="21">
        <v>24405</v>
      </c>
      <c r="L840" s="21">
        <v>15530</v>
      </c>
      <c r="M840" s="21" t="s">
        <v>31</v>
      </c>
      <c r="N840" s="22">
        <v>4.1500000000000004</v>
      </c>
      <c r="O840" s="23">
        <f t="shared" si="24"/>
        <v>623.1855421686746</v>
      </c>
      <c r="P840" s="46">
        <v>4.04</v>
      </c>
      <c r="Q840" s="25" t="s">
        <v>77</v>
      </c>
      <c r="R840" s="26" t="s">
        <v>33</v>
      </c>
      <c r="S840" s="26" t="s">
        <v>277</v>
      </c>
      <c r="T840" s="26"/>
      <c r="U840" s="39"/>
      <c r="V840" s="28">
        <f t="shared" si="25"/>
        <v>102</v>
      </c>
      <c r="W840" s="29"/>
    </row>
    <row r="841" spans="1:23" s="40" customFormat="1" ht="21" customHeight="1">
      <c r="A841" s="30"/>
      <c r="B841" s="31"/>
      <c r="C841" s="32"/>
      <c r="D841" s="18" t="s">
        <v>360</v>
      </c>
      <c r="E841" s="19" t="s">
        <v>260</v>
      </c>
      <c r="F841" s="20">
        <v>9.8390000000000004</v>
      </c>
      <c r="G841" s="19">
        <v>1814</v>
      </c>
      <c r="H841" s="20">
        <v>279</v>
      </c>
      <c r="I841" s="19" t="s">
        <v>261</v>
      </c>
      <c r="J841" s="20">
        <v>8765</v>
      </c>
      <c r="K841" s="21">
        <v>24405</v>
      </c>
      <c r="L841" s="21">
        <v>15530</v>
      </c>
      <c r="M841" s="21" t="s">
        <v>31</v>
      </c>
      <c r="N841" s="45">
        <v>4.1500000000000004</v>
      </c>
      <c r="O841" s="23">
        <f t="shared" ref="O841:O904" si="26">IF(N841&gt;0,1/N841*37.7*68.6,"")</f>
        <v>623.1855421686746</v>
      </c>
      <c r="P841" s="46">
        <v>4.04</v>
      </c>
      <c r="Q841" s="25" t="s">
        <v>77</v>
      </c>
      <c r="R841" s="26" t="s">
        <v>189</v>
      </c>
      <c r="S841" s="26" t="s">
        <v>264</v>
      </c>
      <c r="T841" s="26"/>
      <c r="U841" s="67"/>
      <c r="V841" s="28">
        <f t="shared" ref="V841:V904" si="27">IFERROR(IF(N841&lt;P841,"",(ROUNDDOWN(N841/P841*100,0))),"")</f>
        <v>102</v>
      </c>
      <c r="W841" s="29"/>
    </row>
    <row r="842" spans="1:23" s="40" customFormat="1" ht="21" customHeight="1">
      <c r="A842" s="30"/>
      <c r="B842" s="31"/>
      <c r="C842" s="32"/>
      <c r="D842" s="18" t="s">
        <v>360</v>
      </c>
      <c r="E842" s="19" t="s">
        <v>260</v>
      </c>
      <c r="F842" s="20">
        <v>9.8390000000000004</v>
      </c>
      <c r="G842" s="19">
        <v>1814</v>
      </c>
      <c r="H842" s="20">
        <v>279</v>
      </c>
      <c r="I842" s="19" t="s">
        <v>246</v>
      </c>
      <c r="J842" s="20">
        <v>8765</v>
      </c>
      <c r="K842" s="21">
        <v>24405</v>
      </c>
      <c r="L842" s="21">
        <v>15530</v>
      </c>
      <c r="M842" s="21" t="s">
        <v>31</v>
      </c>
      <c r="N842" s="45">
        <v>4.1500000000000004</v>
      </c>
      <c r="O842" s="23">
        <f t="shared" si="26"/>
        <v>623.1855421686746</v>
      </c>
      <c r="P842" s="46">
        <v>4.04</v>
      </c>
      <c r="Q842" s="25" t="s">
        <v>77</v>
      </c>
      <c r="R842" s="26" t="s">
        <v>189</v>
      </c>
      <c r="S842" s="26" t="s">
        <v>264</v>
      </c>
      <c r="T842" s="26"/>
      <c r="U842" s="67"/>
      <c r="V842" s="28">
        <f t="shared" si="27"/>
        <v>102</v>
      </c>
      <c r="W842" s="29"/>
    </row>
    <row r="843" spans="1:23" s="40" customFormat="1" ht="21" customHeight="1">
      <c r="A843" s="30"/>
      <c r="B843" s="31"/>
      <c r="C843" s="32"/>
      <c r="D843" s="18" t="s">
        <v>361</v>
      </c>
      <c r="E843" s="19" t="s">
        <v>260</v>
      </c>
      <c r="F843" s="20">
        <v>9.8390000000000004</v>
      </c>
      <c r="G843" s="19">
        <v>1814</v>
      </c>
      <c r="H843" s="20">
        <v>279</v>
      </c>
      <c r="I843" s="19" t="s">
        <v>261</v>
      </c>
      <c r="J843" s="20">
        <v>8765</v>
      </c>
      <c r="K843" s="21">
        <v>24405</v>
      </c>
      <c r="L843" s="21">
        <v>15530</v>
      </c>
      <c r="M843" s="21" t="s">
        <v>31</v>
      </c>
      <c r="N843" s="45">
        <v>4.1500000000000004</v>
      </c>
      <c r="O843" s="23">
        <f t="shared" si="26"/>
        <v>623.1855421686746</v>
      </c>
      <c r="P843" s="46">
        <v>4.04</v>
      </c>
      <c r="Q843" s="25" t="s">
        <v>77</v>
      </c>
      <c r="R843" s="26" t="s">
        <v>189</v>
      </c>
      <c r="S843" s="26" t="s">
        <v>328</v>
      </c>
      <c r="T843" s="26"/>
      <c r="U843" s="67"/>
      <c r="V843" s="28">
        <f t="shared" si="27"/>
        <v>102</v>
      </c>
      <c r="W843" s="29"/>
    </row>
    <row r="844" spans="1:23" s="40" customFormat="1" ht="21" customHeight="1">
      <c r="A844" s="30"/>
      <c r="B844" s="31"/>
      <c r="C844" s="32"/>
      <c r="D844" s="18" t="s">
        <v>361</v>
      </c>
      <c r="E844" s="19" t="s">
        <v>260</v>
      </c>
      <c r="F844" s="20">
        <v>9.8390000000000004</v>
      </c>
      <c r="G844" s="19">
        <v>1814</v>
      </c>
      <c r="H844" s="20">
        <v>279</v>
      </c>
      <c r="I844" s="19" t="s">
        <v>246</v>
      </c>
      <c r="J844" s="20">
        <v>8765</v>
      </c>
      <c r="K844" s="21">
        <v>24405</v>
      </c>
      <c r="L844" s="21">
        <v>15530</v>
      </c>
      <c r="M844" s="21" t="s">
        <v>31</v>
      </c>
      <c r="N844" s="45">
        <v>4.1500000000000004</v>
      </c>
      <c r="O844" s="23">
        <f t="shared" si="26"/>
        <v>623.1855421686746</v>
      </c>
      <c r="P844" s="46">
        <v>4.04</v>
      </c>
      <c r="Q844" s="25" t="s">
        <v>77</v>
      </c>
      <c r="R844" s="26" t="s">
        <v>189</v>
      </c>
      <c r="S844" s="26" t="s">
        <v>328</v>
      </c>
      <c r="T844" s="26"/>
      <c r="U844" s="67"/>
      <c r="V844" s="28">
        <f t="shared" si="27"/>
        <v>102</v>
      </c>
      <c r="W844" s="29"/>
    </row>
    <row r="845" spans="1:23" s="40" customFormat="1" ht="21" customHeight="1">
      <c r="A845" s="30"/>
      <c r="B845" s="31"/>
      <c r="C845" s="32"/>
      <c r="D845" s="18" t="s">
        <v>362</v>
      </c>
      <c r="E845" s="21" t="s">
        <v>260</v>
      </c>
      <c r="F845" s="20">
        <v>9.8390000000000004</v>
      </c>
      <c r="G845" s="19">
        <v>1814</v>
      </c>
      <c r="H845" s="20">
        <v>279</v>
      </c>
      <c r="I845" s="19" t="s">
        <v>261</v>
      </c>
      <c r="J845" s="20">
        <v>8765</v>
      </c>
      <c r="K845" s="21">
        <v>24405</v>
      </c>
      <c r="L845" s="21">
        <v>15530</v>
      </c>
      <c r="M845" s="21" t="s">
        <v>31</v>
      </c>
      <c r="N845" s="45">
        <v>4.1500000000000004</v>
      </c>
      <c r="O845" s="23">
        <f t="shared" si="26"/>
        <v>623.1855421686746</v>
      </c>
      <c r="P845" s="46">
        <v>4.04</v>
      </c>
      <c r="Q845" s="25" t="s">
        <v>77</v>
      </c>
      <c r="R845" s="26" t="s">
        <v>189</v>
      </c>
      <c r="S845" s="26" t="s">
        <v>328</v>
      </c>
      <c r="T845" s="26"/>
      <c r="U845" s="67"/>
      <c r="V845" s="28">
        <f t="shared" si="27"/>
        <v>102</v>
      </c>
      <c r="W845" s="29"/>
    </row>
    <row r="846" spans="1:23" s="40" customFormat="1" ht="21" customHeight="1">
      <c r="A846" s="30"/>
      <c r="B846" s="31"/>
      <c r="C846" s="32"/>
      <c r="D846" s="18" t="s">
        <v>362</v>
      </c>
      <c r="E846" s="21" t="s">
        <v>260</v>
      </c>
      <c r="F846" s="20">
        <v>9.8390000000000004</v>
      </c>
      <c r="G846" s="19">
        <v>1814</v>
      </c>
      <c r="H846" s="20">
        <v>279</v>
      </c>
      <c r="I846" s="19" t="s">
        <v>246</v>
      </c>
      <c r="J846" s="20">
        <v>8765</v>
      </c>
      <c r="K846" s="21">
        <v>24405</v>
      </c>
      <c r="L846" s="21">
        <v>15530</v>
      </c>
      <c r="M846" s="21" t="s">
        <v>31</v>
      </c>
      <c r="N846" s="45">
        <v>4.1500000000000004</v>
      </c>
      <c r="O846" s="23">
        <f t="shared" si="26"/>
        <v>623.1855421686746</v>
      </c>
      <c r="P846" s="46">
        <v>4.04</v>
      </c>
      <c r="Q846" s="25" t="s">
        <v>77</v>
      </c>
      <c r="R846" s="26" t="s">
        <v>189</v>
      </c>
      <c r="S846" s="26" t="s">
        <v>328</v>
      </c>
      <c r="T846" s="26"/>
      <c r="U846" s="67"/>
      <c r="V846" s="28">
        <f t="shared" si="27"/>
        <v>102</v>
      </c>
      <c r="W846" s="29"/>
    </row>
    <row r="847" spans="1:23" s="40" customFormat="1" ht="21" customHeight="1">
      <c r="A847" s="30"/>
      <c r="B847" s="31"/>
      <c r="C847" s="32"/>
      <c r="D847" s="18" t="s">
        <v>363</v>
      </c>
      <c r="E847" s="21" t="s">
        <v>260</v>
      </c>
      <c r="F847" s="20">
        <v>9.8390000000000004</v>
      </c>
      <c r="G847" s="19">
        <v>1814</v>
      </c>
      <c r="H847" s="20">
        <v>279</v>
      </c>
      <c r="I847" s="19" t="s">
        <v>261</v>
      </c>
      <c r="J847" s="20">
        <v>8765</v>
      </c>
      <c r="K847" s="21">
        <v>24405</v>
      </c>
      <c r="L847" s="21">
        <v>15530</v>
      </c>
      <c r="M847" s="21" t="s">
        <v>31</v>
      </c>
      <c r="N847" s="45">
        <v>4.1500000000000004</v>
      </c>
      <c r="O847" s="23">
        <f t="shared" si="26"/>
        <v>623.1855421686746</v>
      </c>
      <c r="P847" s="46">
        <v>4.04</v>
      </c>
      <c r="Q847" s="25" t="s">
        <v>77</v>
      </c>
      <c r="R847" s="26" t="s">
        <v>189</v>
      </c>
      <c r="S847" s="26" t="s">
        <v>328</v>
      </c>
      <c r="T847" s="26"/>
      <c r="U847" s="67"/>
      <c r="V847" s="28">
        <f t="shared" si="27"/>
        <v>102</v>
      </c>
      <c r="W847" s="29"/>
    </row>
    <row r="848" spans="1:23" s="40" customFormat="1" ht="21" customHeight="1">
      <c r="A848" s="30"/>
      <c r="B848" s="31"/>
      <c r="C848" s="32"/>
      <c r="D848" s="18" t="s">
        <v>363</v>
      </c>
      <c r="E848" s="21" t="s">
        <v>260</v>
      </c>
      <c r="F848" s="20">
        <v>9.8390000000000004</v>
      </c>
      <c r="G848" s="19">
        <v>1814</v>
      </c>
      <c r="H848" s="20">
        <v>279</v>
      </c>
      <c r="I848" s="19" t="s">
        <v>246</v>
      </c>
      <c r="J848" s="20">
        <v>8765</v>
      </c>
      <c r="K848" s="21">
        <v>24405</v>
      </c>
      <c r="L848" s="21">
        <v>15530</v>
      </c>
      <c r="M848" s="21" t="s">
        <v>31</v>
      </c>
      <c r="N848" s="45">
        <v>4.1500000000000004</v>
      </c>
      <c r="O848" s="23">
        <f t="shared" si="26"/>
        <v>623.1855421686746</v>
      </c>
      <c r="P848" s="46">
        <v>4.04</v>
      </c>
      <c r="Q848" s="25" t="s">
        <v>77</v>
      </c>
      <c r="R848" s="26" t="s">
        <v>189</v>
      </c>
      <c r="S848" s="26" t="s">
        <v>328</v>
      </c>
      <c r="T848" s="26"/>
      <c r="U848" s="67"/>
      <c r="V848" s="28">
        <f t="shared" si="27"/>
        <v>102</v>
      </c>
      <c r="W848" s="29"/>
    </row>
    <row r="849" spans="1:23" s="40" customFormat="1" ht="21" customHeight="1">
      <c r="A849" s="30"/>
      <c r="B849" s="31"/>
      <c r="C849" s="32"/>
      <c r="D849" s="18" t="s">
        <v>364</v>
      </c>
      <c r="E849" s="21" t="s">
        <v>260</v>
      </c>
      <c r="F849" s="20">
        <v>9.8390000000000004</v>
      </c>
      <c r="G849" s="19">
        <v>1814</v>
      </c>
      <c r="H849" s="20">
        <v>279</v>
      </c>
      <c r="I849" s="19" t="s">
        <v>261</v>
      </c>
      <c r="J849" s="20">
        <v>8765</v>
      </c>
      <c r="K849" s="21">
        <v>24405</v>
      </c>
      <c r="L849" s="21">
        <v>15530</v>
      </c>
      <c r="M849" s="21" t="s">
        <v>31</v>
      </c>
      <c r="N849" s="45">
        <v>4.1500000000000004</v>
      </c>
      <c r="O849" s="23">
        <f t="shared" si="26"/>
        <v>623.1855421686746</v>
      </c>
      <c r="P849" s="46">
        <v>4.04</v>
      </c>
      <c r="Q849" s="25" t="s">
        <v>77</v>
      </c>
      <c r="R849" s="26" t="s">
        <v>189</v>
      </c>
      <c r="S849" s="26" t="s">
        <v>328</v>
      </c>
      <c r="T849" s="26"/>
      <c r="U849" s="67"/>
      <c r="V849" s="28">
        <f t="shared" si="27"/>
        <v>102</v>
      </c>
      <c r="W849" s="29"/>
    </row>
    <row r="850" spans="1:23" s="40" customFormat="1" ht="21" customHeight="1">
      <c r="A850" s="30"/>
      <c r="B850" s="31"/>
      <c r="C850" s="32"/>
      <c r="D850" s="18" t="s">
        <v>364</v>
      </c>
      <c r="E850" s="21" t="s">
        <v>260</v>
      </c>
      <c r="F850" s="20">
        <v>9.8390000000000004</v>
      </c>
      <c r="G850" s="19">
        <v>1814</v>
      </c>
      <c r="H850" s="20">
        <v>279</v>
      </c>
      <c r="I850" s="19" t="s">
        <v>246</v>
      </c>
      <c r="J850" s="20">
        <v>8765</v>
      </c>
      <c r="K850" s="21">
        <v>24405</v>
      </c>
      <c r="L850" s="21">
        <v>15530</v>
      </c>
      <c r="M850" s="21" t="s">
        <v>31</v>
      </c>
      <c r="N850" s="45">
        <v>4.1500000000000004</v>
      </c>
      <c r="O850" s="23">
        <f t="shared" si="26"/>
        <v>623.1855421686746</v>
      </c>
      <c r="P850" s="46">
        <v>4.04</v>
      </c>
      <c r="Q850" s="25" t="s">
        <v>77</v>
      </c>
      <c r="R850" s="26" t="s">
        <v>189</v>
      </c>
      <c r="S850" s="26" t="s">
        <v>328</v>
      </c>
      <c r="T850" s="26"/>
      <c r="U850" s="67"/>
      <c r="V850" s="28">
        <f t="shared" si="27"/>
        <v>102</v>
      </c>
      <c r="W850" s="29"/>
    </row>
    <row r="851" spans="1:23" s="40" customFormat="1" ht="21" customHeight="1">
      <c r="A851" s="30"/>
      <c r="B851" s="31"/>
      <c r="C851" s="32"/>
      <c r="D851" s="18" t="s">
        <v>365</v>
      </c>
      <c r="E851" s="21" t="s">
        <v>260</v>
      </c>
      <c r="F851" s="20">
        <v>9.8390000000000004</v>
      </c>
      <c r="G851" s="19">
        <v>1814</v>
      </c>
      <c r="H851" s="20">
        <v>279</v>
      </c>
      <c r="I851" s="19" t="s">
        <v>261</v>
      </c>
      <c r="J851" s="20">
        <v>8765</v>
      </c>
      <c r="K851" s="21">
        <v>24405</v>
      </c>
      <c r="L851" s="21">
        <v>15530</v>
      </c>
      <c r="M851" s="21" t="s">
        <v>31</v>
      </c>
      <c r="N851" s="45">
        <v>4.1500000000000004</v>
      </c>
      <c r="O851" s="23">
        <f t="shared" si="26"/>
        <v>623.1855421686746</v>
      </c>
      <c r="P851" s="46">
        <v>4.04</v>
      </c>
      <c r="Q851" s="25" t="s">
        <v>77</v>
      </c>
      <c r="R851" s="26" t="s">
        <v>189</v>
      </c>
      <c r="S851" s="26" t="s">
        <v>328</v>
      </c>
      <c r="T851" s="26"/>
      <c r="U851" s="67"/>
      <c r="V851" s="28">
        <f t="shared" si="27"/>
        <v>102</v>
      </c>
      <c r="W851" s="29"/>
    </row>
    <row r="852" spans="1:23" s="40" customFormat="1" ht="21" customHeight="1">
      <c r="A852" s="30"/>
      <c r="B852" s="31"/>
      <c r="C852" s="32"/>
      <c r="D852" s="18" t="s">
        <v>365</v>
      </c>
      <c r="E852" s="21" t="s">
        <v>260</v>
      </c>
      <c r="F852" s="20">
        <v>9.8390000000000004</v>
      </c>
      <c r="G852" s="19">
        <v>1814</v>
      </c>
      <c r="H852" s="20">
        <v>279</v>
      </c>
      <c r="I852" s="19" t="s">
        <v>246</v>
      </c>
      <c r="J852" s="20">
        <v>8765</v>
      </c>
      <c r="K852" s="21">
        <v>24405</v>
      </c>
      <c r="L852" s="21">
        <v>15530</v>
      </c>
      <c r="M852" s="21" t="s">
        <v>31</v>
      </c>
      <c r="N852" s="45">
        <v>4.1500000000000004</v>
      </c>
      <c r="O852" s="23">
        <f t="shared" si="26"/>
        <v>623.1855421686746</v>
      </c>
      <c r="P852" s="46">
        <v>4.04</v>
      </c>
      <c r="Q852" s="25" t="s">
        <v>77</v>
      </c>
      <c r="R852" s="26" t="s">
        <v>189</v>
      </c>
      <c r="S852" s="26" t="s">
        <v>328</v>
      </c>
      <c r="T852" s="26"/>
      <c r="U852" s="67"/>
      <c r="V852" s="28">
        <f t="shared" si="27"/>
        <v>102</v>
      </c>
      <c r="W852" s="29"/>
    </row>
    <row r="853" spans="1:23" s="40" customFormat="1" ht="21" customHeight="1">
      <c r="A853" s="30"/>
      <c r="B853" s="31"/>
      <c r="C853" s="32"/>
      <c r="D853" s="18" t="s">
        <v>366</v>
      </c>
      <c r="E853" s="21" t="s">
        <v>260</v>
      </c>
      <c r="F853" s="20">
        <v>9.8390000000000004</v>
      </c>
      <c r="G853" s="19">
        <v>1814</v>
      </c>
      <c r="H853" s="20">
        <v>279</v>
      </c>
      <c r="I853" s="19" t="s">
        <v>261</v>
      </c>
      <c r="J853" s="20">
        <v>8765</v>
      </c>
      <c r="K853" s="21">
        <v>24405</v>
      </c>
      <c r="L853" s="21">
        <v>15530</v>
      </c>
      <c r="M853" s="21" t="s">
        <v>31</v>
      </c>
      <c r="N853" s="45">
        <v>4.1500000000000004</v>
      </c>
      <c r="O853" s="23">
        <f t="shared" si="26"/>
        <v>623.1855421686746</v>
      </c>
      <c r="P853" s="46">
        <v>4.04</v>
      </c>
      <c r="Q853" s="25" t="s">
        <v>77</v>
      </c>
      <c r="R853" s="26" t="s">
        <v>189</v>
      </c>
      <c r="S853" s="26" t="s">
        <v>270</v>
      </c>
      <c r="T853" s="26"/>
      <c r="U853" s="67"/>
      <c r="V853" s="28">
        <f t="shared" si="27"/>
        <v>102</v>
      </c>
      <c r="W853" s="29"/>
    </row>
    <row r="854" spans="1:23" s="40" customFormat="1" ht="21" customHeight="1">
      <c r="A854" s="30"/>
      <c r="B854" s="31"/>
      <c r="C854" s="32"/>
      <c r="D854" s="18" t="s">
        <v>366</v>
      </c>
      <c r="E854" s="21" t="s">
        <v>260</v>
      </c>
      <c r="F854" s="20">
        <v>9.8390000000000004</v>
      </c>
      <c r="G854" s="19">
        <v>1814</v>
      </c>
      <c r="H854" s="20">
        <v>279</v>
      </c>
      <c r="I854" s="19" t="s">
        <v>261</v>
      </c>
      <c r="J854" s="20">
        <v>8765</v>
      </c>
      <c r="K854" s="21">
        <v>24405</v>
      </c>
      <c r="L854" s="21">
        <v>15530</v>
      </c>
      <c r="M854" s="21" t="s">
        <v>31</v>
      </c>
      <c r="N854" s="45">
        <v>4.1500000000000004</v>
      </c>
      <c r="O854" s="23">
        <f t="shared" si="26"/>
        <v>623.1855421686746</v>
      </c>
      <c r="P854" s="46">
        <v>4.04</v>
      </c>
      <c r="Q854" s="25" t="s">
        <v>77</v>
      </c>
      <c r="R854" s="26" t="s">
        <v>189</v>
      </c>
      <c r="S854" s="26" t="s">
        <v>272</v>
      </c>
      <c r="T854" s="26"/>
      <c r="U854" s="67"/>
      <c r="V854" s="28">
        <f t="shared" si="27"/>
        <v>102</v>
      </c>
      <c r="W854" s="29"/>
    </row>
    <row r="855" spans="1:23" s="40" customFormat="1" ht="21" customHeight="1">
      <c r="A855" s="30"/>
      <c r="B855" s="31"/>
      <c r="C855" s="32"/>
      <c r="D855" s="18" t="s">
        <v>366</v>
      </c>
      <c r="E855" s="21" t="s">
        <v>260</v>
      </c>
      <c r="F855" s="20">
        <v>9.8390000000000004</v>
      </c>
      <c r="G855" s="19">
        <v>1814</v>
      </c>
      <c r="H855" s="20">
        <v>279</v>
      </c>
      <c r="I855" s="19" t="s">
        <v>246</v>
      </c>
      <c r="J855" s="20">
        <v>8765</v>
      </c>
      <c r="K855" s="21">
        <v>24405</v>
      </c>
      <c r="L855" s="21">
        <v>15530</v>
      </c>
      <c r="M855" s="21" t="s">
        <v>31</v>
      </c>
      <c r="N855" s="45">
        <v>4.1500000000000004</v>
      </c>
      <c r="O855" s="23">
        <f t="shared" si="26"/>
        <v>623.1855421686746</v>
      </c>
      <c r="P855" s="46">
        <v>4.04</v>
      </c>
      <c r="Q855" s="25" t="s">
        <v>77</v>
      </c>
      <c r="R855" s="26" t="s">
        <v>189</v>
      </c>
      <c r="S855" s="26" t="s">
        <v>270</v>
      </c>
      <c r="T855" s="26"/>
      <c r="U855" s="67"/>
      <c r="V855" s="28">
        <f t="shared" si="27"/>
        <v>102</v>
      </c>
      <c r="W855" s="29"/>
    </row>
    <row r="856" spans="1:23" s="40" customFormat="1" ht="21" customHeight="1">
      <c r="A856" s="30"/>
      <c r="B856" s="31"/>
      <c r="C856" s="32"/>
      <c r="D856" s="18" t="s">
        <v>366</v>
      </c>
      <c r="E856" s="21" t="s">
        <v>260</v>
      </c>
      <c r="F856" s="20">
        <v>9.8390000000000004</v>
      </c>
      <c r="G856" s="19">
        <v>1814</v>
      </c>
      <c r="H856" s="20">
        <v>279</v>
      </c>
      <c r="I856" s="19" t="s">
        <v>246</v>
      </c>
      <c r="J856" s="20">
        <v>8765</v>
      </c>
      <c r="K856" s="21">
        <v>24405</v>
      </c>
      <c r="L856" s="21">
        <v>15530</v>
      </c>
      <c r="M856" s="21" t="s">
        <v>31</v>
      </c>
      <c r="N856" s="45">
        <v>4.1500000000000004</v>
      </c>
      <c r="O856" s="23">
        <f t="shared" si="26"/>
        <v>623.1855421686746</v>
      </c>
      <c r="P856" s="46">
        <v>4.04</v>
      </c>
      <c r="Q856" s="25" t="s">
        <v>77</v>
      </c>
      <c r="R856" s="26" t="s">
        <v>189</v>
      </c>
      <c r="S856" s="26" t="s">
        <v>272</v>
      </c>
      <c r="T856" s="26"/>
      <c r="U856" s="67"/>
      <c r="V856" s="28">
        <f t="shared" si="27"/>
        <v>102</v>
      </c>
      <c r="W856" s="29"/>
    </row>
    <row r="857" spans="1:23" s="40" customFormat="1" ht="21" customHeight="1">
      <c r="A857" s="30"/>
      <c r="B857" s="31"/>
      <c r="C857" s="32"/>
      <c r="D857" s="18" t="s">
        <v>367</v>
      </c>
      <c r="E857" s="21" t="s">
        <v>260</v>
      </c>
      <c r="F857" s="20">
        <v>9.8390000000000004</v>
      </c>
      <c r="G857" s="19">
        <v>1814</v>
      </c>
      <c r="H857" s="20">
        <v>279</v>
      </c>
      <c r="I857" s="19" t="s">
        <v>261</v>
      </c>
      <c r="J857" s="20">
        <v>8765</v>
      </c>
      <c r="K857" s="21">
        <v>24405</v>
      </c>
      <c r="L857" s="21">
        <v>15530</v>
      </c>
      <c r="M857" s="21" t="s">
        <v>31</v>
      </c>
      <c r="N857" s="45">
        <v>4.1500000000000004</v>
      </c>
      <c r="O857" s="23">
        <f t="shared" si="26"/>
        <v>623.1855421686746</v>
      </c>
      <c r="P857" s="46">
        <v>4.04</v>
      </c>
      <c r="Q857" s="25" t="s">
        <v>77</v>
      </c>
      <c r="R857" s="26" t="s">
        <v>189</v>
      </c>
      <c r="S857" s="26" t="s">
        <v>270</v>
      </c>
      <c r="T857" s="26"/>
      <c r="U857" s="67"/>
      <c r="V857" s="28">
        <f t="shared" si="27"/>
        <v>102</v>
      </c>
      <c r="W857" s="29"/>
    </row>
    <row r="858" spans="1:23" s="40" customFormat="1" ht="21" customHeight="1">
      <c r="A858" s="30"/>
      <c r="B858" s="31"/>
      <c r="C858" s="32"/>
      <c r="D858" s="18" t="s">
        <v>367</v>
      </c>
      <c r="E858" s="21" t="s">
        <v>260</v>
      </c>
      <c r="F858" s="20">
        <v>9.8390000000000004</v>
      </c>
      <c r="G858" s="19">
        <v>1814</v>
      </c>
      <c r="H858" s="20">
        <v>279</v>
      </c>
      <c r="I858" s="19" t="s">
        <v>261</v>
      </c>
      <c r="J858" s="20">
        <v>8765</v>
      </c>
      <c r="K858" s="21">
        <v>24405</v>
      </c>
      <c r="L858" s="21">
        <v>15530</v>
      </c>
      <c r="M858" s="21" t="s">
        <v>31</v>
      </c>
      <c r="N858" s="45">
        <v>4.1500000000000004</v>
      </c>
      <c r="O858" s="23">
        <f t="shared" si="26"/>
        <v>623.1855421686746</v>
      </c>
      <c r="P858" s="46">
        <v>4.04</v>
      </c>
      <c r="Q858" s="25" t="s">
        <v>77</v>
      </c>
      <c r="R858" s="26" t="s">
        <v>189</v>
      </c>
      <c r="S858" s="26" t="s">
        <v>272</v>
      </c>
      <c r="T858" s="26"/>
      <c r="U858" s="67"/>
      <c r="V858" s="28">
        <f t="shared" si="27"/>
        <v>102</v>
      </c>
      <c r="W858" s="29"/>
    </row>
    <row r="859" spans="1:23" s="40" customFormat="1" ht="21" customHeight="1">
      <c r="A859" s="30"/>
      <c r="B859" s="31"/>
      <c r="C859" s="32"/>
      <c r="D859" s="18" t="s">
        <v>367</v>
      </c>
      <c r="E859" s="21" t="s">
        <v>260</v>
      </c>
      <c r="F859" s="20">
        <v>9.8390000000000004</v>
      </c>
      <c r="G859" s="19">
        <v>1814</v>
      </c>
      <c r="H859" s="20">
        <v>279</v>
      </c>
      <c r="I859" s="19" t="s">
        <v>246</v>
      </c>
      <c r="J859" s="20">
        <v>8765</v>
      </c>
      <c r="K859" s="21">
        <v>24405</v>
      </c>
      <c r="L859" s="21">
        <v>15530</v>
      </c>
      <c r="M859" s="21" t="s">
        <v>31</v>
      </c>
      <c r="N859" s="45">
        <v>4.1500000000000004</v>
      </c>
      <c r="O859" s="23">
        <f t="shared" si="26"/>
        <v>623.1855421686746</v>
      </c>
      <c r="P859" s="46">
        <v>4.04</v>
      </c>
      <c r="Q859" s="25" t="s">
        <v>77</v>
      </c>
      <c r="R859" s="26" t="s">
        <v>189</v>
      </c>
      <c r="S859" s="26" t="s">
        <v>270</v>
      </c>
      <c r="T859" s="26"/>
      <c r="U859" s="67"/>
      <c r="V859" s="28">
        <f t="shared" si="27"/>
        <v>102</v>
      </c>
      <c r="W859" s="29"/>
    </row>
    <row r="860" spans="1:23" s="40" customFormat="1" ht="21" customHeight="1">
      <c r="A860" s="30"/>
      <c r="B860" s="31"/>
      <c r="C860" s="32"/>
      <c r="D860" s="18" t="s">
        <v>367</v>
      </c>
      <c r="E860" s="21" t="s">
        <v>260</v>
      </c>
      <c r="F860" s="20">
        <v>9.8390000000000004</v>
      </c>
      <c r="G860" s="19">
        <v>1814</v>
      </c>
      <c r="H860" s="20">
        <v>279</v>
      </c>
      <c r="I860" s="19" t="s">
        <v>246</v>
      </c>
      <c r="J860" s="20">
        <v>8765</v>
      </c>
      <c r="K860" s="21">
        <v>24405</v>
      </c>
      <c r="L860" s="21">
        <v>15530</v>
      </c>
      <c r="M860" s="21" t="s">
        <v>31</v>
      </c>
      <c r="N860" s="45">
        <v>4.1500000000000004</v>
      </c>
      <c r="O860" s="23">
        <f t="shared" si="26"/>
        <v>623.1855421686746</v>
      </c>
      <c r="P860" s="46">
        <v>4.04</v>
      </c>
      <c r="Q860" s="25" t="s">
        <v>77</v>
      </c>
      <c r="R860" s="26" t="s">
        <v>189</v>
      </c>
      <c r="S860" s="26" t="s">
        <v>272</v>
      </c>
      <c r="T860" s="26"/>
      <c r="U860" s="67"/>
      <c r="V860" s="28">
        <f t="shared" si="27"/>
        <v>102</v>
      </c>
      <c r="W860" s="29"/>
    </row>
    <row r="861" spans="1:23" s="40" customFormat="1" ht="21" customHeight="1">
      <c r="A861" s="30"/>
      <c r="B861" s="31"/>
      <c r="C861" s="32"/>
      <c r="D861" s="18" t="s">
        <v>368</v>
      </c>
      <c r="E861" s="21" t="s">
        <v>260</v>
      </c>
      <c r="F861" s="20">
        <v>9.8390000000000004</v>
      </c>
      <c r="G861" s="19">
        <v>1814</v>
      </c>
      <c r="H861" s="20">
        <v>279</v>
      </c>
      <c r="I861" s="19" t="s">
        <v>261</v>
      </c>
      <c r="J861" s="20">
        <v>8765</v>
      </c>
      <c r="K861" s="21">
        <v>24405</v>
      </c>
      <c r="L861" s="21">
        <v>15530</v>
      </c>
      <c r="M861" s="21" t="s">
        <v>31</v>
      </c>
      <c r="N861" s="45">
        <v>4.1500000000000004</v>
      </c>
      <c r="O861" s="23">
        <f t="shared" si="26"/>
        <v>623.1855421686746</v>
      </c>
      <c r="P861" s="46">
        <v>4.04</v>
      </c>
      <c r="Q861" s="25" t="s">
        <v>77</v>
      </c>
      <c r="R861" s="26" t="s">
        <v>189</v>
      </c>
      <c r="S861" s="26" t="s">
        <v>270</v>
      </c>
      <c r="T861" s="26"/>
      <c r="U861" s="67"/>
      <c r="V861" s="28">
        <f t="shared" si="27"/>
        <v>102</v>
      </c>
      <c r="W861" s="29"/>
    </row>
    <row r="862" spans="1:23" s="40" customFormat="1" ht="21" customHeight="1">
      <c r="A862" s="30"/>
      <c r="B862" s="31"/>
      <c r="C862" s="32"/>
      <c r="D862" s="18" t="s">
        <v>368</v>
      </c>
      <c r="E862" s="21" t="s">
        <v>260</v>
      </c>
      <c r="F862" s="20">
        <v>9.8390000000000004</v>
      </c>
      <c r="G862" s="19">
        <v>1814</v>
      </c>
      <c r="H862" s="20">
        <v>279</v>
      </c>
      <c r="I862" s="19" t="s">
        <v>246</v>
      </c>
      <c r="J862" s="20">
        <v>8765</v>
      </c>
      <c r="K862" s="21">
        <v>24405</v>
      </c>
      <c r="L862" s="21">
        <v>15530</v>
      </c>
      <c r="M862" s="21" t="s">
        <v>31</v>
      </c>
      <c r="N862" s="45">
        <v>4.1500000000000004</v>
      </c>
      <c r="O862" s="23">
        <f t="shared" si="26"/>
        <v>623.1855421686746</v>
      </c>
      <c r="P862" s="46">
        <v>4.04</v>
      </c>
      <c r="Q862" s="25" t="s">
        <v>77</v>
      </c>
      <c r="R862" s="26" t="s">
        <v>189</v>
      </c>
      <c r="S862" s="26" t="s">
        <v>270</v>
      </c>
      <c r="T862" s="26"/>
      <c r="U862" s="67"/>
      <c r="V862" s="28">
        <f t="shared" si="27"/>
        <v>102</v>
      </c>
      <c r="W862" s="29"/>
    </row>
    <row r="863" spans="1:23" s="40" customFormat="1" ht="21" customHeight="1">
      <c r="A863" s="34"/>
      <c r="B863" s="31"/>
      <c r="C863" s="32"/>
      <c r="D863" s="18" t="s">
        <v>369</v>
      </c>
      <c r="E863" s="21" t="s">
        <v>242</v>
      </c>
      <c r="F863" s="20">
        <v>9.8390000000000004</v>
      </c>
      <c r="G863" s="19">
        <v>1814</v>
      </c>
      <c r="H863" s="20">
        <v>279</v>
      </c>
      <c r="I863" s="19" t="s">
        <v>243</v>
      </c>
      <c r="J863" s="20">
        <v>8765</v>
      </c>
      <c r="K863" s="21">
        <v>24405</v>
      </c>
      <c r="L863" s="21">
        <v>15530</v>
      </c>
      <c r="M863" s="21" t="s">
        <v>31</v>
      </c>
      <c r="N863" s="22">
        <v>4.1500000000000004</v>
      </c>
      <c r="O863" s="23">
        <f t="shared" si="26"/>
        <v>623.1855421686746</v>
      </c>
      <c r="P863" s="46">
        <v>4.04</v>
      </c>
      <c r="Q863" s="25" t="s">
        <v>77</v>
      </c>
      <c r="R863" s="26" t="s">
        <v>33</v>
      </c>
      <c r="S863" s="26" t="s">
        <v>272</v>
      </c>
      <c r="T863" s="26"/>
      <c r="U863" s="39"/>
      <c r="V863" s="28">
        <f t="shared" si="27"/>
        <v>102</v>
      </c>
      <c r="W863" s="29"/>
    </row>
    <row r="864" spans="1:23" s="40" customFormat="1" ht="21" customHeight="1">
      <c r="A864" s="34"/>
      <c r="B864" s="31"/>
      <c r="C864" s="32"/>
      <c r="D864" s="18" t="s">
        <v>369</v>
      </c>
      <c r="E864" s="21" t="s">
        <v>242</v>
      </c>
      <c r="F864" s="20">
        <v>9.8390000000000004</v>
      </c>
      <c r="G864" s="19">
        <v>1814</v>
      </c>
      <c r="H864" s="20">
        <v>279</v>
      </c>
      <c r="I864" s="19" t="s">
        <v>246</v>
      </c>
      <c r="J864" s="20">
        <v>8765</v>
      </c>
      <c r="K864" s="21">
        <v>24405</v>
      </c>
      <c r="L864" s="21">
        <v>15530</v>
      </c>
      <c r="M864" s="21" t="s">
        <v>31</v>
      </c>
      <c r="N864" s="22">
        <v>4.1500000000000004</v>
      </c>
      <c r="O864" s="23">
        <f t="shared" si="26"/>
        <v>623.1855421686746</v>
      </c>
      <c r="P864" s="46">
        <v>4.04</v>
      </c>
      <c r="Q864" s="25" t="s">
        <v>77</v>
      </c>
      <c r="R864" s="26" t="s">
        <v>33</v>
      </c>
      <c r="S864" s="26" t="s">
        <v>272</v>
      </c>
      <c r="T864" s="26"/>
      <c r="U864" s="39"/>
      <c r="V864" s="28">
        <f t="shared" si="27"/>
        <v>102</v>
      </c>
      <c r="W864" s="29"/>
    </row>
    <row r="865" spans="1:23" s="40" customFormat="1" ht="21" customHeight="1">
      <c r="A865" s="30"/>
      <c r="B865" s="31"/>
      <c r="C865" s="32"/>
      <c r="D865" s="18" t="s">
        <v>370</v>
      </c>
      <c r="E865" s="21" t="s">
        <v>260</v>
      </c>
      <c r="F865" s="20">
        <v>9.8390000000000004</v>
      </c>
      <c r="G865" s="19">
        <v>1814</v>
      </c>
      <c r="H865" s="20">
        <v>279</v>
      </c>
      <c r="I865" s="19" t="s">
        <v>261</v>
      </c>
      <c r="J865" s="20">
        <v>8765</v>
      </c>
      <c r="K865" s="21">
        <v>24405</v>
      </c>
      <c r="L865" s="21">
        <v>15530</v>
      </c>
      <c r="M865" s="21" t="s">
        <v>31</v>
      </c>
      <c r="N865" s="45">
        <v>4.1500000000000004</v>
      </c>
      <c r="O865" s="23">
        <f t="shared" si="26"/>
        <v>623.1855421686746</v>
      </c>
      <c r="P865" s="46">
        <v>4.04</v>
      </c>
      <c r="Q865" s="25" t="s">
        <v>77</v>
      </c>
      <c r="R865" s="26" t="s">
        <v>189</v>
      </c>
      <c r="S865" s="26" t="s">
        <v>270</v>
      </c>
      <c r="T865" s="26"/>
      <c r="U865" s="67"/>
      <c r="V865" s="28">
        <f t="shared" si="27"/>
        <v>102</v>
      </c>
      <c r="W865" s="29"/>
    </row>
    <row r="866" spans="1:23" s="40" customFormat="1" ht="21" customHeight="1">
      <c r="A866" s="30"/>
      <c r="B866" s="31"/>
      <c r="C866" s="32"/>
      <c r="D866" s="18" t="s">
        <v>370</v>
      </c>
      <c r="E866" s="21" t="s">
        <v>260</v>
      </c>
      <c r="F866" s="20">
        <v>9.8390000000000004</v>
      </c>
      <c r="G866" s="19">
        <v>1814</v>
      </c>
      <c r="H866" s="20">
        <v>279</v>
      </c>
      <c r="I866" s="19" t="s">
        <v>246</v>
      </c>
      <c r="J866" s="20">
        <v>8765</v>
      </c>
      <c r="K866" s="21">
        <v>24405</v>
      </c>
      <c r="L866" s="21">
        <v>15530</v>
      </c>
      <c r="M866" s="21" t="s">
        <v>31</v>
      </c>
      <c r="N866" s="45">
        <v>4.1500000000000004</v>
      </c>
      <c r="O866" s="23">
        <f t="shared" si="26"/>
        <v>623.1855421686746</v>
      </c>
      <c r="P866" s="46">
        <v>4.04</v>
      </c>
      <c r="Q866" s="25" t="s">
        <v>77</v>
      </c>
      <c r="R866" s="26" t="s">
        <v>189</v>
      </c>
      <c r="S866" s="26" t="s">
        <v>270</v>
      </c>
      <c r="T866" s="26"/>
      <c r="U866" s="67"/>
      <c r="V866" s="28">
        <f t="shared" si="27"/>
        <v>102</v>
      </c>
      <c r="W866" s="29"/>
    </row>
    <row r="867" spans="1:23" s="40" customFormat="1" ht="21" customHeight="1">
      <c r="A867" s="34"/>
      <c r="B867" s="31"/>
      <c r="C867" s="32"/>
      <c r="D867" s="18" t="s">
        <v>371</v>
      </c>
      <c r="E867" s="21" t="s">
        <v>242</v>
      </c>
      <c r="F867" s="20">
        <v>9.8390000000000004</v>
      </c>
      <c r="G867" s="19">
        <v>1814</v>
      </c>
      <c r="H867" s="20">
        <v>279</v>
      </c>
      <c r="I867" s="19" t="s">
        <v>243</v>
      </c>
      <c r="J867" s="20">
        <v>8765</v>
      </c>
      <c r="K867" s="21">
        <v>24405</v>
      </c>
      <c r="L867" s="21">
        <v>15530</v>
      </c>
      <c r="M867" s="21" t="s">
        <v>31</v>
      </c>
      <c r="N867" s="22">
        <v>4.1500000000000004</v>
      </c>
      <c r="O867" s="23">
        <f t="shared" si="26"/>
        <v>623.1855421686746</v>
      </c>
      <c r="P867" s="46">
        <v>4.04</v>
      </c>
      <c r="Q867" s="25" t="s">
        <v>77</v>
      </c>
      <c r="R867" s="26" t="s">
        <v>33</v>
      </c>
      <c r="S867" s="26" t="s">
        <v>272</v>
      </c>
      <c r="T867" s="26"/>
      <c r="U867" s="39"/>
      <c r="V867" s="28">
        <f t="shared" si="27"/>
        <v>102</v>
      </c>
      <c r="W867" s="29"/>
    </row>
    <row r="868" spans="1:23" s="40" customFormat="1" ht="21" customHeight="1">
      <c r="A868" s="34"/>
      <c r="B868" s="31"/>
      <c r="C868" s="32"/>
      <c r="D868" s="18" t="s">
        <v>371</v>
      </c>
      <c r="E868" s="21" t="s">
        <v>242</v>
      </c>
      <c r="F868" s="20">
        <v>9.8390000000000004</v>
      </c>
      <c r="G868" s="19">
        <v>1814</v>
      </c>
      <c r="H868" s="20">
        <v>279</v>
      </c>
      <c r="I868" s="19" t="s">
        <v>246</v>
      </c>
      <c r="J868" s="20">
        <v>8765</v>
      </c>
      <c r="K868" s="21">
        <v>24405</v>
      </c>
      <c r="L868" s="21">
        <v>15530</v>
      </c>
      <c r="M868" s="21" t="s">
        <v>31</v>
      </c>
      <c r="N868" s="22">
        <v>4.1500000000000004</v>
      </c>
      <c r="O868" s="23">
        <f t="shared" si="26"/>
        <v>623.1855421686746</v>
      </c>
      <c r="P868" s="46">
        <v>4.04</v>
      </c>
      <c r="Q868" s="25" t="s">
        <v>77</v>
      </c>
      <c r="R868" s="26" t="s">
        <v>33</v>
      </c>
      <c r="S868" s="26" t="s">
        <v>272</v>
      </c>
      <c r="T868" s="26"/>
      <c r="U868" s="39"/>
      <c r="V868" s="28">
        <f t="shared" si="27"/>
        <v>102</v>
      </c>
      <c r="W868" s="29"/>
    </row>
    <row r="869" spans="1:23" s="40" customFormat="1" ht="21" customHeight="1">
      <c r="A869" s="30"/>
      <c r="B869" s="31"/>
      <c r="C869" s="32"/>
      <c r="D869" s="18" t="s">
        <v>372</v>
      </c>
      <c r="E869" s="21" t="s">
        <v>260</v>
      </c>
      <c r="F869" s="20">
        <v>9.8390000000000004</v>
      </c>
      <c r="G869" s="19">
        <v>1814</v>
      </c>
      <c r="H869" s="20">
        <v>279</v>
      </c>
      <c r="I869" s="19" t="s">
        <v>261</v>
      </c>
      <c r="J869" s="20">
        <v>8765</v>
      </c>
      <c r="K869" s="21">
        <v>24405</v>
      </c>
      <c r="L869" s="21">
        <v>15530</v>
      </c>
      <c r="M869" s="21" t="s">
        <v>31</v>
      </c>
      <c r="N869" s="45">
        <v>4.1500000000000004</v>
      </c>
      <c r="O869" s="23">
        <f t="shared" si="26"/>
        <v>623.1855421686746</v>
      </c>
      <c r="P869" s="46">
        <v>4.04</v>
      </c>
      <c r="Q869" s="25" t="s">
        <v>77</v>
      </c>
      <c r="R869" s="26" t="s">
        <v>189</v>
      </c>
      <c r="S869" s="26" t="s">
        <v>270</v>
      </c>
      <c r="T869" s="26"/>
      <c r="U869" s="67"/>
      <c r="V869" s="28">
        <f t="shared" si="27"/>
        <v>102</v>
      </c>
      <c r="W869" s="29"/>
    </row>
    <row r="870" spans="1:23" s="40" customFormat="1" ht="21" customHeight="1">
      <c r="A870" s="30"/>
      <c r="B870" s="31"/>
      <c r="C870" s="32"/>
      <c r="D870" s="18" t="s">
        <v>372</v>
      </c>
      <c r="E870" s="21" t="s">
        <v>260</v>
      </c>
      <c r="F870" s="20">
        <v>9.8390000000000004</v>
      </c>
      <c r="G870" s="19">
        <v>1814</v>
      </c>
      <c r="H870" s="20">
        <v>279</v>
      </c>
      <c r="I870" s="19" t="s">
        <v>246</v>
      </c>
      <c r="J870" s="20">
        <v>8765</v>
      </c>
      <c r="K870" s="21">
        <v>24405</v>
      </c>
      <c r="L870" s="21">
        <v>15530</v>
      </c>
      <c r="M870" s="21" t="s">
        <v>31</v>
      </c>
      <c r="N870" s="45">
        <v>4.1500000000000004</v>
      </c>
      <c r="O870" s="23">
        <f t="shared" si="26"/>
        <v>623.1855421686746</v>
      </c>
      <c r="P870" s="46">
        <v>4.04</v>
      </c>
      <c r="Q870" s="25" t="s">
        <v>77</v>
      </c>
      <c r="R870" s="26" t="s">
        <v>189</v>
      </c>
      <c r="S870" s="26" t="s">
        <v>270</v>
      </c>
      <c r="T870" s="26"/>
      <c r="U870" s="67"/>
      <c r="V870" s="28">
        <f t="shared" si="27"/>
        <v>102</v>
      </c>
      <c r="W870" s="29"/>
    </row>
    <row r="871" spans="1:23" s="40" customFormat="1" ht="21" customHeight="1">
      <c r="A871" s="34"/>
      <c r="B871" s="31"/>
      <c r="C871" s="32"/>
      <c r="D871" s="18" t="s">
        <v>373</v>
      </c>
      <c r="E871" s="21" t="s">
        <v>242</v>
      </c>
      <c r="F871" s="20">
        <v>9.8390000000000004</v>
      </c>
      <c r="G871" s="19">
        <v>1814</v>
      </c>
      <c r="H871" s="20">
        <v>279</v>
      </c>
      <c r="I871" s="19" t="s">
        <v>243</v>
      </c>
      <c r="J871" s="20">
        <v>8765</v>
      </c>
      <c r="K871" s="21">
        <v>24405</v>
      </c>
      <c r="L871" s="21">
        <v>15530</v>
      </c>
      <c r="M871" s="21" t="s">
        <v>31</v>
      </c>
      <c r="N871" s="22">
        <v>4.1500000000000004</v>
      </c>
      <c r="O871" s="23">
        <f t="shared" si="26"/>
        <v>623.1855421686746</v>
      </c>
      <c r="P871" s="46">
        <v>4.04</v>
      </c>
      <c r="Q871" s="25" t="s">
        <v>77</v>
      </c>
      <c r="R871" s="26" t="s">
        <v>33</v>
      </c>
      <c r="S871" s="26" t="s">
        <v>272</v>
      </c>
      <c r="T871" s="26"/>
      <c r="U871" s="39"/>
      <c r="V871" s="28">
        <f t="shared" si="27"/>
        <v>102</v>
      </c>
      <c r="W871" s="29"/>
    </row>
    <row r="872" spans="1:23" s="40" customFormat="1" ht="21" customHeight="1">
      <c r="A872" s="34"/>
      <c r="B872" s="31"/>
      <c r="C872" s="32"/>
      <c r="D872" s="18" t="s">
        <v>373</v>
      </c>
      <c r="E872" s="21" t="s">
        <v>242</v>
      </c>
      <c r="F872" s="20">
        <v>9.8390000000000004</v>
      </c>
      <c r="G872" s="19">
        <v>1814</v>
      </c>
      <c r="H872" s="20">
        <v>279</v>
      </c>
      <c r="I872" s="19" t="s">
        <v>246</v>
      </c>
      <c r="J872" s="20">
        <v>8765</v>
      </c>
      <c r="K872" s="21">
        <v>24405</v>
      </c>
      <c r="L872" s="21">
        <v>15530</v>
      </c>
      <c r="M872" s="21" t="s">
        <v>31</v>
      </c>
      <c r="N872" s="22">
        <v>4.1500000000000004</v>
      </c>
      <c r="O872" s="23">
        <f t="shared" si="26"/>
        <v>623.1855421686746</v>
      </c>
      <c r="P872" s="46">
        <v>4.04</v>
      </c>
      <c r="Q872" s="25" t="s">
        <v>77</v>
      </c>
      <c r="R872" s="26" t="s">
        <v>33</v>
      </c>
      <c r="S872" s="26" t="s">
        <v>272</v>
      </c>
      <c r="T872" s="26"/>
      <c r="U872" s="39"/>
      <c r="V872" s="28">
        <f t="shared" si="27"/>
        <v>102</v>
      </c>
      <c r="W872" s="29"/>
    </row>
    <row r="873" spans="1:23" s="40" customFormat="1" ht="21" customHeight="1">
      <c r="A873" s="30"/>
      <c r="B873" s="31"/>
      <c r="C873" s="32"/>
      <c r="D873" s="18" t="s">
        <v>374</v>
      </c>
      <c r="E873" s="21" t="s">
        <v>260</v>
      </c>
      <c r="F873" s="20">
        <v>9.8390000000000004</v>
      </c>
      <c r="G873" s="19">
        <v>1814</v>
      </c>
      <c r="H873" s="20">
        <v>279</v>
      </c>
      <c r="I873" s="19" t="s">
        <v>261</v>
      </c>
      <c r="J873" s="20">
        <v>8765</v>
      </c>
      <c r="K873" s="21">
        <v>24405</v>
      </c>
      <c r="L873" s="21">
        <v>15530</v>
      </c>
      <c r="M873" s="21" t="s">
        <v>31</v>
      </c>
      <c r="N873" s="45">
        <v>4.1500000000000004</v>
      </c>
      <c r="O873" s="23">
        <f t="shared" si="26"/>
        <v>623.1855421686746</v>
      </c>
      <c r="P873" s="46">
        <v>4.04</v>
      </c>
      <c r="Q873" s="25" t="s">
        <v>77</v>
      </c>
      <c r="R873" s="26" t="s">
        <v>189</v>
      </c>
      <c r="S873" s="26" t="s">
        <v>270</v>
      </c>
      <c r="T873" s="26"/>
      <c r="U873" s="67"/>
      <c r="V873" s="28">
        <f t="shared" si="27"/>
        <v>102</v>
      </c>
      <c r="W873" s="29"/>
    </row>
    <row r="874" spans="1:23" s="40" customFormat="1" ht="21" customHeight="1">
      <c r="A874" s="30"/>
      <c r="B874" s="31"/>
      <c r="C874" s="32"/>
      <c r="D874" s="18" t="s">
        <v>374</v>
      </c>
      <c r="E874" s="21" t="s">
        <v>260</v>
      </c>
      <c r="F874" s="20">
        <v>9.8390000000000004</v>
      </c>
      <c r="G874" s="19">
        <v>1814</v>
      </c>
      <c r="H874" s="20">
        <v>279</v>
      </c>
      <c r="I874" s="19" t="s">
        <v>246</v>
      </c>
      <c r="J874" s="20">
        <v>8765</v>
      </c>
      <c r="K874" s="21">
        <v>24405</v>
      </c>
      <c r="L874" s="21">
        <v>15530</v>
      </c>
      <c r="M874" s="21" t="s">
        <v>31</v>
      </c>
      <c r="N874" s="45">
        <v>4.1500000000000004</v>
      </c>
      <c r="O874" s="23">
        <f t="shared" si="26"/>
        <v>623.1855421686746</v>
      </c>
      <c r="P874" s="46">
        <v>4.04</v>
      </c>
      <c r="Q874" s="25" t="s">
        <v>77</v>
      </c>
      <c r="R874" s="26" t="s">
        <v>189</v>
      </c>
      <c r="S874" s="26" t="s">
        <v>270</v>
      </c>
      <c r="T874" s="26"/>
      <c r="U874" s="67"/>
      <c r="V874" s="28">
        <f t="shared" si="27"/>
        <v>102</v>
      </c>
      <c r="W874" s="29"/>
    </row>
    <row r="875" spans="1:23" s="40" customFormat="1" ht="21" customHeight="1">
      <c r="A875" s="34"/>
      <c r="B875" s="31"/>
      <c r="C875" s="32"/>
      <c r="D875" s="18" t="s">
        <v>375</v>
      </c>
      <c r="E875" s="21" t="s">
        <v>242</v>
      </c>
      <c r="F875" s="20">
        <v>9.8390000000000004</v>
      </c>
      <c r="G875" s="19">
        <v>1814</v>
      </c>
      <c r="H875" s="20">
        <v>279</v>
      </c>
      <c r="I875" s="19" t="s">
        <v>243</v>
      </c>
      <c r="J875" s="20">
        <v>8765</v>
      </c>
      <c r="K875" s="21">
        <v>24405</v>
      </c>
      <c r="L875" s="21">
        <v>15530</v>
      </c>
      <c r="M875" s="21" t="s">
        <v>31</v>
      </c>
      <c r="N875" s="45">
        <v>4.1500000000000004</v>
      </c>
      <c r="O875" s="23">
        <f t="shared" si="26"/>
        <v>623.1855421686746</v>
      </c>
      <c r="P875" s="46">
        <v>4.04</v>
      </c>
      <c r="Q875" s="25" t="s">
        <v>77</v>
      </c>
      <c r="R875" s="26" t="s">
        <v>33</v>
      </c>
      <c r="S875" s="26" t="s">
        <v>272</v>
      </c>
      <c r="T875" s="26"/>
      <c r="U875" s="39"/>
      <c r="V875" s="28">
        <f t="shared" si="27"/>
        <v>102</v>
      </c>
      <c r="W875" s="29"/>
    </row>
    <row r="876" spans="1:23" s="40" customFormat="1" ht="21" customHeight="1">
      <c r="A876" s="34"/>
      <c r="B876" s="31"/>
      <c r="C876" s="32"/>
      <c r="D876" s="18" t="s">
        <v>375</v>
      </c>
      <c r="E876" s="21" t="s">
        <v>242</v>
      </c>
      <c r="F876" s="20">
        <v>9.8390000000000004</v>
      </c>
      <c r="G876" s="19">
        <v>1814</v>
      </c>
      <c r="H876" s="20">
        <v>279</v>
      </c>
      <c r="I876" s="19" t="s">
        <v>246</v>
      </c>
      <c r="J876" s="20">
        <v>8765</v>
      </c>
      <c r="K876" s="21">
        <v>24405</v>
      </c>
      <c r="L876" s="21">
        <v>15530</v>
      </c>
      <c r="M876" s="21" t="s">
        <v>31</v>
      </c>
      <c r="N876" s="45">
        <v>4.1500000000000004</v>
      </c>
      <c r="O876" s="23">
        <f t="shared" si="26"/>
        <v>623.1855421686746</v>
      </c>
      <c r="P876" s="46">
        <v>4.04</v>
      </c>
      <c r="Q876" s="25" t="s">
        <v>77</v>
      </c>
      <c r="R876" s="26" t="s">
        <v>33</v>
      </c>
      <c r="S876" s="26" t="s">
        <v>272</v>
      </c>
      <c r="T876" s="26"/>
      <c r="U876" s="39"/>
      <c r="V876" s="28">
        <f t="shared" si="27"/>
        <v>102</v>
      </c>
      <c r="W876" s="29"/>
    </row>
    <row r="877" spans="1:23" s="40" customFormat="1" ht="21" customHeight="1">
      <c r="A877" s="30"/>
      <c r="B877" s="31"/>
      <c r="C877" s="32"/>
      <c r="D877" s="18" t="s">
        <v>376</v>
      </c>
      <c r="E877" s="21" t="s">
        <v>260</v>
      </c>
      <c r="F877" s="20">
        <v>9.8390000000000004</v>
      </c>
      <c r="G877" s="19">
        <v>1814</v>
      </c>
      <c r="H877" s="20">
        <v>279</v>
      </c>
      <c r="I877" s="19" t="s">
        <v>261</v>
      </c>
      <c r="J877" s="20">
        <v>8765</v>
      </c>
      <c r="K877" s="21">
        <v>24405</v>
      </c>
      <c r="L877" s="21">
        <v>15530</v>
      </c>
      <c r="M877" s="21" t="s">
        <v>31</v>
      </c>
      <c r="N877" s="45">
        <v>4.1500000000000004</v>
      </c>
      <c r="O877" s="23">
        <f t="shared" si="26"/>
        <v>623.1855421686746</v>
      </c>
      <c r="P877" s="46">
        <v>4.04</v>
      </c>
      <c r="Q877" s="25" t="s">
        <v>77</v>
      </c>
      <c r="R877" s="26" t="s">
        <v>189</v>
      </c>
      <c r="S877" s="26" t="s">
        <v>270</v>
      </c>
      <c r="T877" s="26"/>
      <c r="U877" s="67"/>
      <c r="V877" s="28">
        <f t="shared" si="27"/>
        <v>102</v>
      </c>
      <c r="W877" s="29"/>
    </row>
    <row r="878" spans="1:23" s="40" customFormat="1" ht="21" customHeight="1">
      <c r="A878" s="30"/>
      <c r="B878" s="31"/>
      <c r="C878" s="32"/>
      <c r="D878" s="18" t="s">
        <v>376</v>
      </c>
      <c r="E878" s="21" t="s">
        <v>260</v>
      </c>
      <c r="F878" s="20">
        <v>9.8390000000000004</v>
      </c>
      <c r="G878" s="19">
        <v>1814</v>
      </c>
      <c r="H878" s="20">
        <v>279</v>
      </c>
      <c r="I878" s="19" t="s">
        <v>246</v>
      </c>
      <c r="J878" s="20">
        <v>8765</v>
      </c>
      <c r="K878" s="21">
        <v>24405</v>
      </c>
      <c r="L878" s="21">
        <v>15530</v>
      </c>
      <c r="M878" s="21" t="s">
        <v>31</v>
      </c>
      <c r="N878" s="45">
        <v>4.1500000000000004</v>
      </c>
      <c r="O878" s="23">
        <f t="shared" si="26"/>
        <v>623.1855421686746</v>
      </c>
      <c r="P878" s="46">
        <v>4.04</v>
      </c>
      <c r="Q878" s="25" t="s">
        <v>77</v>
      </c>
      <c r="R878" s="26" t="s">
        <v>189</v>
      </c>
      <c r="S878" s="26" t="s">
        <v>270</v>
      </c>
      <c r="T878" s="26"/>
      <c r="U878" s="67"/>
      <c r="V878" s="28">
        <f t="shared" si="27"/>
        <v>102</v>
      </c>
      <c r="W878" s="29"/>
    </row>
    <row r="879" spans="1:23" s="40" customFormat="1" ht="21" customHeight="1">
      <c r="A879" s="34"/>
      <c r="B879" s="31"/>
      <c r="C879" s="32"/>
      <c r="D879" s="18" t="s">
        <v>377</v>
      </c>
      <c r="E879" s="21" t="s">
        <v>242</v>
      </c>
      <c r="F879" s="20">
        <v>9.8390000000000004</v>
      </c>
      <c r="G879" s="19">
        <v>1814</v>
      </c>
      <c r="H879" s="20">
        <v>279</v>
      </c>
      <c r="I879" s="19" t="s">
        <v>243</v>
      </c>
      <c r="J879" s="20">
        <v>8765</v>
      </c>
      <c r="K879" s="21">
        <v>24405</v>
      </c>
      <c r="L879" s="21">
        <v>15530</v>
      </c>
      <c r="M879" s="21" t="s">
        <v>31</v>
      </c>
      <c r="N879" s="22">
        <v>4.1500000000000004</v>
      </c>
      <c r="O879" s="23">
        <f t="shared" si="26"/>
        <v>623.1855421686746</v>
      </c>
      <c r="P879" s="46">
        <v>4.04</v>
      </c>
      <c r="Q879" s="25" t="s">
        <v>77</v>
      </c>
      <c r="R879" s="26" t="s">
        <v>33</v>
      </c>
      <c r="S879" s="26" t="s">
        <v>272</v>
      </c>
      <c r="T879" s="26"/>
      <c r="U879" s="39"/>
      <c r="V879" s="28">
        <f t="shared" si="27"/>
        <v>102</v>
      </c>
      <c r="W879" s="29"/>
    </row>
    <row r="880" spans="1:23" s="40" customFormat="1" ht="21" customHeight="1">
      <c r="A880" s="34"/>
      <c r="B880" s="31"/>
      <c r="C880" s="32"/>
      <c r="D880" s="18" t="s">
        <v>377</v>
      </c>
      <c r="E880" s="21" t="s">
        <v>242</v>
      </c>
      <c r="F880" s="20">
        <v>9.8390000000000004</v>
      </c>
      <c r="G880" s="19">
        <v>1814</v>
      </c>
      <c r="H880" s="20">
        <v>279</v>
      </c>
      <c r="I880" s="19" t="s">
        <v>246</v>
      </c>
      <c r="J880" s="20">
        <v>8765</v>
      </c>
      <c r="K880" s="21">
        <v>24405</v>
      </c>
      <c r="L880" s="21">
        <v>15530</v>
      </c>
      <c r="M880" s="21" t="s">
        <v>31</v>
      </c>
      <c r="N880" s="22">
        <v>4.1500000000000004</v>
      </c>
      <c r="O880" s="23">
        <f t="shared" si="26"/>
        <v>623.1855421686746</v>
      </c>
      <c r="P880" s="46">
        <v>4.04</v>
      </c>
      <c r="Q880" s="25" t="s">
        <v>77</v>
      </c>
      <c r="R880" s="26" t="s">
        <v>33</v>
      </c>
      <c r="S880" s="26" t="s">
        <v>272</v>
      </c>
      <c r="T880" s="26"/>
      <c r="U880" s="39"/>
      <c r="V880" s="28">
        <f t="shared" si="27"/>
        <v>102</v>
      </c>
      <c r="W880" s="29"/>
    </row>
    <row r="881" spans="1:23" s="40" customFormat="1" ht="21" customHeight="1">
      <c r="A881" s="30"/>
      <c r="B881" s="31"/>
      <c r="C881" s="32"/>
      <c r="D881" s="18" t="s">
        <v>378</v>
      </c>
      <c r="E881" s="21" t="s">
        <v>260</v>
      </c>
      <c r="F881" s="20">
        <v>9.8390000000000004</v>
      </c>
      <c r="G881" s="19">
        <v>1814</v>
      </c>
      <c r="H881" s="20">
        <v>279</v>
      </c>
      <c r="I881" s="19" t="s">
        <v>261</v>
      </c>
      <c r="J881" s="20">
        <v>8765</v>
      </c>
      <c r="K881" s="21">
        <v>24405</v>
      </c>
      <c r="L881" s="21">
        <v>15530</v>
      </c>
      <c r="M881" s="21" t="s">
        <v>31</v>
      </c>
      <c r="N881" s="45">
        <v>4.1500000000000004</v>
      </c>
      <c r="O881" s="23">
        <f t="shared" si="26"/>
        <v>623.1855421686746</v>
      </c>
      <c r="P881" s="46">
        <v>4.04</v>
      </c>
      <c r="Q881" s="25" t="s">
        <v>77</v>
      </c>
      <c r="R881" s="26" t="s">
        <v>189</v>
      </c>
      <c r="S881" s="26" t="s">
        <v>274</v>
      </c>
      <c r="T881" s="26"/>
      <c r="U881" s="67"/>
      <c r="V881" s="28">
        <f t="shared" si="27"/>
        <v>102</v>
      </c>
      <c r="W881" s="29"/>
    </row>
    <row r="882" spans="1:23" s="40" customFormat="1" ht="21" customHeight="1">
      <c r="A882" s="30"/>
      <c r="B882" s="31"/>
      <c r="C882" s="32"/>
      <c r="D882" s="18" t="s">
        <v>378</v>
      </c>
      <c r="E882" s="21" t="s">
        <v>260</v>
      </c>
      <c r="F882" s="20">
        <v>9.8390000000000004</v>
      </c>
      <c r="G882" s="19">
        <v>1814</v>
      </c>
      <c r="H882" s="20">
        <v>279</v>
      </c>
      <c r="I882" s="19" t="s">
        <v>246</v>
      </c>
      <c r="J882" s="20">
        <v>8765</v>
      </c>
      <c r="K882" s="21">
        <v>24405</v>
      </c>
      <c r="L882" s="21">
        <v>15530</v>
      </c>
      <c r="M882" s="21" t="s">
        <v>31</v>
      </c>
      <c r="N882" s="45">
        <v>4.1500000000000004</v>
      </c>
      <c r="O882" s="23">
        <f t="shared" si="26"/>
        <v>623.1855421686746</v>
      </c>
      <c r="P882" s="46">
        <v>4.04</v>
      </c>
      <c r="Q882" s="25" t="s">
        <v>77</v>
      </c>
      <c r="R882" s="26" t="s">
        <v>189</v>
      </c>
      <c r="S882" s="26" t="s">
        <v>274</v>
      </c>
      <c r="T882" s="26"/>
      <c r="U882" s="67"/>
      <c r="V882" s="28">
        <f t="shared" si="27"/>
        <v>102</v>
      </c>
      <c r="W882" s="29"/>
    </row>
    <row r="883" spans="1:23" s="40" customFormat="1" ht="21" customHeight="1">
      <c r="A883" s="34"/>
      <c r="B883" s="31"/>
      <c r="C883" s="32"/>
      <c r="D883" s="18" t="s">
        <v>378</v>
      </c>
      <c r="E883" s="21" t="s">
        <v>260</v>
      </c>
      <c r="F883" s="20">
        <v>9.8390000000000004</v>
      </c>
      <c r="G883" s="19">
        <v>1814</v>
      </c>
      <c r="H883" s="20">
        <v>279</v>
      </c>
      <c r="I883" s="19" t="s">
        <v>243</v>
      </c>
      <c r="J883" s="20">
        <v>8765</v>
      </c>
      <c r="K883" s="21">
        <v>24405</v>
      </c>
      <c r="L883" s="21">
        <v>15530</v>
      </c>
      <c r="M883" s="21" t="s">
        <v>31</v>
      </c>
      <c r="N883" s="22">
        <v>4.1500000000000004</v>
      </c>
      <c r="O883" s="23">
        <f t="shared" si="26"/>
        <v>623.1855421686746</v>
      </c>
      <c r="P883" s="24">
        <v>4.04</v>
      </c>
      <c r="Q883" s="25" t="s">
        <v>63</v>
      </c>
      <c r="R883" s="26" t="s">
        <v>33</v>
      </c>
      <c r="S883" s="26" t="s">
        <v>277</v>
      </c>
      <c r="T883" s="26"/>
      <c r="U883" s="39"/>
      <c r="V883" s="28">
        <f t="shared" si="27"/>
        <v>102</v>
      </c>
      <c r="W883" s="29"/>
    </row>
    <row r="884" spans="1:23" s="40" customFormat="1" ht="21" customHeight="1">
      <c r="A884" s="34"/>
      <c r="B884" s="31"/>
      <c r="C884" s="32"/>
      <c r="D884" s="18" t="s">
        <v>378</v>
      </c>
      <c r="E884" s="21" t="s">
        <v>260</v>
      </c>
      <c r="F884" s="20">
        <v>9.8390000000000004</v>
      </c>
      <c r="G884" s="19">
        <v>1814</v>
      </c>
      <c r="H884" s="20">
        <v>279</v>
      </c>
      <c r="I884" s="19" t="s">
        <v>246</v>
      </c>
      <c r="J884" s="20">
        <v>8765</v>
      </c>
      <c r="K884" s="21">
        <v>24405</v>
      </c>
      <c r="L884" s="21">
        <v>15530</v>
      </c>
      <c r="M884" s="21" t="s">
        <v>31</v>
      </c>
      <c r="N884" s="22">
        <v>4.1500000000000004</v>
      </c>
      <c r="O884" s="23">
        <f t="shared" si="26"/>
        <v>623.1855421686746</v>
      </c>
      <c r="P884" s="24">
        <v>4.04</v>
      </c>
      <c r="Q884" s="25" t="s">
        <v>63</v>
      </c>
      <c r="R884" s="26" t="s">
        <v>33</v>
      </c>
      <c r="S884" s="26" t="s">
        <v>277</v>
      </c>
      <c r="T884" s="26"/>
      <c r="U884" s="39"/>
      <c r="V884" s="28">
        <f t="shared" si="27"/>
        <v>102</v>
      </c>
      <c r="W884" s="29"/>
    </row>
    <row r="885" spans="1:23" s="40" customFormat="1" ht="21" customHeight="1">
      <c r="A885" s="30"/>
      <c r="B885" s="31"/>
      <c r="C885" s="32"/>
      <c r="D885" s="18" t="s">
        <v>379</v>
      </c>
      <c r="E885" s="21" t="s">
        <v>260</v>
      </c>
      <c r="F885" s="20">
        <v>9.8390000000000004</v>
      </c>
      <c r="G885" s="19">
        <v>1814</v>
      </c>
      <c r="H885" s="20">
        <v>279</v>
      </c>
      <c r="I885" s="19" t="s">
        <v>261</v>
      </c>
      <c r="J885" s="20">
        <v>8765</v>
      </c>
      <c r="K885" s="21">
        <v>24405</v>
      </c>
      <c r="L885" s="21">
        <v>15530</v>
      </c>
      <c r="M885" s="21" t="s">
        <v>31</v>
      </c>
      <c r="N885" s="45">
        <v>4.1500000000000004</v>
      </c>
      <c r="O885" s="23">
        <f t="shared" si="26"/>
        <v>623.1855421686746</v>
      </c>
      <c r="P885" s="46">
        <v>4.04</v>
      </c>
      <c r="Q885" s="25" t="s">
        <v>77</v>
      </c>
      <c r="R885" s="26" t="s">
        <v>189</v>
      </c>
      <c r="S885" s="26" t="s">
        <v>274</v>
      </c>
      <c r="T885" s="26"/>
      <c r="U885" s="67"/>
      <c r="V885" s="28">
        <f t="shared" si="27"/>
        <v>102</v>
      </c>
      <c r="W885" s="29"/>
    </row>
    <row r="886" spans="1:23" s="40" customFormat="1" ht="21" customHeight="1">
      <c r="A886" s="30"/>
      <c r="B886" s="31"/>
      <c r="C886" s="32"/>
      <c r="D886" s="18" t="s">
        <v>379</v>
      </c>
      <c r="E886" s="21" t="s">
        <v>260</v>
      </c>
      <c r="F886" s="20">
        <v>9.8390000000000004</v>
      </c>
      <c r="G886" s="19">
        <v>1814</v>
      </c>
      <c r="H886" s="20">
        <v>279</v>
      </c>
      <c r="I886" s="19" t="s">
        <v>246</v>
      </c>
      <c r="J886" s="20">
        <v>8765</v>
      </c>
      <c r="K886" s="21">
        <v>24405</v>
      </c>
      <c r="L886" s="21">
        <v>15530</v>
      </c>
      <c r="M886" s="21" t="s">
        <v>31</v>
      </c>
      <c r="N886" s="45">
        <v>4.1500000000000004</v>
      </c>
      <c r="O886" s="23">
        <f t="shared" si="26"/>
        <v>623.1855421686746</v>
      </c>
      <c r="P886" s="46">
        <v>4.04</v>
      </c>
      <c r="Q886" s="25" t="s">
        <v>77</v>
      </c>
      <c r="R886" s="26" t="s">
        <v>189</v>
      </c>
      <c r="S886" s="26" t="s">
        <v>274</v>
      </c>
      <c r="T886" s="26"/>
      <c r="U886" s="67"/>
      <c r="V886" s="28">
        <f t="shared" si="27"/>
        <v>102</v>
      </c>
      <c r="W886" s="29"/>
    </row>
    <row r="887" spans="1:23" s="40" customFormat="1" ht="21" customHeight="1">
      <c r="A887" s="30"/>
      <c r="B887" s="31"/>
      <c r="C887" s="32"/>
      <c r="D887" s="18" t="s">
        <v>380</v>
      </c>
      <c r="E887" s="21" t="s">
        <v>260</v>
      </c>
      <c r="F887" s="20">
        <v>9.8390000000000004</v>
      </c>
      <c r="G887" s="19">
        <v>1814</v>
      </c>
      <c r="H887" s="20">
        <v>279</v>
      </c>
      <c r="I887" s="19" t="s">
        <v>261</v>
      </c>
      <c r="J887" s="20">
        <v>8765</v>
      </c>
      <c r="K887" s="21">
        <v>24405</v>
      </c>
      <c r="L887" s="21">
        <v>15530</v>
      </c>
      <c r="M887" s="21" t="s">
        <v>31</v>
      </c>
      <c r="N887" s="45">
        <v>4.1500000000000004</v>
      </c>
      <c r="O887" s="23">
        <f t="shared" si="26"/>
        <v>623.1855421686746</v>
      </c>
      <c r="P887" s="46">
        <v>4.04</v>
      </c>
      <c r="Q887" s="25" t="s">
        <v>77</v>
      </c>
      <c r="R887" s="26" t="s">
        <v>189</v>
      </c>
      <c r="S887" s="26" t="s">
        <v>274</v>
      </c>
      <c r="T887" s="26"/>
      <c r="U887" s="67"/>
      <c r="V887" s="28">
        <f t="shared" si="27"/>
        <v>102</v>
      </c>
      <c r="W887" s="29"/>
    </row>
    <row r="888" spans="1:23" s="40" customFormat="1" ht="21" customHeight="1">
      <c r="A888" s="30"/>
      <c r="B888" s="31"/>
      <c r="C888" s="32"/>
      <c r="D888" s="18" t="s">
        <v>380</v>
      </c>
      <c r="E888" s="21" t="s">
        <v>260</v>
      </c>
      <c r="F888" s="20">
        <v>9.8390000000000004</v>
      </c>
      <c r="G888" s="19">
        <v>1814</v>
      </c>
      <c r="H888" s="20">
        <v>279</v>
      </c>
      <c r="I888" s="19" t="s">
        <v>246</v>
      </c>
      <c r="J888" s="20">
        <v>8765</v>
      </c>
      <c r="K888" s="21">
        <v>24405</v>
      </c>
      <c r="L888" s="21">
        <v>15530</v>
      </c>
      <c r="M888" s="21" t="s">
        <v>31</v>
      </c>
      <c r="N888" s="45">
        <v>4.1500000000000004</v>
      </c>
      <c r="O888" s="23">
        <f t="shared" si="26"/>
        <v>623.1855421686746</v>
      </c>
      <c r="P888" s="46">
        <v>4.04</v>
      </c>
      <c r="Q888" s="25" t="s">
        <v>77</v>
      </c>
      <c r="R888" s="26" t="s">
        <v>189</v>
      </c>
      <c r="S888" s="26" t="s">
        <v>274</v>
      </c>
      <c r="T888" s="26"/>
      <c r="U888" s="67"/>
      <c r="V888" s="28">
        <f t="shared" si="27"/>
        <v>102</v>
      </c>
      <c r="W888" s="29"/>
    </row>
    <row r="889" spans="1:23" s="40" customFormat="1" ht="21" customHeight="1">
      <c r="A889" s="30"/>
      <c r="B889" s="31"/>
      <c r="C889" s="32"/>
      <c r="D889" s="18" t="s">
        <v>381</v>
      </c>
      <c r="E889" s="21" t="s">
        <v>260</v>
      </c>
      <c r="F889" s="20">
        <v>9.8390000000000004</v>
      </c>
      <c r="G889" s="19">
        <v>1814</v>
      </c>
      <c r="H889" s="20">
        <v>279</v>
      </c>
      <c r="I889" s="19" t="s">
        <v>261</v>
      </c>
      <c r="J889" s="20">
        <v>8765</v>
      </c>
      <c r="K889" s="21">
        <v>24405</v>
      </c>
      <c r="L889" s="21">
        <v>15530</v>
      </c>
      <c r="M889" s="21" t="s">
        <v>31</v>
      </c>
      <c r="N889" s="45">
        <v>4.1500000000000004</v>
      </c>
      <c r="O889" s="23">
        <f t="shared" si="26"/>
        <v>623.1855421686746</v>
      </c>
      <c r="P889" s="46">
        <v>4.04</v>
      </c>
      <c r="Q889" s="25" t="s">
        <v>77</v>
      </c>
      <c r="R889" s="26" t="s">
        <v>189</v>
      </c>
      <c r="S889" s="26" t="s">
        <v>274</v>
      </c>
      <c r="T889" s="26"/>
      <c r="U889" s="67"/>
      <c r="V889" s="28">
        <f t="shared" si="27"/>
        <v>102</v>
      </c>
      <c r="W889" s="29"/>
    </row>
    <row r="890" spans="1:23" s="40" customFormat="1" ht="21" customHeight="1">
      <c r="A890" s="30"/>
      <c r="B890" s="31"/>
      <c r="C890" s="32"/>
      <c r="D890" s="18" t="s">
        <v>381</v>
      </c>
      <c r="E890" s="21" t="s">
        <v>260</v>
      </c>
      <c r="F890" s="20">
        <v>9.8390000000000004</v>
      </c>
      <c r="G890" s="19">
        <v>1814</v>
      </c>
      <c r="H890" s="20">
        <v>279</v>
      </c>
      <c r="I890" s="19" t="s">
        <v>246</v>
      </c>
      <c r="J890" s="20">
        <v>8765</v>
      </c>
      <c r="K890" s="21">
        <v>24405</v>
      </c>
      <c r="L890" s="21">
        <v>15530</v>
      </c>
      <c r="M890" s="21" t="s">
        <v>31</v>
      </c>
      <c r="N890" s="45">
        <v>4.1500000000000004</v>
      </c>
      <c r="O890" s="23">
        <f t="shared" si="26"/>
        <v>623.1855421686746</v>
      </c>
      <c r="P890" s="46">
        <v>4.04</v>
      </c>
      <c r="Q890" s="25" t="s">
        <v>77</v>
      </c>
      <c r="R890" s="26" t="s">
        <v>189</v>
      </c>
      <c r="S890" s="26" t="s">
        <v>274</v>
      </c>
      <c r="T890" s="26"/>
      <c r="U890" s="67"/>
      <c r="V890" s="28">
        <f t="shared" si="27"/>
        <v>102</v>
      </c>
      <c r="W890" s="29"/>
    </row>
    <row r="891" spans="1:23" s="40" customFormat="1" ht="21" customHeight="1">
      <c r="A891" s="30"/>
      <c r="B891" s="31"/>
      <c r="C891" s="32"/>
      <c r="D891" s="18" t="s">
        <v>382</v>
      </c>
      <c r="E891" s="21" t="s">
        <v>233</v>
      </c>
      <c r="F891" s="54" t="s">
        <v>234</v>
      </c>
      <c r="G891" s="19">
        <v>1422</v>
      </c>
      <c r="H891" s="20">
        <v>250</v>
      </c>
      <c r="I891" s="19" t="s">
        <v>239</v>
      </c>
      <c r="J891" s="20">
        <v>8765</v>
      </c>
      <c r="K891" s="21">
        <v>24405</v>
      </c>
      <c r="L891" s="21">
        <v>15530</v>
      </c>
      <c r="M891" s="21" t="s">
        <v>31</v>
      </c>
      <c r="N891" s="45">
        <v>4.0999999999999996</v>
      </c>
      <c r="O891" s="23">
        <f t="shared" si="26"/>
        <v>630.78536585365862</v>
      </c>
      <c r="P891" s="46">
        <v>4.04</v>
      </c>
      <c r="Q891" s="25" t="s">
        <v>62</v>
      </c>
      <c r="R891" s="26" t="s">
        <v>189</v>
      </c>
      <c r="S891" s="26" t="s">
        <v>305</v>
      </c>
      <c r="T891" s="26"/>
      <c r="U891" s="67"/>
      <c r="V891" s="28">
        <f t="shared" si="27"/>
        <v>101</v>
      </c>
      <c r="W891" s="29"/>
    </row>
    <row r="892" spans="1:23" s="40" customFormat="1" ht="21" customHeight="1">
      <c r="A892" s="34"/>
      <c r="B892" s="31"/>
      <c r="C892" s="32"/>
      <c r="D892" s="18" t="s">
        <v>383</v>
      </c>
      <c r="E892" s="21" t="s">
        <v>237</v>
      </c>
      <c r="F892" s="20" t="s">
        <v>307</v>
      </c>
      <c r="G892" s="19">
        <v>1422</v>
      </c>
      <c r="H892" s="20">
        <v>250</v>
      </c>
      <c r="I892" s="19" t="s">
        <v>235</v>
      </c>
      <c r="J892" s="20">
        <v>8765</v>
      </c>
      <c r="K892" s="21">
        <v>24405</v>
      </c>
      <c r="L892" s="21">
        <v>15530</v>
      </c>
      <c r="M892" s="21" t="s">
        <v>31</v>
      </c>
      <c r="N892" s="22">
        <v>4.0999999999999996</v>
      </c>
      <c r="O892" s="23">
        <f t="shared" si="26"/>
        <v>630.78536585365862</v>
      </c>
      <c r="P892" s="46">
        <v>4.04</v>
      </c>
      <c r="Q892" s="25" t="s">
        <v>62</v>
      </c>
      <c r="R892" s="26" t="s">
        <v>33</v>
      </c>
      <c r="S892" s="26" t="s">
        <v>266</v>
      </c>
      <c r="T892" s="26"/>
      <c r="U892" s="39"/>
      <c r="V892" s="28">
        <f t="shared" si="27"/>
        <v>101</v>
      </c>
      <c r="W892" s="29"/>
    </row>
    <row r="893" spans="1:23" s="40" customFormat="1" ht="21" customHeight="1">
      <c r="A893" s="30"/>
      <c r="B893" s="31"/>
      <c r="C893" s="32"/>
      <c r="D893" s="18" t="s">
        <v>382</v>
      </c>
      <c r="E893" s="21" t="s">
        <v>233</v>
      </c>
      <c r="F893" s="54" t="s">
        <v>234</v>
      </c>
      <c r="G893" s="19">
        <v>1422</v>
      </c>
      <c r="H893" s="20">
        <v>250</v>
      </c>
      <c r="I893" s="19" t="s">
        <v>239</v>
      </c>
      <c r="J893" s="20">
        <v>8765</v>
      </c>
      <c r="K893" s="21">
        <v>24405</v>
      </c>
      <c r="L893" s="21">
        <v>15530</v>
      </c>
      <c r="M893" s="21" t="s">
        <v>31</v>
      </c>
      <c r="N893" s="45">
        <v>4.05</v>
      </c>
      <c r="O893" s="23">
        <f t="shared" si="26"/>
        <v>638.57283950617284</v>
      </c>
      <c r="P893" s="46">
        <v>4.04</v>
      </c>
      <c r="Q893" s="25" t="s">
        <v>77</v>
      </c>
      <c r="R893" s="26" t="s">
        <v>189</v>
      </c>
      <c r="S893" s="26" t="s">
        <v>305</v>
      </c>
      <c r="T893" s="26"/>
      <c r="U893" s="67"/>
      <c r="V893" s="28">
        <f t="shared" si="27"/>
        <v>100</v>
      </c>
      <c r="W893" s="29"/>
    </row>
    <row r="894" spans="1:23" s="40" customFormat="1" ht="21" customHeight="1">
      <c r="A894" s="34"/>
      <c r="B894" s="31"/>
      <c r="C894" s="32"/>
      <c r="D894" s="18" t="s">
        <v>383</v>
      </c>
      <c r="E894" s="21" t="s">
        <v>237</v>
      </c>
      <c r="F894" s="20" t="s">
        <v>307</v>
      </c>
      <c r="G894" s="19">
        <v>1422</v>
      </c>
      <c r="H894" s="20">
        <v>250</v>
      </c>
      <c r="I894" s="19" t="s">
        <v>235</v>
      </c>
      <c r="J894" s="20">
        <v>8765</v>
      </c>
      <c r="K894" s="21">
        <v>24405</v>
      </c>
      <c r="L894" s="21">
        <v>15530</v>
      </c>
      <c r="M894" s="21" t="s">
        <v>31</v>
      </c>
      <c r="N894" s="22">
        <v>4.05</v>
      </c>
      <c r="O894" s="23">
        <f t="shared" si="26"/>
        <v>638.57283950617284</v>
      </c>
      <c r="P894" s="46">
        <v>4.04</v>
      </c>
      <c r="Q894" s="25" t="s">
        <v>77</v>
      </c>
      <c r="R894" s="26" t="s">
        <v>33</v>
      </c>
      <c r="S894" s="26" t="s">
        <v>266</v>
      </c>
      <c r="T894" s="26"/>
      <c r="U894" s="39"/>
      <c r="V894" s="28">
        <f t="shared" si="27"/>
        <v>100</v>
      </c>
      <c r="W894" s="29"/>
    </row>
    <row r="895" spans="1:23" s="40" customFormat="1" ht="21" customHeight="1">
      <c r="A895" s="30"/>
      <c r="B895" s="31"/>
      <c r="C895" s="32"/>
      <c r="D895" s="66" t="s">
        <v>384</v>
      </c>
      <c r="E895" s="21" t="s">
        <v>233</v>
      </c>
      <c r="F895" s="54" t="s">
        <v>234</v>
      </c>
      <c r="G895" s="19">
        <v>1422</v>
      </c>
      <c r="H895" s="20">
        <v>250</v>
      </c>
      <c r="I895" s="19" t="s">
        <v>239</v>
      </c>
      <c r="J895" s="20">
        <v>8765</v>
      </c>
      <c r="K895" s="21">
        <v>24405</v>
      </c>
      <c r="L895" s="21">
        <v>15530</v>
      </c>
      <c r="M895" s="21" t="s">
        <v>31</v>
      </c>
      <c r="N895" s="45">
        <v>4.0999999999999996</v>
      </c>
      <c r="O895" s="23">
        <f t="shared" si="26"/>
        <v>630.78536585365862</v>
      </c>
      <c r="P895" s="46">
        <v>4.04</v>
      </c>
      <c r="Q895" s="25" t="s">
        <v>62</v>
      </c>
      <c r="R895" s="26" t="s">
        <v>189</v>
      </c>
      <c r="S895" s="26" t="s">
        <v>305</v>
      </c>
      <c r="T895" s="26"/>
      <c r="U895" s="67"/>
      <c r="V895" s="28">
        <f t="shared" si="27"/>
        <v>101</v>
      </c>
      <c r="W895" s="29"/>
    </row>
    <row r="896" spans="1:23" s="40" customFormat="1" ht="21" customHeight="1">
      <c r="A896" s="34"/>
      <c r="B896" s="31"/>
      <c r="C896" s="32"/>
      <c r="D896" s="18" t="s">
        <v>385</v>
      </c>
      <c r="E896" s="21" t="s">
        <v>237</v>
      </c>
      <c r="F896" s="20" t="s">
        <v>307</v>
      </c>
      <c r="G896" s="19">
        <v>1422</v>
      </c>
      <c r="H896" s="20">
        <v>250</v>
      </c>
      <c r="I896" s="19" t="s">
        <v>235</v>
      </c>
      <c r="J896" s="20">
        <v>8765</v>
      </c>
      <c r="K896" s="21">
        <v>24405</v>
      </c>
      <c r="L896" s="21">
        <v>15530</v>
      </c>
      <c r="M896" s="21" t="s">
        <v>31</v>
      </c>
      <c r="N896" s="22">
        <v>4.0999999999999996</v>
      </c>
      <c r="O896" s="23">
        <f t="shared" si="26"/>
        <v>630.78536585365862</v>
      </c>
      <c r="P896" s="46">
        <v>4.04</v>
      </c>
      <c r="Q896" s="25" t="s">
        <v>62</v>
      </c>
      <c r="R896" s="26" t="s">
        <v>33</v>
      </c>
      <c r="S896" s="26" t="s">
        <v>266</v>
      </c>
      <c r="T896" s="26"/>
      <c r="U896" s="39"/>
      <c r="V896" s="28">
        <f t="shared" si="27"/>
        <v>101</v>
      </c>
      <c r="W896" s="29"/>
    </row>
    <row r="897" spans="1:23" s="40" customFormat="1" ht="21" customHeight="1">
      <c r="A897" s="30"/>
      <c r="B897" s="31"/>
      <c r="C897" s="32"/>
      <c r="D897" s="66" t="s">
        <v>384</v>
      </c>
      <c r="E897" s="21" t="s">
        <v>233</v>
      </c>
      <c r="F897" s="54" t="s">
        <v>234</v>
      </c>
      <c r="G897" s="19">
        <v>1422</v>
      </c>
      <c r="H897" s="20">
        <v>250</v>
      </c>
      <c r="I897" s="19" t="s">
        <v>239</v>
      </c>
      <c r="J897" s="20">
        <v>8765</v>
      </c>
      <c r="K897" s="21">
        <v>24405</v>
      </c>
      <c r="L897" s="21">
        <v>15530</v>
      </c>
      <c r="M897" s="21" t="s">
        <v>31</v>
      </c>
      <c r="N897" s="45">
        <v>4.05</v>
      </c>
      <c r="O897" s="23">
        <f t="shared" si="26"/>
        <v>638.57283950617284</v>
      </c>
      <c r="P897" s="46">
        <v>4.04</v>
      </c>
      <c r="Q897" s="25" t="s">
        <v>77</v>
      </c>
      <c r="R897" s="26" t="s">
        <v>189</v>
      </c>
      <c r="S897" s="26" t="s">
        <v>305</v>
      </c>
      <c r="T897" s="26"/>
      <c r="U897" s="67"/>
      <c r="V897" s="28">
        <f t="shared" si="27"/>
        <v>100</v>
      </c>
      <c r="W897" s="29"/>
    </row>
    <row r="898" spans="1:23" s="40" customFormat="1" ht="21" customHeight="1">
      <c r="A898" s="34"/>
      <c r="B898" s="31"/>
      <c r="C898" s="32"/>
      <c r="D898" s="18" t="s">
        <v>385</v>
      </c>
      <c r="E898" s="21" t="s">
        <v>237</v>
      </c>
      <c r="F898" s="20" t="s">
        <v>307</v>
      </c>
      <c r="G898" s="19">
        <v>1422</v>
      </c>
      <c r="H898" s="20">
        <v>250</v>
      </c>
      <c r="I898" s="19" t="s">
        <v>235</v>
      </c>
      <c r="J898" s="20">
        <v>8765</v>
      </c>
      <c r="K898" s="21">
        <v>24405</v>
      </c>
      <c r="L898" s="21">
        <v>15530</v>
      </c>
      <c r="M898" s="21" t="s">
        <v>31</v>
      </c>
      <c r="N898" s="22">
        <v>4.05</v>
      </c>
      <c r="O898" s="23">
        <f t="shared" si="26"/>
        <v>638.57283950617284</v>
      </c>
      <c r="P898" s="46">
        <v>4.04</v>
      </c>
      <c r="Q898" s="25" t="s">
        <v>77</v>
      </c>
      <c r="R898" s="26" t="s">
        <v>33</v>
      </c>
      <c r="S898" s="26" t="s">
        <v>266</v>
      </c>
      <c r="T898" s="26"/>
      <c r="U898" s="39"/>
      <c r="V898" s="28">
        <f t="shared" si="27"/>
        <v>100</v>
      </c>
      <c r="W898" s="29"/>
    </row>
    <row r="899" spans="1:23" s="40" customFormat="1" ht="21" customHeight="1">
      <c r="A899" s="30"/>
      <c r="B899" s="31"/>
      <c r="C899" s="32"/>
      <c r="D899" s="66" t="s">
        <v>386</v>
      </c>
      <c r="E899" s="21" t="s">
        <v>233</v>
      </c>
      <c r="F899" s="54" t="s">
        <v>234</v>
      </c>
      <c r="G899" s="19">
        <v>1422</v>
      </c>
      <c r="H899" s="20">
        <v>250</v>
      </c>
      <c r="I899" s="19" t="s">
        <v>239</v>
      </c>
      <c r="J899" s="20">
        <v>8765</v>
      </c>
      <c r="K899" s="21">
        <v>24405</v>
      </c>
      <c r="L899" s="21">
        <v>15530</v>
      </c>
      <c r="M899" s="21" t="s">
        <v>31</v>
      </c>
      <c r="N899" s="45">
        <v>4.0999999999999996</v>
      </c>
      <c r="O899" s="23">
        <f t="shared" si="26"/>
        <v>630.78536585365862</v>
      </c>
      <c r="P899" s="46">
        <v>4.04</v>
      </c>
      <c r="Q899" s="25" t="s">
        <v>62</v>
      </c>
      <c r="R899" s="26" t="s">
        <v>189</v>
      </c>
      <c r="S899" s="26" t="s">
        <v>270</v>
      </c>
      <c r="T899" s="26"/>
      <c r="U899" s="67"/>
      <c r="V899" s="28">
        <f t="shared" si="27"/>
        <v>101</v>
      </c>
      <c r="W899" s="29"/>
    </row>
    <row r="900" spans="1:23" s="40" customFormat="1" ht="21" customHeight="1">
      <c r="A900" s="30"/>
      <c r="B900" s="31"/>
      <c r="C900" s="32"/>
      <c r="D900" s="66" t="s">
        <v>386</v>
      </c>
      <c r="E900" s="21" t="s">
        <v>233</v>
      </c>
      <c r="F900" s="54" t="s">
        <v>234</v>
      </c>
      <c r="G900" s="19">
        <v>1422</v>
      </c>
      <c r="H900" s="20">
        <v>250</v>
      </c>
      <c r="I900" s="19" t="s">
        <v>239</v>
      </c>
      <c r="J900" s="20">
        <v>8765</v>
      </c>
      <c r="K900" s="21">
        <v>24405</v>
      </c>
      <c r="L900" s="21">
        <v>15530</v>
      </c>
      <c r="M900" s="21" t="s">
        <v>31</v>
      </c>
      <c r="N900" s="45">
        <v>4.05</v>
      </c>
      <c r="O900" s="23">
        <f t="shared" si="26"/>
        <v>638.57283950617284</v>
      </c>
      <c r="P900" s="46">
        <v>4.04</v>
      </c>
      <c r="Q900" s="25" t="s">
        <v>77</v>
      </c>
      <c r="R900" s="26" t="s">
        <v>189</v>
      </c>
      <c r="S900" s="26" t="s">
        <v>270</v>
      </c>
      <c r="T900" s="26"/>
      <c r="U900" s="67"/>
      <c r="V900" s="28">
        <f t="shared" si="27"/>
        <v>100</v>
      </c>
      <c r="W900" s="29"/>
    </row>
    <row r="901" spans="1:23" s="40" customFormat="1" ht="21" customHeight="1">
      <c r="A901" s="30"/>
      <c r="B901" s="31"/>
      <c r="C901" s="32"/>
      <c r="D901" s="66" t="s">
        <v>387</v>
      </c>
      <c r="E901" s="21" t="s">
        <v>233</v>
      </c>
      <c r="F901" s="54" t="s">
        <v>234</v>
      </c>
      <c r="G901" s="19">
        <v>1422</v>
      </c>
      <c r="H901" s="20">
        <v>250</v>
      </c>
      <c r="I901" s="19" t="s">
        <v>239</v>
      </c>
      <c r="J901" s="20">
        <v>8765</v>
      </c>
      <c r="K901" s="21">
        <v>24405</v>
      </c>
      <c r="L901" s="21">
        <v>15530</v>
      </c>
      <c r="M901" s="21" t="s">
        <v>31</v>
      </c>
      <c r="N901" s="45">
        <v>4.0999999999999996</v>
      </c>
      <c r="O901" s="23">
        <f t="shared" si="26"/>
        <v>630.78536585365862</v>
      </c>
      <c r="P901" s="46">
        <v>4.04</v>
      </c>
      <c r="Q901" s="25" t="s">
        <v>62</v>
      </c>
      <c r="R901" s="26" t="s">
        <v>189</v>
      </c>
      <c r="S901" s="26" t="s">
        <v>274</v>
      </c>
      <c r="T901" s="26"/>
      <c r="U901" s="67"/>
      <c r="V901" s="28">
        <f t="shared" si="27"/>
        <v>101</v>
      </c>
      <c r="W901" s="29"/>
    </row>
    <row r="902" spans="1:23" s="40" customFormat="1" ht="21" customHeight="1">
      <c r="A902" s="30"/>
      <c r="B902" s="31"/>
      <c r="C902" s="32"/>
      <c r="D902" s="66" t="s">
        <v>387</v>
      </c>
      <c r="E902" s="21" t="s">
        <v>233</v>
      </c>
      <c r="F902" s="54" t="s">
        <v>234</v>
      </c>
      <c r="G902" s="19">
        <v>1422</v>
      </c>
      <c r="H902" s="20">
        <v>250</v>
      </c>
      <c r="I902" s="19" t="s">
        <v>239</v>
      </c>
      <c r="J902" s="20">
        <v>8765</v>
      </c>
      <c r="K902" s="21">
        <v>24405</v>
      </c>
      <c r="L902" s="21">
        <v>15530</v>
      </c>
      <c r="M902" s="21" t="s">
        <v>31</v>
      </c>
      <c r="N902" s="45">
        <v>4.05</v>
      </c>
      <c r="O902" s="23">
        <f t="shared" si="26"/>
        <v>638.57283950617284</v>
      </c>
      <c r="P902" s="46">
        <v>4.04</v>
      </c>
      <c r="Q902" s="25" t="s">
        <v>77</v>
      </c>
      <c r="R902" s="26" t="s">
        <v>189</v>
      </c>
      <c r="S902" s="26" t="s">
        <v>274</v>
      </c>
      <c r="T902" s="26"/>
      <c r="U902" s="67"/>
      <c r="V902" s="28">
        <f t="shared" si="27"/>
        <v>100</v>
      </c>
      <c r="W902" s="29"/>
    </row>
    <row r="903" spans="1:23" s="40" customFormat="1" ht="21" customHeight="1">
      <c r="A903" s="30"/>
      <c r="B903" s="31"/>
      <c r="C903" s="32"/>
      <c r="D903" s="66" t="s">
        <v>388</v>
      </c>
      <c r="E903" s="21" t="s">
        <v>389</v>
      </c>
      <c r="F903" s="54">
        <v>15.680999999999999</v>
      </c>
      <c r="G903" s="19">
        <v>1863</v>
      </c>
      <c r="H903" s="20">
        <v>309</v>
      </c>
      <c r="I903" s="19" t="s">
        <v>30</v>
      </c>
      <c r="J903" s="20">
        <v>8688</v>
      </c>
      <c r="K903" s="21">
        <v>19887</v>
      </c>
      <c r="L903" s="21">
        <v>11089</v>
      </c>
      <c r="M903" s="21" t="s">
        <v>31</v>
      </c>
      <c r="N903" s="45">
        <v>4.05</v>
      </c>
      <c r="O903" s="23">
        <f t="shared" si="26"/>
        <v>638.57283950617284</v>
      </c>
      <c r="P903" s="46">
        <v>4.1500000000000004</v>
      </c>
      <c r="Q903" s="25" t="s">
        <v>77</v>
      </c>
      <c r="R903" s="26" t="s">
        <v>33</v>
      </c>
      <c r="S903" s="26" t="s">
        <v>117</v>
      </c>
      <c r="T903" s="26"/>
      <c r="U903" s="67"/>
      <c r="V903" s="28" t="str">
        <f t="shared" si="27"/>
        <v/>
      </c>
      <c r="W903" s="29"/>
    </row>
    <row r="904" spans="1:23" s="40" customFormat="1" ht="21" customHeight="1">
      <c r="A904" s="30"/>
      <c r="B904" s="31"/>
      <c r="C904" s="32"/>
      <c r="D904" s="66" t="s">
        <v>388</v>
      </c>
      <c r="E904" s="21" t="s">
        <v>389</v>
      </c>
      <c r="F904" s="54">
        <v>15.680999999999999</v>
      </c>
      <c r="G904" s="19">
        <v>1863</v>
      </c>
      <c r="H904" s="20">
        <v>309</v>
      </c>
      <c r="I904" s="19" t="s">
        <v>390</v>
      </c>
      <c r="J904" s="20">
        <v>8688</v>
      </c>
      <c r="K904" s="21">
        <v>19887</v>
      </c>
      <c r="L904" s="21">
        <v>11089</v>
      </c>
      <c r="M904" s="21" t="s">
        <v>31</v>
      </c>
      <c r="N904" s="45">
        <v>3.7</v>
      </c>
      <c r="O904" s="23">
        <f t="shared" si="26"/>
        <v>698.97837837837824</v>
      </c>
      <c r="P904" s="46">
        <v>4.1500000000000004</v>
      </c>
      <c r="Q904" s="25" t="s">
        <v>77</v>
      </c>
      <c r="R904" s="26" t="s">
        <v>33</v>
      </c>
      <c r="S904" s="26" t="s">
        <v>117</v>
      </c>
      <c r="T904" s="26"/>
      <c r="U904" s="67"/>
      <c r="V904" s="28" t="str">
        <f t="shared" si="27"/>
        <v/>
      </c>
      <c r="W904" s="29"/>
    </row>
    <row r="905" spans="1:23" s="40" customFormat="1" ht="21" customHeight="1">
      <c r="A905" s="30"/>
      <c r="B905" s="31"/>
      <c r="C905" s="32"/>
      <c r="D905" s="66" t="s">
        <v>391</v>
      </c>
      <c r="E905" s="21" t="s">
        <v>354</v>
      </c>
      <c r="F905" s="20">
        <v>15.680999999999999</v>
      </c>
      <c r="G905" s="19">
        <v>1863</v>
      </c>
      <c r="H905" s="20">
        <v>309</v>
      </c>
      <c r="I905" s="19" t="s">
        <v>30</v>
      </c>
      <c r="J905" s="20">
        <v>8765</v>
      </c>
      <c r="K905" s="21">
        <v>24405</v>
      </c>
      <c r="L905" s="21">
        <v>15530</v>
      </c>
      <c r="M905" s="21" t="s">
        <v>31</v>
      </c>
      <c r="N905" s="45">
        <v>4.05</v>
      </c>
      <c r="O905" s="23">
        <f t="shared" ref="O905:O968" si="28">IF(N905&gt;0,1/N905*37.7*68.6,"")</f>
        <v>638.57283950617284</v>
      </c>
      <c r="P905" s="46">
        <v>4.04</v>
      </c>
      <c r="Q905" s="25" t="s">
        <v>62</v>
      </c>
      <c r="R905" s="26" t="s">
        <v>33</v>
      </c>
      <c r="S905" s="26" t="s">
        <v>236</v>
      </c>
      <c r="T905" s="26"/>
      <c r="U905" s="67"/>
      <c r="V905" s="28">
        <f t="shared" ref="V905:V968" si="29">IFERROR(IF(N905&lt;P905,"",(ROUNDDOWN(N905/P905*100,0))),"")</f>
        <v>100</v>
      </c>
      <c r="W905" s="29"/>
    </row>
    <row r="906" spans="1:23" s="40" customFormat="1" ht="21" customHeight="1">
      <c r="A906" s="30"/>
      <c r="B906" s="31"/>
      <c r="C906" s="32"/>
      <c r="D906" s="66" t="s">
        <v>392</v>
      </c>
      <c r="E906" s="21" t="s">
        <v>389</v>
      </c>
      <c r="F906" s="54">
        <v>15.680999999999999</v>
      </c>
      <c r="G906" s="19">
        <v>1863</v>
      </c>
      <c r="H906" s="20">
        <v>309</v>
      </c>
      <c r="I906" s="19" t="s">
        <v>30</v>
      </c>
      <c r="J906" s="20">
        <v>8765</v>
      </c>
      <c r="K906" s="21">
        <v>24405</v>
      </c>
      <c r="L906" s="21">
        <v>15530</v>
      </c>
      <c r="M906" s="21" t="s">
        <v>31</v>
      </c>
      <c r="N906" s="45">
        <v>3.95</v>
      </c>
      <c r="O906" s="23">
        <f t="shared" si="28"/>
        <v>654.739240506329</v>
      </c>
      <c r="P906" s="46">
        <v>4.04</v>
      </c>
      <c r="Q906" s="25" t="s">
        <v>63</v>
      </c>
      <c r="R906" s="26" t="s">
        <v>33</v>
      </c>
      <c r="S906" s="26" t="s">
        <v>236</v>
      </c>
      <c r="T906" s="26"/>
      <c r="U906" s="67"/>
      <c r="V906" s="28" t="str">
        <f t="shared" si="29"/>
        <v/>
      </c>
      <c r="W906" s="29"/>
    </row>
    <row r="907" spans="1:23" s="40" customFormat="1" ht="21" customHeight="1">
      <c r="A907" s="30"/>
      <c r="B907" s="31"/>
      <c r="C907" s="32"/>
      <c r="D907" s="66" t="s">
        <v>392</v>
      </c>
      <c r="E907" s="21" t="s">
        <v>389</v>
      </c>
      <c r="F907" s="54">
        <v>15.680999999999999</v>
      </c>
      <c r="G907" s="19">
        <v>1863</v>
      </c>
      <c r="H907" s="20">
        <v>309</v>
      </c>
      <c r="I907" s="19" t="s">
        <v>390</v>
      </c>
      <c r="J907" s="20">
        <v>8765</v>
      </c>
      <c r="K907" s="21">
        <v>24405</v>
      </c>
      <c r="L907" s="21">
        <v>15530</v>
      </c>
      <c r="M907" s="21" t="s">
        <v>31</v>
      </c>
      <c r="N907" s="45">
        <v>3.6</v>
      </c>
      <c r="O907" s="23">
        <f t="shared" si="28"/>
        <v>718.3944444444445</v>
      </c>
      <c r="P907" s="46">
        <v>4.04</v>
      </c>
      <c r="Q907" s="25" t="s">
        <v>63</v>
      </c>
      <c r="R907" s="26" t="s">
        <v>33</v>
      </c>
      <c r="S907" s="26" t="s">
        <v>236</v>
      </c>
      <c r="T907" s="26"/>
      <c r="U907" s="67"/>
      <c r="V907" s="28" t="str">
        <f t="shared" si="29"/>
        <v/>
      </c>
      <c r="W907" s="29"/>
    </row>
    <row r="908" spans="1:23" s="40" customFormat="1" ht="21" customHeight="1">
      <c r="A908" s="34"/>
      <c r="B908" s="31"/>
      <c r="C908" s="32"/>
      <c r="D908" s="18" t="s">
        <v>393</v>
      </c>
      <c r="E908" s="21" t="s">
        <v>242</v>
      </c>
      <c r="F908" s="20">
        <v>9.8390000000000004</v>
      </c>
      <c r="G908" s="19">
        <v>1814</v>
      </c>
      <c r="H908" s="20">
        <v>294</v>
      </c>
      <c r="I908" s="19" t="s">
        <v>243</v>
      </c>
      <c r="J908" s="20">
        <v>10525</v>
      </c>
      <c r="K908" s="21">
        <v>34635</v>
      </c>
      <c r="L908" s="21">
        <v>24000</v>
      </c>
      <c r="M908" s="21" t="s">
        <v>394</v>
      </c>
      <c r="N908" s="45">
        <v>3.3</v>
      </c>
      <c r="O908" s="23">
        <f t="shared" si="28"/>
        <v>783.70303030303035</v>
      </c>
      <c r="P908" s="46">
        <v>3.09</v>
      </c>
      <c r="Q908" s="25" t="s">
        <v>43</v>
      </c>
      <c r="R908" s="26" t="s">
        <v>33</v>
      </c>
      <c r="S908" s="26" t="s">
        <v>34</v>
      </c>
      <c r="T908" s="26"/>
      <c r="U908" s="67"/>
      <c r="V908" s="28">
        <f t="shared" si="29"/>
        <v>106</v>
      </c>
      <c r="W908" s="29"/>
    </row>
    <row r="909" spans="1:23" s="40" customFormat="1" ht="21" customHeight="1">
      <c r="A909" s="34"/>
      <c r="B909" s="31"/>
      <c r="C909" s="32"/>
      <c r="D909" s="18" t="s">
        <v>393</v>
      </c>
      <c r="E909" s="21" t="s">
        <v>242</v>
      </c>
      <c r="F909" s="20">
        <v>9.8390000000000004</v>
      </c>
      <c r="G909" s="19">
        <v>1814</v>
      </c>
      <c r="H909" s="20">
        <v>294</v>
      </c>
      <c r="I909" s="19" t="s">
        <v>246</v>
      </c>
      <c r="J909" s="20">
        <v>10525</v>
      </c>
      <c r="K909" s="21">
        <v>34635</v>
      </c>
      <c r="L909" s="21">
        <v>24000</v>
      </c>
      <c r="M909" s="21" t="s">
        <v>394</v>
      </c>
      <c r="N909" s="45">
        <v>3.3</v>
      </c>
      <c r="O909" s="23">
        <f t="shared" si="28"/>
        <v>783.70303030303035</v>
      </c>
      <c r="P909" s="46">
        <v>3.09</v>
      </c>
      <c r="Q909" s="25" t="s">
        <v>43</v>
      </c>
      <c r="R909" s="26" t="s">
        <v>33</v>
      </c>
      <c r="S909" s="26" t="s">
        <v>34</v>
      </c>
      <c r="T909" s="26"/>
      <c r="U909" s="67"/>
      <c r="V909" s="28">
        <f t="shared" si="29"/>
        <v>106</v>
      </c>
      <c r="W909" s="29"/>
    </row>
    <row r="910" spans="1:23" s="40" customFormat="1" ht="21" customHeight="1">
      <c r="A910" s="34"/>
      <c r="B910" s="31"/>
      <c r="C910" s="32"/>
      <c r="D910" s="18" t="s">
        <v>393</v>
      </c>
      <c r="E910" s="21" t="s">
        <v>242</v>
      </c>
      <c r="F910" s="20">
        <v>9.8390000000000004</v>
      </c>
      <c r="G910" s="19">
        <v>1814</v>
      </c>
      <c r="H910" s="20">
        <v>294</v>
      </c>
      <c r="I910" s="19" t="s">
        <v>243</v>
      </c>
      <c r="J910" s="20">
        <v>10525</v>
      </c>
      <c r="K910" s="21">
        <v>34635</v>
      </c>
      <c r="L910" s="21">
        <v>24000</v>
      </c>
      <c r="M910" s="21" t="s">
        <v>394</v>
      </c>
      <c r="N910" s="22">
        <v>3.3</v>
      </c>
      <c r="O910" s="23">
        <f t="shared" si="28"/>
        <v>783.70303030303035</v>
      </c>
      <c r="P910" s="24">
        <v>3.09</v>
      </c>
      <c r="Q910" s="25" t="s">
        <v>43</v>
      </c>
      <c r="R910" s="26" t="s">
        <v>33</v>
      </c>
      <c r="S910" s="26" t="s">
        <v>395</v>
      </c>
      <c r="T910" s="26"/>
      <c r="U910" s="39"/>
      <c r="V910" s="28">
        <f t="shared" si="29"/>
        <v>106</v>
      </c>
      <c r="W910" s="29"/>
    </row>
    <row r="911" spans="1:23" s="40" customFormat="1" ht="21" customHeight="1">
      <c r="A911" s="34"/>
      <c r="B911" s="31"/>
      <c r="C911" s="32"/>
      <c r="D911" s="18" t="s">
        <v>393</v>
      </c>
      <c r="E911" s="21" t="s">
        <v>242</v>
      </c>
      <c r="F911" s="20">
        <v>9.8390000000000004</v>
      </c>
      <c r="G911" s="19">
        <v>1814</v>
      </c>
      <c r="H911" s="20">
        <v>294</v>
      </c>
      <c r="I911" s="19" t="s">
        <v>246</v>
      </c>
      <c r="J911" s="20">
        <v>10525</v>
      </c>
      <c r="K911" s="21">
        <v>34635</v>
      </c>
      <c r="L911" s="21">
        <v>24000</v>
      </c>
      <c r="M911" s="21" t="s">
        <v>394</v>
      </c>
      <c r="N911" s="22">
        <v>3.3</v>
      </c>
      <c r="O911" s="23">
        <f t="shared" si="28"/>
        <v>783.70303030303035</v>
      </c>
      <c r="P911" s="24">
        <v>3.09</v>
      </c>
      <c r="Q911" s="25" t="s">
        <v>43</v>
      </c>
      <c r="R911" s="26" t="s">
        <v>33</v>
      </c>
      <c r="S911" s="26" t="s">
        <v>395</v>
      </c>
      <c r="T911" s="26"/>
      <c r="U911" s="39"/>
      <c r="V911" s="28">
        <f t="shared" si="29"/>
        <v>106</v>
      </c>
      <c r="W911" s="29"/>
    </row>
    <row r="912" spans="1:23" s="40" customFormat="1" ht="21" customHeight="1">
      <c r="A912" s="34"/>
      <c r="B912" s="31"/>
      <c r="C912" s="32"/>
      <c r="D912" s="18" t="s">
        <v>393</v>
      </c>
      <c r="E912" s="21" t="s">
        <v>242</v>
      </c>
      <c r="F912" s="20">
        <v>9.8390000000000004</v>
      </c>
      <c r="G912" s="19">
        <v>1814</v>
      </c>
      <c r="H912" s="20">
        <v>294</v>
      </c>
      <c r="I912" s="19" t="s">
        <v>243</v>
      </c>
      <c r="J912" s="20">
        <v>10525</v>
      </c>
      <c r="K912" s="21">
        <v>34635</v>
      </c>
      <c r="L912" s="21">
        <v>24000</v>
      </c>
      <c r="M912" s="21" t="s">
        <v>394</v>
      </c>
      <c r="N912" s="45">
        <v>3.25</v>
      </c>
      <c r="O912" s="23">
        <f t="shared" si="28"/>
        <v>795.76</v>
      </c>
      <c r="P912" s="46">
        <v>3.09</v>
      </c>
      <c r="Q912" s="25" t="s">
        <v>63</v>
      </c>
      <c r="R912" s="26" t="s">
        <v>33</v>
      </c>
      <c r="S912" s="26" t="s">
        <v>34</v>
      </c>
      <c r="T912" s="26"/>
      <c r="U912" s="67"/>
      <c r="V912" s="28">
        <f t="shared" si="29"/>
        <v>105</v>
      </c>
      <c r="W912" s="29"/>
    </row>
    <row r="913" spans="1:23" s="40" customFormat="1" ht="21" customHeight="1">
      <c r="A913" s="34"/>
      <c r="B913" s="31"/>
      <c r="C913" s="32"/>
      <c r="D913" s="18" t="s">
        <v>393</v>
      </c>
      <c r="E913" s="21" t="s">
        <v>242</v>
      </c>
      <c r="F913" s="20">
        <v>9.8390000000000004</v>
      </c>
      <c r="G913" s="19">
        <v>1814</v>
      </c>
      <c r="H913" s="20">
        <v>294</v>
      </c>
      <c r="I913" s="19" t="s">
        <v>246</v>
      </c>
      <c r="J913" s="20">
        <v>10525</v>
      </c>
      <c r="K913" s="21">
        <v>34635</v>
      </c>
      <c r="L913" s="21">
        <v>24000</v>
      </c>
      <c r="M913" s="21" t="s">
        <v>394</v>
      </c>
      <c r="N913" s="45">
        <v>3.25</v>
      </c>
      <c r="O913" s="23">
        <f t="shared" si="28"/>
        <v>795.76</v>
      </c>
      <c r="P913" s="46">
        <v>3.09</v>
      </c>
      <c r="Q913" s="25" t="s">
        <v>63</v>
      </c>
      <c r="R913" s="26" t="s">
        <v>33</v>
      </c>
      <c r="S913" s="26" t="s">
        <v>34</v>
      </c>
      <c r="T913" s="26"/>
      <c r="U913" s="67"/>
      <c r="V913" s="28">
        <f t="shared" si="29"/>
        <v>105</v>
      </c>
      <c r="W913" s="29"/>
    </row>
    <row r="914" spans="1:23" s="40" customFormat="1" ht="21" customHeight="1">
      <c r="A914" s="34"/>
      <c r="B914" s="31"/>
      <c r="C914" s="32"/>
      <c r="D914" s="18" t="s">
        <v>393</v>
      </c>
      <c r="E914" s="21" t="s">
        <v>242</v>
      </c>
      <c r="F914" s="20">
        <v>9.8390000000000004</v>
      </c>
      <c r="G914" s="19">
        <v>1814</v>
      </c>
      <c r="H914" s="20">
        <v>294</v>
      </c>
      <c r="I914" s="19" t="s">
        <v>243</v>
      </c>
      <c r="J914" s="20">
        <v>10525</v>
      </c>
      <c r="K914" s="21">
        <v>34635</v>
      </c>
      <c r="L914" s="21">
        <v>24000</v>
      </c>
      <c r="M914" s="21" t="s">
        <v>394</v>
      </c>
      <c r="N914" s="22">
        <v>3.25</v>
      </c>
      <c r="O914" s="23">
        <f t="shared" si="28"/>
        <v>795.76</v>
      </c>
      <c r="P914" s="24">
        <v>3.09</v>
      </c>
      <c r="Q914" s="25" t="s">
        <v>63</v>
      </c>
      <c r="R914" s="26" t="s">
        <v>33</v>
      </c>
      <c r="S914" s="26" t="s">
        <v>395</v>
      </c>
      <c r="T914" s="26"/>
      <c r="U914" s="39"/>
      <c r="V914" s="28">
        <f t="shared" si="29"/>
        <v>105</v>
      </c>
      <c r="W914" s="29"/>
    </row>
    <row r="915" spans="1:23" s="40" customFormat="1" ht="21" customHeight="1">
      <c r="A915" s="34"/>
      <c r="B915" s="31"/>
      <c r="C915" s="32"/>
      <c r="D915" s="18" t="s">
        <v>393</v>
      </c>
      <c r="E915" s="21" t="s">
        <v>242</v>
      </c>
      <c r="F915" s="20">
        <v>9.8390000000000004</v>
      </c>
      <c r="G915" s="19">
        <v>1814</v>
      </c>
      <c r="H915" s="20">
        <v>294</v>
      </c>
      <c r="I915" s="19" t="s">
        <v>246</v>
      </c>
      <c r="J915" s="20">
        <v>10525</v>
      </c>
      <c r="K915" s="21">
        <v>34635</v>
      </c>
      <c r="L915" s="21">
        <v>24000</v>
      </c>
      <c r="M915" s="21" t="s">
        <v>394</v>
      </c>
      <c r="N915" s="22">
        <v>3.25</v>
      </c>
      <c r="O915" s="23">
        <f t="shared" si="28"/>
        <v>795.76</v>
      </c>
      <c r="P915" s="24">
        <v>3.09</v>
      </c>
      <c r="Q915" s="25" t="s">
        <v>63</v>
      </c>
      <c r="R915" s="26" t="s">
        <v>33</v>
      </c>
      <c r="S915" s="26" t="s">
        <v>395</v>
      </c>
      <c r="T915" s="26"/>
      <c r="U915" s="39"/>
      <c r="V915" s="28">
        <f t="shared" si="29"/>
        <v>105</v>
      </c>
      <c r="W915" s="29"/>
    </row>
    <row r="916" spans="1:23" s="40" customFormat="1" ht="21" customHeight="1">
      <c r="A916" s="34"/>
      <c r="B916" s="31"/>
      <c r="C916" s="32"/>
      <c r="D916" s="18" t="s">
        <v>396</v>
      </c>
      <c r="E916" s="21" t="s">
        <v>242</v>
      </c>
      <c r="F916" s="20">
        <v>9.8390000000000004</v>
      </c>
      <c r="G916" s="19">
        <v>1814</v>
      </c>
      <c r="H916" s="20">
        <v>294</v>
      </c>
      <c r="I916" s="19" t="s">
        <v>243</v>
      </c>
      <c r="J916" s="20">
        <v>10525</v>
      </c>
      <c r="K916" s="21">
        <v>34635</v>
      </c>
      <c r="L916" s="21">
        <v>24000</v>
      </c>
      <c r="M916" s="21" t="s">
        <v>394</v>
      </c>
      <c r="N916" s="45">
        <v>3.3</v>
      </c>
      <c r="O916" s="23">
        <f t="shared" si="28"/>
        <v>783.70303030303035</v>
      </c>
      <c r="P916" s="46">
        <v>3.09</v>
      </c>
      <c r="Q916" s="25" t="s">
        <v>43</v>
      </c>
      <c r="R916" s="26" t="s">
        <v>33</v>
      </c>
      <c r="S916" s="26" t="s">
        <v>34</v>
      </c>
      <c r="T916" s="26"/>
      <c r="U916" s="67"/>
      <c r="V916" s="28">
        <f t="shared" si="29"/>
        <v>106</v>
      </c>
      <c r="W916" s="29"/>
    </row>
    <row r="917" spans="1:23" s="40" customFormat="1" ht="21" customHeight="1">
      <c r="A917" s="34"/>
      <c r="B917" s="31"/>
      <c r="C917" s="32"/>
      <c r="D917" s="18" t="s">
        <v>396</v>
      </c>
      <c r="E917" s="21" t="s">
        <v>242</v>
      </c>
      <c r="F917" s="20">
        <v>9.8390000000000004</v>
      </c>
      <c r="G917" s="19">
        <v>1814</v>
      </c>
      <c r="H917" s="20">
        <v>294</v>
      </c>
      <c r="I917" s="19" t="s">
        <v>246</v>
      </c>
      <c r="J917" s="20">
        <v>10525</v>
      </c>
      <c r="K917" s="21">
        <v>34635</v>
      </c>
      <c r="L917" s="21">
        <v>24000</v>
      </c>
      <c r="M917" s="21" t="s">
        <v>394</v>
      </c>
      <c r="N917" s="45">
        <v>3.3</v>
      </c>
      <c r="O917" s="23">
        <f t="shared" si="28"/>
        <v>783.70303030303035</v>
      </c>
      <c r="P917" s="46">
        <v>3.09</v>
      </c>
      <c r="Q917" s="25" t="s">
        <v>43</v>
      </c>
      <c r="R917" s="26" t="s">
        <v>33</v>
      </c>
      <c r="S917" s="26" t="s">
        <v>34</v>
      </c>
      <c r="T917" s="26"/>
      <c r="U917" s="67"/>
      <c r="V917" s="28">
        <f t="shared" si="29"/>
        <v>106</v>
      </c>
      <c r="W917" s="29"/>
    </row>
    <row r="918" spans="1:23" s="40" customFormat="1" ht="21" customHeight="1">
      <c r="A918" s="34"/>
      <c r="B918" s="31"/>
      <c r="C918" s="32"/>
      <c r="D918" s="18" t="s">
        <v>396</v>
      </c>
      <c r="E918" s="21" t="s">
        <v>242</v>
      </c>
      <c r="F918" s="20">
        <v>9.8390000000000004</v>
      </c>
      <c r="G918" s="19">
        <v>1814</v>
      </c>
      <c r="H918" s="20">
        <v>294</v>
      </c>
      <c r="I918" s="19" t="s">
        <v>278</v>
      </c>
      <c r="J918" s="20">
        <v>10525</v>
      </c>
      <c r="K918" s="21">
        <v>34635</v>
      </c>
      <c r="L918" s="21">
        <v>24000</v>
      </c>
      <c r="M918" s="21" t="s">
        <v>394</v>
      </c>
      <c r="N918" s="45">
        <v>3.3</v>
      </c>
      <c r="O918" s="23">
        <f t="shared" si="28"/>
        <v>783.70303030303035</v>
      </c>
      <c r="P918" s="46">
        <v>3.09</v>
      </c>
      <c r="Q918" s="25" t="s">
        <v>43</v>
      </c>
      <c r="R918" s="26" t="s">
        <v>33</v>
      </c>
      <c r="S918" s="26" t="s">
        <v>34</v>
      </c>
      <c r="T918" s="26"/>
      <c r="U918" s="67"/>
      <c r="V918" s="28">
        <f t="shared" si="29"/>
        <v>106</v>
      </c>
      <c r="W918" s="29"/>
    </row>
    <row r="919" spans="1:23" s="40" customFormat="1" ht="21" customHeight="1">
      <c r="A919" s="34"/>
      <c r="B919" s="31"/>
      <c r="C919" s="32"/>
      <c r="D919" s="18" t="s">
        <v>396</v>
      </c>
      <c r="E919" s="21" t="s">
        <v>242</v>
      </c>
      <c r="F919" s="20">
        <v>9.8390000000000004</v>
      </c>
      <c r="G919" s="19">
        <v>1814</v>
      </c>
      <c r="H919" s="20">
        <v>294</v>
      </c>
      <c r="I919" s="19" t="s">
        <v>243</v>
      </c>
      <c r="J919" s="20">
        <v>10525</v>
      </c>
      <c r="K919" s="21">
        <v>34635</v>
      </c>
      <c r="L919" s="21">
        <v>24000</v>
      </c>
      <c r="M919" s="21" t="s">
        <v>394</v>
      </c>
      <c r="N919" s="22">
        <v>3.3</v>
      </c>
      <c r="O919" s="23">
        <f t="shared" si="28"/>
        <v>783.70303030303035</v>
      </c>
      <c r="P919" s="24">
        <v>3.09</v>
      </c>
      <c r="Q919" s="25" t="s">
        <v>43</v>
      </c>
      <c r="R919" s="26" t="s">
        <v>33</v>
      </c>
      <c r="S919" s="26" t="s">
        <v>395</v>
      </c>
      <c r="T919" s="26"/>
      <c r="U919" s="39"/>
      <c r="V919" s="28">
        <f t="shared" si="29"/>
        <v>106</v>
      </c>
      <c r="W919" s="29"/>
    </row>
    <row r="920" spans="1:23" s="40" customFormat="1" ht="21" customHeight="1">
      <c r="A920" s="34"/>
      <c r="B920" s="31"/>
      <c r="C920" s="32"/>
      <c r="D920" s="18" t="s">
        <v>396</v>
      </c>
      <c r="E920" s="21" t="s">
        <v>242</v>
      </c>
      <c r="F920" s="20">
        <v>9.8390000000000004</v>
      </c>
      <c r="G920" s="19">
        <v>1814</v>
      </c>
      <c r="H920" s="20">
        <v>294</v>
      </c>
      <c r="I920" s="19" t="s">
        <v>246</v>
      </c>
      <c r="J920" s="20">
        <v>10525</v>
      </c>
      <c r="K920" s="21">
        <v>34635</v>
      </c>
      <c r="L920" s="21">
        <v>24000</v>
      </c>
      <c r="M920" s="21" t="s">
        <v>394</v>
      </c>
      <c r="N920" s="22">
        <v>3.3</v>
      </c>
      <c r="O920" s="23">
        <f t="shared" si="28"/>
        <v>783.70303030303035</v>
      </c>
      <c r="P920" s="24">
        <v>3.09</v>
      </c>
      <c r="Q920" s="25" t="s">
        <v>43</v>
      </c>
      <c r="R920" s="26" t="s">
        <v>33</v>
      </c>
      <c r="S920" s="26" t="s">
        <v>395</v>
      </c>
      <c r="T920" s="26"/>
      <c r="U920" s="39"/>
      <c r="V920" s="28">
        <f t="shared" si="29"/>
        <v>106</v>
      </c>
      <c r="W920" s="29"/>
    </row>
    <row r="921" spans="1:23" s="40" customFormat="1" ht="21" customHeight="1">
      <c r="A921" s="34"/>
      <c r="B921" s="31"/>
      <c r="C921" s="32"/>
      <c r="D921" s="18" t="s">
        <v>396</v>
      </c>
      <c r="E921" s="21" t="s">
        <v>242</v>
      </c>
      <c r="F921" s="20">
        <v>9.8390000000000004</v>
      </c>
      <c r="G921" s="19">
        <v>1814</v>
      </c>
      <c r="H921" s="20">
        <v>294</v>
      </c>
      <c r="I921" s="19" t="s">
        <v>278</v>
      </c>
      <c r="J921" s="20">
        <v>10525</v>
      </c>
      <c r="K921" s="21">
        <v>34635</v>
      </c>
      <c r="L921" s="21">
        <v>24000</v>
      </c>
      <c r="M921" s="21" t="s">
        <v>394</v>
      </c>
      <c r="N921" s="22">
        <v>3.3</v>
      </c>
      <c r="O921" s="23">
        <f t="shared" si="28"/>
        <v>783.70303030303035</v>
      </c>
      <c r="P921" s="24">
        <v>3.09</v>
      </c>
      <c r="Q921" s="25" t="s">
        <v>43</v>
      </c>
      <c r="R921" s="26" t="s">
        <v>33</v>
      </c>
      <c r="S921" s="26" t="s">
        <v>395</v>
      </c>
      <c r="T921" s="26"/>
      <c r="U921" s="39"/>
      <c r="V921" s="28">
        <f t="shared" si="29"/>
        <v>106</v>
      </c>
      <c r="W921" s="29"/>
    </row>
    <row r="922" spans="1:23" s="40" customFormat="1" ht="21" customHeight="1">
      <c r="A922" s="34"/>
      <c r="B922" s="31"/>
      <c r="C922" s="32"/>
      <c r="D922" s="18" t="s">
        <v>396</v>
      </c>
      <c r="E922" s="21" t="s">
        <v>242</v>
      </c>
      <c r="F922" s="20">
        <v>9.8390000000000004</v>
      </c>
      <c r="G922" s="19">
        <v>1814</v>
      </c>
      <c r="H922" s="20">
        <v>294</v>
      </c>
      <c r="I922" s="19" t="s">
        <v>243</v>
      </c>
      <c r="J922" s="20">
        <v>10525</v>
      </c>
      <c r="K922" s="21">
        <v>34635</v>
      </c>
      <c r="L922" s="21">
        <v>24000</v>
      </c>
      <c r="M922" s="21" t="s">
        <v>394</v>
      </c>
      <c r="N922" s="45">
        <v>3.25</v>
      </c>
      <c r="O922" s="23">
        <f t="shared" si="28"/>
        <v>795.76</v>
      </c>
      <c r="P922" s="46">
        <v>3.09</v>
      </c>
      <c r="Q922" s="25" t="s">
        <v>63</v>
      </c>
      <c r="R922" s="26" t="s">
        <v>33</v>
      </c>
      <c r="S922" s="26" t="s">
        <v>34</v>
      </c>
      <c r="T922" s="26"/>
      <c r="U922" s="67"/>
      <c r="V922" s="28">
        <f t="shared" si="29"/>
        <v>105</v>
      </c>
      <c r="W922" s="29"/>
    </row>
    <row r="923" spans="1:23" s="40" customFormat="1" ht="21" customHeight="1">
      <c r="A923" s="34"/>
      <c r="B923" s="31"/>
      <c r="C923" s="32"/>
      <c r="D923" s="18" t="s">
        <v>396</v>
      </c>
      <c r="E923" s="21" t="s">
        <v>242</v>
      </c>
      <c r="F923" s="20">
        <v>9.8390000000000004</v>
      </c>
      <c r="G923" s="19">
        <v>1814</v>
      </c>
      <c r="H923" s="20">
        <v>294</v>
      </c>
      <c r="I923" s="19" t="s">
        <v>246</v>
      </c>
      <c r="J923" s="20">
        <v>10525</v>
      </c>
      <c r="K923" s="21">
        <v>34635</v>
      </c>
      <c r="L923" s="21">
        <v>24000</v>
      </c>
      <c r="M923" s="21" t="s">
        <v>394</v>
      </c>
      <c r="N923" s="45">
        <v>3.25</v>
      </c>
      <c r="O923" s="23">
        <f t="shared" si="28"/>
        <v>795.76</v>
      </c>
      <c r="P923" s="46">
        <v>3.09</v>
      </c>
      <c r="Q923" s="25" t="s">
        <v>63</v>
      </c>
      <c r="R923" s="26" t="s">
        <v>33</v>
      </c>
      <c r="S923" s="26" t="s">
        <v>34</v>
      </c>
      <c r="T923" s="26"/>
      <c r="U923" s="67"/>
      <c r="V923" s="28">
        <f t="shared" si="29"/>
        <v>105</v>
      </c>
      <c r="W923" s="29"/>
    </row>
    <row r="924" spans="1:23" s="40" customFormat="1" ht="21" customHeight="1">
      <c r="A924" s="34"/>
      <c r="B924" s="31"/>
      <c r="C924" s="32"/>
      <c r="D924" s="18" t="s">
        <v>396</v>
      </c>
      <c r="E924" s="21" t="s">
        <v>242</v>
      </c>
      <c r="F924" s="20">
        <v>9.8390000000000004</v>
      </c>
      <c r="G924" s="19">
        <v>1814</v>
      </c>
      <c r="H924" s="20">
        <v>294</v>
      </c>
      <c r="I924" s="19" t="s">
        <v>278</v>
      </c>
      <c r="J924" s="20">
        <v>10525</v>
      </c>
      <c r="K924" s="21">
        <v>34635</v>
      </c>
      <c r="L924" s="21">
        <v>24000</v>
      </c>
      <c r="M924" s="21" t="s">
        <v>394</v>
      </c>
      <c r="N924" s="45">
        <v>3.25</v>
      </c>
      <c r="O924" s="23">
        <f t="shared" si="28"/>
        <v>795.76</v>
      </c>
      <c r="P924" s="46">
        <v>3.09</v>
      </c>
      <c r="Q924" s="25" t="s">
        <v>63</v>
      </c>
      <c r="R924" s="26" t="s">
        <v>33</v>
      </c>
      <c r="S924" s="26" t="s">
        <v>34</v>
      </c>
      <c r="T924" s="26"/>
      <c r="U924" s="67"/>
      <c r="V924" s="28">
        <f t="shared" si="29"/>
        <v>105</v>
      </c>
      <c r="W924" s="29"/>
    </row>
    <row r="925" spans="1:23" s="40" customFormat="1" ht="21" customHeight="1">
      <c r="A925" s="34"/>
      <c r="B925" s="31"/>
      <c r="C925" s="32"/>
      <c r="D925" s="18" t="s">
        <v>396</v>
      </c>
      <c r="E925" s="21" t="s">
        <v>242</v>
      </c>
      <c r="F925" s="20">
        <v>9.8390000000000004</v>
      </c>
      <c r="G925" s="19">
        <v>1814</v>
      </c>
      <c r="H925" s="20">
        <v>294</v>
      </c>
      <c r="I925" s="19" t="s">
        <v>243</v>
      </c>
      <c r="J925" s="20">
        <v>10525</v>
      </c>
      <c r="K925" s="21">
        <v>34635</v>
      </c>
      <c r="L925" s="21">
        <v>24000</v>
      </c>
      <c r="M925" s="21" t="s">
        <v>394</v>
      </c>
      <c r="N925" s="22">
        <v>3.25</v>
      </c>
      <c r="O925" s="23">
        <f t="shared" si="28"/>
        <v>795.76</v>
      </c>
      <c r="P925" s="24">
        <v>3.09</v>
      </c>
      <c r="Q925" s="25" t="s">
        <v>63</v>
      </c>
      <c r="R925" s="26" t="s">
        <v>33</v>
      </c>
      <c r="S925" s="26" t="s">
        <v>395</v>
      </c>
      <c r="T925" s="26"/>
      <c r="U925" s="39"/>
      <c r="V925" s="28">
        <f t="shared" si="29"/>
        <v>105</v>
      </c>
      <c r="W925" s="29"/>
    </row>
    <row r="926" spans="1:23" s="40" customFormat="1" ht="21" customHeight="1">
      <c r="A926" s="34"/>
      <c r="B926" s="31"/>
      <c r="C926" s="32"/>
      <c r="D926" s="18" t="s">
        <v>396</v>
      </c>
      <c r="E926" s="21" t="s">
        <v>242</v>
      </c>
      <c r="F926" s="20">
        <v>9.8390000000000004</v>
      </c>
      <c r="G926" s="19">
        <v>1814</v>
      </c>
      <c r="H926" s="20">
        <v>294</v>
      </c>
      <c r="I926" s="19" t="s">
        <v>246</v>
      </c>
      <c r="J926" s="20">
        <v>10525</v>
      </c>
      <c r="K926" s="21">
        <v>34635</v>
      </c>
      <c r="L926" s="21">
        <v>24000</v>
      </c>
      <c r="M926" s="21" t="s">
        <v>394</v>
      </c>
      <c r="N926" s="22">
        <v>3.25</v>
      </c>
      <c r="O926" s="23">
        <f t="shared" si="28"/>
        <v>795.76</v>
      </c>
      <c r="P926" s="24">
        <v>3.09</v>
      </c>
      <c r="Q926" s="25" t="s">
        <v>63</v>
      </c>
      <c r="R926" s="26" t="s">
        <v>33</v>
      </c>
      <c r="S926" s="26" t="s">
        <v>395</v>
      </c>
      <c r="T926" s="26"/>
      <c r="U926" s="39"/>
      <c r="V926" s="28">
        <f t="shared" si="29"/>
        <v>105</v>
      </c>
      <c r="W926" s="29"/>
    </row>
    <row r="927" spans="1:23" s="40" customFormat="1" ht="21" customHeight="1">
      <c r="A927" s="34"/>
      <c r="B927" s="31"/>
      <c r="C927" s="32"/>
      <c r="D927" s="18" t="s">
        <v>396</v>
      </c>
      <c r="E927" s="21" t="s">
        <v>242</v>
      </c>
      <c r="F927" s="20">
        <v>9.8390000000000004</v>
      </c>
      <c r="G927" s="19">
        <v>1814</v>
      </c>
      <c r="H927" s="20">
        <v>294</v>
      </c>
      <c r="I927" s="19" t="s">
        <v>278</v>
      </c>
      <c r="J927" s="20">
        <v>10525</v>
      </c>
      <c r="K927" s="21">
        <v>34635</v>
      </c>
      <c r="L927" s="21">
        <v>24000</v>
      </c>
      <c r="M927" s="21" t="s">
        <v>394</v>
      </c>
      <c r="N927" s="22">
        <v>3.25</v>
      </c>
      <c r="O927" s="23">
        <f t="shared" si="28"/>
        <v>795.76</v>
      </c>
      <c r="P927" s="24">
        <v>3.09</v>
      </c>
      <c r="Q927" s="25" t="s">
        <v>63</v>
      </c>
      <c r="R927" s="26" t="s">
        <v>33</v>
      </c>
      <c r="S927" s="26" t="s">
        <v>395</v>
      </c>
      <c r="T927" s="26"/>
      <c r="U927" s="39"/>
      <c r="V927" s="28">
        <f t="shared" si="29"/>
        <v>105</v>
      </c>
      <c r="W927" s="29"/>
    </row>
    <row r="928" spans="1:23" s="40" customFormat="1" ht="21" customHeight="1">
      <c r="A928" s="34"/>
      <c r="B928" s="31"/>
      <c r="C928" s="32"/>
      <c r="D928" s="18" t="s">
        <v>397</v>
      </c>
      <c r="E928" s="21" t="s">
        <v>242</v>
      </c>
      <c r="F928" s="20">
        <v>9.8390000000000004</v>
      </c>
      <c r="G928" s="19">
        <v>1814</v>
      </c>
      <c r="H928" s="20">
        <v>294</v>
      </c>
      <c r="I928" s="19" t="s">
        <v>243</v>
      </c>
      <c r="J928" s="20">
        <v>10525</v>
      </c>
      <c r="K928" s="21">
        <v>34635</v>
      </c>
      <c r="L928" s="21">
        <v>24000</v>
      </c>
      <c r="M928" s="21" t="s">
        <v>394</v>
      </c>
      <c r="N928" s="45">
        <v>3.3</v>
      </c>
      <c r="O928" s="23">
        <f t="shared" si="28"/>
        <v>783.70303030303035</v>
      </c>
      <c r="P928" s="46">
        <v>3.09</v>
      </c>
      <c r="Q928" s="25" t="s">
        <v>43</v>
      </c>
      <c r="R928" s="26" t="s">
        <v>33</v>
      </c>
      <c r="S928" s="26" t="s">
        <v>34</v>
      </c>
      <c r="T928" s="26"/>
      <c r="U928" s="67"/>
      <c r="V928" s="28">
        <f t="shared" si="29"/>
        <v>106</v>
      </c>
      <c r="W928" s="29"/>
    </row>
    <row r="929" spans="1:23" s="40" customFormat="1" ht="21" customHeight="1">
      <c r="A929" s="34"/>
      <c r="B929" s="31"/>
      <c r="C929" s="32"/>
      <c r="D929" s="18" t="s">
        <v>397</v>
      </c>
      <c r="E929" s="21" t="s">
        <v>242</v>
      </c>
      <c r="F929" s="20">
        <v>9.8390000000000004</v>
      </c>
      <c r="G929" s="19">
        <v>1814</v>
      </c>
      <c r="H929" s="20">
        <v>294</v>
      </c>
      <c r="I929" s="19" t="s">
        <v>246</v>
      </c>
      <c r="J929" s="20">
        <v>10525</v>
      </c>
      <c r="K929" s="21">
        <v>34635</v>
      </c>
      <c r="L929" s="21">
        <v>24000</v>
      </c>
      <c r="M929" s="21" t="s">
        <v>394</v>
      </c>
      <c r="N929" s="45">
        <v>3.3</v>
      </c>
      <c r="O929" s="23">
        <f t="shared" si="28"/>
        <v>783.70303030303035</v>
      </c>
      <c r="P929" s="46">
        <v>3.09</v>
      </c>
      <c r="Q929" s="25" t="s">
        <v>43</v>
      </c>
      <c r="R929" s="26" t="s">
        <v>33</v>
      </c>
      <c r="S929" s="26" t="s">
        <v>34</v>
      </c>
      <c r="T929" s="26"/>
      <c r="U929" s="67"/>
      <c r="V929" s="28">
        <f t="shared" si="29"/>
        <v>106</v>
      </c>
      <c r="W929" s="29"/>
    </row>
    <row r="930" spans="1:23" s="40" customFormat="1" ht="21" customHeight="1">
      <c r="A930" s="34"/>
      <c r="B930" s="31"/>
      <c r="C930" s="32"/>
      <c r="D930" s="18" t="s">
        <v>397</v>
      </c>
      <c r="E930" s="21" t="s">
        <v>242</v>
      </c>
      <c r="F930" s="20">
        <v>9.8390000000000004</v>
      </c>
      <c r="G930" s="19">
        <v>1814</v>
      </c>
      <c r="H930" s="20">
        <v>294</v>
      </c>
      <c r="I930" s="19" t="s">
        <v>243</v>
      </c>
      <c r="J930" s="20">
        <v>10525</v>
      </c>
      <c r="K930" s="21">
        <v>34635</v>
      </c>
      <c r="L930" s="21">
        <v>24000</v>
      </c>
      <c r="M930" s="21" t="s">
        <v>394</v>
      </c>
      <c r="N930" s="22">
        <v>3.3</v>
      </c>
      <c r="O930" s="23">
        <f t="shared" si="28"/>
        <v>783.70303030303035</v>
      </c>
      <c r="P930" s="24">
        <v>3.09</v>
      </c>
      <c r="Q930" s="25" t="s">
        <v>43</v>
      </c>
      <c r="R930" s="26" t="s">
        <v>33</v>
      </c>
      <c r="S930" s="26" t="s">
        <v>395</v>
      </c>
      <c r="T930" s="26"/>
      <c r="U930" s="39"/>
      <c r="V930" s="28">
        <f t="shared" si="29"/>
        <v>106</v>
      </c>
      <c r="W930" s="29"/>
    </row>
    <row r="931" spans="1:23" s="40" customFormat="1" ht="21" customHeight="1">
      <c r="A931" s="34"/>
      <c r="B931" s="31"/>
      <c r="C931" s="32"/>
      <c r="D931" s="18" t="s">
        <v>397</v>
      </c>
      <c r="E931" s="21" t="s">
        <v>242</v>
      </c>
      <c r="F931" s="20">
        <v>9.8390000000000004</v>
      </c>
      <c r="G931" s="19">
        <v>1814</v>
      </c>
      <c r="H931" s="20">
        <v>294</v>
      </c>
      <c r="I931" s="19" t="s">
        <v>246</v>
      </c>
      <c r="J931" s="20">
        <v>10525</v>
      </c>
      <c r="K931" s="21">
        <v>34635</v>
      </c>
      <c r="L931" s="21">
        <v>24000</v>
      </c>
      <c r="M931" s="21" t="s">
        <v>394</v>
      </c>
      <c r="N931" s="22">
        <v>3.3</v>
      </c>
      <c r="O931" s="23">
        <f t="shared" si="28"/>
        <v>783.70303030303035</v>
      </c>
      <c r="P931" s="24">
        <v>3.09</v>
      </c>
      <c r="Q931" s="25" t="s">
        <v>43</v>
      </c>
      <c r="R931" s="26" t="s">
        <v>33</v>
      </c>
      <c r="S931" s="26" t="s">
        <v>395</v>
      </c>
      <c r="T931" s="26"/>
      <c r="U931" s="39"/>
      <c r="V931" s="28">
        <f t="shared" si="29"/>
        <v>106</v>
      </c>
      <c r="W931" s="29"/>
    </row>
    <row r="932" spans="1:23" s="40" customFormat="1" ht="21" customHeight="1">
      <c r="A932" s="34"/>
      <c r="B932" s="31"/>
      <c r="C932" s="32"/>
      <c r="D932" s="18" t="s">
        <v>397</v>
      </c>
      <c r="E932" s="21" t="s">
        <v>242</v>
      </c>
      <c r="F932" s="20">
        <v>9.8390000000000004</v>
      </c>
      <c r="G932" s="19">
        <v>1814</v>
      </c>
      <c r="H932" s="20">
        <v>294</v>
      </c>
      <c r="I932" s="19" t="s">
        <v>243</v>
      </c>
      <c r="J932" s="20">
        <v>10525</v>
      </c>
      <c r="K932" s="21">
        <v>34635</v>
      </c>
      <c r="L932" s="21">
        <v>24000</v>
      </c>
      <c r="M932" s="21" t="s">
        <v>394</v>
      </c>
      <c r="N932" s="45">
        <v>3.25</v>
      </c>
      <c r="O932" s="23">
        <f t="shared" si="28"/>
        <v>795.76</v>
      </c>
      <c r="P932" s="46">
        <v>3.09</v>
      </c>
      <c r="Q932" s="25" t="s">
        <v>63</v>
      </c>
      <c r="R932" s="26" t="s">
        <v>33</v>
      </c>
      <c r="S932" s="26" t="s">
        <v>34</v>
      </c>
      <c r="T932" s="26"/>
      <c r="U932" s="67"/>
      <c r="V932" s="28">
        <f t="shared" si="29"/>
        <v>105</v>
      </c>
      <c r="W932" s="29"/>
    </row>
    <row r="933" spans="1:23" s="40" customFormat="1" ht="21" customHeight="1">
      <c r="A933" s="34"/>
      <c r="B933" s="31"/>
      <c r="C933" s="32"/>
      <c r="D933" s="18" t="s">
        <v>397</v>
      </c>
      <c r="E933" s="21" t="s">
        <v>242</v>
      </c>
      <c r="F933" s="20">
        <v>9.8390000000000004</v>
      </c>
      <c r="G933" s="19">
        <v>1814</v>
      </c>
      <c r="H933" s="20">
        <v>294</v>
      </c>
      <c r="I933" s="19" t="s">
        <v>246</v>
      </c>
      <c r="J933" s="20">
        <v>10525</v>
      </c>
      <c r="K933" s="21">
        <v>34635</v>
      </c>
      <c r="L933" s="21">
        <v>24000</v>
      </c>
      <c r="M933" s="21" t="s">
        <v>394</v>
      </c>
      <c r="N933" s="45">
        <v>3.25</v>
      </c>
      <c r="O933" s="23">
        <f t="shared" si="28"/>
        <v>795.76</v>
      </c>
      <c r="P933" s="46">
        <v>3.09</v>
      </c>
      <c r="Q933" s="25" t="s">
        <v>63</v>
      </c>
      <c r="R933" s="26" t="s">
        <v>33</v>
      </c>
      <c r="S933" s="26" t="s">
        <v>34</v>
      </c>
      <c r="T933" s="26"/>
      <c r="U933" s="67"/>
      <c r="V933" s="28">
        <f t="shared" si="29"/>
        <v>105</v>
      </c>
      <c r="W933" s="29"/>
    </row>
    <row r="934" spans="1:23" s="40" customFormat="1" ht="21" customHeight="1">
      <c r="A934" s="34"/>
      <c r="B934" s="31"/>
      <c r="C934" s="32"/>
      <c r="D934" s="18" t="s">
        <v>397</v>
      </c>
      <c r="E934" s="21" t="s">
        <v>242</v>
      </c>
      <c r="F934" s="20">
        <v>9.8390000000000004</v>
      </c>
      <c r="G934" s="19">
        <v>1814</v>
      </c>
      <c r="H934" s="20">
        <v>294</v>
      </c>
      <c r="I934" s="19" t="s">
        <v>243</v>
      </c>
      <c r="J934" s="20">
        <v>10525</v>
      </c>
      <c r="K934" s="21">
        <v>34635</v>
      </c>
      <c r="L934" s="21">
        <v>24000</v>
      </c>
      <c r="M934" s="21" t="s">
        <v>394</v>
      </c>
      <c r="N934" s="22">
        <v>3.25</v>
      </c>
      <c r="O934" s="23">
        <f t="shared" si="28"/>
        <v>795.76</v>
      </c>
      <c r="P934" s="24">
        <v>3.09</v>
      </c>
      <c r="Q934" s="25" t="s">
        <v>63</v>
      </c>
      <c r="R934" s="26" t="s">
        <v>33</v>
      </c>
      <c r="S934" s="26" t="s">
        <v>395</v>
      </c>
      <c r="T934" s="26"/>
      <c r="U934" s="39"/>
      <c r="V934" s="28">
        <f t="shared" si="29"/>
        <v>105</v>
      </c>
      <c r="W934" s="29"/>
    </row>
    <row r="935" spans="1:23" s="40" customFormat="1" ht="21" customHeight="1">
      <c r="A935" s="34"/>
      <c r="B935" s="31"/>
      <c r="C935" s="32"/>
      <c r="D935" s="18" t="s">
        <v>397</v>
      </c>
      <c r="E935" s="21" t="s">
        <v>242</v>
      </c>
      <c r="F935" s="20">
        <v>9.8390000000000004</v>
      </c>
      <c r="G935" s="19">
        <v>1814</v>
      </c>
      <c r="H935" s="20">
        <v>294</v>
      </c>
      <c r="I935" s="19" t="s">
        <v>246</v>
      </c>
      <c r="J935" s="20">
        <v>10525</v>
      </c>
      <c r="K935" s="21">
        <v>34635</v>
      </c>
      <c r="L935" s="21">
        <v>24000</v>
      </c>
      <c r="M935" s="21" t="s">
        <v>394</v>
      </c>
      <c r="N935" s="22">
        <v>3.25</v>
      </c>
      <c r="O935" s="23">
        <f t="shared" si="28"/>
        <v>795.76</v>
      </c>
      <c r="P935" s="24">
        <v>3.09</v>
      </c>
      <c r="Q935" s="25" t="s">
        <v>63</v>
      </c>
      <c r="R935" s="26" t="s">
        <v>33</v>
      </c>
      <c r="S935" s="26" t="s">
        <v>395</v>
      </c>
      <c r="T935" s="26"/>
      <c r="U935" s="39"/>
      <c r="V935" s="28">
        <f t="shared" si="29"/>
        <v>105</v>
      </c>
      <c r="W935" s="29"/>
    </row>
    <row r="936" spans="1:23" s="40" customFormat="1" ht="21" customHeight="1">
      <c r="A936" s="34"/>
      <c r="B936" s="31"/>
      <c r="C936" s="32"/>
      <c r="D936" s="18" t="s">
        <v>398</v>
      </c>
      <c r="E936" s="21" t="s">
        <v>242</v>
      </c>
      <c r="F936" s="20">
        <v>9.8390000000000004</v>
      </c>
      <c r="G936" s="19">
        <v>1814</v>
      </c>
      <c r="H936" s="20">
        <v>294</v>
      </c>
      <c r="I936" s="19" t="s">
        <v>243</v>
      </c>
      <c r="J936" s="20">
        <v>10525</v>
      </c>
      <c r="K936" s="21">
        <v>34635</v>
      </c>
      <c r="L936" s="21">
        <v>24000</v>
      </c>
      <c r="M936" s="21" t="s">
        <v>394</v>
      </c>
      <c r="N936" s="45">
        <v>3.3</v>
      </c>
      <c r="O936" s="23">
        <f t="shared" si="28"/>
        <v>783.70303030303035</v>
      </c>
      <c r="P936" s="46">
        <v>3.09</v>
      </c>
      <c r="Q936" s="25" t="s">
        <v>43</v>
      </c>
      <c r="R936" s="26" t="s">
        <v>33</v>
      </c>
      <c r="S936" s="26" t="s">
        <v>34</v>
      </c>
      <c r="T936" s="26"/>
      <c r="U936" s="67"/>
      <c r="V936" s="28">
        <f t="shared" si="29"/>
        <v>106</v>
      </c>
      <c r="W936" s="29"/>
    </row>
    <row r="937" spans="1:23" s="40" customFormat="1" ht="21" customHeight="1">
      <c r="A937" s="34"/>
      <c r="B937" s="31"/>
      <c r="C937" s="32"/>
      <c r="D937" s="18" t="s">
        <v>398</v>
      </c>
      <c r="E937" s="21" t="s">
        <v>242</v>
      </c>
      <c r="F937" s="20">
        <v>9.8390000000000004</v>
      </c>
      <c r="G937" s="19">
        <v>1814</v>
      </c>
      <c r="H937" s="20">
        <v>294</v>
      </c>
      <c r="I937" s="19" t="s">
        <v>246</v>
      </c>
      <c r="J937" s="20">
        <v>10525</v>
      </c>
      <c r="K937" s="21">
        <v>34635</v>
      </c>
      <c r="L937" s="21">
        <v>24000</v>
      </c>
      <c r="M937" s="21" t="s">
        <v>394</v>
      </c>
      <c r="N937" s="45">
        <v>3.3</v>
      </c>
      <c r="O937" s="23">
        <f t="shared" si="28"/>
        <v>783.70303030303035</v>
      </c>
      <c r="P937" s="46">
        <v>3.09</v>
      </c>
      <c r="Q937" s="25" t="s">
        <v>43</v>
      </c>
      <c r="R937" s="26" t="s">
        <v>33</v>
      </c>
      <c r="S937" s="26" t="s">
        <v>34</v>
      </c>
      <c r="T937" s="26"/>
      <c r="U937" s="67"/>
      <c r="V937" s="28">
        <f t="shared" si="29"/>
        <v>106</v>
      </c>
      <c r="W937" s="29"/>
    </row>
    <row r="938" spans="1:23" s="40" customFormat="1" ht="21" customHeight="1">
      <c r="A938" s="34"/>
      <c r="B938" s="31"/>
      <c r="C938" s="32"/>
      <c r="D938" s="18" t="s">
        <v>398</v>
      </c>
      <c r="E938" s="21" t="s">
        <v>242</v>
      </c>
      <c r="F938" s="20">
        <v>9.8390000000000004</v>
      </c>
      <c r="G938" s="19">
        <v>1814</v>
      </c>
      <c r="H938" s="20">
        <v>294</v>
      </c>
      <c r="I938" s="19" t="s">
        <v>243</v>
      </c>
      <c r="J938" s="20">
        <v>10525</v>
      </c>
      <c r="K938" s="21">
        <v>34635</v>
      </c>
      <c r="L938" s="21">
        <v>24000</v>
      </c>
      <c r="M938" s="21" t="s">
        <v>394</v>
      </c>
      <c r="N938" s="22">
        <v>3.3</v>
      </c>
      <c r="O938" s="23">
        <f t="shared" si="28"/>
        <v>783.70303030303035</v>
      </c>
      <c r="P938" s="24">
        <v>3.09</v>
      </c>
      <c r="Q938" s="25" t="s">
        <v>43</v>
      </c>
      <c r="R938" s="26" t="s">
        <v>33</v>
      </c>
      <c r="S938" s="26" t="s">
        <v>395</v>
      </c>
      <c r="T938" s="26"/>
      <c r="U938" s="39"/>
      <c r="V938" s="28">
        <f t="shared" si="29"/>
        <v>106</v>
      </c>
      <c r="W938" s="29"/>
    </row>
    <row r="939" spans="1:23" s="40" customFormat="1" ht="21" customHeight="1">
      <c r="A939" s="34"/>
      <c r="B939" s="31"/>
      <c r="C939" s="32"/>
      <c r="D939" s="18" t="s">
        <v>398</v>
      </c>
      <c r="E939" s="21" t="s">
        <v>242</v>
      </c>
      <c r="F939" s="20">
        <v>9.8390000000000004</v>
      </c>
      <c r="G939" s="19">
        <v>1814</v>
      </c>
      <c r="H939" s="20">
        <v>294</v>
      </c>
      <c r="I939" s="19" t="s">
        <v>246</v>
      </c>
      <c r="J939" s="20">
        <v>10525</v>
      </c>
      <c r="K939" s="21">
        <v>34635</v>
      </c>
      <c r="L939" s="21">
        <v>24000</v>
      </c>
      <c r="M939" s="21" t="s">
        <v>394</v>
      </c>
      <c r="N939" s="22">
        <v>3.3</v>
      </c>
      <c r="O939" s="23">
        <f t="shared" si="28"/>
        <v>783.70303030303035</v>
      </c>
      <c r="P939" s="24">
        <v>3.09</v>
      </c>
      <c r="Q939" s="25" t="s">
        <v>43</v>
      </c>
      <c r="R939" s="26" t="s">
        <v>33</v>
      </c>
      <c r="S939" s="26" t="s">
        <v>395</v>
      </c>
      <c r="T939" s="26"/>
      <c r="U939" s="39"/>
      <c r="V939" s="28">
        <f t="shared" si="29"/>
        <v>106</v>
      </c>
      <c r="W939" s="29"/>
    </row>
    <row r="940" spans="1:23" s="40" customFormat="1" ht="21" customHeight="1">
      <c r="A940" s="34"/>
      <c r="B940" s="31"/>
      <c r="C940" s="32"/>
      <c r="D940" s="18" t="s">
        <v>398</v>
      </c>
      <c r="E940" s="21" t="s">
        <v>242</v>
      </c>
      <c r="F940" s="20">
        <v>9.8390000000000004</v>
      </c>
      <c r="G940" s="19">
        <v>1814</v>
      </c>
      <c r="H940" s="20">
        <v>294</v>
      </c>
      <c r="I940" s="19" t="s">
        <v>243</v>
      </c>
      <c r="J940" s="20">
        <v>10525</v>
      </c>
      <c r="K940" s="21">
        <v>34635</v>
      </c>
      <c r="L940" s="21">
        <v>24000</v>
      </c>
      <c r="M940" s="21" t="s">
        <v>394</v>
      </c>
      <c r="N940" s="45">
        <v>3.25</v>
      </c>
      <c r="O940" s="23">
        <f t="shared" si="28"/>
        <v>795.76</v>
      </c>
      <c r="P940" s="46">
        <v>3.09</v>
      </c>
      <c r="Q940" s="25" t="s">
        <v>63</v>
      </c>
      <c r="R940" s="26" t="s">
        <v>33</v>
      </c>
      <c r="S940" s="26" t="s">
        <v>34</v>
      </c>
      <c r="T940" s="26"/>
      <c r="U940" s="67"/>
      <c r="V940" s="28">
        <f t="shared" si="29"/>
        <v>105</v>
      </c>
      <c r="W940" s="29"/>
    </row>
    <row r="941" spans="1:23" s="40" customFormat="1" ht="21" customHeight="1">
      <c r="A941" s="34"/>
      <c r="B941" s="31"/>
      <c r="C941" s="32"/>
      <c r="D941" s="18" t="s">
        <v>398</v>
      </c>
      <c r="E941" s="21" t="s">
        <v>242</v>
      </c>
      <c r="F941" s="20">
        <v>9.8390000000000004</v>
      </c>
      <c r="G941" s="19">
        <v>1814</v>
      </c>
      <c r="H941" s="20">
        <v>294</v>
      </c>
      <c r="I941" s="19" t="s">
        <v>246</v>
      </c>
      <c r="J941" s="20">
        <v>10525</v>
      </c>
      <c r="K941" s="21">
        <v>34635</v>
      </c>
      <c r="L941" s="21">
        <v>24000</v>
      </c>
      <c r="M941" s="21" t="s">
        <v>394</v>
      </c>
      <c r="N941" s="45">
        <v>3.25</v>
      </c>
      <c r="O941" s="23">
        <f t="shared" si="28"/>
        <v>795.76</v>
      </c>
      <c r="P941" s="46">
        <v>3.09</v>
      </c>
      <c r="Q941" s="25" t="s">
        <v>63</v>
      </c>
      <c r="R941" s="26" t="s">
        <v>33</v>
      </c>
      <c r="S941" s="26" t="s">
        <v>34</v>
      </c>
      <c r="T941" s="26"/>
      <c r="U941" s="67"/>
      <c r="V941" s="28">
        <f t="shared" si="29"/>
        <v>105</v>
      </c>
      <c r="W941" s="29"/>
    </row>
    <row r="942" spans="1:23" s="40" customFormat="1" ht="21" customHeight="1">
      <c r="A942" s="34"/>
      <c r="B942" s="31"/>
      <c r="C942" s="32"/>
      <c r="D942" s="18" t="s">
        <v>398</v>
      </c>
      <c r="E942" s="21" t="s">
        <v>242</v>
      </c>
      <c r="F942" s="20">
        <v>9.8390000000000004</v>
      </c>
      <c r="G942" s="19">
        <v>1814</v>
      </c>
      <c r="H942" s="20">
        <v>294</v>
      </c>
      <c r="I942" s="19" t="s">
        <v>243</v>
      </c>
      <c r="J942" s="20">
        <v>10525</v>
      </c>
      <c r="K942" s="21">
        <v>34635</v>
      </c>
      <c r="L942" s="21">
        <v>24000</v>
      </c>
      <c r="M942" s="21" t="s">
        <v>394</v>
      </c>
      <c r="N942" s="22">
        <v>3.25</v>
      </c>
      <c r="O942" s="23">
        <f t="shared" si="28"/>
        <v>795.76</v>
      </c>
      <c r="P942" s="24">
        <v>3.09</v>
      </c>
      <c r="Q942" s="25" t="s">
        <v>63</v>
      </c>
      <c r="R942" s="26" t="s">
        <v>33</v>
      </c>
      <c r="S942" s="26" t="s">
        <v>395</v>
      </c>
      <c r="T942" s="26"/>
      <c r="U942" s="39"/>
      <c r="V942" s="28">
        <f t="shared" si="29"/>
        <v>105</v>
      </c>
      <c r="W942" s="29"/>
    </row>
    <row r="943" spans="1:23" s="40" customFormat="1" ht="21" customHeight="1">
      <c r="A943" s="34"/>
      <c r="B943" s="31"/>
      <c r="C943" s="32"/>
      <c r="D943" s="18" t="s">
        <v>398</v>
      </c>
      <c r="E943" s="21" t="s">
        <v>242</v>
      </c>
      <c r="F943" s="20">
        <v>9.8390000000000004</v>
      </c>
      <c r="G943" s="19">
        <v>1814</v>
      </c>
      <c r="H943" s="20">
        <v>294</v>
      </c>
      <c r="I943" s="19" t="s">
        <v>246</v>
      </c>
      <c r="J943" s="20">
        <v>10525</v>
      </c>
      <c r="K943" s="21">
        <v>34635</v>
      </c>
      <c r="L943" s="21">
        <v>24000</v>
      </c>
      <c r="M943" s="21" t="s">
        <v>394</v>
      </c>
      <c r="N943" s="22">
        <v>3.25</v>
      </c>
      <c r="O943" s="23">
        <f t="shared" si="28"/>
        <v>795.76</v>
      </c>
      <c r="P943" s="24">
        <v>3.09</v>
      </c>
      <c r="Q943" s="25" t="s">
        <v>63</v>
      </c>
      <c r="R943" s="26" t="s">
        <v>33</v>
      </c>
      <c r="S943" s="26" t="s">
        <v>395</v>
      </c>
      <c r="T943" s="26"/>
      <c r="U943" s="39"/>
      <c r="V943" s="28">
        <f t="shared" si="29"/>
        <v>105</v>
      </c>
      <c r="W943" s="29"/>
    </row>
    <row r="944" spans="1:23" s="40" customFormat="1" ht="21" customHeight="1">
      <c r="A944" s="34"/>
      <c r="B944" s="31"/>
      <c r="C944" s="32"/>
      <c r="D944" s="18" t="s">
        <v>399</v>
      </c>
      <c r="E944" s="21" t="s">
        <v>242</v>
      </c>
      <c r="F944" s="20">
        <v>9.8390000000000004</v>
      </c>
      <c r="G944" s="19">
        <v>1814</v>
      </c>
      <c r="H944" s="20">
        <v>294</v>
      </c>
      <c r="I944" s="19" t="s">
        <v>243</v>
      </c>
      <c r="J944" s="20">
        <v>10525</v>
      </c>
      <c r="K944" s="21">
        <v>34635</v>
      </c>
      <c r="L944" s="21">
        <v>24000</v>
      </c>
      <c r="M944" s="21" t="s">
        <v>394</v>
      </c>
      <c r="N944" s="45">
        <v>3.3</v>
      </c>
      <c r="O944" s="23">
        <f t="shared" si="28"/>
        <v>783.70303030303035</v>
      </c>
      <c r="P944" s="46">
        <v>3.09</v>
      </c>
      <c r="Q944" s="25" t="s">
        <v>43</v>
      </c>
      <c r="R944" s="26" t="s">
        <v>33</v>
      </c>
      <c r="S944" s="26" t="s">
        <v>34</v>
      </c>
      <c r="T944" s="26"/>
      <c r="U944" s="67"/>
      <c r="V944" s="28">
        <f t="shared" si="29"/>
        <v>106</v>
      </c>
      <c r="W944" s="29"/>
    </row>
    <row r="945" spans="1:23" s="40" customFormat="1" ht="21" customHeight="1">
      <c r="A945" s="34"/>
      <c r="B945" s="31"/>
      <c r="C945" s="32"/>
      <c r="D945" s="18" t="s">
        <v>399</v>
      </c>
      <c r="E945" s="21" t="s">
        <v>242</v>
      </c>
      <c r="F945" s="20">
        <v>9.8390000000000004</v>
      </c>
      <c r="G945" s="19">
        <v>1814</v>
      </c>
      <c r="H945" s="20">
        <v>294</v>
      </c>
      <c r="I945" s="19" t="s">
        <v>246</v>
      </c>
      <c r="J945" s="20">
        <v>10525</v>
      </c>
      <c r="K945" s="21">
        <v>34635</v>
      </c>
      <c r="L945" s="21">
        <v>24000</v>
      </c>
      <c r="M945" s="21" t="s">
        <v>394</v>
      </c>
      <c r="N945" s="45">
        <v>3.3</v>
      </c>
      <c r="O945" s="23">
        <f t="shared" si="28"/>
        <v>783.70303030303035</v>
      </c>
      <c r="P945" s="46">
        <v>3.09</v>
      </c>
      <c r="Q945" s="25" t="s">
        <v>43</v>
      </c>
      <c r="R945" s="26" t="s">
        <v>33</v>
      </c>
      <c r="S945" s="26" t="s">
        <v>34</v>
      </c>
      <c r="T945" s="26"/>
      <c r="U945" s="67"/>
      <c r="V945" s="28">
        <f t="shared" si="29"/>
        <v>106</v>
      </c>
      <c r="W945" s="29"/>
    </row>
    <row r="946" spans="1:23" s="40" customFormat="1" ht="21" customHeight="1">
      <c r="A946" s="34"/>
      <c r="B946" s="31"/>
      <c r="C946" s="32"/>
      <c r="D946" s="18" t="s">
        <v>399</v>
      </c>
      <c r="E946" s="21" t="s">
        <v>242</v>
      </c>
      <c r="F946" s="20">
        <v>9.8390000000000004</v>
      </c>
      <c r="G946" s="19">
        <v>1814</v>
      </c>
      <c r="H946" s="20">
        <v>294</v>
      </c>
      <c r="I946" s="19" t="s">
        <v>243</v>
      </c>
      <c r="J946" s="20">
        <v>10525</v>
      </c>
      <c r="K946" s="21">
        <v>34635</v>
      </c>
      <c r="L946" s="21">
        <v>24000</v>
      </c>
      <c r="M946" s="21" t="s">
        <v>394</v>
      </c>
      <c r="N946" s="22">
        <v>3.3</v>
      </c>
      <c r="O946" s="23">
        <f t="shared" si="28"/>
        <v>783.70303030303035</v>
      </c>
      <c r="P946" s="24">
        <v>3.09</v>
      </c>
      <c r="Q946" s="25" t="s">
        <v>43</v>
      </c>
      <c r="R946" s="26" t="s">
        <v>33</v>
      </c>
      <c r="S946" s="26" t="s">
        <v>395</v>
      </c>
      <c r="T946" s="26"/>
      <c r="U946" s="39"/>
      <c r="V946" s="28">
        <f t="shared" si="29"/>
        <v>106</v>
      </c>
      <c r="W946" s="29"/>
    </row>
    <row r="947" spans="1:23" s="40" customFormat="1" ht="21" customHeight="1">
      <c r="A947" s="34"/>
      <c r="B947" s="31"/>
      <c r="C947" s="32"/>
      <c r="D947" s="18" t="s">
        <v>399</v>
      </c>
      <c r="E947" s="21" t="s">
        <v>242</v>
      </c>
      <c r="F947" s="20">
        <v>9.8390000000000004</v>
      </c>
      <c r="G947" s="19">
        <v>1814</v>
      </c>
      <c r="H947" s="20">
        <v>294</v>
      </c>
      <c r="I947" s="19" t="s">
        <v>246</v>
      </c>
      <c r="J947" s="20">
        <v>10525</v>
      </c>
      <c r="K947" s="21">
        <v>34635</v>
      </c>
      <c r="L947" s="21">
        <v>24000</v>
      </c>
      <c r="M947" s="21" t="s">
        <v>394</v>
      </c>
      <c r="N947" s="22">
        <v>3.3</v>
      </c>
      <c r="O947" s="23">
        <f t="shared" si="28"/>
        <v>783.70303030303035</v>
      </c>
      <c r="P947" s="24">
        <v>3.09</v>
      </c>
      <c r="Q947" s="25" t="s">
        <v>43</v>
      </c>
      <c r="R947" s="26" t="s">
        <v>33</v>
      </c>
      <c r="S947" s="26" t="s">
        <v>395</v>
      </c>
      <c r="T947" s="26"/>
      <c r="U947" s="39"/>
      <c r="V947" s="28">
        <f t="shared" si="29"/>
        <v>106</v>
      </c>
      <c r="W947" s="29"/>
    </row>
    <row r="948" spans="1:23" s="40" customFormat="1" ht="21" customHeight="1">
      <c r="A948" s="34"/>
      <c r="B948" s="31"/>
      <c r="C948" s="32"/>
      <c r="D948" s="18" t="s">
        <v>399</v>
      </c>
      <c r="E948" s="21" t="s">
        <v>242</v>
      </c>
      <c r="F948" s="20">
        <v>9.8390000000000004</v>
      </c>
      <c r="G948" s="19">
        <v>1814</v>
      </c>
      <c r="H948" s="20">
        <v>294</v>
      </c>
      <c r="I948" s="19" t="s">
        <v>243</v>
      </c>
      <c r="J948" s="20">
        <v>10525</v>
      </c>
      <c r="K948" s="21">
        <v>34635</v>
      </c>
      <c r="L948" s="21">
        <v>24000</v>
      </c>
      <c r="M948" s="21" t="s">
        <v>394</v>
      </c>
      <c r="N948" s="45">
        <v>3.25</v>
      </c>
      <c r="O948" s="23">
        <f t="shared" si="28"/>
        <v>795.76</v>
      </c>
      <c r="P948" s="46">
        <v>3.09</v>
      </c>
      <c r="Q948" s="25" t="s">
        <v>63</v>
      </c>
      <c r="R948" s="26" t="s">
        <v>33</v>
      </c>
      <c r="S948" s="26" t="s">
        <v>34</v>
      </c>
      <c r="T948" s="26"/>
      <c r="U948" s="67"/>
      <c r="V948" s="28">
        <f t="shared" si="29"/>
        <v>105</v>
      </c>
      <c r="W948" s="29"/>
    </row>
    <row r="949" spans="1:23" s="40" customFormat="1" ht="21" customHeight="1">
      <c r="A949" s="34"/>
      <c r="B949" s="31"/>
      <c r="C949" s="32"/>
      <c r="D949" s="18" t="s">
        <v>399</v>
      </c>
      <c r="E949" s="21" t="s">
        <v>242</v>
      </c>
      <c r="F949" s="20">
        <v>9.8390000000000004</v>
      </c>
      <c r="G949" s="19">
        <v>1814</v>
      </c>
      <c r="H949" s="20">
        <v>294</v>
      </c>
      <c r="I949" s="19" t="s">
        <v>246</v>
      </c>
      <c r="J949" s="20">
        <v>10525</v>
      </c>
      <c r="K949" s="21">
        <v>34635</v>
      </c>
      <c r="L949" s="21">
        <v>24000</v>
      </c>
      <c r="M949" s="21" t="s">
        <v>394</v>
      </c>
      <c r="N949" s="45">
        <v>3.25</v>
      </c>
      <c r="O949" s="23">
        <f t="shared" si="28"/>
        <v>795.76</v>
      </c>
      <c r="P949" s="46">
        <v>3.09</v>
      </c>
      <c r="Q949" s="25" t="s">
        <v>63</v>
      </c>
      <c r="R949" s="26" t="s">
        <v>33</v>
      </c>
      <c r="S949" s="26" t="s">
        <v>34</v>
      </c>
      <c r="T949" s="26"/>
      <c r="U949" s="67"/>
      <c r="V949" s="28">
        <f t="shared" si="29"/>
        <v>105</v>
      </c>
      <c r="W949" s="29"/>
    </row>
    <row r="950" spans="1:23" s="40" customFormat="1" ht="21" customHeight="1">
      <c r="A950" s="34"/>
      <c r="B950" s="31"/>
      <c r="C950" s="32"/>
      <c r="D950" s="18" t="s">
        <v>399</v>
      </c>
      <c r="E950" s="21" t="s">
        <v>242</v>
      </c>
      <c r="F950" s="20">
        <v>9.8390000000000004</v>
      </c>
      <c r="G950" s="19">
        <v>1814</v>
      </c>
      <c r="H950" s="20">
        <v>294</v>
      </c>
      <c r="I950" s="19" t="s">
        <v>243</v>
      </c>
      <c r="J950" s="20">
        <v>10525</v>
      </c>
      <c r="K950" s="21">
        <v>34635</v>
      </c>
      <c r="L950" s="21">
        <v>24000</v>
      </c>
      <c r="M950" s="21" t="s">
        <v>394</v>
      </c>
      <c r="N950" s="22">
        <v>3.25</v>
      </c>
      <c r="O950" s="23">
        <f t="shared" si="28"/>
        <v>795.76</v>
      </c>
      <c r="P950" s="24">
        <v>3.09</v>
      </c>
      <c r="Q950" s="25" t="s">
        <v>63</v>
      </c>
      <c r="R950" s="26" t="s">
        <v>33</v>
      </c>
      <c r="S950" s="26" t="s">
        <v>395</v>
      </c>
      <c r="T950" s="26"/>
      <c r="U950" s="39"/>
      <c r="V950" s="28">
        <f t="shared" si="29"/>
        <v>105</v>
      </c>
      <c r="W950" s="29"/>
    </row>
    <row r="951" spans="1:23" s="40" customFormat="1" ht="21" customHeight="1">
      <c r="A951" s="34"/>
      <c r="B951" s="31"/>
      <c r="C951" s="32"/>
      <c r="D951" s="18" t="s">
        <v>399</v>
      </c>
      <c r="E951" s="21" t="s">
        <v>242</v>
      </c>
      <c r="F951" s="20">
        <v>9.8390000000000004</v>
      </c>
      <c r="G951" s="19">
        <v>1814</v>
      </c>
      <c r="H951" s="20">
        <v>294</v>
      </c>
      <c r="I951" s="19" t="s">
        <v>246</v>
      </c>
      <c r="J951" s="20">
        <v>10525</v>
      </c>
      <c r="K951" s="21">
        <v>34635</v>
      </c>
      <c r="L951" s="21">
        <v>24000</v>
      </c>
      <c r="M951" s="21" t="s">
        <v>394</v>
      </c>
      <c r="N951" s="22">
        <v>3.25</v>
      </c>
      <c r="O951" s="23">
        <f t="shared" si="28"/>
        <v>795.76</v>
      </c>
      <c r="P951" s="24">
        <v>3.09</v>
      </c>
      <c r="Q951" s="25" t="s">
        <v>63</v>
      </c>
      <c r="R951" s="26" t="s">
        <v>33</v>
      </c>
      <c r="S951" s="26" t="s">
        <v>395</v>
      </c>
      <c r="T951" s="26"/>
      <c r="U951" s="39"/>
      <c r="V951" s="28">
        <f t="shared" si="29"/>
        <v>105</v>
      </c>
      <c r="W951" s="29"/>
    </row>
    <row r="952" spans="1:23" s="40" customFormat="1" ht="21" customHeight="1">
      <c r="A952" s="34"/>
      <c r="B952" s="31"/>
      <c r="C952" s="32"/>
      <c r="D952" s="18" t="s">
        <v>400</v>
      </c>
      <c r="E952" s="21" t="s">
        <v>242</v>
      </c>
      <c r="F952" s="20">
        <v>9.8390000000000004</v>
      </c>
      <c r="G952" s="19">
        <v>1814</v>
      </c>
      <c r="H952" s="20">
        <v>294</v>
      </c>
      <c r="I952" s="19" t="s">
        <v>243</v>
      </c>
      <c r="J952" s="20">
        <v>10525</v>
      </c>
      <c r="K952" s="21">
        <v>34635</v>
      </c>
      <c r="L952" s="21">
        <v>24000</v>
      </c>
      <c r="M952" s="21" t="s">
        <v>394</v>
      </c>
      <c r="N952" s="45">
        <v>3.3</v>
      </c>
      <c r="O952" s="23">
        <f t="shared" si="28"/>
        <v>783.70303030303035</v>
      </c>
      <c r="P952" s="46">
        <v>3.09</v>
      </c>
      <c r="Q952" s="25" t="s">
        <v>43</v>
      </c>
      <c r="R952" s="26" t="s">
        <v>33</v>
      </c>
      <c r="S952" s="26" t="s">
        <v>236</v>
      </c>
      <c r="T952" s="26"/>
      <c r="U952" s="67"/>
      <c r="V952" s="28">
        <f t="shared" si="29"/>
        <v>106</v>
      </c>
      <c r="W952" s="29"/>
    </row>
    <row r="953" spans="1:23" s="40" customFormat="1" ht="21" customHeight="1">
      <c r="A953" s="34"/>
      <c r="B953" s="31"/>
      <c r="C953" s="32"/>
      <c r="D953" s="18" t="s">
        <v>400</v>
      </c>
      <c r="E953" s="21" t="s">
        <v>242</v>
      </c>
      <c r="F953" s="20">
        <v>9.8390000000000004</v>
      </c>
      <c r="G953" s="19">
        <v>1814</v>
      </c>
      <c r="H953" s="20">
        <v>294</v>
      </c>
      <c r="I953" s="19" t="s">
        <v>246</v>
      </c>
      <c r="J953" s="20">
        <v>10525</v>
      </c>
      <c r="K953" s="21">
        <v>34635</v>
      </c>
      <c r="L953" s="21">
        <v>24000</v>
      </c>
      <c r="M953" s="21" t="s">
        <v>394</v>
      </c>
      <c r="N953" s="45">
        <v>3.3</v>
      </c>
      <c r="O953" s="23">
        <f t="shared" si="28"/>
        <v>783.70303030303035</v>
      </c>
      <c r="P953" s="46">
        <v>3.09</v>
      </c>
      <c r="Q953" s="25" t="s">
        <v>43</v>
      </c>
      <c r="R953" s="26" t="s">
        <v>33</v>
      </c>
      <c r="S953" s="26" t="s">
        <v>236</v>
      </c>
      <c r="T953" s="26"/>
      <c r="U953" s="67"/>
      <c r="V953" s="28">
        <f t="shared" si="29"/>
        <v>106</v>
      </c>
      <c r="W953" s="29"/>
    </row>
    <row r="954" spans="1:23" s="40" customFormat="1" ht="21" customHeight="1">
      <c r="A954" s="34"/>
      <c r="B954" s="31"/>
      <c r="C954" s="32"/>
      <c r="D954" s="18" t="s">
        <v>400</v>
      </c>
      <c r="E954" s="21" t="s">
        <v>242</v>
      </c>
      <c r="F954" s="20">
        <v>9.8390000000000004</v>
      </c>
      <c r="G954" s="19">
        <v>1814</v>
      </c>
      <c r="H954" s="20">
        <v>294</v>
      </c>
      <c r="I954" s="19" t="s">
        <v>278</v>
      </c>
      <c r="J954" s="20">
        <v>10525</v>
      </c>
      <c r="K954" s="21">
        <v>34635</v>
      </c>
      <c r="L954" s="21">
        <v>24000</v>
      </c>
      <c r="M954" s="21" t="s">
        <v>394</v>
      </c>
      <c r="N954" s="45">
        <v>3.3</v>
      </c>
      <c r="O954" s="23">
        <f t="shared" si="28"/>
        <v>783.70303030303035</v>
      </c>
      <c r="P954" s="46">
        <v>3.09</v>
      </c>
      <c r="Q954" s="25" t="s">
        <v>43</v>
      </c>
      <c r="R954" s="26" t="s">
        <v>33</v>
      </c>
      <c r="S954" s="26" t="s">
        <v>236</v>
      </c>
      <c r="T954" s="26"/>
      <c r="U954" s="67"/>
      <c r="V954" s="28">
        <f t="shared" si="29"/>
        <v>106</v>
      </c>
      <c r="W954" s="29"/>
    </row>
    <row r="955" spans="1:23" s="40" customFormat="1" ht="21" customHeight="1">
      <c r="A955" s="34"/>
      <c r="B955" s="31"/>
      <c r="C955" s="32"/>
      <c r="D955" s="18" t="s">
        <v>400</v>
      </c>
      <c r="E955" s="21" t="s">
        <v>242</v>
      </c>
      <c r="F955" s="20">
        <v>9.8390000000000004</v>
      </c>
      <c r="G955" s="19">
        <v>1814</v>
      </c>
      <c r="H955" s="20">
        <v>294</v>
      </c>
      <c r="I955" s="19" t="s">
        <v>243</v>
      </c>
      <c r="J955" s="20">
        <v>10525</v>
      </c>
      <c r="K955" s="21">
        <v>34635</v>
      </c>
      <c r="L955" s="21">
        <v>24000</v>
      </c>
      <c r="M955" s="21" t="s">
        <v>394</v>
      </c>
      <c r="N955" s="45">
        <v>3.25</v>
      </c>
      <c r="O955" s="23">
        <f t="shared" si="28"/>
        <v>795.76</v>
      </c>
      <c r="P955" s="46">
        <v>3.09</v>
      </c>
      <c r="Q955" s="25" t="s">
        <v>63</v>
      </c>
      <c r="R955" s="26" t="s">
        <v>33</v>
      </c>
      <c r="S955" s="26" t="s">
        <v>236</v>
      </c>
      <c r="T955" s="26"/>
      <c r="U955" s="67"/>
      <c r="V955" s="28">
        <f t="shared" si="29"/>
        <v>105</v>
      </c>
      <c r="W955" s="29"/>
    </row>
    <row r="956" spans="1:23" s="40" customFormat="1" ht="21" customHeight="1">
      <c r="A956" s="34"/>
      <c r="B956" s="31"/>
      <c r="C956" s="32"/>
      <c r="D956" s="18" t="s">
        <v>400</v>
      </c>
      <c r="E956" s="21" t="s">
        <v>242</v>
      </c>
      <c r="F956" s="20">
        <v>9.8390000000000004</v>
      </c>
      <c r="G956" s="19">
        <v>1814</v>
      </c>
      <c r="H956" s="20">
        <v>294</v>
      </c>
      <c r="I956" s="19" t="s">
        <v>246</v>
      </c>
      <c r="J956" s="20">
        <v>10525</v>
      </c>
      <c r="K956" s="21">
        <v>34635</v>
      </c>
      <c r="L956" s="21">
        <v>24000</v>
      </c>
      <c r="M956" s="21" t="s">
        <v>394</v>
      </c>
      <c r="N956" s="45">
        <v>3.25</v>
      </c>
      <c r="O956" s="23">
        <f t="shared" si="28"/>
        <v>795.76</v>
      </c>
      <c r="P956" s="46">
        <v>3.09</v>
      </c>
      <c r="Q956" s="25" t="s">
        <v>63</v>
      </c>
      <c r="R956" s="26" t="s">
        <v>33</v>
      </c>
      <c r="S956" s="26" t="s">
        <v>236</v>
      </c>
      <c r="T956" s="26"/>
      <c r="U956" s="67"/>
      <c r="V956" s="28">
        <f t="shared" si="29"/>
        <v>105</v>
      </c>
      <c r="W956" s="29"/>
    </row>
    <row r="957" spans="1:23" s="40" customFormat="1" ht="21" customHeight="1">
      <c r="A957" s="34"/>
      <c r="B957" s="31"/>
      <c r="C957" s="32"/>
      <c r="D957" s="18" t="s">
        <v>400</v>
      </c>
      <c r="E957" s="21" t="s">
        <v>242</v>
      </c>
      <c r="F957" s="20">
        <v>9.8390000000000004</v>
      </c>
      <c r="G957" s="19">
        <v>1814</v>
      </c>
      <c r="H957" s="20">
        <v>294</v>
      </c>
      <c r="I957" s="19" t="s">
        <v>278</v>
      </c>
      <c r="J957" s="20">
        <v>10525</v>
      </c>
      <c r="K957" s="21">
        <v>34635</v>
      </c>
      <c r="L957" s="21">
        <v>24000</v>
      </c>
      <c r="M957" s="21" t="s">
        <v>394</v>
      </c>
      <c r="N957" s="45">
        <v>3.25</v>
      </c>
      <c r="O957" s="23">
        <f t="shared" si="28"/>
        <v>795.76</v>
      </c>
      <c r="P957" s="46">
        <v>3.09</v>
      </c>
      <c r="Q957" s="25" t="s">
        <v>63</v>
      </c>
      <c r="R957" s="26" t="s">
        <v>33</v>
      </c>
      <c r="S957" s="26" t="s">
        <v>236</v>
      </c>
      <c r="T957" s="26"/>
      <c r="U957" s="67"/>
      <c r="V957" s="28">
        <f t="shared" si="29"/>
        <v>105</v>
      </c>
      <c r="W957" s="29"/>
    </row>
    <row r="958" spans="1:23" s="40" customFormat="1" ht="21" customHeight="1">
      <c r="A958" s="34"/>
      <c r="B958" s="31"/>
      <c r="C958" s="32"/>
      <c r="D958" s="18" t="s">
        <v>401</v>
      </c>
      <c r="E958" s="21" t="s">
        <v>389</v>
      </c>
      <c r="F958" s="20">
        <v>15.680999999999999</v>
      </c>
      <c r="G958" s="19">
        <v>2256</v>
      </c>
      <c r="H958" s="20">
        <v>309</v>
      </c>
      <c r="I958" s="19" t="s">
        <v>246</v>
      </c>
      <c r="J958" s="20">
        <v>10525</v>
      </c>
      <c r="K958" s="21">
        <v>34635</v>
      </c>
      <c r="L958" s="21">
        <v>24000</v>
      </c>
      <c r="M958" s="21" t="s">
        <v>394</v>
      </c>
      <c r="N958" s="45">
        <v>3.25</v>
      </c>
      <c r="O958" s="23">
        <f t="shared" si="28"/>
        <v>795.76</v>
      </c>
      <c r="P958" s="46">
        <v>3.09</v>
      </c>
      <c r="Q958" s="25" t="s">
        <v>43</v>
      </c>
      <c r="R958" s="26" t="s">
        <v>33</v>
      </c>
      <c r="S958" s="26" t="s">
        <v>34</v>
      </c>
      <c r="T958" s="26"/>
      <c r="U958" s="67"/>
      <c r="V958" s="28">
        <f t="shared" si="29"/>
        <v>105</v>
      </c>
      <c r="W958" s="29"/>
    </row>
    <row r="959" spans="1:23" s="40" customFormat="1" ht="21" customHeight="1">
      <c r="A959" s="34"/>
      <c r="B959" s="31"/>
      <c r="C959" s="32"/>
      <c r="D959" s="18" t="s">
        <v>401</v>
      </c>
      <c r="E959" s="21" t="s">
        <v>389</v>
      </c>
      <c r="F959" s="20">
        <v>15.680999999999999</v>
      </c>
      <c r="G959" s="19">
        <v>2256</v>
      </c>
      <c r="H959" s="20">
        <v>338</v>
      </c>
      <c r="I959" s="19" t="s">
        <v>246</v>
      </c>
      <c r="J959" s="20">
        <v>10525</v>
      </c>
      <c r="K959" s="21">
        <v>34635</v>
      </c>
      <c r="L959" s="21">
        <v>24000</v>
      </c>
      <c r="M959" s="21" t="s">
        <v>394</v>
      </c>
      <c r="N959" s="45">
        <v>3.25</v>
      </c>
      <c r="O959" s="23">
        <f t="shared" si="28"/>
        <v>795.76</v>
      </c>
      <c r="P959" s="46">
        <v>3.09</v>
      </c>
      <c r="Q959" s="25" t="s">
        <v>43</v>
      </c>
      <c r="R959" s="26" t="s">
        <v>33</v>
      </c>
      <c r="S959" s="26" t="s">
        <v>34</v>
      </c>
      <c r="T959" s="26"/>
      <c r="U959" s="67"/>
      <c r="V959" s="28">
        <f t="shared" si="29"/>
        <v>105</v>
      </c>
      <c r="W959" s="29"/>
    </row>
    <row r="960" spans="1:23" s="40" customFormat="1" ht="21" customHeight="1">
      <c r="A960" s="34"/>
      <c r="B960" s="31"/>
      <c r="C960" s="32"/>
      <c r="D960" s="18" t="s">
        <v>401</v>
      </c>
      <c r="E960" s="21" t="s">
        <v>389</v>
      </c>
      <c r="F960" s="20">
        <v>15.680999999999999</v>
      </c>
      <c r="G960" s="19">
        <v>2256</v>
      </c>
      <c r="H960" s="20">
        <v>338</v>
      </c>
      <c r="I960" s="19" t="s">
        <v>278</v>
      </c>
      <c r="J960" s="20">
        <v>10525</v>
      </c>
      <c r="K960" s="21">
        <v>34635</v>
      </c>
      <c r="L960" s="21">
        <v>24000</v>
      </c>
      <c r="M960" s="21" t="s">
        <v>394</v>
      </c>
      <c r="N960" s="45">
        <v>3.25</v>
      </c>
      <c r="O960" s="23">
        <f t="shared" si="28"/>
        <v>795.76</v>
      </c>
      <c r="P960" s="46">
        <v>3.09</v>
      </c>
      <c r="Q960" s="25" t="s">
        <v>43</v>
      </c>
      <c r="R960" s="26" t="s">
        <v>33</v>
      </c>
      <c r="S960" s="26" t="s">
        <v>34</v>
      </c>
      <c r="T960" s="26"/>
      <c r="U960" s="67"/>
      <c r="V960" s="28">
        <f t="shared" si="29"/>
        <v>105</v>
      </c>
      <c r="W960" s="29"/>
    </row>
    <row r="961" spans="1:23" s="40" customFormat="1" ht="21" customHeight="1">
      <c r="A961" s="34"/>
      <c r="B961" s="31"/>
      <c r="C961" s="32"/>
      <c r="D961" s="18" t="s">
        <v>401</v>
      </c>
      <c r="E961" s="21" t="s">
        <v>389</v>
      </c>
      <c r="F961" s="20">
        <v>15.680999999999999</v>
      </c>
      <c r="G961" s="19">
        <v>2256</v>
      </c>
      <c r="H961" s="20">
        <v>309</v>
      </c>
      <c r="I961" s="19" t="s">
        <v>246</v>
      </c>
      <c r="J961" s="20">
        <v>10525</v>
      </c>
      <c r="K961" s="21">
        <v>34635</v>
      </c>
      <c r="L961" s="21">
        <v>24000</v>
      </c>
      <c r="M961" s="21" t="s">
        <v>394</v>
      </c>
      <c r="N961" s="22">
        <v>3.25</v>
      </c>
      <c r="O961" s="23">
        <f t="shared" si="28"/>
        <v>795.76</v>
      </c>
      <c r="P961" s="24">
        <v>3.09</v>
      </c>
      <c r="Q961" s="25" t="s">
        <v>43</v>
      </c>
      <c r="R961" s="26" t="s">
        <v>33</v>
      </c>
      <c r="S961" s="26" t="s">
        <v>395</v>
      </c>
      <c r="T961" s="26"/>
      <c r="U961" s="39"/>
      <c r="V961" s="28">
        <f t="shared" si="29"/>
        <v>105</v>
      </c>
      <c r="W961" s="29"/>
    </row>
    <row r="962" spans="1:23" s="40" customFormat="1" ht="21" customHeight="1">
      <c r="A962" s="34"/>
      <c r="B962" s="31"/>
      <c r="C962" s="32"/>
      <c r="D962" s="18" t="s">
        <v>401</v>
      </c>
      <c r="E962" s="21" t="s">
        <v>389</v>
      </c>
      <c r="F962" s="20">
        <v>15.680999999999999</v>
      </c>
      <c r="G962" s="19">
        <v>2256</v>
      </c>
      <c r="H962" s="20">
        <v>338</v>
      </c>
      <c r="I962" s="19" t="s">
        <v>246</v>
      </c>
      <c r="J962" s="20">
        <v>10525</v>
      </c>
      <c r="K962" s="21">
        <v>34635</v>
      </c>
      <c r="L962" s="21">
        <v>24000</v>
      </c>
      <c r="M962" s="21" t="s">
        <v>394</v>
      </c>
      <c r="N962" s="22">
        <v>3.25</v>
      </c>
      <c r="O962" s="23">
        <f t="shared" si="28"/>
        <v>795.76</v>
      </c>
      <c r="P962" s="24">
        <v>3.09</v>
      </c>
      <c r="Q962" s="25" t="s">
        <v>43</v>
      </c>
      <c r="R962" s="26" t="s">
        <v>33</v>
      </c>
      <c r="S962" s="26" t="s">
        <v>395</v>
      </c>
      <c r="T962" s="26"/>
      <c r="U962" s="39"/>
      <c r="V962" s="28">
        <f t="shared" si="29"/>
        <v>105</v>
      </c>
      <c r="W962" s="29"/>
    </row>
    <row r="963" spans="1:23" s="40" customFormat="1" ht="21" customHeight="1">
      <c r="A963" s="34"/>
      <c r="B963" s="31"/>
      <c r="C963" s="32"/>
      <c r="D963" s="18" t="s">
        <v>401</v>
      </c>
      <c r="E963" s="21" t="s">
        <v>389</v>
      </c>
      <c r="F963" s="20">
        <v>15.680999999999999</v>
      </c>
      <c r="G963" s="19">
        <v>2256</v>
      </c>
      <c r="H963" s="20">
        <v>338</v>
      </c>
      <c r="I963" s="19" t="s">
        <v>278</v>
      </c>
      <c r="J963" s="20">
        <v>10525</v>
      </c>
      <c r="K963" s="21">
        <v>34635</v>
      </c>
      <c r="L963" s="21">
        <v>24000</v>
      </c>
      <c r="M963" s="21" t="s">
        <v>394</v>
      </c>
      <c r="N963" s="22">
        <v>3.25</v>
      </c>
      <c r="O963" s="23">
        <f t="shared" si="28"/>
        <v>795.76</v>
      </c>
      <c r="P963" s="24">
        <v>3.09</v>
      </c>
      <c r="Q963" s="25" t="s">
        <v>43</v>
      </c>
      <c r="R963" s="26" t="s">
        <v>33</v>
      </c>
      <c r="S963" s="26" t="s">
        <v>395</v>
      </c>
      <c r="T963" s="26"/>
      <c r="U963" s="39"/>
      <c r="V963" s="28">
        <f t="shared" si="29"/>
        <v>105</v>
      </c>
      <c r="W963" s="29"/>
    </row>
    <row r="964" spans="1:23" s="40" customFormat="1" ht="21" customHeight="1">
      <c r="A964" s="34"/>
      <c r="B964" s="31"/>
      <c r="C964" s="32"/>
      <c r="D964" s="18" t="s">
        <v>402</v>
      </c>
      <c r="E964" s="21" t="s">
        <v>389</v>
      </c>
      <c r="F964" s="20">
        <v>15.680999999999999</v>
      </c>
      <c r="G964" s="19">
        <v>2256</v>
      </c>
      <c r="H964" s="20">
        <v>309</v>
      </c>
      <c r="I964" s="19" t="s">
        <v>246</v>
      </c>
      <c r="J964" s="20">
        <v>10525</v>
      </c>
      <c r="K964" s="21">
        <v>34635</v>
      </c>
      <c r="L964" s="21">
        <v>24000</v>
      </c>
      <c r="M964" s="21" t="s">
        <v>394</v>
      </c>
      <c r="N964" s="45">
        <v>3.25</v>
      </c>
      <c r="O964" s="23">
        <f t="shared" si="28"/>
        <v>795.76</v>
      </c>
      <c r="P964" s="46">
        <v>3.09</v>
      </c>
      <c r="Q964" s="25" t="s">
        <v>43</v>
      </c>
      <c r="R964" s="26" t="s">
        <v>33</v>
      </c>
      <c r="S964" s="26" t="s">
        <v>34</v>
      </c>
      <c r="T964" s="26"/>
      <c r="U964" s="67"/>
      <c r="V964" s="28">
        <f t="shared" si="29"/>
        <v>105</v>
      </c>
      <c r="W964" s="29"/>
    </row>
    <row r="965" spans="1:23" s="40" customFormat="1" ht="21" customHeight="1">
      <c r="A965" s="34"/>
      <c r="B965" s="31"/>
      <c r="C965" s="32"/>
      <c r="D965" s="18" t="s">
        <v>402</v>
      </c>
      <c r="E965" s="21" t="s">
        <v>389</v>
      </c>
      <c r="F965" s="20">
        <v>15.680999999999999</v>
      </c>
      <c r="G965" s="19">
        <v>2256</v>
      </c>
      <c r="H965" s="20">
        <v>338</v>
      </c>
      <c r="I965" s="19" t="s">
        <v>246</v>
      </c>
      <c r="J965" s="20">
        <v>10525</v>
      </c>
      <c r="K965" s="21">
        <v>34635</v>
      </c>
      <c r="L965" s="21">
        <v>24000</v>
      </c>
      <c r="M965" s="21" t="s">
        <v>394</v>
      </c>
      <c r="N965" s="45">
        <v>3.25</v>
      </c>
      <c r="O965" s="23">
        <f t="shared" si="28"/>
        <v>795.76</v>
      </c>
      <c r="P965" s="46">
        <v>3.09</v>
      </c>
      <c r="Q965" s="25" t="s">
        <v>43</v>
      </c>
      <c r="R965" s="26" t="s">
        <v>33</v>
      </c>
      <c r="S965" s="26" t="s">
        <v>34</v>
      </c>
      <c r="T965" s="26"/>
      <c r="U965" s="67"/>
      <c r="V965" s="28">
        <f t="shared" si="29"/>
        <v>105</v>
      </c>
      <c r="W965" s="29"/>
    </row>
    <row r="966" spans="1:23" s="40" customFormat="1" ht="21" customHeight="1">
      <c r="A966" s="34"/>
      <c r="B966" s="31"/>
      <c r="C966" s="32"/>
      <c r="D966" s="18" t="s">
        <v>402</v>
      </c>
      <c r="E966" s="21" t="s">
        <v>389</v>
      </c>
      <c r="F966" s="20">
        <v>15.680999999999999</v>
      </c>
      <c r="G966" s="19">
        <v>2256</v>
      </c>
      <c r="H966" s="20">
        <v>338</v>
      </c>
      <c r="I966" s="19" t="s">
        <v>278</v>
      </c>
      <c r="J966" s="20">
        <v>10525</v>
      </c>
      <c r="K966" s="21">
        <v>34635</v>
      </c>
      <c r="L966" s="21">
        <v>24000</v>
      </c>
      <c r="M966" s="21" t="s">
        <v>394</v>
      </c>
      <c r="N966" s="45">
        <v>3.25</v>
      </c>
      <c r="O966" s="23">
        <f t="shared" si="28"/>
        <v>795.76</v>
      </c>
      <c r="P966" s="46">
        <v>3.09</v>
      </c>
      <c r="Q966" s="25" t="s">
        <v>43</v>
      </c>
      <c r="R966" s="26" t="s">
        <v>33</v>
      </c>
      <c r="S966" s="26" t="s">
        <v>34</v>
      </c>
      <c r="T966" s="26"/>
      <c r="U966" s="67"/>
      <c r="V966" s="28">
        <f t="shared" si="29"/>
        <v>105</v>
      </c>
      <c r="W966" s="29"/>
    </row>
    <row r="967" spans="1:23" s="40" customFormat="1" ht="21" customHeight="1">
      <c r="A967" s="34"/>
      <c r="B967" s="31"/>
      <c r="C967" s="32"/>
      <c r="D967" s="18" t="s">
        <v>402</v>
      </c>
      <c r="E967" s="21" t="s">
        <v>389</v>
      </c>
      <c r="F967" s="20">
        <v>15.680999999999999</v>
      </c>
      <c r="G967" s="19">
        <v>2256</v>
      </c>
      <c r="H967" s="20">
        <v>309</v>
      </c>
      <c r="I967" s="19" t="s">
        <v>246</v>
      </c>
      <c r="J967" s="20">
        <v>10525</v>
      </c>
      <c r="K967" s="21">
        <v>34635</v>
      </c>
      <c r="L967" s="21">
        <v>24000</v>
      </c>
      <c r="M967" s="21" t="s">
        <v>394</v>
      </c>
      <c r="N967" s="22">
        <v>3.25</v>
      </c>
      <c r="O967" s="23">
        <f t="shared" si="28"/>
        <v>795.76</v>
      </c>
      <c r="P967" s="24">
        <v>3.09</v>
      </c>
      <c r="Q967" s="25" t="s">
        <v>43</v>
      </c>
      <c r="R967" s="26" t="s">
        <v>33</v>
      </c>
      <c r="S967" s="26" t="s">
        <v>395</v>
      </c>
      <c r="T967" s="26"/>
      <c r="U967" s="39"/>
      <c r="V967" s="28">
        <f t="shared" si="29"/>
        <v>105</v>
      </c>
      <c r="W967" s="29"/>
    </row>
    <row r="968" spans="1:23" s="40" customFormat="1" ht="21" customHeight="1">
      <c r="A968" s="34"/>
      <c r="B968" s="31"/>
      <c r="C968" s="32"/>
      <c r="D968" s="18" t="s">
        <v>402</v>
      </c>
      <c r="E968" s="21" t="s">
        <v>389</v>
      </c>
      <c r="F968" s="20">
        <v>15.680999999999999</v>
      </c>
      <c r="G968" s="19">
        <v>2256</v>
      </c>
      <c r="H968" s="20">
        <v>338</v>
      </c>
      <c r="I968" s="19" t="s">
        <v>246</v>
      </c>
      <c r="J968" s="20">
        <v>10525</v>
      </c>
      <c r="K968" s="21">
        <v>34635</v>
      </c>
      <c r="L968" s="21">
        <v>24000</v>
      </c>
      <c r="M968" s="21" t="s">
        <v>394</v>
      </c>
      <c r="N968" s="22">
        <v>3.25</v>
      </c>
      <c r="O968" s="23">
        <f t="shared" si="28"/>
        <v>795.76</v>
      </c>
      <c r="P968" s="24">
        <v>3.09</v>
      </c>
      <c r="Q968" s="25" t="s">
        <v>43</v>
      </c>
      <c r="R968" s="26" t="s">
        <v>33</v>
      </c>
      <c r="S968" s="26" t="s">
        <v>395</v>
      </c>
      <c r="T968" s="26"/>
      <c r="U968" s="39"/>
      <c r="V968" s="28">
        <f t="shared" si="29"/>
        <v>105</v>
      </c>
      <c r="W968" s="29"/>
    </row>
    <row r="969" spans="1:23" s="40" customFormat="1" ht="21" customHeight="1">
      <c r="A969" s="34"/>
      <c r="B969" s="31"/>
      <c r="C969" s="32"/>
      <c r="D969" s="18" t="s">
        <v>402</v>
      </c>
      <c r="E969" s="21" t="s">
        <v>389</v>
      </c>
      <c r="F969" s="20">
        <v>15.680999999999999</v>
      </c>
      <c r="G969" s="19">
        <v>2256</v>
      </c>
      <c r="H969" s="20">
        <v>338</v>
      </c>
      <c r="I969" s="19" t="s">
        <v>278</v>
      </c>
      <c r="J969" s="20">
        <v>10525</v>
      </c>
      <c r="K969" s="21">
        <v>34635</v>
      </c>
      <c r="L969" s="21">
        <v>24000</v>
      </c>
      <c r="M969" s="21" t="s">
        <v>394</v>
      </c>
      <c r="N969" s="22">
        <v>3.25</v>
      </c>
      <c r="O969" s="23">
        <f t="shared" ref="O969:O1032" si="30">IF(N969&gt;0,1/N969*37.7*68.6,"")</f>
        <v>795.76</v>
      </c>
      <c r="P969" s="24">
        <v>3.09</v>
      </c>
      <c r="Q969" s="25" t="s">
        <v>43</v>
      </c>
      <c r="R969" s="26" t="s">
        <v>33</v>
      </c>
      <c r="S969" s="26" t="s">
        <v>395</v>
      </c>
      <c r="T969" s="26"/>
      <c r="U969" s="39"/>
      <c r="V969" s="28">
        <f t="shared" ref="V969:V1032" si="31">IFERROR(IF(N969&lt;P969,"",(ROUNDDOWN(N969/P969*100,0))),"")</f>
        <v>105</v>
      </c>
      <c r="W969" s="29"/>
    </row>
    <row r="970" spans="1:23" s="40" customFormat="1" ht="21" customHeight="1">
      <c r="A970" s="34"/>
      <c r="B970" s="31"/>
      <c r="C970" s="32"/>
      <c r="D970" s="18" t="s">
        <v>403</v>
      </c>
      <c r="E970" s="21" t="s">
        <v>389</v>
      </c>
      <c r="F970" s="20">
        <v>15.680999999999999</v>
      </c>
      <c r="G970" s="19">
        <v>2256</v>
      </c>
      <c r="H970" s="20">
        <v>309</v>
      </c>
      <c r="I970" s="19" t="s">
        <v>246</v>
      </c>
      <c r="J970" s="20">
        <v>10525</v>
      </c>
      <c r="K970" s="21">
        <v>34635</v>
      </c>
      <c r="L970" s="21">
        <v>24000</v>
      </c>
      <c r="M970" s="21" t="s">
        <v>394</v>
      </c>
      <c r="N970" s="45">
        <v>3.25</v>
      </c>
      <c r="O970" s="23">
        <f t="shared" si="30"/>
        <v>795.76</v>
      </c>
      <c r="P970" s="46">
        <v>3.09</v>
      </c>
      <c r="Q970" s="25" t="s">
        <v>43</v>
      </c>
      <c r="R970" s="26" t="s">
        <v>33</v>
      </c>
      <c r="S970" s="26" t="s">
        <v>34</v>
      </c>
      <c r="T970" s="26"/>
      <c r="U970" s="67"/>
      <c r="V970" s="28">
        <f t="shared" si="31"/>
        <v>105</v>
      </c>
      <c r="W970" s="29"/>
    </row>
    <row r="971" spans="1:23" s="40" customFormat="1" ht="21" customHeight="1">
      <c r="A971" s="34"/>
      <c r="B971" s="31"/>
      <c r="C971" s="32"/>
      <c r="D971" s="18" t="s">
        <v>403</v>
      </c>
      <c r="E971" s="21" t="s">
        <v>389</v>
      </c>
      <c r="F971" s="20">
        <v>15.680999999999999</v>
      </c>
      <c r="G971" s="19">
        <v>2256</v>
      </c>
      <c r="H971" s="20">
        <v>338</v>
      </c>
      <c r="I971" s="19" t="s">
        <v>246</v>
      </c>
      <c r="J971" s="20">
        <v>10525</v>
      </c>
      <c r="K971" s="21">
        <v>34635</v>
      </c>
      <c r="L971" s="21">
        <v>24000</v>
      </c>
      <c r="M971" s="21" t="s">
        <v>394</v>
      </c>
      <c r="N971" s="45">
        <v>3.25</v>
      </c>
      <c r="O971" s="23">
        <f t="shared" si="30"/>
        <v>795.76</v>
      </c>
      <c r="P971" s="46">
        <v>3.09</v>
      </c>
      <c r="Q971" s="25" t="s">
        <v>43</v>
      </c>
      <c r="R971" s="26" t="s">
        <v>33</v>
      </c>
      <c r="S971" s="26" t="s">
        <v>34</v>
      </c>
      <c r="T971" s="26"/>
      <c r="U971" s="67"/>
      <c r="V971" s="28">
        <f t="shared" si="31"/>
        <v>105</v>
      </c>
      <c r="W971" s="29"/>
    </row>
    <row r="972" spans="1:23" s="40" customFormat="1" ht="21" customHeight="1">
      <c r="A972" s="34"/>
      <c r="B972" s="31"/>
      <c r="C972" s="32"/>
      <c r="D972" s="18" t="s">
        <v>403</v>
      </c>
      <c r="E972" s="21" t="s">
        <v>389</v>
      </c>
      <c r="F972" s="20">
        <v>15.680999999999999</v>
      </c>
      <c r="G972" s="19">
        <v>2256</v>
      </c>
      <c r="H972" s="20">
        <v>338</v>
      </c>
      <c r="I972" s="19" t="s">
        <v>278</v>
      </c>
      <c r="J972" s="20">
        <v>10525</v>
      </c>
      <c r="K972" s="21">
        <v>34635</v>
      </c>
      <c r="L972" s="21">
        <v>24000</v>
      </c>
      <c r="M972" s="21" t="s">
        <v>394</v>
      </c>
      <c r="N972" s="45">
        <v>3.25</v>
      </c>
      <c r="O972" s="23">
        <f t="shared" si="30"/>
        <v>795.76</v>
      </c>
      <c r="P972" s="46">
        <v>3.09</v>
      </c>
      <c r="Q972" s="25" t="s">
        <v>43</v>
      </c>
      <c r="R972" s="26" t="s">
        <v>33</v>
      </c>
      <c r="S972" s="26" t="s">
        <v>34</v>
      </c>
      <c r="T972" s="26"/>
      <c r="U972" s="67"/>
      <c r="V972" s="28">
        <f t="shared" si="31"/>
        <v>105</v>
      </c>
      <c r="W972" s="29"/>
    </row>
    <row r="973" spans="1:23" s="40" customFormat="1" ht="21" customHeight="1">
      <c r="A973" s="34"/>
      <c r="B973" s="31"/>
      <c r="C973" s="32"/>
      <c r="D973" s="18" t="s">
        <v>403</v>
      </c>
      <c r="E973" s="21" t="s">
        <v>389</v>
      </c>
      <c r="F973" s="20">
        <v>15.680999999999999</v>
      </c>
      <c r="G973" s="19">
        <v>2256</v>
      </c>
      <c r="H973" s="20">
        <v>309</v>
      </c>
      <c r="I973" s="19" t="s">
        <v>246</v>
      </c>
      <c r="J973" s="20">
        <v>10525</v>
      </c>
      <c r="K973" s="21">
        <v>34635</v>
      </c>
      <c r="L973" s="21">
        <v>24000</v>
      </c>
      <c r="M973" s="21" t="s">
        <v>394</v>
      </c>
      <c r="N973" s="22">
        <v>3.25</v>
      </c>
      <c r="O973" s="23">
        <f t="shared" si="30"/>
        <v>795.76</v>
      </c>
      <c r="P973" s="24">
        <v>3.09</v>
      </c>
      <c r="Q973" s="25" t="s">
        <v>43</v>
      </c>
      <c r="R973" s="26" t="s">
        <v>33</v>
      </c>
      <c r="S973" s="26" t="s">
        <v>395</v>
      </c>
      <c r="T973" s="26"/>
      <c r="U973" s="39"/>
      <c r="V973" s="28">
        <f t="shared" si="31"/>
        <v>105</v>
      </c>
      <c r="W973" s="29"/>
    </row>
    <row r="974" spans="1:23" s="40" customFormat="1" ht="21" customHeight="1">
      <c r="A974" s="34"/>
      <c r="B974" s="31"/>
      <c r="C974" s="32"/>
      <c r="D974" s="18" t="s">
        <v>403</v>
      </c>
      <c r="E974" s="21" t="s">
        <v>389</v>
      </c>
      <c r="F974" s="20">
        <v>15.680999999999999</v>
      </c>
      <c r="G974" s="19">
        <v>2256</v>
      </c>
      <c r="H974" s="20">
        <v>338</v>
      </c>
      <c r="I974" s="19" t="s">
        <v>246</v>
      </c>
      <c r="J974" s="20">
        <v>10525</v>
      </c>
      <c r="K974" s="21">
        <v>34635</v>
      </c>
      <c r="L974" s="21">
        <v>24000</v>
      </c>
      <c r="M974" s="21" t="s">
        <v>394</v>
      </c>
      <c r="N974" s="22">
        <v>3.25</v>
      </c>
      <c r="O974" s="23">
        <f t="shared" si="30"/>
        <v>795.76</v>
      </c>
      <c r="P974" s="24">
        <v>3.09</v>
      </c>
      <c r="Q974" s="25" t="s">
        <v>43</v>
      </c>
      <c r="R974" s="26" t="s">
        <v>33</v>
      </c>
      <c r="S974" s="26" t="s">
        <v>395</v>
      </c>
      <c r="T974" s="26"/>
      <c r="U974" s="39"/>
      <c r="V974" s="28">
        <f t="shared" si="31"/>
        <v>105</v>
      </c>
      <c r="W974" s="29"/>
    </row>
    <row r="975" spans="1:23" s="40" customFormat="1" ht="21" customHeight="1">
      <c r="A975" s="34"/>
      <c r="B975" s="31"/>
      <c r="C975" s="32"/>
      <c r="D975" s="18" t="s">
        <v>403</v>
      </c>
      <c r="E975" s="21" t="s">
        <v>389</v>
      </c>
      <c r="F975" s="20">
        <v>15.680999999999999</v>
      </c>
      <c r="G975" s="19">
        <v>2256</v>
      </c>
      <c r="H975" s="20">
        <v>338</v>
      </c>
      <c r="I975" s="19" t="s">
        <v>278</v>
      </c>
      <c r="J975" s="20">
        <v>10525</v>
      </c>
      <c r="K975" s="21">
        <v>34635</v>
      </c>
      <c r="L975" s="21">
        <v>24000</v>
      </c>
      <c r="M975" s="21" t="s">
        <v>394</v>
      </c>
      <c r="N975" s="22">
        <v>3.25</v>
      </c>
      <c r="O975" s="23">
        <f t="shared" si="30"/>
        <v>795.76</v>
      </c>
      <c r="P975" s="24">
        <v>3.09</v>
      </c>
      <c r="Q975" s="25" t="s">
        <v>43</v>
      </c>
      <c r="R975" s="26" t="s">
        <v>33</v>
      </c>
      <c r="S975" s="26" t="s">
        <v>395</v>
      </c>
      <c r="T975" s="26"/>
      <c r="U975" s="39"/>
      <c r="V975" s="28">
        <f t="shared" si="31"/>
        <v>105</v>
      </c>
      <c r="W975" s="29"/>
    </row>
    <row r="976" spans="1:23" s="40" customFormat="1" ht="21" customHeight="1">
      <c r="A976" s="34"/>
      <c r="B976" s="31"/>
      <c r="C976" s="32"/>
      <c r="D976" s="18" t="s">
        <v>404</v>
      </c>
      <c r="E976" s="21" t="s">
        <v>389</v>
      </c>
      <c r="F976" s="20">
        <v>15.680999999999999</v>
      </c>
      <c r="G976" s="19">
        <v>2256</v>
      </c>
      <c r="H976" s="20">
        <v>338</v>
      </c>
      <c r="I976" s="19" t="s">
        <v>246</v>
      </c>
      <c r="J976" s="20">
        <v>10525</v>
      </c>
      <c r="K976" s="21">
        <v>34635</v>
      </c>
      <c r="L976" s="21">
        <v>24000</v>
      </c>
      <c r="M976" s="21" t="s">
        <v>394</v>
      </c>
      <c r="N976" s="45">
        <v>3.25</v>
      </c>
      <c r="O976" s="23">
        <f t="shared" si="30"/>
        <v>795.76</v>
      </c>
      <c r="P976" s="46">
        <v>3.09</v>
      </c>
      <c r="Q976" s="25" t="s">
        <v>43</v>
      </c>
      <c r="R976" s="26" t="s">
        <v>33</v>
      </c>
      <c r="S976" s="26" t="s">
        <v>236</v>
      </c>
      <c r="T976" s="26"/>
      <c r="U976" s="67"/>
      <c r="V976" s="28">
        <f t="shared" si="31"/>
        <v>105</v>
      </c>
      <c r="W976" s="29"/>
    </row>
    <row r="977" spans="1:23" s="40" customFormat="1" ht="21" customHeight="1">
      <c r="A977" s="34"/>
      <c r="B977" s="31"/>
      <c r="C977" s="32"/>
      <c r="D977" s="18" t="s">
        <v>404</v>
      </c>
      <c r="E977" s="21" t="s">
        <v>389</v>
      </c>
      <c r="F977" s="20">
        <v>15.680999999999999</v>
      </c>
      <c r="G977" s="19">
        <v>2256</v>
      </c>
      <c r="H977" s="20">
        <v>338</v>
      </c>
      <c r="I977" s="19" t="s">
        <v>278</v>
      </c>
      <c r="J977" s="20">
        <v>10525</v>
      </c>
      <c r="K977" s="21">
        <v>34635</v>
      </c>
      <c r="L977" s="21">
        <v>24000</v>
      </c>
      <c r="M977" s="21" t="s">
        <v>394</v>
      </c>
      <c r="N977" s="45">
        <v>3.25</v>
      </c>
      <c r="O977" s="23">
        <f t="shared" si="30"/>
        <v>795.76</v>
      </c>
      <c r="P977" s="46">
        <v>3.09</v>
      </c>
      <c r="Q977" s="25" t="s">
        <v>43</v>
      </c>
      <c r="R977" s="26" t="s">
        <v>33</v>
      </c>
      <c r="S977" s="26" t="s">
        <v>236</v>
      </c>
      <c r="T977" s="26"/>
      <c r="U977" s="67"/>
      <c r="V977" s="28">
        <f t="shared" si="31"/>
        <v>105</v>
      </c>
      <c r="W977" s="29"/>
    </row>
    <row r="978" spans="1:23" s="40" customFormat="1" ht="21" customHeight="1">
      <c r="A978" s="34"/>
      <c r="B978" s="31"/>
      <c r="C978" s="32"/>
      <c r="D978" s="18" t="s">
        <v>405</v>
      </c>
      <c r="E978" s="21" t="s">
        <v>389</v>
      </c>
      <c r="F978" s="20">
        <v>15.680999999999999</v>
      </c>
      <c r="G978" s="19">
        <v>2256</v>
      </c>
      <c r="H978" s="20">
        <v>338</v>
      </c>
      <c r="I978" s="19" t="s">
        <v>246</v>
      </c>
      <c r="J978" s="20">
        <v>10525</v>
      </c>
      <c r="K978" s="21">
        <v>34635</v>
      </c>
      <c r="L978" s="21">
        <v>24000</v>
      </c>
      <c r="M978" s="21" t="s">
        <v>394</v>
      </c>
      <c r="N978" s="45">
        <v>3.25</v>
      </c>
      <c r="O978" s="23">
        <f t="shared" si="30"/>
        <v>795.76</v>
      </c>
      <c r="P978" s="46">
        <v>3.09</v>
      </c>
      <c r="Q978" s="25" t="s">
        <v>43</v>
      </c>
      <c r="R978" s="26" t="s">
        <v>33</v>
      </c>
      <c r="S978" s="26" t="s">
        <v>236</v>
      </c>
      <c r="T978" s="26"/>
      <c r="U978" s="67"/>
      <c r="V978" s="28">
        <f t="shared" si="31"/>
        <v>105</v>
      </c>
      <c r="W978" s="29"/>
    </row>
    <row r="979" spans="1:23" s="40" customFormat="1" ht="21" customHeight="1">
      <c r="A979" s="34"/>
      <c r="B979" s="31"/>
      <c r="C979" s="32"/>
      <c r="D979" s="18" t="s">
        <v>405</v>
      </c>
      <c r="E979" s="21" t="s">
        <v>389</v>
      </c>
      <c r="F979" s="20">
        <v>15.680999999999999</v>
      </c>
      <c r="G979" s="19">
        <v>2256</v>
      </c>
      <c r="H979" s="20">
        <v>338</v>
      </c>
      <c r="I979" s="19" t="s">
        <v>278</v>
      </c>
      <c r="J979" s="20">
        <v>10525</v>
      </c>
      <c r="K979" s="21">
        <v>34635</v>
      </c>
      <c r="L979" s="21">
        <v>24000</v>
      </c>
      <c r="M979" s="21" t="s">
        <v>394</v>
      </c>
      <c r="N979" s="45">
        <v>3.25</v>
      </c>
      <c r="O979" s="23">
        <f t="shared" si="30"/>
        <v>795.76</v>
      </c>
      <c r="P979" s="46">
        <v>3.09</v>
      </c>
      <c r="Q979" s="25" t="s">
        <v>43</v>
      </c>
      <c r="R979" s="26" t="s">
        <v>33</v>
      </c>
      <c r="S979" s="26" t="s">
        <v>236</v>
      </c>
      <c r="T979" s="26"/>
      <c r="U979" s="67"/>
      <c r="V979" s="28">
        <f t="shared" si="31"/>
        <v>105</v>
      </c>
      <c r="W979" s="29"/>
    </row>
    <row r="980" spans="1:23" s="40" customFormat="1" ht="21" customHeight="1">
      <c r="A980" s="34"/>
      <c r="B980" s="31"/>
      <c r="C980" s="32"/>
      <c r="D980" s="18" t="s">
        <v>406</v>
      </c>
      <c r="E980" s="21" t="s">
        <v>389</v>
      </c>
      <c r="F980" s="20">
        <v>15.680999999999999</v>
      </c>
      <c r="G980" s="19">
        <v>1863</v>
      </c>
      <c r="H980" s="20">
        <v>309</v>
      </c>
      <c r="I980" s="19" t="s">
        <v>243</v>
      </c>
      <c r="J980" s="20">
        <v>10525</v>
      </c>
      <c r="K980" s="21">
        <v>34635</v>
      </c>
      <c r="L980" s="21">
        <v>24000</v>
      </c>
      <c r="M980" s="21" t="s">
        <v>394</v>
      </c>
      <c r="N980" s="45">
        <v>3.2</v>
      </c>
      <c r="O980" s="23">
        <f t="shared" si="30"/>
        <v>808.19374999999991</v>
      </c>
      <c r="P980" s="46">
        <v>3.09</v>
      </c>
      <c r="Q980" s="25" t="s">
        <v>43</v>
      </c>
      <c r="R980" s="26" t="s">
        <v>33</v>
      </c>
      <c r="S980" s="26" t="s">
        <v>34</v>
      </c>
      <c r="T980" s="26"/>
      <c r="U980" s="67"/>
      <c r="V980" s="28">
        <f t="shared" si="31"/>
        <v>103</v>
      </c>
      <c r="W980" s="29"/>
    </row>
    <row r="981" spans="1:23" s="40" customFormat="1" ht="21" customHeight="1">
      <c r="A981" s="34"/>
      <c r="B981" s="31"/>
      <c r="C981" s="32"/>
      <c r="D981" s="18" t="s">
        <v>406</v>
      </c>
      <c r="E981" s="21" t="s">
        <v>389</v>
      </c>
      <c r="F981" s="20">
        <v>15.680999999999999</v>
      </c>
      <c r="G981" s="19">
        <v>2256</v>
      </c>
      <c r="H981" s="20">
        <v>382</v>
      </c>
      <c r="I981" s="19" t="s">
        <v>278</v>
      </c>
      <c r="J981" s="20">
        <v>10525</v>
      </c>
      <c r="K981" s="21">
        <v>34635</v>
      </c>
      <c r="L981" s="21">
        <v>24000</v>
      </c>
      <c r="M981" s="21" t="s">
        <v>394</v>
      </c>
      <c r="N981" s="45">
        <v>3.2</v>
      </c>
      <c r="O981" s="23">
        <f t="shared" si="30"/>
        <v>808.19374999999991</v>
      </c>
      <c r="P981" s="46">
        <v>3.09</v>
      </c>
      <c r="Q981" s="25" t="s">
        <v>43</v>
      </c>
      <c r="R981" s="26" t="s">
        <v>33</v>
      </c>
      <c r="S981" s="26" t="s">
        <v>34</v>
      </c>
      <c r="T981" s="26"/>
      <c r="U981" s="67"/>
      <c r="V981" s="28">
        <f t="shared" si="31"/>
        <v>103</v>
      </c>
      <c r="W981" s="29"/>
    </row>
    <row r="982" spans="1:23" s="40" customFormat="1" ht="21" customHeight="1">
      <c r="A982" s="34"/>
      <c r="B982" s="31"/>
      <c r="C982" s="32"/>
      <c r="D982" s="18" t="s">
        <v>406</v>
      </c>
      <c r="E982" s="21" t="s">
        <v>389</v>
      </c>
      <c r="F982" s="20">
        <v>15.680999999999999</v>
      </c>
      <c r="G982" s="19">
        <v>1863</v>
      </c>
      <c r="H982" s="20">
        <v>309</v>
      </c>
      <c r="I982" s="19" t="s">
        <v>243</v>
      </c>
      <c r="J982" s="20">
        <v>10525</v>
      </c>
      <c r="K982" s="21">
        <v>34635</v>
      </c>
      <c r="L982" s="21">
        <v>24000</v>
      </c>
      <c r="M982" s="21" t="s">
        <v>394</v>
      </c>
      <c r="N982" s="45">
        <v>3.2</v>
      </c>
      <c r="O982" s="23">
        <f t="shared" si="30"/>
        <v>808.19374999999991</v>
      </c>
      <c r="P982" s="24">
        <v>3.09</v>
      </c>
      <c r="Q982" s="25" t="s">
        <v>43</v>
      </c>
      <c r="R982" s="26" t="s">
        <v>33</v>
      </c>
      <c r="S982" s="26" t="s">
        <v>395</v>
      </c>
      <c r="T982" s="26"/>
      <c r="U982" s="39"/>
      <c r="V982" s="28">
        <f t="shared" si="31"/>
        <v>103</v>
      </c>
      <c r="W982" s="29"/>
    </row>
    <row r="983" spans="1:23" s="40" customFormat="1" ht="21" customHeight="1">
      <c r="A983" s="34"/>
      <c r="B983" s="31"/>
      <c r="C983" s="32"/>
      <c r="D983" s="18" t="s">
        <v>406</v>
      </c>
      <c r="E983" s="21" t="s">
        <v>389</v>
      </c>
      <c r="F983" s="20">
        <v>15.680999999999999</v>
      </c>
      <c r="G983" s="19">
        <v>2256</v>
      </c>
      <c r="H983" s="20">
        <v>382</v>
      </c>
      <c r="I983" s="19" t="s">
        <v>278</v>
      </c>
      <c r="J983" s="20">
        <v>10525</v>
      </c>
      <c r="K983" s="21">
        <v>34635</v>
      </c>
      <c r="L983" s="21">
        <v>24000</v>
      </c>
      <c r="M983" s="21" t="s">
        <v>394</v>
      </c>
      <c r="N983" s="45">
        <v>3.2</v>
      </c>
      <c r="O983" s="23">
        <f t="shared" si="30"/>
        <v>808.19374999999991</v>
      </c>
      <c r="P983" s="24">
        <v>3.09</v>
      </c>
      <c r="Q983" s="25" t="s">
        <v>43</v>
      </c>
      <c r="R983" s="26" t="s">
        <v>33</v>
      </c>
      <c r="S983" s="26" t="s">
        <v>395</v>
      </c>
      <c r="T983" s="26"/>
      <c r="U983" s="39"/>
      <c r="V983" s="28">
        <f t="shared" si="31"/>
        <v>103</v>
      </c>
      <c r="W983" s="29"/>
    </row>
    <row r="984" spans="1:23" s="40" customFormat="1" ht="21" customHeight="1">
      <c r="A984" s="34"/>
      <c r="B984" s="31"/>
      <c r="C984" s="32"/>
      <c r="D984" s="18" t="s">
        <v>406</v>
      </c>
      <c r="E984" s="21" t="s">
        <v>389</v>
      </c>
      <c r="F984" s="20">
        <v>15.680999999999999</v>
      </c>
      <c r="G984" s="19">
        <v>1863</v>
      </c>
      <c r="H984" s="20">
        <v>309</v>
      </c>
      <c r="I984" s="19" t="s">
        <v>243</v>
      </c>
      <c r="J984" s="20">
        <v>10525</v>
      </c>
      <c r="K984" s="21">
        <v>34635</v>
      </c>
      <c r="L984" s="21">
        <v>24000</v>
      </c>
      <c r="M984" s="21" t="s">
        <v>394</v>
      </c>
      <c r="N984" s="45">
        <v>3.15</v>
      </c>
      <c r="O984" s="23">
        <f t="shared" si="30"/>
        <v>821.02222222222213</v>
      </c>
      <c r="P984" s="46">
        <v>3.09</v>
      </c>
      <c r="Q984" s="25" t="s">
        <v>63</v>
      </c>
      <c r="R984" s="26" t="s">
        <v>33</v>
      </c>
      <c r="S984" s="26" t="s">
        <v>34</v>
      </c>
      <c r="T984" s="26"/>
      <c r="U984" s="67"/>
      <c r="V984" s="28">
        <f t="shared" si="31"/>
        <v>101</v>
      </c>
      <c r="W984" s="29"/>
    </row>
    <row r="985" spans="1:23" s="40" customFormat="1" ht="21" customHeight="1">
      <c r="A985" s="34"/>
      <c r="B985" s="31"/>
      <c r="C985" s="32"/>
      <c r="D985" s="18" t="s">
        <v>406</v>
      </c>
      <c r="E985" s="21" t="s">
        <v>389</v>
      </c>
      <c r="F985" s="20">
        <v>15.680999999999999</v>
      </c>
      <c r="G985" s="19">
        <v>2256</v>
      </c>
      <c r="H985" s="20">
        <v>309</v>
      </c>
      <c r="I985" s="19" t="s">
        <v>246</v>
      </c>
      <c r="J985" s="20">
        <v>10525</v>
      </c>
      <c r="K985" s="21">
        <v>34635</v>
      </c>
      <c r="L985" s="21">
        <v>24000</v>
      </c>
      <c r="M985" s="21" t="s">
        <v>394</v>
      </c>
      <c r="N985" s="45">
        <v>3.15</v>
      </c>
      <c r="O985" s="23">
        <f t="shared" si="30"/>
        <v>821.02222222222213</v>
      </c>
      <c r="P985" s="46">
        <v>3.09</v>
      </c>
      <c r="Q985" s="25" t="s">
        <v>63</v>
      </c>
      <c r="R985" s="26" t="s">
        <v>33</v>
      </c>
      <c r="S985" s="26" t="s">
        <v>34</v>
      </c>
      <c r="T985" s="26"/>
      <c r="U985" s="67"/>
      <c r="V985" s="28">
        <f t="shared" si="31"/>
        <v>101</v>
      </c>
      <c r="W985" s="29"/>
    </row>
    <row r="986" spans="1:23" s="40" customFormat="1" ht="21" customHeight="1">
      <c r="A986" s="34"/>
      <c r="B986" s="31"/>
      <c r="C986" s="32"/>
      <c r="D986" s="18" t="s">
        <v>406</v>
      </c>
      <c r="E986" s="21" t="s">
        <v>389</v>
      </c>
      <c r="F986" s="20">
        <v>15.680999999999999</v>
      </c>
      <c r="G986" s="19">
        <v>2256</v>
      </c>
      <c r="H986" s="20">
        <v>338</v>
      </c>
      <c r="I986" s="19" t="s">
        <v>246</v>
      </c>
      <c r="J986" s="20">
        <v>10525</v>
      </c>
      <c r="K986" s="21">
        <v>34635</v>
      </c>
      <c r="L986" s="21">
        <v>24000</v>
      </c>
      <c r="M986" s="21" t="s">
        <v>394</v>
      </c>
      <c r="N986" s="45">
        <v>3.15</v>
      </c>
      <c r="O986" s="23">
        <f t="shared" si="30"/>
        <v>821.02222222222213</v>
      </c>
      <c r="P986" s="46">
        <v>3.09</v>
      </c>
      <c r="Q986" s="25" t="s">
        <v>63</v>
      </c>
      <c r="R986" s="26" t="s">
        <v>33</v>
      </c>
      <c r="S986" s="26" t="s">
        <v>34</v>
      </c>
      <c r="T986" s="26"/>
      <c r="U986" s="67"/>
      <c r="V986" s="28">
        <f t="shared" si="31"/>
        <v>101</v>
      </c>
      <c r="W986" s="29"/>
    </row>
    <row r="987" spans="1:23" s="40" customFormat="1" ht="21" customHeight="1">
      <c r="A987" s="34"/>
      <c r="B987" s="31"/>
      <c r="C987" s="32"/>
      <c r="D987" s="18" t="s">
        <v>406</v>
      </c>
      <c r="E987" s="21" t="s">
        <v>389</v>
      </c>
      <c r="F987" s="20">
        <v>15.680999999999999</v>
      </c>
      <c r="G987" s="19">
        <v>2256</v>
      </c>
      <c r="H987" s="20">
        <v>338</v>
      </c>
      <c r="I987" s="19" t="s">
        <v>278</v>
      </c>
      <c r="J987" s="20">
        <v>10525</v>
      </c>
      <c r="K987" s="21">
        <v>34635</v>
      </c>
      <c r="L987" s="21">
        <v>24000</v>
      </c>
      <c r="M987" s="21" t="s">
        <v>394</v>
      </c>
      <c r="N987" s="45">
        <v>3.15</v>
      </c>
      <c r="O987" s="23">
        <f t="shared" si="30"/>
        <v>821.02222222222213</v>
      </c>
      <c r="P987" s="46">
        <v>3.09</v>
      </c>
      <c r="Q987" s="25" t="s">
        <v>63</v>
      </c>
      <c r="R987" s="26" t="s">
        <v>33</v>
      </c>
      <c r="S987" s="26" t="s">
        <v>34</v>
      </c>
      <c r="T987" s="26"/>
      <c r="U987" s="67"/>
      <c r="V987" s="28">
        <f t="shared" si="31"/>
        <v>101</v>
      </c>
      <c r="W987" s="29"/>
    </row>
    <row r="988" spans="1:23" s="40" customFormat="1" ht="21" customHeight="1">
      <c r="A988" s="34"/>
      <c r="B988" s="31"/>
      <c r="C988" s="32"/>
      <c r="D988" s="18" t="s">
        <v>406</v>
      </c>
      <c r="E988" s="21" t="s">
        <v>389</v>
      </c>
      <c r="F988" s="20">
        <v>15.680999999999999</v>
      </c>
      <c r="G988" s="19">
        <v>1863</v>
      </c>
      <c r="H988" s="20">
        <v>309</v>
      </c>
      <c r="I988" s="19" t="s">
        <v>243</v>
      </c>
      <c r="J988" s="20">
        <v>10525</v>
      </c>
      <c r="K988" s="21">
        <v>34635</v>
      </c>
      <c r="L988" s="21">
        <v>24000</v>
      </c>
      <c r="M988" s="21" t="s">
        <v>394</v>
      </c>
      <c r="N988" s="45">
        <v>3.15</v>
      </c>
      <c r="O988" s="23">
        <f t="shared" si="30"/>
        <v>821.02222222222213</v>
      </c>
      <c r="P988" s="24">
        <v>3.09</v>
      </c>
      <c r="Q988" s="25" t="s">
        <v>63</v>
      </c>
      <c r="R988" s="26" t="s">
        <v>33</v>
      </c>
      <c r="S988" s="26" t="s">
        <v>395</v>
      </c>
      <c r="T988" s="26"/>
      <c r="U988" s="39"/>
      <c r="V988" s="28">
        <f t="shared" si="31"/>
        <v>101</v>
      </c>
      <c r="W988" s="29"/>
    </row>
    <row r="989" spans="1:23" s="40" customFormat="1" ht="21" customHeight="1">
      <c r="A989" s="34"/>
      <c r="B989" s="31"/>
      <c r="C989" s="32"/>
      <c r="D989" s="18" t="s">
        <v>406</v>
      </c>
      <c r="E989" s="21" t="s">
        <v>389</v>
      </c>
      <c r="F989" s="20">
        <v>15.680999999999999</v>
      </c>
      <c r="G989" s="19">
        <v>2256</v>
      </c>
      <c r="H989" s="20">
        <v>309</v>
      </c>
      <c r="I989" s="19" t="s">
        <v>246</v>
      </c>
      <c r="J989" s="20">
        <v>10525</v>
      </c>
      <c r="K989" s="21">
        <v>34635</v>
      </c>
      <c r="L989" s="21">
        <v>24000</v>
      </c>
      <c r="M989" s="21" t="s">
        <v>394</v>
      </c>
      <c r="N989" s="45">
        <v>3.15</v>
      </c>
      <c r="O989" s="23">
        <f t="shared" si="30"/>
        <v>821.02222222222213</v>
      </c>
      <c r="P989" s="24">
        <v>3.09</v>
      </c>
      <c r="Q989" s="25" t="s">
        <v>63</v>
      </c>
      <c r="R989" s="26" t="s">
        <v>33</v>
      </c>
      <c r="S989" s="26" t="s">
        <v>395</v>
      </c>
      <c r="T989" s="26"/>
      <c r="U989" s="39"/>
      <c r="V989" s="28">
        <f t="shared" si="31"/>
        <v>101</v>
      </c>
      <c r="W989" s="29"/>
    </row>
    <row r="990" spans="1:23" s="40" customFormat="1" ht="21" customHeight="1">
      <c r="A990" s="34"/>
      <c r="B990" s="31"/>
      <c r="C990" s="32"/>
      <c r="D990" s="18" t="s">
        <v>406</v>
      </c>
      <c r="E990" s="21" t="s">
        <v>389</v>
      </c>
      <c r="F990" s="20">
        <v>15.680999999999999</v>
      </c>
      <c r="G990" s="19">
        <v>2256</v>
      </c>
      <c r="H990" s="20">
        <v>338</v>
      </c>
      <c r="I990" s="19" t="s">
        <v>246</v>
      </c>
      <c r="J990" s="20">
        <v>10525</v>
      </c>
      <c r="K990" s="21">
        <v>34635</v>
      </c>
      <c r="L990" s="21">
        <v>24000</v>
      </c>
      <c r="M990" s="21" t="s">
        <v>394</v>
      </c>
      <c r="N990" s="45">
        <v>3.15</v>
      </c>
      <c r="O990" s="23">
        <f t="shared" si="30"/>
        <v>821.02222222222213</v>
      </c>
      <c r="P990" s="24">
        <v>3.09</v>
      </c>
      <c r="Q990" s="25" t="s">
        <v>63</v>
      </c>
      <c r="R990" s="26" t="s">
        <v>33</v>
      </c>
      <c r="S990" s="26" t="s">
        <v>395</v>
      </c>
      <c r="T990" s="26"/>
      <c r="U990" s="39"/>
      <c r="V990" s="28">
        <f t="shared" si="31"/>
        <v>101</v>
      </c>
      <c r="W990" s="29"/>
    </row>
    <row r="991" spans="1:23" s="40" customFormat="1" ht="21" customHeight="1">
      <c r="A991" s="34"/>
      <c r="B991" s="31"/>
      <c r="C991" s="32"/>
      <c r="D991" s="18" t="s">
        <v>406</v>
      </c>
      <c r="E991" s="21" t="s">
        <v>389</v>
      </c>
      <c r="F991" s="20">
        <v>15.680999999999999</v>
      </c>
      <c r="G991" s="19">
        <v>2256</v>
      </c>
      <c r="H991" s="20">
        <v>338</v>
      </c>
      <c r="I991" s="19" t="s">
        <v>278</v>
      </c>
      <c r="J991" s="20">
        <v>10525</v>
      </c>
      <c r="K991" s="21">
        <v>34635</v>
      </c>
      <c r="L991" s="21">
        <v>24000</v>
      </c>
      <c r="M991" s="21" t="s">
        <v>394</v>
      </c>
      <c r="N991" s="45">
        <v>3.15</v>
      </c>
      <c r="O991" s="23">
        <f t="shared" si="30"/>
        <v>821.02222222222213</v>
      </c>
      <c r="P991" s="24">
        <v>3.09</v>
      </c>
      <c r="Q991" s="25" t="s">
        <v>63</v>
      </c>
      <c r="R991" s="26" t="s">
        <v>33</v>
      </c>
      <c r="S991" s="26" t="s">
        <v>395</v>
      </c>
      <c r="T991" s="26"/>
      <c r="U991" s="39"/>
      <c r="V991" s="28">
        <f t="shared" si="31"/>
        <v>101</v>
      </c>
      <c r="W991" s="29"/>
    </row>
    <row r="992" spans="1:23" s="40" customFormat="1" ht="21" customHeight="1">
      <c r="A992" s="34"/>
      <c r="B992" s="31"/>
      <c r="C992" s="32"/>
      <c r="D992" s="18" t="s">
        <v>406</v>
      </c>
      <c r="E992" s="21" t="s">
        <v>389</v>
      </c>
      <c r="F992" s="20">
        <v>15.680999999999999</v>
      </c>
      <c r="G992" s="19">
        <v>2256</v>
      </c>
      <c r="H992" s="20">
        <v>382</v>
      </c>
      <c r="I992" s="19" t="s">
        <v>278</v>
      </c>
      <c r="J992" s="20">
        <v>10525</v>
      </c>
      <c r="K992" s="21">
        <v>34635</v>
      </c>
      <c r="L992" s="21">
        <v>24000</v>
      </c>
      <c r="M992" s="21" t="s">
        <v>394</v>
      </c>
      <c r="N992" s="45">
        <v>3.1</v>
      </c>
      <c r="O992" s="23">
        <f t="shared" si="30"/>
        <v>834.26451612903224</v>
      </c>
      <c r="P992" s="46">
        <v>3.09</v>
      </c>
      <c r="Q992" s="25" t="s">
        <v>63</v>
      </c>
      <c r="R992" s="26" t="s">
        <v>33</v>
      </c>
      <c r="S992" s="26" t="s">
        <v>34</v>
      </c>
      <c r="T992" s="26"/>
      <c r="U992" s="67"/>
      <c r="V992" s="28">
        <f t="shared" si="31"/>
        <v>100</v>
      </c>
      <c r="W992" s="29"/>
    </row>
    <row r="993" spans="1:23" s="40" customFormat="1" ht="21" customHeight="1">
      <c r="A993" s="34"/>
      <c r="B993" s="31"/>
      <c r="C993" s="32"/>
      <c r="D993" s="18" t="s">
        <v>406</v>
      </c>
      <c r="E993" s="21" t="s">
        <v>389</v>
      </c>
      <c r="F993" s="20">
        <v>15.680999999999999</v>
      </c>
      <c r="G993" s="19">
        <v>2256</v>
      </c>
      <c r="H993" s="20">
        <v>382</v>
      </c>
      <c r="I993" s="19" t="s">
        <v>278</v>
      </c>
      <c r="J993" s="20">
        <v>10525</v>
      </c>
      <c r="K993" s="21">
        <v>34635</v>
      </c>
      <c r="L993" s="21">
        <v>24000</v>
      </c>
      <c r="M993" s="21" t="s">
        <v>394</v>
      </c>
      <c r="N993" s="45">
        <v>3.1</v>
      </c>
      <c r="O993" s="23">
        <f t="shared" si="30"/>
        <v>834.26451612903224</v>
      </c>
      <c r="P993" s="24">
        <v>3.09</v>
      </c>
      <c r="Q993" s="25" t="s">
        <v>63</v>
      </c>
      <c r="R993" s="26" t="s">
        <v>33</v>
      </c>
      <c r="S993" s="26" t="s">
        <v>395</v>
      </c>
      <c r="T993" s="26"/>
      <c r="U993" s="39"/>
      <c r="V993" s="28">
        <f t="shared" si="31"/>
        <v>100</v>
      </c>
      <c r="W993" s="29"/>
    </row>
    <row r="994" spans="1:23" s="40" customFormat="1" ht="21" customHeight="1">
      <c r="A994" s="34"/>
      <c r="B994" s="31"/>
      <c r="C994" s="32"/>
      <c r="D994" s="18" t="s">
        <v>407</v>
      </c>
      <c r="E994" s="21" t="s">
        <v>389</v>
      </c>
      <c r="F994" s="20">
        <v>15.680999999999999</v>
      </c>
      <c r="G994" s="19">
        <v>1863</v>
      </c>
      <c r="H994" s="20">
        <v>309</v>
      </c>
      <c r="I994" s="19" t="s">
        <v>243</v>
      </c>
      <c r="J994" s="20">
        <v>10525</v>
      </c>
      <c r="K994" s="21">
        <v>34635</v>
      </c>
      <c r="L994" s="21">
        <v>24000</v>
      </c>
      <c r="M994" s="21" t="s">
        <v>394</v>
      </c>
      <c r="N994" s="45">
        <v>3.2</v>
      </c>
      <c r="O994" s="23">
        <f t="shared" si="30"/>
        <v>808.19374999999991</v>
      </c>
      <c r="P994" s="46">
        <v>3.09</v>
      </c>
      <c r="Q994" s="25" t="s">
        <v>43</v>
      </c>
      <c r="R994" s="26" t="s">
        <v>33</v>
      </c>
      <c r="S994" s="26" t="s">
        <v>34</v>
      </c>
      <c r="T994" s="26"/>
      <c r="U994" s="67"/>
      <c r="V994" s="28">
        <f t="shared" si="31"/>
        <v>103</v>
      </c>
      <c r="W994" s="29"/>
    </row>
    <row r="995" spans="1:23" s="40" customFormat="1" ht="21" customHeight="1">
      <c r="A995" s="34"/>
      <c r="B995" s="31"/>
      <c r="C995" s="32"/>
      <c r="D995" s="18" t="s">
        <v>407</v>
      </c>
      <c r="E995" s="21" t="s">
        <v>389</v>
      </c>
      <c r="F995" s="20">
        <v>15.680999999999999</v>
      </c>
      <c r="G995" s="19">
        <v>2256</v>
      </c>
      <c r="H995" s="20">
        <v>382</v>
      </c>
      <c r="I995" s="19" t="s">
        <v>278</v>
      </c>
      <c r="J995" s="20">
        <v>10525</v>
      </c>
      <c r="K995" s="21">
        <v>34635</v>
      </c>
      <c r="L995" s="21">
        <v>24000</v>
      </c>
      <c r="M995" s="21" t="s">
        <v>394</v>
      </c>
      <c r="N995" s="45">
        <v>3.2</v>
      </c>
      <c r="O995" s="23">
        <f t="shared" si="30"/>
        <v>808.19374999999991</v>
      </c>
      <c r="P995" s="46">
        <v>3.09</v>
      </c>
      <c r="Q995" s="25" t="s">
        <v>43</v>
      </c>
      <c r="R995" s="26" t="s">
        <v>33</v>
      </c>
      <c r="S995" s="26" t="s">
        <v>34</v>
      </c>
      <c r="T995" s="26"/>
      <c r="U995" s="67"/>
      <c r="V995" s="28">
        <f t="shared" si="31"/>
        <v>103</v>
      </c>
      <c r="W995" s="29"/>
    </row>
    <row r="996" spans="1:23" s="40" customFormat="1" ht="21" customHeight="1">
      <c r="A996" s="34"/>
      <c r="B996" s="31"/>
      <c r="C996" s="32"/>
      <c r="D996" s="18" t="s">
        <v>407</v>
      </c>
      <c r="E996" s="21" t="s">
        <v>389</v>
      </c>
      <c r="F996" s="20">
        <v>15.680999999999999</v>
      </c>
      <c r="G996" s="19">
        <v>1863</v>
      </c>
      <c r="H996" s="20">
        <v>309</v>
      </c>
      <c r="I996" s="19" t="s">
        <v>243</v>
      </c>
      <c r="J996" s="20">
        <v>10525</v>
      </c>
      <c r="K996" s="21">
        <v>34635</v>
      </c>
      <c r="L996" s="21">
        <v>24000</v>
      </c>
      <c r="M996" s="21" t="s">
        <v>394</v>
      </c>
      <c r="N996" s="45">
        <v>3.2</v>
      </c>
      <c r="O996" s="23">
        <f t="shared" si="30"/>
        <v>808.19374999999991</v>
      </c>
      <c r="P996" s="24">
        <v>3.09</v>
      </c>
      <c r="Q996" s="25" t="s">
        <v>43</v>
      </c>
      <c r="R996" s="26" t="s">
        <v>33</v>
      </c>
      <c r="S996" s="26" t="s">
        <v>395</v>
      </c>
      <c r="T996" s="26"/>
      <c r="U996" s="39"/>
      <c r="V996" s="28">
        <f t="shared" si="31"/>
        <v>103</v>
      </c>
      <c r="W996" s="29"/>
    </row>
    <row r="997" spans="1:23" s="40" customFormat="1" ht="21" customHeight="1">
      <c r="A997" s="34"/>
      <c r="B997" s="31"/>
      <c r="C997" s="32"/>
      <c r="D997" s="18" t="s">
        <v>407</v>
      </c>
      <c r="E997" s="21" t="s">
        <v>389</v>
      </c>
      <c r="F997" s="20">
        <v>15.680999999999999</v>
      </c>
      <c r="G997" s="19">
        <v>2256</v>
      </c>
      <c r="H997" s="20">
        <v>382</v>
      </c>
      <c r="I997" s="19" t="s">
        <v>278</v>
      </c>
      <c r="J997" s="20">
        <v>10525</v>
      </c>
      <c r="K997" s="21">
        <v>34635</v>
      </c>
      <c r="L997" s="21">
        <v>24000</v>
      </c>
      <c r="M997" s="21" t="s">
        <v>394</v>
      </c>
      <c r="N997" s="45">
        <v>3.2</v>
      </c>
      <c r="O997" s="23">
        <f t="shared" si="30"/>
        <v>808.19374999999991</v>
      </c>
      <c r="P997" s="24">
        <v>3.09</v>
      </c>
      <c r="Q997" s="25" t="s">
        <v>43</v>
      </c>
      <c r="R997" s="26" t="s">
        <v>33</v>
      </c>
      <c r="S997" s="26" t="s">
        <v>395</v>
      </c>
      <c r="T997" s="26"/>
      <c r="U997" s="39"/>
      <c r="V997" s="28">
        <f t="shared" si="31"/>
        <v>103</v>
      </c>
      <c r="W997" s="29"/>
    </row>
    <row r="998" spans="1:23" s="40" customFormat="1" ht="21" customHeight="1">
      <c r="A998" s="34"/>
      <c r="B998" s="31"/>
      <c r="C998" s="32"/>
      <c r="D998" s="18" t="s">
        <v>407</v>
      </c>
      <c r="E998" s="21" t="s">
        <v>389</v>
      </c>
      <c r="F998" s="20">
        <v>15.680999999999999</v>
      </c>
      <c r="G998" s="19">
        <v>1863</v>
      </c>
      <c r="H998" s="20">
        <v>309</v>
      </c>
      <c r="I998" s="19" t="s">
        <v>243</v>
      </c>
      <c r="J998" s="20">
        <v>10525</v>
      </c>
      <c r="K998" s="21">
        <v>34635</v>
      </c>
      <c r="L998" s="21">
        <v>24000</v>
      </c>
      <c r="M998" s="21" t="s">
        <v>394</v>
      </c>
      <c r="N998" s="45">
        <v>3.15</v>
      </c>
      <c r="O998" s="23">
        <f t="shared" si="30"/>
        <v>821.02222222222213</v>
      </c>
      <c r="P998" s="46">
        <v>3.09</v>
      </c>
      <c r="Q998" s="25" t="s">
        <v>63</v>
      </c>
      <c r="R998" s="26" t="s">
        <v>33</v>
      </c>
      <c r="S998" s="26" t="s">
        <v>34</v>
      </c>
      <c r="T998" s="26"/>
      <c r="U998" s="67"/>
      <c r="V998" s="28">
        <f t="shared" si="31"/>
        <v>101</v>
      </c>
      <c r="W998" s="29"/>
    </row>
    <row r="999" spans="1:23" s="40" customFormat="1" ht="21" customHeight="1">
      <c r="A999" s="34"/>
      <c r="B999" s="31"/>
      <c r="C999" s="32"/>
      <c r="D999" s="18" t="s">
        <v>407</v>
      </c>
      <c r="E999" s="21" t="s">
        <v>389</v>
      </c>
      <c r="F999" s="20">
        <v>15.680999999999999</v>
      </c>
      <c r="G999" s="19">
        <v>2256</v>
      </c>
      <c r="H999" s="20">
        <v>309</v>
      </c>
      <c r="I999" s="19" t="s">
        <v>246</v>
      </c>
      <c r="J999" s="20">
        <v>10525</v>
      </c>
      <c r="K999" s="21">
        <v>34635</v>
      </c>
      <c r="L999" s="21">
        <v>24000</v>
      </c>
      <c r="M999" s="21" t="s">
        <v>394</v>
      </c>
      <c r="N999" s="45">
        <v>3.15</v>
      </c>
      <c r="O999" s="23">
        <f t="shared" si="30"/>
        <v>821.02222222222213</v>
      </c>
      <c r="P999" s="46">
        <v>3.09</v>
      </c>
      <c r="Q999" s="25" t="s">
        <v>63</v>
      </c>
      <c r="R999" s="26" t="s">
        <v>33</v>
      </c>
      <c r="S999" s="26" t="s">
        <v>34</v>
      </c>
      <c r="T999" s="26"/>
      <c r="U999" s="67"/>
      <c r="V999" s="28">
        <f t="shared" si="31"/>
        <v>101</v>
      </c>
      <c r="W999" s="29"/>
    </row>
    <row r="1000" spans="1:23" s="40" customFormat="1" ht="21" customHeight="1">
      <c r="A1000" s="34"/>
      <c r="B1000" s="31"/>
      <c r="C1000" s="32"/>
      <c r="D1000" s="18" t="s">
        <v>407</v>
      </c>
      <c r="E1000" s="21" t="s">
        <v>389</v>
      </c>
      <c r="F1000" s="20">
        <v>15.680999999999999</v>
      </c>
      <c r="G1000" s="19">
        <v>2256</v>
      </c>
      <c r="H1000" s="20">
        <v>338</v>
      </c>
      <c r="I1000" s="19" t="s">
        <v>246</v>
      </c>
      <c r="J1000" s="20">
        <v>10525</v>
      </c>
      <c r="K1000" s="21">
        <v>34635</v>
      </c>
      <c r="L1000" s="21">
        <v>24000</v>
      </c>
      <c r="M1000" s="21" t="s">
        <v>394</v>
      </c>
      <c r="N1000" s="45">
        <v>3.15</v>
      </c>
      <c r="O1000" s="23">
        <f t="shared" si="30"/>
        <v>821.02222222222213</v>
      </c>
      <c r="P1000" s="46">
        <v>3.09</v>
      </c>
      <c r="Q1000" s="25" t="s">
        <v>63</v>
      </c>
      <c r="R1000" s="26" t="s">
        <v>33</v>
      </c>
      <c r="S1000" s="26" t="s">
        <v>34</v>
      </c>
      <c r="T1000" s="26"/>
      <c r="U1000" s="67"/>
      <c r="V1000" s="28">
        <f t="shared" si="31"/>
        <v>101</v>
      </c>
      <c r="W1000" s="29"/>
    </row>
    <row r="1001" spans="1:23" s="40" customFormat="1" ht="21" customHeight="1">
      <c r="A1001" s="34"/>
      <c r="B1001" s="31"/>
      <c r="C1001" s="32"/>
      <c r="D1001" s="18" t="s">
        <v>407</v>
      </c>
      <c r="E1001" s="21" t="s">
        <v>389</v>
      </c>
      <c r="F1001" s="20">
        <v>15.680999999999999</v>
      </c>
      <c r="G1001" s="19">
        <v>2256</v>
      </c>
      <c r="H1001" s="20">
        <v>338</v>
      </c>
      <c r="I1001" s="19" t="s">
        <v>278</v>
      </c>
      <c r="J1001" s="20">
        <v>10525</v>
      </c>
      <c r="K1001" s="21">
        <v>34635</v>
      </c>
      <c r="L1001" s="21">
        <v>24000</v>
      </c>
      <c r="M1001" s="21" t="s">
        <v>394</v>
      </c>
      <c r="N1001" s="45">
        <v>3.15</v>
      </c>
      <c r="O1001" s="23">
        <f t="shared" si="30"/>
        <v>821.02222222222213</v>
      </c>
      <c r="P1001" s="46">
        <v>3.09</v>
      </c>
      <c r="Q1001" s="25" t="s">
        <v>63</v>
      </c>
      <c r="R1001" s="26" t="s">
        <v>33</v>
      </c>
      <c r="S1001" s="26" t="s">
        <v>34</v>
      </c>
      <c r="T1001" s="26"/>
      <c r="U1001" s="67"/>
      <c r="V1001" s="28">
        <f t="shared" si="31"/>
        <v>101</v>
      </c>
      <c r="W1001" s="29"/>
    </row>
    <row r="1002" spans="1:23" s="40" customFormat="1" ht="21" customHeight="1">
      <c r="A1002" s="34"/>
      <c r="B1002" s="31"/>
      <c r="C1002" s="32"/>
      <c r="D1002" s="18" t="s">
        <v>407</v>
      </c>
      <c r="E1002" s="21" t="s">
        <v>389</v>
      </c>
      <c r="F1002" s="20">
        <v>15.680999999999999</v>
      </c>
      <c r="G1002" s="19">
        <v>1863</v>
      </c>
      <c r="H1002" s="20">
        <v>309</v>
      </c>
      <c r="I1002" s="19" t="s">
        <v>243</v>
      </c>
      <c r="J1002" s="20">
        <v>10525</v>
      </c>
      <c r="K1002" s="21">
        <v>34635</v>
      </c>
      <c r="L1002" s="21">
        <v>24000</v>
      </c>
      <c r="M1002" s="21" t="s">
        <v>394</v>
      </c>
      <c r="N1002" s="45">
        <v>3.15</v>
      </c>
      <c r="O1002" s="23">
        <f t="shared" si="30"/>
        <v>821.02222222222213</v>
      </c>
      <c r="P1002" s="24">
        <v>3.09</v>
      </c>
      <c r="Q1002" s="25" t="s">
        <v>63</v>
      </c>
      <c r="R1002" s="26" t="s">
        <v>33</v>
      </c>
      <c r="S1002" s="26" t="s">
        <v>395</v>
      </c>
      <c r="T1002" s="26"/>
      <c r="U1002" s="39"/>
      <c r="V1002" s="28">
        <f t="shared" si="31"/>
        <v>101</v>
      </c>
      <c r="W1002" s="29"/>
    </row>
    <row r="1003" spans="1:23" s="40" customFormat="1" ht="21" customHeight="1">
      <c r="A1003" s="34"/>
      <c r="B1003" s="31"/>
      <c r="C1003" s="32"/>
      <c r="D1003" s="18" t="s">
        <v>407</v>
      </c>
      <c r="E1003" s="21" t="s">
        <v>389</v>
      </c>
      <c r="F1003" s="20">
        <v>15.680999999999999</v>
      </c>
      <c r="G1003" s="19">
        <v>2256</v>
      </c>
      <c r="H1003" s="20">
        <v>309</v>
      </c>
      <c r="I1003" s="19" t="s">
        <v>246</v>
      </c>
      <c r="J1003" s="20">
        <v>10525</v>
      </c>
      <c r="K1003" s="21">
        <v>34635</v>
      </c>
      <c r="L1003" s="21">
        <v>24000</v>
      </c>
      <c r="M1003" s="21" t="s">
        <v>394</v>
      </c>
      <c r="N1003" s="45">
        <v>3.15</v>
      </c>
      <c r="O1003" s="23">
        <f t="shared" si="30"/>
        <v>821.02222222222213</v>
      </c>
      <c r="P1003" s="24">
        <v>3.09</v>
      </c>
      <c r="Q1003" s="25" t="s">
        <v>63</v>
      </c>
      <c r="R1003" s="26" t="s">
        <v>33</v>
      </c>
      <c r="S1003" s="26" t="s">
        <v>395</v>
      </c>
      <c r="T1003" s="26"/>
      <c r="U1003" s="39"/>
      <c r="V1003" s="28">
        <f t="shared" si="31"/>
        <v>101</v>
      </c>
      <c r="W1003" s="29"/>
    </row>
    <row r="1004" spans="1:23" s="40" customFormat="1" ht="21" customHeight="1">
      <c r="A1004" s="34"/>
      <c r="B1004" s="31"/>
      <c r="C1004" s="32"/>
      <c r="D1004" s="18" t="s">
        <v>407</v>
      </c>
      <c r="E1004" s="21" t="s">
        <v>389</v>
      </c>
      <c r="F1004" s="20">
        <v>15.680999999999999</v>
      </c>
      <c r="G1004" s="19">
        <v>2256</v>
      </c>
      <c r="H1004" s="20">
        <v>338</v>
      </c>
      <c r="I1004" s="19" t="s">
        <v>246</v>
      </c>
      <c r="J1004" s="20">
        <v>10525</v>
      </c>
      <c r="K1004" s="21">
        <v>34635</v>
      </c>
      <c r="L1004" s="21">
        <v>24000</v>
      </c>
      <c r="M1004" s="21" t="s">
        <v>394</v>
      </c>
      <c r="N1004" s="45">
        <v>3.15</v>
      </c>
      <c r="O1004" s="23">
        <f t="shared" si="30"/>
        <v>821.02222222222213</v>
      </c>
      <c r="P1004" s="24">
        <v>3.09</v>
      </c>
      <c r="Q1004" s="25" t="s">
        <v>63</v>
      </c>
      <c r="R1004" s="26" t="s">
        <v>33</v>
      </c>
      <c r="S1004" s="26" t="s">
        <v>395</v>
      </c>
      <c r="T1004" s="26"/>
      <c r="U1004" s="39"/>
      <c r="V1004" s="28">
        <f t="shared" si="31"/>
        <v>101</v>
      </c>
      <c r="W1004" s="29"/>
    </row>
    <row r="1005" spans="1:23" s="40" customFormat="1" ht="21" customHeight="1">
      <c r="A1005" s="34"/>
      <c r="B1005" s="31"/>
      <c r="C1005" s="32"/>
      <c r="D1005" s="18" t="s">
        <v>407</v>
      </c>
      <c r="E1005" s="21" t="s">
        <v>389</v>
      </c>
      <c r="F1005" s="20">
        <v>15.680999999999999</v>
      </c>
      <c r="G1005" s="19">
        <v>2256</v>
      </c>
      <c r="H1005" s="20">
        <v>338</v>
      </c>
      <c r="I1005" s="19" t="s">
        <v>278</v>
      </c>
      <c r="J1005" s="20">
        <v>10525</v>
      </c>
      <c r="K1005" s="21">
        <v>34635</v>
      </c>
      <c r="L1005" s="21">
        <v>24000</v>
      </c>
      <c r="M1005" s="21" t="s">
        <v>394</v>
      </c>
      <c r="N1005" s="45">
        <v>3.15</v>
      </c>
      <c r="O1005" s="23">
        <f t="shared" si="30"/>
        <v>821.02222222222213</v>
      </c>
      <c r="P1005" s="24">
        <v>3.09</v>
      </c>
      <c r="Q1005" s="25" t="s">
        <v>63</v>
      </c>
      <c r="R1005" s="26" t="s">
        <v>33</v>
      </c>
      <c r="S1005" s="26" t="s">
        <v>395</v>
      </c>
      <c r="T1005" s="26"/>
      <c r="U1005" s="39"/>
      <c r="V1005" s="28">
        <f t="shared" si="31"/>
        <v>101</v>
      </c>
      <c r="W1005" s="29"/>
    </row>
    <row r="1006" spans="1:23" s="40" customFormat="1" ht="21" customHeight="1">
      <c r="A1006" s="34"/>
      <c r="B1006" s="31"/>
      <c r="C1006" s="32"/>
      <c r="D1006" s="18" t="s">
        <v>407</v>
      </c>
      <c r="E1006" s="21" t="s">
        <v>389</v>
      </c>
      <c r="F1006" s="20">
        <v>15.680999999999999</v>
      </c>
      <c r="G1006" s="19">
        <v>2256</v>
      </c>
      <c r="H1006" s="20">
        <v>382</v>
      </c>
      <c r="I1006" s="19" t="s">
        <v>278</v>
      </c>
      <c r="J1006" s="20">
        <v>10525</v>
      </c>
      <c r="K1006" s="21">
        <v>34635</v>
      </c>
      <c r="L1006" s="21">
        <v>24000</v>
      </c>
      <c r="M1006" s="21" t="s">
        <v>394</v>
      </c>
      <c r="N1006" s="45">
        <v>3.1</v>
      </c>
      <c r="O1006" s="23">
        <f t="shared" si="30"/>
        <v>834.26451612903224</v>
      </c>
      <c r="P1006" s="46">
        <v>3.09</v>
      </c>
      <c r="Q1006" s="25" t="s">
        <v>63</v>
      </c>
      <c r="R1006" s="26" t="s">
        <v>33</v>
      </c>
      <c r="S1006" s="26" t="s">
        <v>34</v>
      </c>
      <c r="T1006" s="26"/>
      <c r="U1006" s="67"/>
      <c r="V1006" s="28">
        <f t="shared" si="31"/>
        <v>100</v>
      </c>
      <c r="W1006" s="29"/>
    </row>
    <row r="1007" spans="1:23" s="40" customFormat="1" ht="21" customHeight="1">
      <c r="A1007" s="34"/>
      <c r="B1007" s="31"/>
      <c r="C1007" s="32"/>
      <c r="D1007" s="18" t="s">
        <v>407</v>
      </c>
      <c r="E1007" s="21" t="s">
        <v>389</v>
      </c>
      <c r="F1007" s="20">
        <v>15.680999999999999</v>
      </c>
      <c r="G1007" s="19">
        <v>2256</v>
      </c>
      <c r="H1007" s="20">
        <v>382</v>
      </c>
      <c r="I1007" s="19" t="s">
        <v>278</v>
      </c>
      <c r="J1007" s="20">
        <v>10525</v>
      </c>
      <c r="K1007" s="21">
        <v>34635</v>
      </c>
      <c r="L1007" s="21">
        <v>24000</v>
      </c>
      <c r="M1007" s="21" t="s">
        <v>394</v>
      </c>
      <c r="N1007" s="45">
        <v>3.1</v>
      </c>
      <c r="O1007" s="23">
        <f t="shared" si="30"/>
        <v>834.26451612903224</v>
      </c>
      <c r="P1007" s="24">
        <v>3.09</v>
      </c>
      <c r="Q1007" s="25" t="s">
        <v>63</v>
      </c>
      <c r="R1007" s="26" t="s">
        <v>33</v>
      </c>
      <c r="S1007" s="26" t="s">
        <v>395</v>
      </c>
      <c r="T1007" s="26"/>
      <c r="U1007" s="39"/>
      <c r="V1007" s="28">
        <f t="shared" si="31"/>
        <v>100</v>
      </c>
      <c r="W1007" s="29"/>
    </row>
    <row r="1008" spans="1:23" s="40" customFormat="1" ht="21" customHeight="1">
      <c r="A1008" s="34"/>
      <c r="B1008" s="31"/>
      <c r="C1008" s="32"/>
      <c r="D1008" s="18" t="s">
        <v>408</v>
      </c>
      <c r="E1008" s="21" t="s">
        <v>389</v>
      </c>
      <c r="F1008" s="20">
        <v>15.680999999999999</v>
      </c>
      <c r="G1008" s="19">
        <v>1863</v>
      </c>
      <c r="H1008" s="20">
        <v>309</v>
      </c>
      <c r="I1008" s="19" t="s">
        <v>243</v>
      </c>
      <c r="J1008" s="20">
        <v>10525</v>
      </c>
      <c r="K1008" s="21">
        <v>34635</v>
      </c>
      <c r="L1008" s="21">
        <v>24000</v>
      </c>
      <c r="M1008" s="21" t="s">
        <v>394</v>
      </c>
      <c r="N1008" s="45">
        <v>3.2</v>
      </c>
      <c r="O1008" s="23">
        <f t="shared" si="30"/>
        <v>808.19374999999991</v>
      </c>
      <c r="P1008" s="46">
        <v>3.09</v>
      </c>
      <c r="Q1008" s="25" t="s">
        <v>43</v>
      </c>
      <c r="R1008" s="26" t="s">
        <v>33</v>
      </c>
      <c r="S1008" s="26" t="s">
        <v>34</v>
      </c>
      <c r="T1008" s="26"/>
      <c r="U1008" s="67"/>
      <c r="V1008" s="28">
        <f t="shared" si="31"/>
        <v>103</v>
      </c>
      <c r="W1008" s="29"/>
    </row>
    <row r="1009" spans="1:23" s="40" customFormat="1" ht="21" customHeight="1">
      <c r="A1009" s="34"/>
      <c r="B1009" s="31"/>
      <c r="C1009" s="32"/>
      <c r="D1009" s="18" t="s">
        <v>408</v>
      </c>
      <c r="E1009" s="21" t="s">
        <v>389</v>
      </c>
      <c r="F1009" s="20">
        <v>15.680999999999999</v>
      </c>
      <c r="G1009" s="19">
        <v>1863</v>
      </c>
      <c r="H1009" s="20">
        <v>309</v>
      </c>
      <c r="I1009" s="19" t="s">
        <v>243</v>
      </c>
      <c r="J1009" s="20">
        <v>10525</v>
      </c>
      <c r="K1009" s="21">
        <v>34635</v>
      </c>
      <c r="L1009" s="21">
        <v>24000</v>
      </c>
      <c r="M1009" s="21" t="s">
        <v>394</v>
      </c>
      <c r="N1009" s="45">
        <v>3.2</v>
      </c>
      <c r="O1009" s="23">
        <f t="shared" si="30"/>
        <v>808.19374999999991</v>
      </c>
      <c r="P1009" s="24">
        <v>3.09</v>
      </c>
      <c r="Q1009" s="25" t="s">
        <v>43</v>
      </c>
      <c r="R1009" s="26" t="s">
        <v>33</v>
      </c>
      <c r="S1009" s="26" t="s">
        <v>395</v>
      </c>
      <c r="T1009" s="26"/>
      <c r="U1009" s="39"/>
      <c r="V1009" s="28">
        <f t="shared" si="31"/>
        <v>103</v>
      </c>
      <c r="W1009" s="29"/>
    </row>
    <row r="1010" spans="1:23" s="40" customFormat="1" ht="21" customHeight="1">
      <c r="A1010" s="34"/>
      <c r="B1010" s="31"/>
      <c r="C1010" s="32"/>
      <c r="D1010" s="18" t="s">
        <v>408</v>
      </c>
      <c r="E1010" s="21" t="s">
        <v>389</v>
      </c>
      <c r="F1010" s="20">
        <v>15.680999999999999</v>
      </c>
      <c r="G1010" s="19">
        <v>1863</v>
      </c>
      <c r="H1010" s="20">
        <v>309</v>
      </c>
      <c r="I1010" s="19" t="s">
        <v>243</v>
      </c>
      <c r="J1010" s="20">
        <v>10525</v>
      </c>
      <c r="K1010" s="21">
        <v>34635</v>
      </c>
      <c r="L1010" s="21">
        <v>24000</v>
      </c>
      <c r="M1010" s="21" t="s">
        <v>394</v>
      </c>
      <c r="N1010" s="45">
        <v>3.15</v>
      </c>
      <c r="O1010" s="23">
        <f t="shared" si="30"/>
        <v>821.02222222222213</v>
      </c>
      <c r="P1010" s="46">
        <v>3.09</v>
      </c>
      <c r="Q1010" s="25" t="s">
        <v>63</v>
      </c>
      <c r="R1010" s="26" t="s">
        <v>33</v>
      </c>
      <c r="S1010" s="26" t="s">
        <v>34</v>
      </c>
      <c r="T1010" s="26"/>
      <c r="U1010" s="67"/>
      <c r="V1010" s="28">
        <f t="shared" si="31"/>
        <v>101</v>
      </c>
      <c r="W1010" s="29"/>
    </row>
    <row r="1011" spans="1:23" s="40" customFormat="1" ht="21" customHeight="1">
      <c r="A1011" s="34"/>
      <c r="B1011" s="31"/>
      <c r="C1011" s="32"/>
      <c r="D1011" s="18" t="s">
        <v>408</v>
      </c>
      <c r="E1011" s="21" t="s">
        <v>389</v>
      </c>
      <c r="F1011" s="20">
        <v>15.680999999999999</v>
      </c>
      <c r="G1011" s="19">
        <v>2256</v>
      </c>
      <c r="H1011" s="20">
        <v>309</v>
      </c>
      <c r="I1011" s="19" t="s">
        <v>246</v>
      </c>
      <c r="J1011" s="20">
        <v>10525</v>
      </c>
      <c r="K1011" s="21">
        <v>34635</v>
      </c>
      <c r="L1011" s="21">
        <v>24000</v>
      </c>
      <c r="M1011" s="21" t="s">
        <v>394</v>
      </c>
      <c r="N1011" s="45">
        <v>3.15</v>
      </c>
      <c r="O1011" s="23">
        <f t="shared" si="30"/>
        <v>821.02222222222213</v>
      </c>
      <c r="P1011" s="46">
        <v>3.09</v>
      </c>
      <c r="Q1011" s="25" t="s">
        <v>63</v>
      </c>
      <c r="R1011" s="26" t="s">
        <v>33</v>
      </c>
      <c r="S1011" s="26" t="s">
        <v>34</v>
      </c>
      <c r="T1011" s="26"/>
      <c r="U1011" s="67"/>
      <c r="V1011" s="28">
        <f t="shared" si="31"/>
        <v>101</v>
      </c>
      <c r="W1011" s="29"/>
    </row>
    <row r="1012" spans="1:23" s="40" customFormat="1" ht="21" customHeight="1">
      <c r="A1012" s="34"/>
      <c r="B1012" s="31"/>
      <c r="C1012" s="32"/>
      <c r="D1012" s="18" t="s">
        <v>408</v>
      </c>
      <c r="E1012" s="21" t="s">
        <v>389</v>
      </c>
      <c r="F1012" s="20">
        <v>15.680999999999999</v>
      </c>
      <c r="G1012" s="19">
        <v>2256</v>
      </c>
      <c r="H1012" s="20">
        <v>338</v>
      </c>
      <c r="I1012" s="19" t="s">
        <v>246</v>
      </c>
      <c r="J1012" s="20">
        <v>10525</v>
      </c>
      <c r="K1012" s="21">
        <v>34635</v>
      </c>
      <c r="L1012" s="21">
        <v>24000</v>
      </c>
      <c r="M1012" s="21" t="s">
        <v>394</v>
      </c>
      <c r="N1012" s="45">
        <v>3.15</v>
      </c>
      <c r="O1012" s="23">
        <f t="shared" si="30"/>
        <v>821.02222222222213</v>
      </c>
      <c r="P1012" s="46">
        <v>3.09</v>
      </c>
      <c r="Q1012" s="25" t="s">
        <v>63</v>
      </c>
      <c r="R1012" s="26" t="s">
        <v>33</v>
      </c>
      <c r="S1012" s="26" t="s">
        <v>34</v>
      </c>
      <c r="T1012" s="26"/>
      <c r="U1012" s="67"/>
      <c r="V1012" s="28">
        <f t="shared" si="31"/>
        <v>101</v>
      </c>
      <c r="W1012" s="29"/>
    </row>
    <row r="1013" spans="1:23" s="40" customFormat="1" ht="21" customHeight="1">
      <c r="A1013" s="34"/>
      <c r="B1013" s="31"/>
      <c r="C1013" s="32"/>
      <c r="D1013" s="18" t="s">
        <v>408</v>
      </c>
      <c r="E1013" s="21" t="s">
        <v>389</v>
      </c>
      <c r="F1013" s="20">
        <v>15.680999999999999</v>
      </c>
      <c r="G1013" s="19">
        <v>2256</v>
      </c>
      <c r="H1013" s="20">
        <v>338</v>
      </c>
      <c r="I1013" s="19" t="s">
        <v>278</v>
      </c>
      <c r="J1013" s="20">
        <v>10525</v>
      </c>
      <c r="K1013" s="21">
        <v>34635</v>
      </c>
      <c r="L1013" s="21">
        <v>24000</v>
      </c>
      <c r="M1013" s="21" t="s">
        <v>394</v>
      </c>
      <c r="N1013" s="45">
        <v>3.15</v>
      </c>
      <c r="O1013" s="23">
        <f t="shared" si="30"/>
        <v>821.02222222222213</v>
      </c>
      <c r="P1013" s="46">
        <v>3.09</v>
      </c>
      <c r="Q1013" s="25" t="s">
        <v>63</v>
      </c>
      <c r="R1013" s="26" t="s">
        <v>33</v>
      </c>
      <c r="S1013" s="26" t="s">
        <v>34</v>
      </c>
      <c r="T1013" s="26"/>
      <c r="U1013" s="67"/>
      <c r="V1013" s="28">
        <f t="shared" si="31"/>
        <v>101</v>
      </c>
      <c r="W1013" s="29"/>
    </row>
    <row r="1014" spans="1:23" s="40" customFormat="1" ht="21" customHeight="1">
      <c r="A1014" s="34"/>
      <c r="B1014" s="31"/>
      <c r="C1014" s="32"/>
      <c r="D1014" s="18" t="s">
        <v>408</v>
      </c>
      <c r="E1014" s="21" t="s">
        <v>389</v>
      </c>
      <c r="F1014" s="20">
        <v>15.680999999999999</v>
      </c>
      <c r="G1014" s="19">
        <v>1863</v>
      </c>
      <c r="H1014" s="20">
        <v>309</v>
      </c>
      <c r="I1014" s="19" t="s">
        <v>243</v>
      </c>
      <c r="J1014" s="20">
        <v>10525</v>
      </c>
      <c r="K1014" s="21">
        <v>34635</v>
      </c>
      <c r="L1014" s="21">
        <v>24000</v>
      </c>
      <c r="M1014" s="21" t="s">
        <v>394</v>
      </c>
      <c r="N1014" s="45">
        <v>3.15</v>
      </c>
      <c r="O1014" s="23">
        <f t="shared" si="30"/>
        <v>821.02222222222213</v>
      </c>
      <c r="P1014" s="24">
        <v>3.09</v>
      </c>
      <c r="Q1014" s="25" t="s">
        <v>63</v>
      </c>
      <c r="R1014" s="26" t="s">
        <v>33</v>
      </c>
      <c r="S1014" s="26" t="s">
        <v>395</v>
      </c>
      <c r="T1014" s="26"/>
      <c r="U1014" s="39"/>
      <c r="V1014" s="28">
        <f t="shared" si="31"/>
        <v>101</v>
      </c>
      <c r="W1014" s="29"/>
    </row>
    <row r="1015" spans="1:23" s="40" customFormat="1" ht="21" customHeight="1">
      <c r="A1015" s="34"/>
      <c r="B1015" s="31"/>
      <c r="C1015" s="32"/>
      <c r="D1015" s="18" t="s">
        <v>408</v>
      </c>
      <c r="E1015" s="21" t="s">
        <v>389</v>
      </c>
      <c r="F1015" s="20">
        <v>15.680999999999999</v>
      </c>
      <c r="G1015" s="19">
        <v>2256</v>
      </c>
      <c r="H1015" s="20">
        <v>309</v>
      </c>
      <c r="I1015" s="19" t="s">
        <v>246</v>
      </c>
      <c r="J1015" s="20">
        <v>10525</v>
      </c>
      <c r="K1015" s="21">
        <v>34635</v>
      </c>
      <c r="L1015" s="21">
        <v>24000</v>
      </c>
      <c r="M1015" s="21" t="s">
        <v>394</v>
      </c>
      <c r="N1015" s="45">
        <v>3.15</v>
      </c>
      <c r="O1015" s="23">
        <f t="shared" si="30"/>
        <v>821.02222222222213</v>
      </c>
      <c r="P1015" s="24">
        <v>3.09</v>
      </c>
      <c r="Q1015" s="25" t="s">
        <v>63</v>
      </c>
      <c r="R1015" s="26" t="s">
        <v>33</v>
      </c>
      <c r="S1015" s="26" t="s">
        <v>395</v>
      </c>
      <c r="T1015" s="26"/>
      <c r="U1015" s="39"/>
      <c r="V1015" s="28">
        <f t="shared" si="31"/>
        <v>101</v>
      </c>
      <c r="W1015" s="29"/>
    </row>
    <row r="1016" spans="1:23" s="40" customFormat="1" ht="21" customHeight="1">
      <c r="A1016" s="34"/>
      <c r="B1016" s="31"/>
      <c r="C1016" s="32"/>
      <c r="D1016" s="18" t="s">
        <v>408</v>
      </c>
      <c r="E1016" s="21" t="s">
        <v>389</v>
      </c>
      <c r="F1016" s="20">
        <v>15.680999999999999</v>
      </c>
      <c r="G1016" s="19">
        <v>2256</v>
      </c>
      <c r="H1016" s="20">
        <v>338</v>
      </c>
      <c r="I1016" s="19" t="s">
        <v>246</v>
      </c>
      <c r="J1016" s="20">
        <v>10525</v>
      </c>
      <c r="K1016" s="21">
        <v>34635</v>
      </c>
      <c r="L1016" s="21">
        <v>24000</v>
      </c>
      <c r="M1016" s="21" t="s">
        <v>394</v>
      </c>
      <c r="N1016" s="45">
        <v>3.15</v>
      </c>
      <c r="O1016" s="23">
        <f t="shared" si="30"/>
        <v>821.02222222222213</v>
      </c>
      <c r="P1016" s="24">
        <v>3.09</v>
      </c>
      <c r="Q1016" s="25" t="s">
        <v>63</v>
      </c>
      <c r="R1016" s="26" t="s">
        <v>33</v>
      </c>
      <c r="S1016" s="26" t="s">
        <v>395</v>
      </c>
      <c r="T1016" s="26"/>
      <c r="U1016" s="39"/>
      <c r="V1016" s="28">
        <f t="shared" si="31"/>
        <v>101</v>
      </c>
      <c r="W1016" s="29"/>
    </row>
    <row r="1017" spans="1:23" s="40" customFormat="1" ht="21" customHeight="1">
      <c r="A1017" s="34"/>
      <c r="B1017" s="31"/>
      <c r="C1017" s="32"/>
      <c r="D1017" s="18" t="s">
        <v>408</v>
      </c>
      <c r="E1017" s="21" t="s">
        <v>389</v>
      </c>
      <c r="F1017" s="20">
        <v>15.680999999999999</v>
      </c>
      <c r="G1017" s="19">
        <v>2256</v>
      </c>
      <c r="H1017" s="20">
        <v>338</v>
      </c>
      <c r="I1017" s="19" t="s">
        <v>278</v>
      </c>
      <c r="J1017" s="20">
        <v>10525</v>
      </c>
      <c r="K1017" s="21">
        <v>34635</v>
      </c>
      <c r="L1017" s="21">
        <v>24000</v>
      </c>
      <c r="M1017" s="21" t="s">
        <v>394</v>
      </c>
      <c r="N1017" s="45">
        <v>3.15</v>
      </c>
      <c r="O1017" s="23">
        <f t="shared" si="30"/>
        <v>821.02222222222213</v>
      </c>
      <c r="P1017" s="24">
        <v>3.09</v>
      </c>
      <c r="Q1017" s="25" t="s">
        <v>63</v>
      </c>
      <c r="R1017" s="26" t="s">
        <v>33</v>
      </c>
      <c r="S1017" s="26" t="s">
        <v>395</v>
      </c>
      <c r="T1017" s="26"/>
      <c r="U1017" s="39"/>
      <c r="V1017" s="28">
        <f t="shared" si="31"/>
        <v>101</v>
      </c>
      <c r="W1017" s="29"/>
    </row>
    <row r="1018" spans="1:23" s="40" customFormat="1" ht="21" customHeight="1">
      <c r="A1018" s="34"/>
      <c r="B1018" s="31"/>
      <c r="C1018" s="32"/>
      <c r="D1018" s="18" t="s">
        <v>409</v>
      </c>
      <c r="E1018" s="21" t="s">
        <v>389</v>
      </c>
      <c r="F1018" s="20">
        <v>15.680999999999999</v>
      </c>
      <c r="G1018" s="19">
        <v>2256</v>
      </c>
      <c r="H1018" s="20">
        <v>338</v>
      </c>
      <c r="I1018" s="19" t="s">
        <v>246</v>
      </c>
      <c r="J1018" s="20">
        <v>10525</v>
      </c>
      <c r="K1018" s="21">
        <v>34635</v>
      </c>
      <c r="L1018" s="21">
        <v>24000</v>
      </c>
      <c r="M1018" s="21" t="s">
        <v>394</v>
      </c>
      <c r="N1018" s="45">
        <v>3.15</v>
      </c>
      <c r="O1018" s="23">
        <f t="shared" si="30"/>
        <v>821.02222222222213</v>
      </c>
      <c r="P1018" s="46">
        <v>3.09</v>
      </c>
      <c r="Q1018" s="25" t="s">
        <v>63</v>
      </c>
      <c r="R1018" s="26" t="s">
        <v>33</v>
      </c>
      <c r="S1018" s="26" t="s">
        <v>236</v>
      </c>
      <c r="T1018" s="26"/>
      <c r="U1018" s="67"/>
      <c r="V1018" s="28">
        <f t="shared" si="31"/>
        <v>101</v>
      </c>
      <c r="W1018" s="29"/>
    </row>
    <row r="1019" spans="1:23" s="40" customFormat="1" ht="21" customHeight="1">
      <c r="A1019" s="34"/>
      <c r="B1019" s="31"/>
      <c r="C1019" s="32"/>
      <c r="D1019" s="18" t="s">
        <v>409</v>
      </c>
      <c r="E1019" s="21" t="s">
        <v>389</v>
      </c>
      <c r="F1019" s="20">
        <v>15.680999999999999</v>
      </c>
      <c r="G1019" s="19">
        <v>2256</v>
      </c>
      <c r="H1019" s="20">
        <v>338</v>
      </c>
      <c r="I1019" s="19" t="s">
        <v>278</v>
      </c>
      <c r="J1019" s="20">
        <v>10525</v>
      </c>
      <c r="K1019" s="21">
        <v>34635</v>
      </c>
      <c r="L1019" s="21">
        <v>24000</v>
      </c>
      <c r="M1019" s="21" t="s">
        <v>394</v>
      </c>
      <c r="N1019" s="45">
        <v>3.15</v>
      </c>
      <c r="O1019" s="23">
        <f t="shared" si="30"/>
        <v>821.02222222222213</v>
      </c>
      <c r="P1019" s="46">
        <v>3.09</v>
      </c>
      <c r="Q1019" s="25" t="s">
        <v>63</v>
      </c>
      <c r="R1019" s="26" t="s">
        <v>33</v>
      </c>
      <c r="S1019" s="26" t="s">
        <v>236</v>
      </c>
      <c r="T1019" s="26"/>
      <c r="U1019" s="67"/>
      <c r="V1019" s="28">
        <f t="shared" si="31"/>
        <v>101</v>
      </c>
      <c r="W1019" s="29"/>
    </row>
    <row r="1020" spans="1:23" s="40" customFormat="1" ht="21" customHeight="1">
      <c r="A1020" s="34"/>
      <c r="B1020" s="31"/>
      <c r="C1020" s="32"/>
      <c r="D1020" s="18" t="s">
        <v>410</v>
      </c>
      <c r="E1020" s="21" t="s">
        <v>389</v>
      </c>
      <c r="F1020" s="20">
        <v>15.680999999999999</v>
      </c>
      <c r="G1020" s="19">
        <v>2256</v>
      </c>
      <c r="H1020" s="20">
        <v>338</v>
      </c>
      <c r="I1020" s="19" t="s">
        <v>246</v>
      </c>
      <c r="J1020" s="20">
        <v>10525</v>
      </c>
      <c r="K1020" s="21">
        <v>34635</v>
      </c>
      <c r="L1020" s="21">
        <v>24000</v>
      </c>
      <c r="M1020" s="21" t="s">
        <v>394</v>
      </c>
      <c r="N1020" s="45">
        <v>3.15</v>
      </c>
      <c r="O1020" s="23">
        <f t="shared" si="30"/>
        <v>821.02222222222213</v>
      </c>
      <c r="P1020" s="46">
        <v>3.09</v>
      </c>
      <c r="Q1020" s="25" t="s">
        <v>63</v>
      </c>
      <c r="R1020" s="26" t="s">
        <v>33</v>
      </c>
      <c r="S1020" s="26" t="s">
        <v>236</v>
      </c>
      <c r="T1020" s="26"/>
      <c r="U1020" s="67"/>
      <c r="V1020" s="28">
        <f t="shared" si="31"/>
        <v>101</v>
      </c>
      <c r="W1020" s="29"/>
    </row>
    <row r="1021" spans="1:23" s="40" customFormat="1" ht="21" customHeight="1">
      <c r="A1021" s="34"/>
      <c r="B1021" s="31"/>
      <c r="C1021" s="32"/>
      <c r="D1021" s="18" t="s">
        <v>410</v>
      </c>
      <c r="E1021" s="21" t="s">
        <v>389</v>
      </c>
      <c r="F1021" s="20">
        <v>15.680999999999999</v>
      </c>
      <c r="G1021" s="19">
        <v>2256</v>
      </c>
      <c r="H1021" s="20">
        <v>338</v>
      </c>
      <c r="I1021" s="19" t="s">
        <v>278</v>
      </c>
      <c r="J1021" s="20">
        <v>10525</v>
      </c>
      <c r="K1021" s="21">
        <v>34635</v>
      </c>
      <c r="L1021" s="21">
        <v>24000</v>
      </c>
      <c r="M1021" s="21" t="s">
        <v>394</v>
      </c>
      <c r="N1021" s="45">
        <v>3.15</v>
      </c>
      <c r="O1021" s="23">
        <f t="shared" si="30"/>
        <v>821.02222222222213</v>
      </c>
      <c r="P1021" s="46">
        <v>3.09</v>
      </c>
      <c r="Q1021" s="25" t="s">
        <v>63</v>
      </c>
      <c r="R1021" s="26" t="s">
        <v>33</v>
      </c>
      <c r="S1021" s="26" t="s">
        <v>236</v>
      </c>
      <c r="T1021" s="26"/>
      <c r="U1021" s="67"/>
      <c r="V1021" s="28">
        <f t="shared" si="31"/>
        <v>101</v>
      </c>
      <c r="W1021" s="29"/>
    </row>
    <row r="1022" spans="1:23" s="40" customFormat="1" ht="21" customHeight="1">
      <c r="A1022" s="34"/>
      <c r="B1022" s="31"/>
      <c r="C1022" s="32"/>
      <c r="D1022" s="56" t="s">
        <v>411</v>
      </c>
      <c r="E1022" s="59" t="s">
        <v>242</v>
      </c>
      <c r="F1022" s="58">
        <v>9.8390000000000004</v>
      </c>
      <c r="G1022" s="57">
        <v>1814</v>
      </c>
      <c r="H1022" s="58">
        <v>294</v>
      </c>
      <c r="I1022" s="57" t="s">
        <v>246</v>
      </c>
      <c r="J1022" s="58">
        <v>19028</v>
      </c>
      <c r="K1022" s="59">
        <v>59138</v>
      </c>
      <c r="L1022" s="59">
        <v>40000</v>
      </c>
      <c r="M1022" s="21" t="s">
        <v>394</v>
      </c>
      <c r="N1022" s="60">
        <v>2.0099999999999998</v>
      </c>
      <c r="O1022" s="23">
        <f t="shared" si="30"/>
        <v>1286.676616915423</v>
      </c>
      <c r="P1022" s="24">
        <v>2.0099999999999998</v>
      </c>
      <c r="Q1022" s="61" t="s">
        <v>43</v>
      </c>
      <c r="R1022" s="62" t="s">
        <v>33</v>
      </c>
      <c r="S1022" s="62" t="s">
        <v>236</v>
      </c>
      <c r="T1022" s="26"/>
      <c r="U1022" s="39"/>
      <c r="V1022" s="28">
        <f t="shared" si="31"/>
        <v>100</v>
      </c>
      <c r="W1022" s="29"/>
    </row>
    <row r="1023" spans="1:23" s="40" customFormat="1" ht="21" customHeight="1">
      <c r="A1023" s="34"/>
      <c r="B1023" s="31"/>
      <c r="C1023" s="32"/>
      <c r="D1023" s="56" t="s">
        <v>411</v>
      </c>
      <c r="E1023" s="59" t="s">
        <v>242</v>
      </c>
      <c r="F1023" s="58">
        <v>9.8390000000000004</v>
      </c>
      <c r="G1023" s="57">
        <v>1814</v>
      </c>
      <c r="H1023" s="58">
        <v>294</v>
      </c>
      <c r="I1023" s="57" t="s">
        <v>246</v>
      </c>
      <c r="J1023" s="58">
        <v>19028</v>
      </c>
      <c r="K1023" s="59">
        <v>59138</v>
      </c>
      <c r="L1023" s="59">
        <v>40000</v>
      </c>
      <c r="M1023" s="21" t="s">
        <v>394</v>
      </c>
      <c r="N1023" s="60">
        <v>2.0099999999999998</v>
      </c>
      <c r="O1023" s="23">
        <f t="shared" si="30"/>
        <v>1286.676616915423</v>
      </c>
      <c r="P1023" s="24">
        <v>2.0099999999999998</v>
      </c>
      <c r="Q1023" s="61" t="s">
        <v>43</v>
      </c>
      <c r="R1023" s="62" t="s">
        <v>33</v>
      </c>
      <c r="S1023" s="62" t="s">
        <v>253</v>
      </c>
      <c r="T1023" s="26"/>
      <c r="U1023" s="39"/>
      <c r="V1023" s="28">
        <f t="shared" si="31"/>
        <v>100</v>
      </c>
      <c r="W1023" s="29"/>
    </row>
    <row r="1024" spans="1:23" s="40" customFormat="1" ht="21" customHeight="1">
      <c r="A1024" s="34"/>
      <c r="B1024" s="31"/>
      <c r="C1024" s="32"/>
      <c r="D1024" s="56" t="s">
        <v>412</v>
      </c>
      <c r="E1024" s="59" t="s">
        <v>242</v>
      </c>
      <c r="F1024" s="58">
        <v>9.8390000000000004</v>
      </c>
      <c r="G1024" s="57">
        <v>1814</v>
      </c>
      <c r="H1024" s="58">
        <v>294</v>
      </c>
      <c r="I1024" s="57" t="s">
        <v>246</v>
      </c>
      <c r="J1024" s="58">
        <v>19028</v>
      </c>
      <c r="K1024" s="59">
        <v>59138</v>
      </c>
      <c r="L1024" s="59">
        <v>40000</v>
      </c>
      <c r="M1024" s="21" t="s">
        <v>394</v>
      </c>
      <c r="N1024" s="60">
        <v>2.0099999999999998</v>
      </c>
      <c r="O1024" s="23">
        <f t="shared" si="30"/>
        <v>1286.676616915423</v>
      </c>
      <c r="P1024" s="24">
        <v>2.0099999999999998</v>
      </c>
      <c r="Q1024" s="61" t="s">
        <v>43</v>
      </c>
      <c r="R1024" s="62" t="s">
        <v>33</v>
      </c>
      <c r="S1024" s="62" t="s">
        <v>253</v>
      </c>
      <c r="T1024" s="26"/>
      <c r="U1024" s="39"/>
      <c r="V1024" s="28">
        <f t="shared" si="31"/>
        <v>100</v>
      </c>
      <c r="W1024" s="29"/>
    </row>
    <row r="1025" spans="1:24" s="40" customFormat="1" ht="21" customHeight="1">
      <c r="A1025" s="34"/>
      <c r="B1025" s="31"/>
      <c r="C1025" s="32"/>
      <c r="D1025" s="56" t="s">
        <v>412</v>
      </c>
      <c r="E1025" s="59" t="s">
        <v>242</v>
      </c>
      <c r="F1025" s="58">
        <v>9.8390000000000004</v>
      </c>
      <c r="G1025" s="57">
        <v>1814</v>
      </c>
      <c r="H1025" s="58">
        <v>294</v>
      </c>
      <c r="I1025" s="57" t="s">
        <v>246</v>
      </c>
      <c r="J1025" s="58">
        <v>19028</v>
      </c>
      <c r="K1025" s="59">
        <v>59138</v>
      </c>
      <c r="L1025" s="59">
        <v>40000</v>
      </c>
      <c r="M1025" s="21" t="s">
        <v>394</v>
      </c>
      <c r="N1025" s="60">
        <v>2.0099999999999998</v>
      </c>
      <c r="O1025" s="23">
        <f t="shared" si="30"/>
        <v>1286.676616915423</v>
      </c>
      <c r="P1025" s="24">
        <v>2.0099999999999998</v>
      </c>
      <c r="Q1025" s="61" t="s">
        <v>43</v>
      </c>
      <c r="R1025" s="62" t="s">
        <v>33</v>
      </c>
      <c r="S1025" s="62" t="s">
        <v>236</v>
      </c>
      <c r="T1025" s="26"/>
      <c r="U1025" s="39"/>
      <c r="V1025" s="28">
        <f t="shared" si="31"/>
        <v>100</v>
      </c>
      <c r="W1025" s="29"/>
    </row>
    <row r="1026" spans="1:24" s="40" customFormat="1" ht="21" customHeight="1">
      <c r="A1026" s="34"/>
      <c r="B1026" s="31"/>
      <c r="C1026" s="32"/>
      <c r="D1026" s="18" t="s">
        <v>413</v>
      </c>
      <c r="E1026" s="21" t="s">
        <v>242</v>
      </c>
      <c r="F1026" s="20">
        <v>9.8390000000000004</v>
      </c>
      <c r="G1026" s="19">
        <v>1814</v>
      </c>
      <c r="H1026" s="20">
        <v>294</v>
      </c>
      <c r="I1026" s="19" t="s">
        <v>278</v>
      </c>
      <c r="J1026" s="20">
        <v>19028</v>
      </c>
      <c r="K1026" s="21">
        <v>59138</v>
      </c>
      <c r="L1026" s="21">
        <v>40000</v>
      </c>
      <c r="M1026" s="21" t="s">
        <v>394</v>
      </c>
      <c r="N1026" s="45">
        <v>1.98</v>
      </c>
      <c r="O1026" s="23">
        <f t="shared" si="30"/>
        <v>1306.1717171717171</v>
      </c>
      <c r="P1026" s="46">
        <v>2.0099999999999998</v>
      </c>
      <c r="Q1026" s="25" t="s">
        <v>43</v>
      </c>
      <c r="R1026" s="26" t="s">
        <v>33</v>
      </c>
      <c r="S1026" s="26" t="s">
        <v>236</v>
      </c>
      <c r="T1026" s="26"/>
      <c r="U1026" s="67"/>
      <c r="V1026" s="28" t="str">
        <f t="shared" si="31"/>
        <v/>
      </c>
      <c r="W1026" s="29"/>
    </row>
    <row r="1027" spans="1:24" s="40" customFormat="1" ht="21" customHeight="1">
      <c r="A1027" s="34"/>
      <c r="B1027" s="31"/>
      <c r="C1027" s="32"/>
      <c r="D1027" s="18" t="s">
        <v>413</v>
      </c>
      <c r="E1027" s="21" t="s">
        <v>242</v>
      </c>
      <c r="F1027" s="20">
        <v>9.8390000000000004</v>
      </c>
      <c r="G1027" s="19">
        <v>1814</v>
      </c>
      <c r="H1027" s="20">
        <v>294</v>
      </c>
      <c r="I1027" s="19" t="s">
        <v>278</v>
      </c>
      <c r="J1027" s="20">
        <v>19028</v>
      </c>
      <c r="K1027" s="21">
        <v>59138</v>
      </c>
      <c r="L1027" s="21">
        <v>40000</v>
      </c>
      <c r="M1027" s="21" t="s">
        <v>394</v>
      </c>
      <c r="N1027" s="45">
        <v>1.98</v>
      </c>
      <c r="O1027" s="23">
        <f t="shared" si="30"/>
        <v>1306.1717171717171</v>
      </c>
      <c r="P1027" s="46">
        <v>2.0099999999999998</v>
      </c>
      <c r="Q1027" s="25" t="s">
        <v>43</v>
      </c>
      <c r="R1027" s="26" t="s">
        <v>33</v>
      </c>
      <c r="S1027" s="26" t="s">
        <v>277</v>
      </c>
      <c r="T1027" s="26"/>
      <c r="U1027" s="67"/>
      <c r="V1027" s="28" t="str">
        <f t="shared" si="31"/>
        <v/>
      </c>
      <c r="W1027" s="29"/>
    </row>
    <row r="1028" spans="1:24" s="40" customFormat="1" ht="21" customHeight="1">
      <c r="A1028" s="34"/>
      <c r="B1028" s="31"/>
      <c r="C1028" s="32"/>
      <c r="D1028" s="18" t="s">
        <v>413</v>
      </c>
      <c r="E1028" s="21" t="s">
        <v>242</v>
      </c>
      <c r="F1028" s="20">
        <v>9.8390000000000004</v>
      </c>
      <c r="G1028" s="19">
        <v>1814</v>
      </c>
      <c r="H1028" s="20">
        <v>294</v>
      </c>
      <c r="I1028" s="19" t="s">
        <v>246</v>
      </c>
      <c r="J1028" s="20">
        <v>19028</v>
      </c>
      <c r="K1028" s="21">
        <v>59138</v>
      </c>
      <c r="L1028" s="21">
        <v>40000</v>
      </c>
      <c r="M1028" s="21" t="s">
        <v>394</v>
      </c>
      <c r="N1028" s="45">
        <v>1.96</v>
      </c>
      <c r="O1028" s="23">
        <f t="shared" si="30"/>
        <v>1319.5000000000002</v>
      </c>
      <c r="P1028" s="46">
        <v>2.0099999999999998</v>
      </c>
      <c r="Q1028" s="25" t="s">
        <v>43</v>
      </c>
      <c r="R1028" s="26" t="s">
        <v>33</v>
      </c>
      <c r="S1028" s="26" t="s">
        <v>236</v>
      </c>
      <c r="T1028" s="26"/>
      <c r="U1028" s="67"/>
      <c r="V1028" s="28" t="str">
        <f t="shared" si="31"/>
        <v/>
      </c>
      <c r="W1028" s="29"/>
    </row>
    <row r="1029" spans="1:24" s="40" customFormat="1" ht="21" customHeight="1">
      <c r="A1029" s="34"/>
      <c r="B1029" s="31"/>
      <c r="C1029" s="32"/>
      <c r="D1029" s="18" t="s">
        <v>413</v>
      </c>
      <c r="E1029" s="21" t="s">
        <v>242</v>
      </c>
      <c r="F1029" s="20">
        <v>9.8390000000000004</v>
      </c>
      <c r="G1029" s="19">
        <v>1814</v>
      </c>
      <c r="H1029" s="20">
        <v>294</v>
      </c>
      <c r="I1029" s="19" t="s">
        <v>246</v>
      </c>
      <c r="J1029" s="20">
        <v>19028</v>
      </c>
      <c r="K1029" s="21">
        <v>59138</v>
      </c>
      <c r="L1029" s="21">
        <v>40000</v>
      </c>
      <c r="M1029" s="21" t="s">
        <v>394</v>
      </c>
      <c r="N1029" s="45">
        <v>1.96</v>
      </c>
      <c r="O1029" s="23">
        <f t="shared" si="30"/>
        <v>1319.5000000000002</v>
      </c>
      <c r="P1029" s="46">
        <v>2.0099999999999998</v>
      </c>
      <c r="Q1029" s="25" t="s">
        <v>43</v>
      </c>
      <c r="R1029" s="26" t="s">
        <v>33</v>
      </c>
      <c r="S1029" s="26" t="s">
        <v>277</v>
      </c>
      <c r="T1029" s="26"/>
      <c r="U1029" s="67"/>
      <c r="V1029" s="28" t="str">
        <f t="shared" si="31"/>
        <v/>
      </c>
      <c r="W1029" s="29"/>
    </row>
    <row r="1030" spans="1:24" s="40" customFormat="1" ht="21" customHeight="1">
      <c r="A1030" s="34"/>
      <c r="B1030" s="31"/>
      <c r="C1030" s="32"/>
      <c r="D1030" s="18" t="s">
        <v>413</v>
      </c>
      <c r="E1030" s="21" t="s">
        <v>242</v>
      </c>
      <c r="F1030" s="20">
        <v>9.8390000000000004</v>
      </c>
      <c r="G1030" s="19">
        <v>1814</v>
      </c>
      <c r="H1030" s="20">
        <v>294</v>
      </c>
      <c r="I1030" s="19" t="s">
        <v>278</v>
      </c>
      <c r="J1030" s="20">
        <v>19028</v>
      </c>
      <c r="K1030" s="21">
        <v>59138</v>
      </c>
      <c r="L1030" s="21">
        <v>40000</v>
      </c>
      <c r="M1030" s="21" t="s">
        <v>394</v>
      </c>
      <c r="N1030" s="45">
        <v>1.94</v>
      </c>
      <c r="O1030" s="23">
        <f t="shared" si="30"/>
        <v>1333.1030927835052</v>
      </c>
      <c r="P1030" s="46">
        <v>2.0099999999999998</v>
      </c>
      <c r="Q1030" s="25" t="s">
        <v>63</v>
      </c>
      <c r="R1030" s="26" t="s">
        <v>33</v>
      </c>
      <c r="S1030" s="26" t="s">
        <v>236</v>
      </c>
      <c r="T1030" s="26"/>
      <c r="U1030" s="67"/>
      <c r="V1030" s="28" t="str">
        <f t="shared" si="31"/>
        <v/>
      </c>
      <c r="W1030" s="29"/>
    </row>
    <row r="1031" spans="1:24" s="40" customFormat="1" ht="21" customHeight="1">
      <c r="A1031" s="34"/>
      <c r="B1031" s="31"/>
      <c r="C1031" s="32"/>
      <c r="D1031" s="18" t="s">
        <v>413</v>
      </c>
      <c r="E1031" s="21" t="s">
        <v>242</v>
      </c>
      <c r="F1031" s="20">
        <v>9.8390000000000004</v>
      </c>
      <c r="G1031" s="19">
        <v>1814</v>
      </c>
      <c r="H1031" s="20">
        <v>294</v>
      </c>
      <c r="I1031" s="19" t="s">
        <v>278</v>
      </c>
      <c r="J1031" s="20">
        <v>19028</v>
      </c>
      <c r="K1031" s="21">
        <v>59138</v>
      </c>
      <c r="L1031" s="21">
        <v>40000</v>
      </c>
      <c r="M1031" s="21" t="s">
        <v>394</v>
      </c>
      <c r="N1031" s="45">
        <v>1.94</v>
      </c>
      <c r="O1031" s="23">
        <f t="shared" si="30"/>
        <v>1333.1030927835052</v>
      </c>
      <c r="P1031" s="46">
        <v>2.0099999999999998</v>
      </c>
      <c r="Q1031" s="25" t="s">
        <v>63</v>
      </c>
      <c r="R1031" s="26" t="s">
        <v>33</v>
      </c>
      <c r="S1031" s="26" t="s">
        <v>277</v>
      </c>
      <c r="T1031" s="26"/>
      <c r="U1031" s="67"/>
      <c r="V1031" s="28" t="str">
        <f t="shared" si="31"/>
        <v/>
      </c>
      <c r="W1031" s="29"/>
    </row>
    <row r="1032" spans="1:24" s="40" customFormat="1" ht="21" customHeight="1">
      <c r="A1032" s="34"/>
      <c r="B1032" s="31"/>
      <c r="C1032" s="32"/>
      <c r="D1032" s="18" t="s">
        <v>413</v>
      </c>
      <c r="E1032" s="21" t="s">
        <v>242</v>
      </c>
      <c r="F1032" s="20">
        <v>9.8390000000000004</v>
      </c>
      <c r="G1032" s="19">
        <v>1814</v>
      </c>
      <c r="H1032" s="20">
        <v>294</v>
      </c>
      <c r="I1032" s="19" t="s">
        <v>246</v>
      </c>
      <c r="J1032" s="20">
        <v>19028</v>
      </c>
      <c r="K1032" s="21">
        <v>59138</v>
      </c>
      <c r="L1032" s="21">
        <v>40000</v>
      </c>
      <c r="M1032" s="21" t="s">
        <v>394</v>
      </c>
      <c r="N1032" s="45">
        <v>1.92</v>
      </c>
      <c r="O1032" s="23">
        <f t="shared" si="30"/>
        <v>1346.9895833333333</v>
      </c>
      <c r="P1032" s="46">
        <v>2.0099999999999998</v>
      </c>
      <c r="Q1032" s="25" t="s">
        <v>63</v>
      </c>
      <c r="R1032" s="26" t="s">
        <v>33</v>
      </c>
      <c r="S1032" s="26" t="s">
        <v>236</v>
      </c>
      <c r="T1032" s="26"/>
      <c r="U1032" s="67"/>
      <c r="V1032" s="28" t="str">
        <f t="shared" si="31"/>
        <v/>
      </c>
      <c r="W1032" s="29"/>
    </row>
    <row r="1033" spans="1:24" s="40" customFormat="1" ht="21" customHeight="1">
      <c r="A1033" s="34"/>
      <c r="B1033" s="31"/>
      <c r="C1033" s="32"/>
      <c r="D1033" s="18" t="s">
        <v>413</v>
      </c>
      <c r="E1033" s="21" t="s">
        <v>242</v>
      </c>
      <c r="F1033" s="20">
        <v>9.8390000000000004</v>
      </c>
      <c r="G1033" s="19">
        <v>1814</v>
      </c>
      <c r="H1033" s="20">
        <v>294</v>
      </c>
      <c r="I1033" s="19" t="s">
        <v>246</v>
      </c>
      <c r="J1033" s="20">
        <v>19028</v>
      </c>
      <c r="K1033" s="21">
        <v>59138</v>
      </c>
      <c r="L1033" s="21">
        <v>40000</v>
      </c>
      <c r="M1033" s="21" t="s">
        <v>394</v>
      </c>
      <c r="N1033" s="45">
        <v>1.92</v>
      </c>
      <c r="O1033" s="23">
        <f t="shared" ref="O1033:O1096" si="32">IF(N1033&gt;0,1/N1033*37.7*68.6,"")</f>
        <v>1346.9895833333333</v>
      </c>
      <c r="P1033" s="46">
        <v>2.0099999999999998</v>
      </c>
      <c r="Q1033" s="25" t="s">
        <v>63</v>
      </c>
      <c r="R1033" s="26" t="s">
        <v>33</v>
      </c>
      <c r="S1033" s="26" t="s">
        <v>277</v>
      </c>
      <c r="T1033" s="26"/>
      <c r="U1033" s="67"/>
      <c r="V1033" s="28" t="str">
        <f t="shared" ref="V1033:V1096" si="33">IFERROR(IF(N1033&lt;P1033,"",(ROUNDDOWN(N1033/P1033*100,0))),"")</f>
        <v/>
      </c>
      <c r="W1033" s="29"/>
    </row>
    <row r="1034" spans="1:24" s="37" customFormat="1" ht="21" customHeight="1">
      <c r="A1034" s="34"/>
      <c r="B1034" s="31"/>
      <c r="C1034" s="32"/>
      <c r="D1034" s="18" t="s">
        <v>414</v>
      </c>
      <c r="E1034" s="19" t="s">
        <v>242</v>
      </c>
      <c r="F1034" s="20">
        <v>9.8390000000000004</v>
      </c>
      <c r="G1034" s="19">
        <v>1814</v>
      </c>
      <c r="H1034" s="20">
        <v>294</v>
      </c>
      <c r="I1034" s="19" t="s">
        <v>278</v>
      </c>
      <c r="J1034" s="20">
        <v>19028</v>
      </c>
      <c r="K1034" s="21">
        <v>59138</v>
      </c>
      <c r="L1034" s="21">
        <v>40000</v>
      </c>
      <c r="M1034" s="21" t="s">
        <v>394</v>
      </c>
      <c r="N1034" s="45">
        <v>1.98</v>
      </c>
      <c r="O1034" s="23">
        <f t="shared" si="32"/>
        <v>1306.1717171717171</v>
      </c>
      <c r="P1034" s="46">
        <v>2.0099999999999998</v>
      </c>
      <c r="Q1034" s="25" t="s">
        <v>43</v>
      </c>
      <c r="R1034" s="26" t="s">
        <v>33</v>
      </c>
      <c r="S1034" s="26" t="s">
        <v>236</v>
      </c>
      <c r="T1034" s="26"/>
      <c r="U1034" s="49"/>
      <c r="V1034" s="28" t="str">
        <f t="shared" si="33"/>
        <v/>
      </c>
      <c r="W1034" s="29"/>
      <c r="X1034" s="40"/>
    </row>
    <row r="1035" spans="1:24" s="37" customFormat="1" ht="21" customHeight="1">
      <c r="A1035" s="34"/>
      <c r="B1035" s="41"/>
      <c r="C1035" s="32"/>
      <c r="D1035" s="18" t="s">
        <v>414</v>
      </c>
      <c r="E1035" s="19" t="s">
        <v>242</v>
      </c>
      <c r="F1035" s="20">
        <v>9.8390000000000004</v>
      </c>
      <c r="G1035" s="19">
        <v>1814</v>
      </c>
      <c r="H1035" s="20">
        <v>294</v>
      </c>
      <c r="I1035" s="19" t="s">
        <v>278</v>
      </c>
      <c r="J1035" s="20">
        <v>19028</v>
      </c>
      <c r="K1035" s="21">
        <v>59138</v>
      </c>
      <c r="L1035" s="21">
        <v>40000</v>
      </c>
      <c r="M1035" s="21" t="s">
        <v>394</v>
      </c>
      <c r="N1035" s="45">
        <v>1.98</v>
      </c>
      <c r="O1035" s="23">
        <f t="shared" si="32"/>
        <v>1306.1717171717171</v>
      </c>
      <c r="P1035" s="46">
        <v>2.0099999999999998</v>
      </c>
      <c r="Q1035" s="25" t="s">
        <v>43</v>
      </c>
      <c r="R1035" s="26" t="s">
        <v>33</v>
      </c>
      <c r="S1035" s="26" t="s">
        <v>277</v>
      </c>
      <c r="T1035" s="26"/>
      <c r="U1035" s="49"/>
      <c r="V1035" s="28" t="str">
        <f t="shared" si="33"/>
        <v/>
      </c>
      <c r="W1035" s="29"/>
      <c r="X1035" s="40"/>
    </row>
    <row r="1036" spans="1:24" s="37" customFormat="1" ht="21" customHeight="1">
      <c r="A1036" s="34"/>
      <c r="B1036" s="41"/>
      <c r="C1036" s="32"/>
      <c r="D1036" s="18" t="s">
        <v>414</v>
      </c>
      <c r="E1036" s="19" t="s">
        <v>242</v>
      </c>
      <c r="F1036" s="20">
        <v>9.8390000000000004</v>
      </c>
      <c r="G1036" s="19">
        <v>1814</v>
      </c>
      <c r="H1036" s="20">
        <v>294</v>
      </c>
      <c r="I1036" s="19" t="s">
        <v>246</v>
      </c>
      <c r="J1036" s="20">
        <v>19028</v>
      </c>
      <c r="K1036" s="21">
        <v>59138</v>
      </c>
      <c r="L1036" s="21">
        <v>40000</v>
      </c>
      <c r="M1036" s="21" t="s">
        <v>394</v>
      </c>
      <c r="N1036" s="45">
        <v>1.96</v>
      </c>
      <c r="O1036" s="23">
        <f t="shared" si="32"/>
        <v>1319.5000000000002</v>
      </c>
      <c r="P1036" s="46">
        <v>2.0099999999999998</v>
      </c>
      <c r="Q1036" s="25" t="s">
        <v>43</v>
      </c>
      <c r="R1036" s="26" t="s">
        <v>33</v>
      </c>
      <c r="S1036" s="26" t="s">
        <v>236</v>
      </c>
      <c r="T1036" s="26"/>
      <c r="U1036" s="49"/>
      <c r="V1036" s="28" t="str">
        <f t="shared" si="33"/>
        <v/>
      </c>
      <c r="W1036" s="29"/>
      <c r="X1036" s="40"/>
    </row>
    <row r="1037" spans="1:24" s="37" customFormat="1" ht="21" customHeight="1">
      <c r="A1037" s="34"/>
      <c r="B1037" s="41"/>
      <c r="C1037" s="32"/>
      <c r="D1037" s="18" t="s">
        <v>414</v>
      </c>
      <c r="E1037" s="19" t="s">
        <v>242</v>
      </c>
      <c r="F1037" s="20">
        <v>9.8390000000000004</v>
      </c>
      <c r="G1037" s="19">
        <v>1814</v>
      </c>
      <c r="H1037" s="20">
        <v>294</v>
      </c>
      <c r="I1037" s="19" t="s">
        <v>246</v>
      </c>
      <c r="J1037" s="20">
        <v>19028</v>
      </c>
      <c r="K1037" s="21">
        <v>59138</v>
      </c>
      <c r="L1037" s="21">
        <v>40000</v>
      </c>
      <c r="M1037" s="21" t="s">
        <v>394</v>
      </c>
      <c r="N1037" s="45">
        <v>1.96</v>
      </c>
      <c r="O1037" s="23">
        <f t="shared" si="32"/>
        <v>1319.5000000000002</v>
      </c>
      <c r="P1037" s="46">
        <v>2.0099999999999998</v>
      </c>
      <c r="Q1037" s="25" t="s">
        <v>43</v>
      </c>
      <c r="R1037" s="26" t="s">
        <v>33</v>
      </c>
      <c r="S1037" s="26" t="s">
        <v>277</v>
      </c>
      <c r="T1037" s="26"/>
      <c r="U1037" s="49"/>
      <c r="V1037" s="28" t="str">
        <f t="shared" si="33"/>
        <v/>
      </c>
      <c r="W1037" s="29"/>
      <c r="X1037" s="40"/>
    </row>
    <row r="1038" spans="1:24" s="37" customFormat="1" ht="21" customHeight="1">
      <c r="A1038" s="34"/>
      <c r="B1038" s="41"/>
      <c r="C1038" s="32"/>
      <c r="D1038" s="18" t="s">
        <v>414</v>
      </c>
      <c r="E1038" s="19" t="s">
        <v>242</v>
      </c>
      <c r="F1038" s="20">
        <v>9.8390000000000004</v>
      </c>
      <c r="G1038" s="19">
        <v>1814</v>
      </c>
      <c r="H1038" s="20">
        <v>294</v>
      </c>
      <c r="I1038" s="19" t="s">
        <v>278</v>
      </c>
      <c r="J1038" s="20">
        <v>19028</v>
      </c>
      <c r="K1038" s="21">
        <v>59138</v>
      </c>
      <c r="L1038" s="21">
        <v>40000</v>
      </c>
      <c r="M1038" s="21" t="s">
        <v>394</v>
      </c>
      <c r="N1038" s="45">
        <v>1.94</v>
      </c>
      <c r="O1038" s="23">
        <f t="shared" si="32"/>
        <v>1333.1030927835052</v>
      </c>
      <c r="P1038" s="46">
        <v>2.0099999999999998</v>
      </c>
      <c r="Q1038" s="25" t="s">
        <v>63</v>
      </c>
      <c r="R1038" s="26" t="s">
        <v>33</v>
      </c>
      <c r="S1038" s="26" t="s">
        <v>236</v>
      </c>
      <c r="T1038" s="26"/>
      <c r="U1038" s="49"/>
      <c r="V1038" s="28" t="str">
        <f t="shared" si="33"/>
        <v/>
      </c>
      <c r="W1038" s="29"/>
      <c r="X1038" s="40"/>
    </row>
    <row r="1039" spans="1:24" s="37" customFormat="1" ht="21" customHeight="1">
      <c r="A1039" s="34"/>
      <c r="B1039" s="41"/>
      <c r="C1039" s="32"/>
      <c r="D1039" s="18" t="s">
        <v>414</v>
      </c>
      <c r="E1039" s="19" t="s">
        <v>242</v>
      </c>
      <c r="F1039" s="20">
        <v>9.8390000000000004</v>
      </c>
      <c r="G1039" s="19">
        <v>1814</v>
      </c>
      <c r="H1039" s="20">
        <v>294</v>
      </c>
      <c r="I1039" s="19" t="s">
        <v>278</v>
      </c>
      <c r="J1039" s="20">
        <v>19028</v>
      </c>
      <c r="K1039" s="21">
        <v>59138</v>
      </c>
      <c r="L1039" s="21">
        <v>40000</v>
      </c>
      <c r="M1039" s="21" t="s">
        <v>394</v>
      </c>
      <c r="N1039" s="45">
        <v>1.94</v>
      </c>
      <c r="O1039" s="23">
        <f t="shared" si="32"/>
        <v>1333.1030927835052</v>
      </c>
      <c r="P1039" s="46">
        <v>2.0099999999999998</v>
      </c>
      <c r="Q1039" s="25" t="s">
        <v>63</v>
      </c>
      <c r="R1039" s="26" t="s">
        <v>33</v>
      </c>
      <c r="S1039" s="26" t="s">
        <v>277</v>
      </c>
      <c r="T1039" s="26"/>
      <c r="U1039" s="49"/>
      <c r="V1039" s="28" t="str">
        <f t="shared" si="33"/>
        <v/>
      </c>
      <c r="W1039" s="29"/>
      <c r="X1039" s="40"/>
    </row>
    <row r="1040" spans="1:24" s="37" customFormat="1" ht="21" customHeight="1">
      <c r="A1040" s="34"/>
      <c r="B1040" s="41"/>
      <c r="C1040" s="32"/>
      <c r="D1040" s="18" t="s">
        <v>414</v>
      </c>
      <c r="E1040" s="19" t="s">
        <v>242</v>
      </c>
      <c r="F1040" s="20">
        <v>9.8390000000000004</v>
      </c>
      <c r="G1040" s="19">
        <v>1814</v>
      </c>
      <c r="H1040" s="20">
        <v>294</v>
      </c>
      <c r="I1040" s="19" t="s">
        <v>246</v>
      </c>
      <c r="J1040" s="20">
        <v>19028</v>
      </c>
      <c r="K1040" s="21">
        <v>59138</v>
      </c>
      <c r="L1040" s="21">
        <v>40000</v>
      </c>
      <c r="M1040" s="21" t="s">
        <v>394</v>
      </c>
      <c r="N1040" s="45">
        <v>1.92</v>
      </c>
      <c r="O1040" s="23">
        <f t="shared" si="32"/>
        <v>1346.9895833333333</v>
      </c>
      <c r="P1040" s="46">
        <v>2.0099999999999998</v>
      </c>
      <c r="Q1040" s="25" t="s">
        <v>63</v>
      </c>
      <c r="R1040" s="26" t="s">
        <v>33</v>
      </c>
      <c r="S1040" s="26" t="s">
        <v>236</v>
      </c>
      <c r="T1040" s="26"/>
      <c r="U1040" s="49"/>
      <c r="V1040" s="28" t="str">
        <f t="shared" si="33"/>
        <v/>
      </c>
      <c r="W1040" s="29"/>
      <c r="X1040" s="40"/>
    </row>
    <row r="1041" spans="1:24" s="37" customFormat="1" ht="21" customHeight="1">
      <c r="A1041" s="34"/>
      <c r="B1041" s="41"/>
      <c r="C1041" s="32"/>
      <c r="D1041" s="18" t="s">
        <v>414</v>
      </c>
      <c r="E1041" s="19" t="s">
        <v>242</v>
      </c>
      <c r="F1041" s="20">
        <v>9.8390000000000004</v>
      </c>
      <c r="G1041" s="19">
        <v>1814</v>
      </c>
      <c r="H1041" s="20">
        <v>294</v>
      </c>
      <c r="I1041" s="19" t="s">
        <v>246</v>
      </c>
      <c r="J1041" s="20">
        <v>19028</v>
      </c>
      <c r="K1041" s="21">
        <v>59138</v>
      </c>
      <c r="L1041" s="21">
        <v>40000</v>
      </c>
      <c r="M1041" s="21" t="s">
        <v>394</v>
      </c>
      <c r="N1041" s="45">
        <v>1.92</v>
      </c>
      <c r="O1041" s="23">
        <f t="shared" si="32"/>
        <v>1346.9895833333333</v>
      </c>
      <c r="P1041" s="46">
        <v>2.0099999999999998</v>
      </c>
      <c r="Q1041" s="25" t="s">
        <v>63</v>
      </c>
      <c r="R1041" s="26" t="s">
        <v>33</v>
      </c>
      <c r="S1041" s="26" t="s">
        <v>277</v>
      </c>
      <c r="T1041" s="26"/>
      <c r="U1041" s="49"/>
      <c r="V1041" s="28" t="str">
        <f t="shared" si="33"/>
        <v/>
      </c>
      <c r="W1041" s="29"/>
      <c r="X1041" s="40"/>
    </row>
    <row r="1042" spans="1:24" s="37" customFormat="1" ht="21" customHeight="1">
      <c r="A1042" s="34"/>
      <c r="B1042" s="41"/>
      <c r="C1042" s="32"/>
      <c r="D1042" s="56" t="s">
        <v>415</v>
      </c>
      <c r="E1042" s="57" t="s">
        <v>242</v>
      </c>
      <c r="F1042" s="58">
        <v>9.8390000000000004</v>
      </c>
      <c r="G1042" s="57">
        <v>1814</v>
      </c>
      <c r="H1042" s="58">
        <v>294</v>
      </c>
      <c r="I1042" s="57" t="s">
        <v>246</v>
      </c>
      <c r="J1042" s="58">
        <v>19028</v>
      </c>
      <c r="K1042" s="59">
        <v>59138</v>
      </c>
      <c r="L1042" s="59">
        <v>40000</v>
      </c>
      <c r="M1042" s="21" t="s">
        <v>394</v>
      </c>
      <c r="N1042" s="60">
        <v>1.98</v>
      </c>
      <c r="O1042" s="23">
        <f t="shared" si="32"/>
        <v>1306.1717171717171</v>
      </c>
      <c r="P1042" s="24">
        <v>2.0099999999999998</v>
      </c>
      <c r="Q1042" s="61" t="s">
        <v>63</v>
      </c>
      <c r="R1042" s="62" t="s">
        <v>33</v>
      </c>
      <c r="S1042" s="62" t="s">
        <v>236</v>
      </c>
      <c r="T1042" s="26"/>
      <c r="U1042" s="27"/>
      <c r="V1042" s="28" t="str">
        <f t="shared" si="33"/>
        <v/>
      </c>
      <c r="W1042" s="29"/>
      <c r="X1042" s="40"/>
    </row>
    <row r="1043" spans="1:24" s="37" customFormat="1" ht="21" customHeight="1">
      <c r="A1043" s="34"/>
      <c r="B1043" s="41"/>
      <c r="C1043" s="32"/>
      <c r="D1043" s="56" t="s">
        <v>415</v>
      </c>
      <c r="E1043" s="57" t="s">
        <v>242</v>
      </c>
      <c r="F1043" s="58">
        <v>9.8390000000000004</v>
      </c>
      <c r="G1043" s="57">
        <v>1814</v>
      </c>
      <c r="H1043" s="58">
        <v>294</v>
      </c>
      <c r="I1043" s="57" t="s">
        <v>246</v>
      </c>
      <c r="J1043" s="58">
        <v>19028</v>
      </c>
      <c r="K1043" s="59">
        <v>59138</v>
      </c>
      <c r="L1043" s="59">
        <v>40000</v>
      </c>
      <c r="M1043" s="21" t="s">
        <v>394</v>
      </c>
      <c r="N1043" s="60">
        <v>1.98</v>
      </c>
      <c r="O1043" s="23">
        <f t="shared" si="32"/>
        <v>1306.1717171717171</v>
      </c>
      <c r="P1043" s="24">
        <v>2.0099999999999998</v>
      </c>
      <c r="Q1043" s="61" t="s">
        <v>63</v>
      </c>
      <c r="R1043" s="62" t="s">
        <v>33</v>
      </c>
      <c r="S1043" s="62" t="s">
        <v>253</v>
      </c>
      <c r="T1043" s="26"/>
      <c r="U1043" s="27"/>
      <c r="V1043" s="28" t="str">
        <f t="shared" si="33"/>
        <v/>
      </c>
      <c r="W1043" s="29"/>
      <c r="X1043" s="40"/>
    </row>
    <row r="1044" spans="1:24" s="37" customFormat="1" ht="21" customHeight="1">
      <c r="A1044" s="34"/>
      <c r="B1044" s="41"/>
      <c r="C1044" s="32"/>
      <c r="D1044" s="56" t="s">
        <v>416</v>
      </c>
      <c r="E1044" s="57" t="s">
        <v>242</v>
      </c>
      <c r="F1044" s="58">
        <v>9.8390000000000004</v>
      </c>
      <c r="G1044" s="57">
        <v>1814</v>
      </c>
      <c r="H1044" s="58">
        <v>294</v>
      </c>
      <c r="I1044" s="57" t="s">
        <v>246</v>
      </c>
      <c r="J1044" s="58">
        <v>19028</v>
      </c>
      <c r="K1044" s="59">
        <v>59138</v>
      </c>
      <c r="L1044" s="59">
        <v>40000</v>
      </c>
      <c r="M1044" s="21" t="s">
        <v>394</v>
      </c>
      <c r="N1044" s="60">
        <v>1.98</v>
      </c>
      <c r="O1044" s="23">
        <f t="shared" si="32"/>
        <v>1306.1717171717171</v>
      </c>
      <c r="P1044" s="24">
        <v>2.0099999999999998</v>
      </c>
      <c r="Q1044" s="61" t="s">
        <v>63</v>
      </c>
      <c r="R1044" s="62" t="s">
        <v>33</v>
      </c>
      <c r="S1044" s="62" t="s">
        <v>253</v>
      </c>
      <c r="T1044" s="26"/>
      <c r="U1044" s="27"/>
      <c r="V1044" s="28" t="str">
        <f t="shared" si="33"/>
        <v/>
      </c>
      <c r="W1044" s="29"/>
      <c r="X1044" s="40"/>
    </row>
    <row r="1045" spans="1:24" s="37" customFormat="1" ht="21" customHeight="1">
      <c r="A1045" s="34"/>
      <c r="B1045" s="41"/>
      <c r="C1045" s="32"/>
      <c r="D1045" s="56" t="s">
        <v>416</v>
      </c>
      <c r="E1045" s="57" t="s">
        <v>242</v>
      </c>
      <c r="F1045" s="58">
        <v>9.8390000000000004</v>
      </c>
      <c r="G1045" s="57">
        <v>1814</v>
      </c>
      <c r="H1045" s="58">
        <v>294</v>
      </c>
      <c r="I1045" s="57" t="s">
        <v>246</v>
      </c>
      <c r="J1045" s="58">
        <v>19028</v>
      </c>
      <c r="K1045" s="59">
        <v>59138</v>
      </c>
      <c r="L1045" s="59">
        <v>40000</v>
      </c>
      <c r="M1045" s="21" t="s">
        <v>394</v>
      </c>
      <c r="N1045" s="60">
        <v>1.98</v>
      </c>
      <c r="O1045" s="23">
        <f t="shared" si="32"/>
        <v>1306.1717171717171</v>
      </c>
      <c r="P1045" s="24">
        <v>2.0099999999999998</v>
      </c>
      <c r="Q1045" s="61" t="s">
        <v>63</v>
      </c>
      <c r="R1045" s="62" t="s">
        <v>33</v>
      </c>
      <c r="S1045" s="62" t="s">
        <v>236</v>
      </c>
      <c r="T1045" s="26"/>
      <c r="U1045" s="27"/>
      <c r="V1045" s="28" t="str">
        <f t="shared" si="33"/>
        <v/>
      </c>
      <c r="W1045" s="29"/>
      <c r="X1045" s="40"/>
    </row>
    <row r="1046" spans="1:24" s="37" customFormat="1" ht="21" customHeight="1">
      <c r="A1046" s="34"/>
      <c r="B1046" s="41"/>
      <c r="C1046" s="32"/>
      <c r="D1046" s="18" t="s">
        <v>417</v>
      </c>
      <c r="E1046" s="19" t="s">
        <v>242</v>
      </c>
      <c r="F1046" s="20">
        <v>9.8390000000000004</v>
      </c>
      <c r="G1046" s="19">
        <v>1814</v>
      </c>
      <c r="H1046" s="20">
        <v>294</v>
      </c>
      <c r="I1046" s="19" t="s">
        <v>243</v>
      </c>
      <c r="J1046" s="20">
        <v>19028</v>
      </c>
      <c r="K1046" s="21">
        <v>59138</v>
      </c>
      <c r="L1046" s="21">
        <v>40000</v>
      </c>
      <c r="M1046" s="21" t="s">
        <v>394</v>
      </c>
      <c r="N1046" s="45">
        <v>1.96</v>
      </c>
      <c r="O1046" s="23">
        <f t="shared" si="32"/>
        <v>1319.5000000000002</v>
      </c>
      <c r="P1046" s="46">
        <v>2.0099999999999998</v>
      </c>
      <c r="Q1046" s="25" t="s">
        <v>43</v>
      </c>
      <c r="R1046" s="26" t="s">
        <v>33</v>
      </c>
      <c r="S1046" s="26" t="s">
        <v>328</v>
      </c>
      <c r="T1046" s="26"/>
      <c r="U1046" s="49"/>
      <c r="V1046" s="28" t="str">
        <f t="shared" si="33"/>
        <v/>
      </c>
      <c r="W1046" s="29"/>
      <c r="X1046" s="40"/>
    </row>
    <row r="1047" spans="1:24" s="37" customFormat="1" ht="21" customHeight="1">
      <c r="A1047" s="34"/>
      <c r="B1047" s="41"/>
      <c r="C1047" s="32"/>
      <c r="D1047" s="18" t="s">
        <v>417</v>
      </c>
      <c r="E1047" s="19" t="s">
        <v>242</v>
      </c>
      <c r="F1047" s="20">
        <v>9.8390000000000004</v>
      </c>
      <c r="G1047" s="19">
        <v>1814</v>
      </c>
      <c r="H1047" s="20">
        <v>294</v>
      </c>
      <c r="I1047" s="19" t="s">
        <v>246</v>
      </c>
      <c r="J1047" s="20">
        <v>19028</v>
      </c>
      <c r="K1047" s="21">
        <v>59138</v>
      </c>
      <c r="L1047" s="21">
        <v>40000</v>
      </c>
      <c r="M1047" s="21" t="s">
        <v>394</v>
      </c>
      <c r="N1047" s="45">
        <v>1.96</v>
      </c>
      <c r="O1047" s="23">
        <f t="shared" si="32"/>
        <v>1319.5000000000002</v>
      </c>
      <c r="P1047" s="46">
        <v>2.0099999999999998</v>
      </c>
      <c r="Q1047" s="25" t="s">
        <v>43</v>
      </c>
      <c r="R1047" s="26" t="s">
        <v>33</v>
      </c>
      <c r="S1047" s="26" t="s">
        <v>328</v>
      </c>
      <c r="T1047" s="26"/>
      <c r="U1047" s="49"/>
      <c r="V1047" s="28" t="str">
        <f t="shared" si="33"/>
        <v/>
      </c>
      <c r="W1047" s="29"/>
      <c r="X1047" s="40"/>
    </row>
    <row r="1048" spans="1:24" s="37" customFormat="1" ht="21" customHeight="1">
      <c r="A1048" s="34"/>
      <c r="B1048" s="41"/>
      <c r="C1048" s="32"/>
      <c r="D1048" s="18" t="s">
        <v>417</v>
      </c>
      <c r="E1048" s="19" t="s">
        <v>242</v>
      </c>
      <c r="F1048" s="20">
        <v>9.8390000000000004</v>
      </c>
      <c r="G1048" s="19">
        <v>1814</v>
      </c>
      <c r="H1048" s="20">
        <v>294</v>
      </c>
      <c r="I1048" s="19" t="s">
        <v>243</v>
      </c>
      <c r="J1048" s="20">
        <v>19028</v>
      </c>
      <c r="K1048" s="21">
        <v>59138</v>
      </c>
      <c r="L1048" s="21">
        <v>40000</v>
      </c>
      <c r="M1048" s="21" t="s">
        <v>394</v>
      </c>
      <c r="N1048" s="45">
        <v>1.92</v>
      </c>
      <c r="O1048" s="23">
        <f t="shared" si="32"/>
        <v>1346.9895833333333</v>
      </c>
      <c r="P1048" s="46">
        <v>2.0099999999999998</v>
      </c>
      <c r="Q1048" s="25" t="s">
        <v>63</v>
      </c>
      <c r="R1048" s="26" t="s">
        <v>33</v>
      </c>
      <c r="S1048" s="26" t="s">
        <v>328</v>
      </c>
      <c r="T1048" s="26"/>
      <c r="U1048" s="49"/>
      <c r="V1048" s="28" t="str">
        <f t="shared" si="33"/>
        <v/>
      </c>
      <c r="W1048" s="29"/>
      <c r="X1048" s="40"/>
    </row>
    <row r="1049" spans="1:24" s="37" customFormat="1" ht="21" customHeight="1">
      <c r="A1049" s="34"/>
      <c r="B1049" s="41"/>
      <c r="C1049" s="32"/>
      <c r="D1049" s="18" t="s">
        <v>417</v>
      </c>
      <c r="E1049" s="19" t="s">
        <v>242</v>
      </c>
      <c r="F1049" s="20">
        <v>9.8390000000000004</v>
      </c>
      <c r="G1049" s="19">
        <v>1814</v>
      </c>
      <c r="H1049" s="20">
        <v>294</v>
      </c>
      <c r="I1049" s="19" t="s">
        <v>246</v>
      </c>
      <c r="J1049" s="20">
        <v>19028</v>
      </c>
      <c r="K1049" s="21">
        <v>59138</v>
      </c>
      <c r="L1049" s="21">
        <v>40000</v>
      </c>
      <c r="M1049" s="21" t="s">
        <v>394</v>
      </c>
      <c r="N1049" s="45">
        <v>1.92</v>
      </c>
      <c r="O1049" s="23">
        <f t="shared" si="32"/>
        <v>1346.9895833333333</v>
      </c>
      <c r="P1049" s="46">
        <v>2.0099999999999998</v>
      </c>
      <c r="Q1049" s="25" t="s">
        <v>63</v>
      </c>
      <c r="R1049" s="26" t="s">
        <v>33</v>
      </c>
      <c r="S1049" s="26" t="s">
        <v>328</v>
      </c>
      <c r="T1049" s="26"/>
      <c r="U1049" s="49"/>
      <c r="V1049" s="28" t="str">
        <f t="shared" si="33"/>
        <v/>
      </c>
      <c r="W1049" s="29"/>
      <c r="X1049" s="40"/>
    </row>
    <row r="1050" spans="1:24" s="37" customFormat="1" ht="21" customHeight="1">
      <c r="A1050" s="34"/>
      <c r="B1050" s="41"/>
      <c r="C1050" s="32"/>
      <c r="D1050" s="18" t="s">
        <v>418</v>
      </c>
      <c r="E1050" s="19" t="s">
        <v>242</v>
      </c>
      <c r="F1050" s="20">
        <v>9.8390000000000004</v>
      </c>
      <c r="G1050" s="19">
        <v>1814</v>
      </c>
      <c r="H1050" s="20">
        <v>294</v>
      </c>
      <c r="I1050" s="19" t="s">
        <v>243</v>
      </c>
      <c r="J1050" s="20">
        <v>19028</v>
      </c>
      <c r="K1050" s="21">
        <v>59138</v>
      </c>
      <c r="L1050" s="21">
        <v>40000</v>
      </c>
      <c r="M1050" s="21" t="s">
        <v>394</v>
      </c>
      <c r="N1050" s="45">
        <v>1.96</v>
      </c>
      <c r="O1050" s="23">
        <f t="shared" si="32"/>
        <v>1319.5000000000002</v>
      </c>
      <c r="P1050" s="46">
        <v>2.0099999999999998</v>
      </c>
      <c r="Q1050" s="25" t="s">
        <v>43</v>
      </c>
      <c r="R1050" s="26" t="s">
        <v>33</v>
      </c>
      <c r="S1050" s="26" t="s">
        <v>236</v>
      </c>
      <c r="T1050" s="26"/>
      <c r="U1050" s="49"/>
      <c r="V1050" s="28" t="str">
        <f t="shared" si="33"/>
        <v/>
      </c>
      <c r="W1050" s="29"/>
      <c r="X1050" s="40"/>
    </row>
    <row r="1051" spans="1:24" s="37" customFormat="1" ht="21" customHeight="1">
      <c r="A1051" s="34"/>
      <c r="B1051" s="41"/>
      <c r="C1051" s="32"/>
      <c r="D1051" s="18" t="s">
        <v>418</v>
      </c>
      <c r="E1051" s="19" t="s">
        <v>242</v>
      </c>
      <c r="F1051" s="20">
        <v>9.8390000000000004</v>
      </c>
      <c r="G1051" s="19">
        <v>1814</v>
      </c>
      <c r="H1051" s="20">
        <v>294</v>
      </c>
      <c r="I1051" s="19" t="s">
        <v>246</v>
      </c>
      <c r="J1051" s="20">
        <v>19028</v>
      </c>
      <c r="K1051" s="21">
        <v>59138</v>
      </c>
      <c r="L1051" s="21">
        <v>40000</v>
      </c>
      <c r="M1051" s="21" t="s">
        <v>394</v>
      </c>
      <c r="N1051" s="45">
        <v>1.96</v>
      </c>
      <c r="O1051" s="23">
        <f t="shared" si="32"/>
        <v>1319.5000000000002</v>
      </c>
      <c r="P1051" s="46">
        <v>2.0099999999999998</v>
      </c>
      <c r="Q1051" s="25" t="s">
        <v>43</v>
      </c>
      <c r="R1051" s="26" t="s">
        <v>33</v>
      </c>
      <c r="S1051" s="26" t="s">
        <v>236</v>
      </c>
      <c r="T1051" s="26"/>
      <c r="U1051" s="49"/>
      <c r="V1051" s="28" t="str">
        <f t="shared" si="33"/>
        <v/>
      </c>
      <c r="W1051" s="29"/>
      <c r="X1051" s="40"/>
    </row>
    <row r="1052" spans="1:24" s="37" customFormat="1" ht="21" customHeight="1">
      <c r="A1052" s="34"/>
      <c r="B1052" s="41"/>
      <c r="C1052" s="32"/>
      <c r="D1052" s="18" t="s">
        <v>418</v>
      </c>
      <c r="E1052" s="19" t="s">
        <v>242</v>
      </c>
      <c r="F1052" s="20">
        <v>9.8390000000000004</v>
      </c>
      <c r="G1052" s="19">
        <v>1814</v>
      </c>
      <c r="H1052" s="20">
        <v>294</v>
      </c>
      <c r="I1052" s="19" t="s">
        <v>243</v>
      </c>
      <c r="J1052" s="20">
        <v>19028</v>
      </c>
      <c r="K1052" s="21">
        <v>59138</v>
      </c>
      <c r="L1052" s="21">
        <v>40000</v>
      </c>
      <c r="M1052" s="21" t="s">
        <v>394</v>
      </c>
      <c r="N1052" s="45">
        <v>1.92</v>
      </c>
      <c r="O1052" s="23">
        <f t="shared" si="32"/>
        <v>1346.9895833333333</v>
      </c>
      <c r="P1052" s="46">
        <v>2.0099999999999998</v>
      </c>
      <c r="Q1052" s="25" t="s">
        <v>63</v>
      </c>
      <c r="R1052" s="26" t="s">
        <v>33</v>
      </c>
      <c r="S1052" s="26" t="s">
        <v>236</v>
      </c>
      <c r="T1052" s="26"/>
      <c r="U1052" s="49"/>
      <c r="V1052" s="28" t="str">
        <f t="shared" si="33"/>
        <v/>
      </c>
      <c r="W1052" s="29"/>
      <c r="X1052" s="40"/>
    </row>
    <row r="1053" spans="1:24" s="37" customFormat="1" ht="21" customHeight="1">
      <c r="A1053" s="34"/>
      <c r="B1053" s="41"/>
      <c r="C1053" s="32"/>
      <c r="D1053" s="18" t="s">
        <v>418</v>
      </c>
      <c r="E1053" s="19" t="s">
        <v>242</v>
      </c>
      <c r="F1053" s="20">
        <v>9.8390000000000004</v>
      </c>
      <c r="G1053" s="19">
        <v>1814</v>
      </c>
      <c r="H1053" s="20">
        <v>294</v>
      </c>
      <c r="I1053" s="19" t="s">
        <v>246</v>
      </c>
      <c r="J1053" s="20">
        <v>19028</v>
      </c>
      <c r="K1053" s="21">
        <v>59138</v>
      </c>
      <c r="L1053" s="21">
        <v>40000</v>
      </c>
      <c r="M1053" s="21" t="s">
        <v>394</v>
      </c>
      <c r="N1053" s="45">
        <v>1.92</v>
      </c>
      <c r="O1053" s="23">
        <f t="shared" si="32"/>
        <v>1346.9895833333333</v>
      </c>
      <c r="P1053" s="46">
        <v>2.0099999999999998</v>
      </c>
      <c r="Q1053" s="25" t="s">
        <v>63</v>
      </c>
      <c r="R1053" s="26" t="s">
        <v>33</v>
      </c>
      <c r="S1053" s="26" t="s">
        <v>236</v>
      </c>
      <c r="T1053" s="26"/>
      <c r="U1053" s="49"/>
      <c r="V1053" s="28" t="str">
        <f t="shared" si="33"/>
        <v/>
      </c>
      <c r="W1053" s="29"/>
      <c r="X1053" s="40"/>
    </row>
    <row r="1054" spans="1:24" s="37" customFormat="1" ht="21" customHeight="1">
      <c r="A1054" s="34"/>
      <c r="B1054" s="41"/>
      <c r="C1054" s="32"/>
      <c r="D1054" s="18" t="s">
        <v>419</v>
      </c>
      <c r="E1054" s="19" t="s">
        <v>389</v>
      </c>
      <c r="F1054" s="20">
        <v>15.680999999999999</v>
      </c>
      <c r="G1054" s="19">
        <v>2256</v>
      </c>
      <c r="H1054" s="20">
        <v>338</v>
      </c>
      <c r="I1054" s="19" t="s">
        <v>246</v>
      </c>
      <c r="J1054" s="20">
        <v>19028</v>
      </c>
      <c r="K1054" s="21">
        <v>59138</v>
      </c>
      <c r="L1054" s="21">
        <v>40000</v>
      </c>
      <c r="M1054" s="21" t="s">
        <v>394</v>
      </c>
      <c r="N1054" s="45">
        <v>1.96</v>
      </c>
      <c r="O1054" s="23">
        <f t="shared" si="32"/>
        <v>1319.5000000000002</v>
      </c>
      <c r="P1054" s="46">
        <v>2.0099999999999998</v>
      </c>
      <c r="Q1054" s="25" t="s">
        <v>43</v>
      </c>
      <c r="R1054" s="26" t="s">
        <v>33</v>
      </c>
      <c r="S1054" s="26" t="s">
        <v>236</v>
      </c>
      <c r="T1054" s="26"/>
      <c r="U1054" s="49"/>
      <c r="V1054" s="28" t="str">
        <f t="shared" si="33"/>
        <v/>
      </c>
      <c r="W1054" s="29"/>
      <c r="X1054" s="40"/>
    </row>
    <row r="1055" spans="1:24" s="37" customFormat="1" ht="21" customHeight="1">
      <c r="A1055" s="34"/>
      <c r="B1055" s="41"/>
      <c r="C1055" s="32"/>
      <c r="D1055" s="18" t="s">
        <v>419</v>
      </c>
      <c r="E1055" s="19" t="s">
        <v>389</v>
      </c>
      <c r="F1055" s="20">
        <v>15.680999999999999</v>
      </c>
      <c r="G1055" s="19">
        <v>2256</v>
      </c>
      <c r="H1055" s="20">
        <v>338</v>
      </c>
      <c r="I1055" s="19" t="s">
        <v>278</v>
      </c>
      <c r="J1055" s="20">
        <v>19028</v>
      </c>
      <c r="K1055" s="21">
        <v>59138</v>
      </c>
      <c r="L1055" s="21">
        <v>40000</v>
      </c>
      <c r="M1055" s="21" t="s">
        <v>394</v>
      </c>
      <c r="N1055" s="45">
        <v>1.96</v>
      </c>
      <c r="O1055" s="23">
        <f t="shared" si="32"/>
        <v>1319.5000000000002</v>
      </c>
      <c r="P1055" s="46">
        <v>2.0099999999999998</v>
      </c>
      <c r="Q1055" s="25" t="s">
        <v>43</v>
      </c>
      <c r="R1055" s="26" t="s">
        <v>33</v>
      </c>
      <c r="S1055" s="26" t="s">
        <v>236</v>
      </c>
      <c r="T1055" s="26"/>
      <c r="U1055" s="49"/>
      <c r="V1055" s="28" t="str">
        <f t="shared" si="33"/>
        <v/>
      </c>
      <c r="W1055" s="29"/>
      <c r="X1055" s="40"/>
    </row>
    <row r="1056" spans="1:24" s="37" customFormat="1" ht="21" customHeight="1">
      <c r="A1056" s="34"/>
      <c r="B1056" s="41"/>
      <c r="C1056" s="32"/>
      <c r="D1056" s="18" t="s">
        <v>419</v>
      </c>
      <c r="E1056" s="19" t="s">
        <v>389</v>
      </c>
      <c r="F1056" s="20">
        <v>15.680999999999999</v>
      </c>
      <c r="G1056" s="19">
        <v>2256</v>
      </c>
      <c r="H1056" s="20">
        <v>338</v>
      </c>
      <c r="I1056" s="19" t="s">
        <v>246</v>
      </c>
      <c r="J1056" s="20">
        <v>19028</v>
      </c>
      <c r="K1056" s="21">
        <v>59138</v>
      </c>
      <c r="L1056" s="21">
        <v>40000</v>
      </c>
      <c r="M1056" s="21" t="s">
        <v>394</v>
      </c>
      <c r="N1056" s="45">
        <v>1.96</v>
      </c>
      <c r="O1056" s="23">
        <f t="shared" si="32"/>
        <v>1319.5000000000002</v>
      </c>
      <c r="P1056" s="46">
        <v>2.0099999999999998</v>
      </c>
      <c r="Q1056" s="25" t="s">
        <v>43</v>
      </c>
      <c r="R1056" s="26" t="s">
        <v>33</v>
      </c>
      <c r="S1056" s="26" t="s">
        <v>277</v>
      </c>
      <c r="T1056" s="26"/>
      <c r="U1056" s="49"/>
      <c r="V1056" s="28" t="str">
        <f t="shared" si="33"/>
        <v/>
      </c>
      <c r="W1056" s="29"/>
      <c r="X1056" s="40"/>
    </row>
    <row r="1057" spans="1:24" s="37" customFormat="1" ht="21" customHeight="1">
      <c r="A1057" s="34"/>
      <c r="B1057" s="41"/>
      <c r="C1057" s="32"/>
      <c r="D1057" s="18" t="s">
        <v>419</v>
      </c>
      <c r="E1057" s="19" t="s">
        <v>389</v>
      </c>
      <c r="F1057" s="20">
        <v>15.680999999999999</v>
      </c>
      <c r="G1057" s="19">
        <v>2256</v>
      </c>
      <c r="H1057" s="20">
        <v>338</v>
      </c>
      <c r="I1057" s="19" t="s">
        <v>278</v>
      </c>
      <c r="J1057" s="20">
        <v>19028</v>
      </c>
      <c r="K1057" s="21">
        <v>59138</v>
      </c>
      <c r="L1057" s="21">
        <v>40000</v>
      </c>
      <c r="M1057" s="21" t="s">
        <v>394</v>
      </c>
      <c r="N1057" s="45">
        <v>1.96</v>
      </c>
      <c r="O1057" s="23">
        <f t="shared" si="32"/>
        <v>1319.5000000000002</v>
      </c>
      <c r="P1057" s="46">
        <v>2.0099999999999998</v>
      </c>
      <c r="Q1057" s="25" t="s">
        <v>43</v>
      </c>
      <c r="R1057" s="26" t="s">
        <v>33</v>
      </c>
      <c r="S1057" s="26" t="s">
        <v>277</v>
      </c>
      <c r="T1057" s="26"/>
      <c r="U1057" s="49"/>
      <c r="V1057" s="28" t="str">
        <f t="shared" si="33"/>
        <v/>
      </c>
      <c r="W1057" s="29"/>
      <c r="X1057" s="40"/>
    </row>
    <row r="1058" spans="1:24" s="37" customFormat="1" ht="21" customHeight="1">
      <c r="A1058" s="34"/>
      <c r="B1058" s="41"/>
      <c r="C1058" s="32"/>
      <c r="D1058" s="18" t="s">
        <v>419</v>
      </c>
      <c r="E1058" s="19" t="s">
        <v>389</v>
      </c>
      <c r="F1058" s="20">
        <v>15.680999999999999</v>
      </c>
      <c r="G1058" s="19">
        <v>2256</v>
      </c>
      <c r="H1058" s="20">
        <v>338</v>
      </c>
      <c r="I1058" s="19" t="s">
        <v>246</v>
      </c>
      <c r="J1058" s="20">
        <v>19028</v>
      </c>
      <c r="K1058" s="21">
        <v>59138</v>
      </c>
      <c r="L1058" s="21">
        <v>40000</v>
      </c>
      <c r="M1058" s="21" t="s">
        <v>394</v>
      </c>
      <c r="N1058" s="45">
        <v>1.92</v>
      </c>
      <c r="O1058" s="23">
        <f t="shared" si="32"/>
        <v>1346.9895833333333</v>
      </c>
      <c r="P1058" s="46">
        <v>2.0099999999999998</v>
      </c>
      <c r="Q1058" s="25" t="s">
        <v>63</v>
      </c>
      <c r="R1058" s="26" t="s">
        <v>33</v>
      </c>
      <c r="S1058" s="26" t="s">
        <v>236</v>
      </c>
      <c r="T1058" s="26"/>
      <c r="U1058" s="49"/>
      <c r="V1058" s="28" t="str">
        <f t="shared" si="33"/>
        <v/>
      </c>
      <c r="W1058" s="29"/>
      <c r="X1058" s="40"/>
    </row>
    <row r="1059" spans="1:24" s="37" customFormat="1" ht="21" customHeight="1">
      <c r="A1059" s="34"/>
      <c r="B1059" s="41"/>
      <c r="C1059" s="32"/>
      <c r="D1059" s="18" t="s">
        <v>419</v>
      </c>
      <c r="E1059" s="19" t="s">
        <v>389</v>
      </c>
      <c r="F1059" s="20">
        <v>15.680999999999999</v>
      </c>
      <c r="G1059" s="19">
        <v>2256</v>
      </c>
      <c r="H1059" s="20">
        <v>338</v>
      </c>
      <c r="I1059" s="19" t="s">
        <v>278</v>
      </c>
      <c r="J1059" s="20">
        <v>19028</v>
      </c>
      <c r="K1059" s="21">
        <v>59138</v>
      </c>
      <c r="L1059" s="21">
        <v>40000</v>
      </c>
      <c r="M1059" s="21" t="s">
        <v>394</v>
      </c>
      <c r="N1059" s="45">
        <v>1.92</v>
      </c>
      <c r="O1059" s="23">
        <f t="shared" si="32"/>
        <v>1346.9895833333333</v>
      </c>
      <c r="P1059" s="46">
        <v>2.0099999999999998</v>
      </c>
      <c r="Q1059" s="25" t="s">
        <v>63</v>
      </c>
      <c r="R1059" s="26" t="s">
        <v>33</v>
      </c>
      <c r="S1059" s="26" t="s">
        <v>236</v>
      </c>
      <c r="T1059" s="26"/>
      <c r="U1059" s="49"/>
      <c r="V1059" s="28" t="str">
        <f t="shared" si="33"/>
        <v/>
      </c>
      <c r="W1059" s="29"/>
      <c r="X1059" s="40"/>
    </row>
    <row r="1060" spans="1:24" s="37" customFormat="1" ht="21" customHeight="1">
      <c r="A1060" s="34"/>
      <c r="B1060" s="41"/>
      <c r="C1060" s="32"/>
      <c r="D1060" s="18" t="s">
        <v>419</v>
      </c>
      <c r="E1060" s="19" t="s">
        <v>389</v>
      </c>
      <c r="F1060" s="20">
        <v>15.680999999999999</v>
      </c>
      <c r="G1060" s="19">
        <v>2256</v>
      </c>
      <c r="H1060" s="20">
        <v>338</v>
      </c>
      <c r="I1060" s="19" t="s">
        <v>246</v>
      </c>
      <c r="J1060" s="20">
        <v>19028</v>
      </c>
      <c r="K1060" s="21">
        <v>59138</v>
      </c>
      <c r="L1060" s="21">
        <v>40000</v>
      </c>
      <c r="M1060" s="21" t="s">
        <v>394</v>
      </c>
      <c r="N1060" s="45">
        <v>1.92</v>
      </c>
      <c r="O1060" s="23">
        <f t="shared" si="32"/>
        <v>1346.9895833333333</v>
      </c>
      <c r="P1060" s="46">
        <v>2.0099999999999998</v>
      </c>
      <c r="Q1060" s="25" t="s">
        <v>63</v>
      </c>
      <c r="R1060" s="26" t="s">
        <v>33</v>
      </c>
      <c r="S1060" s="26" t="s">
        <v>277</v>
      </c>
      <c r="T1060" s="26"/>
      <c r="U1060" s="49"/>
      <c r="V1060" s="28" t="str">
        <f t="shared" si="33"/>
        <v/>
      </c>
      <c r="W1060" s="29"/>
      <c r="X1060" s="40"/>
    </row>
    <row r="1061" spans="1:24" s="37" customFormat="1" ht="21" customHeight="1">
      <c r="A1061" s="34"/>
      <c r="B1061" s="41"/>
      <c r="C1061" s="32"/>
      <c r="D1061" s="18" t="s">
        <v>419</v>
      </c>
      <c r="E1061" s="19" t="s">
        <v>389</v>
      </c>
      <c r="F1061" s="20">
        <v>15.680999999999999</v>
      </c>
      <c r="G1061" s="19">
        <v>2256</v>
      </c>
      <c r="H1061" s="20">
        <v>338</v>
      </c>
      <c r="I1061" s="19" t="s">
        <v>278</v>
      </c>
      <c r="J1061" s="20">
        <v>19028</v>
      </c>
      <c r="K1061" s="21">
        <v>59138</v>
      </c>
      <c r="L1061" s="21">
        <v>40000</v>
      </c>
      <c r="M1061" s="21" t="s">
        <v>394</v>
      </c>
      <c r="N1061" s="45">
        <v>1.92</v>
      </c>
      <c r="O1061" s="23">
        <f t="shared" si="32"/>
        <v>1346.9895833333333</v>
      </c>
      <c r="P1061" s="46">
        <v>2.0099999999999998</v>
      </c>
      <c r="Q1061" s="25" t="s">
        <v>63</v>
      </c>
      <c r="R1061" s="26" t="s">
        <v>33</v>
      </c>
      <c r="S1061" s="26" t="s">
        <v>277</v>
      </c>
      <c r="T1061" s="26"/>
      <c r="U1061" s="49"/>
      <c r="V1061" s="28" t="str">
        <f t="shared" si="33"/>
        <v/>
      </c>
      <c r="W1061" s="29"/>
      <c r="X1061" s="40"/>
    </row>
    <row r="1062" spans="1:24" s="37" customFormat="1" ht="21" customHeight="1">
      <c r="A1062" s="34"/>
      <c r="B1062" s="41"/>
      <c r="C1062" s="32"/>
      <c r="D1062" s="18" t="s">
        <v>420</v>
      </c>
      <c r="E1062" s="19" t="s">
        <v>389</v>
      </c>
      <c r="F1062" s="20">
        <v>15.680999999999999</v>
      </c>
      <c r="G1062" s="19">
        <v>2256</v>
      </c>
      <c r="H1062" s="20">
        <v>338</v>
      </c>
      <c r="I1062" s="19" t="s">
        <v>246</v>
      </c>
      <c r="J1062" s="20">
        <v>19028</v>
      </c>
      <c r="K1062" s="21">
        <v>59138</v>
      </c>
      <c r="L1062" s="21">
        <v>40000</v>
      </c>
      <c r="M1062" s="21" t="s">
        <v>394</v>
      </c>
      <c r="N1062" s="45">
        <v>1.96</v>
      </c>
      <c r="O1062" s="23">
        <f t="shared" si="32"/>
        <v>1319.5000000000002</v>
      </c>
      <c r="P1062" s="46">
        <v>2.0099999999999998</v>
      </c>
      <c r="Q1062" s="25" t="s">
        <v>43</v>
      </c>
      <c r="R1062" s="26" t="s">
        <v>33</v>
      </c>
      <c r="S1062" s="26" t="s">
        <v>236</v>
      </c>
      <c r="T1062" s="26"/>
      <c r="U1062" s="49"/>
      <c r="V1062" s="28" t="str">
        <f t="shared" si="33"/>
        <v/>
      </c>
      <c r="W1062" s="29"/>
      <c r="X1062" s="40"/>
    </row>
    <row r="1063" spans="1:24" s="37" customFormat="1" ht="21" customHeight="1">
      <c r="A1063" s="34"/>
      <c r="B1063" s="41"/>
      <c r="C1063" s="32"/>
      <c r="D1063" s="18" t="s">
        <v>420</v>
      </c>
      <c r="E1063" s="19" t="s">
        <v>389</v>
      </c>
      <c r="F1063" s="20">
        <v>15.680999999999999</v>
      </c>
      <c r="G1063" s="19">
        <v>2256</v>
      </c>
      <c r="H1063" s="20">
        <v>338</v>
      </c>
      <c r="I1063" s="19" t="s">
        <v>278</v>
      </c>
      <c r="J1063" s="20">
        <v>19028</v>
      </c>
      <c r="K1063" s="21">
        <v>59138</v>
      </c>
      <c r="L1063" s="21">
        <v>40000</v>
      </c>
      <c r="M1063" s="21" t="s">
        <v>394</v>
      </c>
      <c r="N1063" s="45">
        <v>1.96</v>
      </c>
      <c r="O1063" s="23">
        <f t="shared" si="32"/>
        <v>1319.5000000000002</v>
      </c>
      <c r="P1063" s="46">
        <v>2.0099999999999998</v>
      </c>
      <c r="Q1063" s="25" t="s">
        <v>43</v>
      </c>
      <c r="R1063" s="26" t="s">
        <v>33</v>
      </c>
      <c r="S1063" s="26" t="s">
        <v>236</v>
      </c>
      <c r="T1063" s="26"/>
      <c r="U1063" s="49"/>
      <c r="V1063" s="28" t="str">
        <f t="shared" si="33"/>
        <v/>
      </c>
      <c r="W1063" s="29"/>
      <c r="X1063" s="40"/>
    </row>
    <row r="1064" spans="1:24" s="37" customFormat="1" ht="21" customHeight="1">
      <c r="A1064" s="34"/>
      <c r="B1064" s="41"/>
      <c r="C1064" s="32"/>
      <c r="D1064" s="18" t="s">
        <v>420</v>
      </c>
      <c r="E1064" s="19" t="s">
        <v>389</v>
      </c>
      <c r="F1064" s="20">
        <v>15.680999999999999</v>
      </c>
      <c r="G1064" s="19">
        <v>2256</v>
      </c>
      <c r="H1064" s="20">
        <v>338</v>
      </c>
      <c r="I1064" s="19" t="s">
        <v>246</v>
      </c>
      <c r="J1064" s="20">
        <v>19028</v>
      </c>
      <c r="K1064" s="21">
        <v>59138</v>
      </c>
      <c r="L1064" s="21">
        <v>40000</v>
      </c>
      <c r="M1064" s="21" t="s">
        <v>394</v>
      </c>
      <c r="N1064" s="45">
        <v>1.96</v>
      </c>
      <c r="O1064" s="23">
        <f t="shared" si="32"/>
        <v>1319.5000000000002</v>
      </c>
      <c r="P1064" s="46">
        <v>2.0099999999999998</v>
      </c>
      <c r="Q1064" s="25" t="s">
        <v>43</v>
      </c>
      <c r="R1064" s="26" t="s">
        <v>33</v>
      </c>
      <c r="S1064" s="26" t="s">
        <v>277</v>
      </c>
      <c r="T1064" s="26"/>
      <c r="U1064" s="49"/>
      <c r="V1064" s="28" t="str">
        <f t="shared" si="33"/>
        <v/>
      </c>
      <c r="W1064" s="29"/>
      <c r="X1064" s="40"/>
    </row>
    <row r="1065" spans="1:24" s="37" customFormat="1" ht="21" customHeight="1">
      <c r="A1065" s="34"/>
      <c r="B1065" s="41"/>
      <c r="C1065" s="32"/>
      <c r="D1065" s="18" t="s">
        <v>420</v>
      </c>
      <c r="E1065" s="19" t="s">
        <v>389</v>
      </c>
      <c r="F1065" s="20">
        <v>15.680999999999999</v>
      </c>
      <c r="G1065" s="19">
        <v>2256</v>
      </c>
      <c r="H1065" s="20">
        <v>338</v>
      </c>
      <c r="I1065" s="19" t="s">
        <v>278</v>
      </c>
      <c r="J1065" s="20">
        <v>19028</v>
      </c>
      <c r="K1065" s="21">
        <v>59138</v>
      </c>
      <c r="L1065" s="21">
        <v>40000</v>
      </c>
      <c r="M1065" s="21" t="s">
        <v>394</v>
      </c>
      <c r="N1065" s="45">
        <v>1.96</v>
      </c>
      <c r="O1065" s="23">
        <f t="shared" si="32"/>
        <v>1319.5000000000002</v>
      </c>
      <c r="P1065" s="46">
        <v>2.0099999999999998</v>
      </c>
      <c r="Q1065" s="25" t="s">
        <v>43</v>
      </c>
      <c r="R1065" s="26" t="s">
        <v>33</v>
      </c>
      <c r="S1065" s="26" t="s">
        <v>277</v>
      </c>
      <c r="T1065" s="26"/>
      <c r="U1065" s="49"/>
      <c r="V1065" s="28" t="str">
        <f t="shared" si="33"/>
        <v/>
      </c>
      <c r="W1065" s="29"/>
      <c r="X1065" s="40"/>
    </row>
    <row r="1066" spans="1:24" s="37" customFormat="1" ht="21" customHeight="1">
      <c r="A1066" s="34"/>
      <c r="B1066" s="41"/>
      <c r="C1066" s="32"/>
      <c r="D1066" s="18" t="s">
        <v>420</v>
      </c>
      <c r="E1066" s="19" t="s">
        <v>389</v>
      </c>
      <c r="F1066" s="20">
        <v>15.680999999999999</v>
      </c>
      <c r="G1066" s="19">
        <v>2256</v>
      </c>
      <c r="H1066" s="20">
        <v>338</v>
      </c>
      <c r="I1066" s="19" t="s">
        <v>246</v>
      </c>
      <c r="J1066" s="20">
        <v>19028</v>
      </c>
      <c r="K1066" s="21">
        <v>59138</v>
      </c>
      <c r="L1066" s="21">
        <v>40000</v>
      </c>
      <c r="M1066" s="21" t="s">
        <v>394</v>
      </c>
      <c r="N1066" s="45">
        <v>1.92</v>
      </c>
      <c r="O1066" s="23">
        <f t="shared" si="32"/>
        <v>1346.9895833333333</v>
      </c>
      <c r="P1066" s="46">
        <v>2.0099999999999998</v>
      </c>
      <c r="Q1066" s="25" t="s">
        <v>63</v>
      </c>
      <c r="R1066" s="26" t="s">
        <v>33</v>
      </c>
      <c r="S1066" s="26" t="s">
        <v>236</v>
      </c>
      <c r="T1066" s="26"/>
      <c r="U1066" s="49"/>
      <c r="V1066" s="28" t="str">
        <f t="shared" si="33"/>
        <v/>
      </c>
      <c r="W1066" s="29"/>
      <c r="X1066" s="40"/>
    </row>
    <row r="1067" spans="1:24" s="37" customFormat="1" ht="21" customHeight="1">
      <c r="A1067" s="34"/>
      <c r="B1067" s="41"/>
      <c r="C1067" s="32"/>
      <c r="D1067" s="18" t="s">
        <v>420</v>
      </c>
      <c r="E1067" s="19" t="s">
        <v>389</v>
      </c>
      <c r="F1067" s="20">
        <v>15.680999999999999</v>
      </c>
      <c r="G1067" s="19">
        <v>2256</v>
      </c>
      <c r="H1067" s="20">
        <v>338</v>
      </c>
      <c r="I1067" s="19" t="s">
        <v>278</v>
      </c>
      <c r="J1067" s="20">
        <v>19028</v>
      </c>
      <c r="K1067" s="21">
        <v>59138</v>
      </c>
      <c r="L1067" s="21">
        <v>40000</v>
      </c>
      <c r="M1067" s="21" t="s">
        <v>394</v>
      </c>
      <c r="N1067" s="45">
        <v>1.92</v>
      </c>
      <c r="O1067" s="23">
        <f t="shared" si="32"/>
        <v>1346.9895833333333</v>
      </c>
      <c r="P1067" s="46">
        <v>2.0099999999999998</v>
      </c>
      <c r="Q1067" s="25" t="s">
        <v>63</v>
      </c>
      <c r="R1067" s="26" t="s">
        <v>33</v>
      </c>
      <c r="S1067" s="26" t="s">
        <v>236</v>
      </c>
      <c r="T1067" s="26"/>
      <c r="U1067" s="49"/>
      <c r="V1067" s="28" t="str">
        <f t="shared" si="33"/>
        <v/>
      </c>
      <c r="W1067" s="29"/>
      <c r="X1067" s="40"/>
    </row>
    <row r="1068" spans="1:24" s="37" customFormat="1" ht="21" customHeight="1">
      <c r="A1068" s="34"/>
      <c r="B1068" s="41"/>
      <c r="C1068" s="32"/>
      <c r="D1068" s="18" t="s">
        <v>420</v>
      </c>
      <c r="E1068" s="19" t="s">
        <v>389</v>
      </c>
      <c r="F1068" s="20">
        <v>15.680999999999999</v>
      </c>
      <c r="G1068" s="19">
        <v>2256</v>
      </c>
      <c r="H1068" s="20">
        <v>338</v>
      </c>
      <c r="I1068" s="19" t="s">
        <v>246</v>
      </c>
      <c r="J1068" s="20">
        <v>19028</v>
      </c>
      <c r="K1068" s="21">
        <v>59138</v>
      </c>
      <c r="L1068" s="21">
        <v>40000</v>
      </c>
      <c r="M1068" s="21" t="s">
        <v>394</v>
      </c>
      <c r="N1068" s="45">
        <v>1.92</v>
      </c>
      <c r="O1068" s="23">
        <f t="shared" si="32"/>
        <v>1346.9895833333333</v>
      </c>
      <c r="P1068" s="46">
        <v>2.0099999999999998</v>
      </c>
      <c r="Q1068" s="25" t="s">
        <v>63</v>
      </c>
      <c r="R1068" s="26" t="s">
        <v>33</v>
      </c>
      <c r="S1068" s="26" t="s">
        <v>277</v>
      </c>
      <c r="T1068" s="26"/>
      <c r="U1068" s="49"/>
      <c r="V1068" s="28" t="str">
        <f t="shared" si="33"/>
        <v/>
      </c>
      <c r="W1068" s="29"/>
      <c r="X1068" s="40"/>
    </row>
    <row r="1069" spans="1:24" s="37" customFormat="1" ht="21" customHeight="1">
      <c r="A1069" s="34"/>
      <c r="B1069" s="41"/>
      <c r="C1069" s="32"/>
      <c r="D1069" s="18" t="s">
        <v>420</v>
      </c>
      <c r="E1069" s="19" t="s">
        <v>389</v>
      </c>
      <c r="F1069" s="20">
        <v>15.680999999999999</v>
      </c>
      <c r="G1069" s="19">
        <v>2256</v>
      </c>
      <c r="H1069" s="20">
        <v>338</v>
      </c>
      <c r="I1069" s="19" t="s">
        <v>278</v>
      </c>
      <c r="J1069" s="20">
        <v>19028</v>
      </c>
      <c r="K1069" s="21">
        <v>59138</v>
      </c>
      <c r="L1069" s="21">
        <v>40000</v>
      </c>
      <c r="M1069" s="21" t="s">
        <v>394</v>
      </c>
      <c r="N1069" s="45">
        <v>1.92</v>
      </c>
      <c r="O1069" s="23">
        <f t="shared" si="32"/>
        <v>1346.9895833333333</v>
      </c>
      <c r="P1069" s="46">
        <v>2.0099999999999998</v>
      </c>
      <c r="Q1069" s="25" t="s">
        <v>63</v>
      </c>
      <c r="R1069" s="26" t="s">
        <v>33</v>
      </c>
      <c r="S1069" s="26" t="s">
        <v>277</v>
      </c>
      <c r="T1069" s="26"/>
      <c r="U1069" s="49"/>
      <c r="V1069" s="28" t="str">
        <f t="shared" si="33"/>
        <v/>
      </c>
      <c r="W1069" s="29"/>
      <c r="X1069" s="40"/>
    </row>
    <row r="1070" spans="1:24" s="37" customFormat="1" ht="21" customHeight="1">
      <c r="A1070" s="34"/>
      <c r="B1070" s="41"/>
      <c r="C1070" s="32"/>
      <c r="D1070" s="18" t="s">
        <v>421</v>
      </c>
      <c r="E1070" s="19" t="s">
        <v>389</v>
      </c>
      <c r="F1070" s="20">
        <v>15.680999999999999</v>
      </c>
      <c r="G1070" s="19">
        <v>2256</v>
      </c>
      <c r="H1070" s="20">
        <v>338</v>
      </c>
      <c r="I1070" s="19" t="s">
        <v>246</v>
      </c>
      <c r="J1070" s="20">
        <v>19028</v>
      </c>
      <c r="K1070" s="21">
        <v>59138</v>
      </c>
      <c r="L1070" s="21">
        <v>40000</v>
      </c>
      <c r="M1070" s="21" t="s">
        <v>394</v>
      </c>
      <c r="N1070" s="45">
        <v>1.96</v>
      </c>
      <c r="O1070" s="23">
        <f t="shared" si="32"/>
        <v>1319.5000000000002</v>
      </c>
      <c r="P1070" s="46">
        <v>2.0099999999999998</v>
      </c>
      <c r="Q1070" s="25" t="s">
        <v>43</v>
      </c>
      <c r="R1070" s="26" t="s">
        <v>33</v>
      </c>
      <c r="S1070" s="26" t="s">
        <v>236</v>
      </c>
      <c r="T1070" s="26"/>
      <c r="U1070" s="49"/>
      <c r="V1070" s="28" t="str">
        <f t="shared" si="33"/>
        <v/>
      </c>
      <c r="W1070" s="29"/>
      <c r="X1070" s="40"/>
    </row>
    <row r="1071" spans="1:24" s="37" customFormat="1" ht="21" customHeight="1">
      <c r="A1071" s="34"/>
      <c r="B1071" s="41"/>
      <c r="C1071" s="32"/>
      <c r="D1071" s="18" t="s">
        <v>421</v>
      </c>
      <c r="E1071" s="19" t="s">
        <v>389</v>
      </c>
      <c r="F1071" s="20">
        <v>15.680999999999999</v>
      </c>
      <c r="G1071" s="19">
        <v>2256</v>
      </c>
      <c r="H1071" s="20">
        <v>338</v>
      </c>
      <c r="I1071" s="19" t="s">
        <v>278</v>
      </c>
      <c r="J1071" s="20">
        <v>19028</v>
      </c>
      <c r="K1071" s="21">
        <v>59138</v>
      </c>
      <c r="L1071" s="21">
        <v>40000</v>
      </c>
      <c r="M1071" s="21" t="s">
        <v>394</v>
      </c>
      <c r="N1071" s="45">
        <v>1.96</v>
      </c>
      <c r="O1071" s="23">
        <f t="shared" si="32"/>
        <v>1319.5000000000002</v>
      </c>
      <c r="P1071" s="46">
        <v>2.0099999999999998</v>
      </c>
      <c r="Q1071" s="25" t="s">
        <v>43</v>
      </c>
      <c r="R1071" s="26" t="s">
        <v>33</v>
      </c>
      <c r="S1071" s="26" t="s">
        <v>236</v>
      </c>
      <c r="T1071" s="26"/>
      <c r="U1071" s="49"/>
      <c r="V1071" s="28" t="str">
        <f t="shared" si="33"/>
        <v/>
      </c>
      <c r="W1071" s="29"/>
      <c r="X1071" s="40"/>
    </row>
    <row r="1072" spans="1:24" s="37" customFormat="1" ht="21" customHeight="1">
      <c r="A1072" s="34"/>
      <c r="B1072" s="41"/>
      <c r="C1072" s="32"/>
      <c r="D1072" s="18" t="s">
        <v>421</v>
      </c>
      <c r="E1072" s="19" t="s">
        <v>389</v>
      </c>
      <c r="F1072" s="20">
        <v>15.680999999999999</v>
      </c>
      <c r="G1072" s="19">
        <v>2256</v>
      </c>
      <c r="H1072" s="20">
        <v>382</v>
      </c>
      <c r="I1072" s="19" t="s">
        <v>278</v>
      </c>
      <c r="J1072" s="20">
        <v>19028</v>
      </c>
      <c r="K1072" s="21">
        <v>59138</v>
      </c>
      <c r="L1072" s="21">
        <v>40000</v>
      </c>
      <c r="M1072" s="21" t="s">
        <v>394</v>
      </c>
      <c r="N1072" s="45">
        <v>1.94</v>
      </c>
      <c r="O1072" s="23">
        <f t="shared" si="32"/>
        <v>1333.1030927835052</v>
      </c>
      <c r="P1072" s="46">
        <v>2.0099999999999998</v>
      </c>
      <c r="Q1072" s="25" t="s">
        <v>43</v>
      </c>
      <c r="R1072" s="26" t="s">
        <v>33</v>
      </c>
      <c r="S1072" s="26" t="s">
        <v>236</v>
      </c>
      <c r="T1072" s="26"/>
      <c r="U1072" s="49"/>
      <c r="V1072" s="28" t="str">
        <f t="shared" si="33"/>
        <v/>
      </c>
      <c r="W1072" s="29"/>
      <c r="X1072" s="40"/>
    </row>
    <row r="1073" spans="1:24" s="37" customFormat="1" ht="21" customHeight="1">
      <c r="A1073" s="34"/>
      <c r="B1073" s="41"/>
      <c r="C1073" s="32"/>
      <c r="D1073" s="18" t="s">
        <v>421</v>
      </c>
      <c r="E1073" s="19" t="s">
        <v>389</v>
      </c>
      <c r="F1073" s="20">
        <v>15.680999999999999</v>
      </c>
      <c r="G1073" s="19">
        <v>2256</v>
      </c>
      <c r="H1073" s="20">
        <v>338</v>
      </c>
      <c r="I1073" s="19" t="s">
        <v>246</v>
      </c>
      <c r="J1073" s="20">
        <v>19028</v>
      </c>
      <c r="K1073" s="21">
        <v>59138</v>
      </c>
      <c r="L1073" s="21">
        <v>40000</v>
      </c>
      <c r="M1073" s="21" t="s">
        <v>394</v>
      </c>
      <c r="N1073" s="45">
        <v>1.92</v>
      </c>
      <c r="O1073" s="23">
        <f t="shared" si="32"/>
        <v>1346.9895833333333</v>
      </c>
      <c r="P1073" s="46">
        <v>2.0099999999999998</v>
      </c>
      <c r="Q1073" s="25" t="s">
        <v>63</v>
      </c>
      <c r="R1073" s="26" t="s">
        <v>33</v>
      </c>
      <c r="S1073" s="26" t="s">
        <v>236</v>
      </c>
      <c r="T1073" s="26"/>
      <c r="U1073" s="49"/>
      <c r="V1073" s="28" t="str">
        <f t="shared" si="33"/>
        <v/>
      </c>
      <c r="W1073" s="29"/>
      <c r="X1073" s="40"/>
    </row>
    <row r="1074" spans="1:24" s="37" customFormat="1" ht="21" customHeight="1">
      <c r="A1074" s="34"/>
      <c r="B1074" s="41"/>
      <c r="C1074" s="32"/>
      <c r="D1074" s="18" t="s">
        <v>421</v>
      </c>
      <c r="E1074" s="19" t="s">
        <v>389</v>
      </c>
      <c r="F1074" s="20">
        <v>15.680999999999999</v>
      </c>
      <c r="G1074" s="19">
        <v>2256</v>
      </c>
      <c r="H1074" s="20">
        <v>338</v>
      </c>
      <c r="I1074" s="19" t="s">
        <v>278</v>
      </c>
      <c r="J1074" s="20">
        <v>19028</v>
      </c>
      <c r="K1074" s="21">
        <v>59138</v>
      </c>
      <c r="L1074" s="21">
        <v>40000</v>
      </c>
      <c r="M1074" s="21" t="s">
        <v>394</v>
      </c>
      <c r="N1074" s="45">
        <v>1.92</v>
      </c>
      <c r="O1074" s="23">
        <f t="shared" si="32"/>
        <v>1346.9895833333333</v>
      </c>
      <c r="P1074" s="46">
        <v>2.0099999999999998</v>
      </c>
      <c r="Q1074" s="25" t="s">
        <v>63</v>
      </c>
      <c r="R1074" s="26" t="s">
        <v>33</v>
      </c>
      <c r="S1074" s="26" t="s">
        <v>236</v>
      </c>
      <c r="T1074" s="26"/>
      <c r="U1074" s="49"/>
      <c r="V1074" s="28" t="str">
        <f t="shared" si="33"/>
        <v/>
      </c>
      <c r="W1074" s="29"/>
      <c r="X1074" s="40"/>
    </row>
    <row r="1075" spans="1:24" s="37" customFormat="1" ht="21" customHeight="1">
      <c r="A1075" s="34"/>
      <c r="B1075" s="41"/>
      <c r="C1075" s="32"/>
      <c r="D1075" s="18" t="s">
        <v>421</v>
      </c>
      <c r="E1075" s="19" t="s">
        <v>389</v>
      </c>
      <c r="F1075" s="20">
        <v>15.680999999999999</v>
      </c>
      <c r="G1075" s="19">
        <v>2256</v>
      </c>
      <c r="H1075" s="20">
        <v>382</v>
      </c>
      <c r="I1075" s="19" t="s">
        <v>278</v>
      </c>
      <c r="J1075" s="20">
        <v>19028</v>
      </c>
      <c r="K1075" s="21">
        <v>59138</v>
      </c>
      <c r="L1075" s="21">
        <v>40000</v>
      </c>
      <c r="M1075" s="21" t="s">
        <v>394</v>
      </c>
      <c r="N1075" s="45">
        <v>1.92</v>
      </c>
      <c r="O1075" s="23">
        <f t="shared" si="32"/>
        <v>1346.9895833333333</v>
      </c>
      <c r="P1075" s="46">
        <v>2.0099999999999998</v>
      </c>
      <c r="Q1075" s="25" t="s">
        <v>63</v>
      </c>
      <c r="R1075" s="26" t="s">
        <v>33</v>
      </c>
      <c r="S1075" s="26" t="s">
        <v>236</v>
      </c>
      <c r="T1075" s="26"/>
      <c r="U1075" s="49"/>
      <c r="V1075" s="28" t="str">
        <f t="shared" si="33"/>
        <v/>
      </c>
      <c r="W1075" s="29"/>
      <c r="X1075" s="40"/>
    </row>
    <row r="1076" spans="1:24" s="37" customFormat="1" ht="21" customHeight="1">
      <c r="A1076" s="34"/>
      <c r="B1076" s="41"/>
      <c r="C1076" s="32"/>
      <c r="D1076" s="18" t="s">
        <v>422</v>
      </c>
      <c r="E1076" s="19" t="s">
        <v>389</v>
      </c>
      <c r="F1076" s="20">
        <v>15.680999999999999</v>
      </c>
      <c r="G1076" s="19">
        <v>2256</v>
      </c>
      <c r="H1076" s="20">
        <v>338</v>
      </c>
      <c r="I1076" s="19" t="s">
        <v>278</v>
      </c>
      <c r="J1076" s="20">
        <v>19028</v>
      </c>
      <c r="K1076" s="21">
        <v>59138</v>
      </c>
      <c r="L1076" s="21">
        <v>40000</v>
      </c>
      <c r="M1076" s="21" t="s">
        <v>394</v>
      </c>
      <c r="N1076" s="45">
        <v>1.96</v>
      </c>
      <c r="O1076" s="23">
        <f t="shared" si="32"/>
        <v>1319.5000000000002</v>
      </c>
      <c r="P1076" s="46">
        <v>2.0099999999999998</v>
      </c>
      <c r="Q1076" s="25" t="s">
        <v>43</v>
      </c>
      <c r="R1076" s="26" t="s">
        <v>33</v>
      </c>
      <c r="S1076" s="26" t="s">
        <v>236</v>
      </c>
      <c r="T1076" s="26"/>
      <c r="U1076" s="49"/>
      <c r="V1076" s="28" t="str">
        <f t="shared" si="33"/>
        <v/>
      </c>
      <c r="W1076" s="29"/>
      <c r="X1076" s="40"/>
    </row>
    <row r="1077" spans="1:24" s="37" customFormat="1" ht="21" customHeight="1">
      <c r="A1077" s="34"/>
      <c r="B1077" s="41"/>
      <c r="C1077" s="32"/>
      <c r="D1077" s="18" t="s">
        <v>422</v>
      </c>
      <c r="E1077" s="19" t="s">
        <v>389</v>
      </c>
      <c r="F1077" s="20">
        <v>15.680999999999999</v>
      </c>
      <c r="G1077" s="19">
        <v>2256</v>
      </c>
      <c r="H1077" s="20">
        <v>382</v>
      </c>
      <c r="I1077" s="19" t="s">
        <v>278</v>
      </c>
      <c r="J1077" s="20">
        <v>19028</v>
      </c>
      <c r="K1077" s="21">
        <v>59138</v>
      </c>
      <c r="L1077" s="21">
        <v>40000</v>
      </c>
      <c r="M1077" s="21" t="s">
        <v>394</v>
      </c>
      <c r="N1077" s="45">
        <v>1.94</v>
      </c>
      <c r="O1077" s="23">
        <f t="shared" si="32"/>
        <v>1333.1030927835052</v>
      </c>
      <c r="P1077" s="46">
        <v>2.0099999999999998</v>
      </c>
      <c r="Q1077" s="25" t="s">
        <v>43</v>
      </c>
      <c r="R1077" s="26" t="s">
        <v>33</v>
      </c>
      <c r="S1077" s="26" t="s">
        <v>236</v>
      </c>
      <c r="T1077" s="26"/>
      <c r="U1077" s="49"/>
      <c r="V1077" s="28" t="str">
        <f t="shared" si="33"/>
        <v/>
      </c>
      <c r="W1077" s="29"/>
      <c r="X1077" s="40"/>
    </row>
    <row r="1078" spans="1:24" s="37" customFormat="1" ht="21" customHeight="1">
      <c r="A1078" s="34"/>
      <c r="B1078" s="41"/>
      <c r="C1078" s="32"/>
      <c r="D1078" s="18" t="s">
        <v>422</v>
      </c>
      <c r="E1078" s="19" t="s">
        <v>389</v>
      </c>
      <c r="F1078" s="20">
        <v>15.680999999999999</v>
      </c>
      <c r="G1078" s="19">
        <v>2256</v>
      </c>
      <c r="H1078" s="20">
        <v>338</v>
      </c>
      <c r="I1078" s="19" t="s">
        <v>278</v>
      </c>
      <c r="J1078" s="20">
        <v>19028</v>
      </c>
      <c r="K1078" s="21">
        <v>59138</v>
      </c>
      <c r="L1078" s="21">
        <v>40000</v>
      </c>
      <c r="M1078" s="21" t="s">
        <v>394</v>
      </c>
      <c r="N1078" s="45">
        <v>1.92</v>
      </c>
      <c r="O1078" s="23">
        <f t="shared" si="32"/>
        <v>1346.9895833333333</v>
      </c>
      <c r="P1078" s="46">
        <v>2.0099999999999998</v>
      </c>
      <c r="Q1078" s="25" t="s">
        <v>63</v>
      </c>
      <c r="R1078" s="26" t="s">
        <v>33</v>
      </c>
      <c r="S1078" s="26" t="s">
        <v>236</v>
      </c>
      <c r="T1078" s="26"/>
      <c r="U1078" s="49"/>
      <c r="V1078" s="28" t="str">
        <f t="shared" si="33"/>
        <v/>
      </c>
      <c r="W1078" s="29"/>
      <c r="X1078" s="40"/>
    </row>
    <row r="1079" spans="1:24" s="37" customFormat="1" ht="21" customHeight="1">
      <c r="A1079" s="34"/>
      <c r="B1079" s="41"/>
      <c r="C1079" s="32"/>
      <c r="D1079" s="18" t="s">
        <v>422</v>
      </c>
      <c r="E1079" s="19" t="s">
        <v>389</v>
      </c>
      <c r="F1079" s="20">
        <v>15.680999999999999</v>
      </c>
      <c r="G1079" s="19">
        <v>2256</v>
      </c>
      <c r="H1079" s="20">
        <v>382</v>
      </c>
      <c r="I1079" s="19" t="s">
        <v>278</v>
      </c>
      <c r="J1079" s="20">
        <v>19028</v>
      </c>
      <c r="K1079" s="21">
        <v>59138</v>
      </c>
      <c r="L1079" s="21">
        <v>40000</v>
      </c>
      <c r="M1079" s="21" t="s">
        <v>394</v>
      </c>
      <c r="N1079" s="45">
        <v>1.92</v>
      </c>
      <c r="O1079" s="23">
        <f t="shared" si="32"/>
        <v>1346.9895833333333</v>
      </c>
      <c r="P1079" s="46">
        <v>2.0099999999999998</v>
      </c>
      <c r="Q1079" s="25" t="s">
        <v>63</v>
      </c>
      <c r="R1079" s="26" t="s">
        <v>33</v>
      </c>
      <c r="S1079" s="26" t="s">
        <v>236</v>
      </c>
      <c r="T1079" s="26"/>
      <c r="U1079" s="49"/>
      <c r="V1079" s="28" t="str">
        <f t="shared" si="33"/>
        <v/>
      </c>
      <c r="W1079" s="29"/>
      <c r="X1079" s="40"/>
    </row>
    <row r="1080" spans="1:24" s="37" customFormat="1" ht="21" customHeight="1">
      <c r="A1080" s="34"/>
      <c r="B1080" s="68" t="s">
        <v>423</v>
      </c>
      <c r="C1080" s="17" t="s">
        <v>424</v>
      </c>
      <c r="D1080" s="18" t="s">
        <v>425</v>
      </c>
      <c r="E1080" s="19" t="s">
        <v>426</v>
      </c>
      <c r="F1080" s="20">
        <v>10.836</v>
      </c>
      <c r="G1080" s="19">
        <v>1750</v>
      </c>
      <c r="H1080" s="20">
        <v>265</v>
      </c>
      <c r="I1080" s="19" t="s">
        <v>246</v>
      </c>
      <c r="J1080" s="20">
        <v>8688</v>
      </c>
      <c r="K1080" s="21">
        <v>19887</v>
      </c>
      <c r="L1080" s="21">
        <v>11089</v>
      </c>
      <c r="M1080" s="21" t="s">
        <v>31</v>
      </c>
      <c r="N1080" s="22">
        <v>4.0999999999999996</v>
      </c>
      <c r="O1080" s="23">
        <f t="shared" si="32"/>
        <v>630.78536585365862</v>
      </c>
      <c r="P1080" s="24">
        <v>4.1500000000000004</v>
      </c>
      <c r="Q1080" s="25" t="s">
        <v>63</v>
      </c>
      <c r="R1080" s="26" t="s">
        <v>427</v>
      </c>
      <c r="S1080" s="26" t="s">
        <v>110</v>
      </c>
      <c r="T1080" s="26"/>
      <c r="U1080" s="27"/>
      <c r="V1080" s="28" t="str">
        <f t="shared" si="33"/>
        <v/>
      </c>
      <c r="W1080" s="29"/>
      <c r="X1080" s="40"/>
    </row>
    <row r="1081" spans="1:24" s="37" customFormat="1" ht="21" customHeight="1">
      <c r="A1081" s="34"/>
      <c r="B1081" s="41"/>
      <c r="C1081" s="32"/>
      <c r="D1081" s="18" t="s">
        <v>428</v>
      </c>
      <c r="E1081" s="19" t="s">
        <v>426</v>
      </c>
      <c r="F1081" s="20">
        <v>10.836</v>
      </c>
      <c r="G1081" s="19">
        <v>1900</v>
      </c>
      <c r="H1081" s="20">
        <v>309</v>
      </c>
      <c r="I1081" s="19" t="s">
        <v>246</v>
      </c>
      <c r="J1081" s="20">
        <v>8765</v>
      </c>
      <c r="K1081" s="21">
        <v>24405</v>
      </c>
      <c r="L1081" s="21">
        <v>15530</v>
      </c>
      <c r="M1081" s="21" t="s">
        <v>31</v>
      </c>
      <c r="N1081" s="22">
        <v>3.95</v>
      </c>
      <c r="O1081" s="23">
        <f t="shared" si="32"/>
        <v>654.739240506329</v>
      </c>
      <c r="P1081" s="24">
        <v>4.04</v>
      </c>
      <c r="Q1081" s="25" t="s">
        <v>63</v>
      </c>
      <c r="R1081" s="26" t="s">
        <v>427</v>
      </c>
      <c r="S1081" s="26" t="s">
        <v>429</v>
      </c>
      <c r="T1081" s="26"/>
      <c r="U1081" s="27"/>
      <c r="V1081" s="28" t="str">
        <f t="shared" si="33"/>
        <v/>
      </c>
      <c r="W1081" s="29"/>
      <c r="X1081" s="40"/>
    </row>
    <row r="1082" spans="1:24" s="37" customFormat="1" ht="21" customHeight="1">
      <c r="A1082" s="50"/>
      <c r="B1082" s="68" t="s">
        <v>423</v>
      </c>
      <c r="C1082" s="17" t="s">
        <v>240</v>
      </c>
      <c r="D1082" s="18" t="s">
        <v>430</v>
      </c>
      <c r="E1082" s="19" t="s">
        <v>426</v>
      </c>
      <c r="F1082" s="20">
        <v>10.836</v>
      </c>
      <c r="G1082" s="19">
        <v>2000</v>
      </c>
      <c r="H1082" s="20">
        <v>294</v>
      </c>
      <c r="I1082" s="19" t="s">
        <v>431</v>
      </c>
      <c r="J1082" s="20">
        <v>10525</v>
      </c>
      <c r="K1082" s="21">
        <v>34635</v>
      </c>
      <c r="L1082" s="21">
        <v>24000</v>
      </c>
      <c r="M1082" s="21" t="s">
        <v>394</v>
      </c>
      <c r="N1082" s="22">
        <v>3.5</v>
      </c>
      <c r="O1082" s="23">
        <f t="shared" si="32"/>
        <v>738.92</v>
      </c>
      <c r="P1082" s="24">
        <v>3.09</v>
      </c>
      <c r="Q1082" s="25" t="s">
        <v>432</v>
      </c>
      <c r="R1082" s="26" t="s">
        <v>433</v>
      </c>
      <c r="S1082" s="26" t="s">
        <v>117</v>
      </c>
      <c r="T1082" s="26"/>
      <c r="U1082" s="49"/>
      <c r="V1082" s="28">
        <f t="shared" si="33"/>
        <v>113</v>
      </c>
    </row>
    <row r="1083" spans="1:24" s="37" customFormat="1" ht="21" customHeight="1">
      <c r="A1083" s="50"/>
      <c r="B1083" s="41"/>
      <c r="C1083" s="32"/>
      <c r="D1083" s="18" t="s">
        <v>430</v>
      </c>
      <c r="E1083" s="19" t="s">
        <v>426</v>
      </c>
      <c r="F1083" s="20">
        <v>10.836</v>
      </c>
      <c r="G1083" s="19">
        <v>2000</v>
      </c>
      <c r="H1083" s="20">
        <v>316</v>
      </c>
      <c r="I1083" s="19" t="s">
        <v>431</v>
      </c>
      <c r="J1083" s="20">
        <v>10525</v>
      </c>
      <c r="K1083" s="21">
        <v>34635</v>
      </c>
      <c r="L1083" s="21">
        <v>24000</v>
      </c>
      <c r="M1083" s="21" t="s">
        <v>394</v>
      </c>
      <c r="N1083" s="22">
        <v>3.5</v>
      </c>
      <c r="O1083" s="23">
        <f t="shared" si="32"/>
        <v>738.92</v>
      </c>
      <c r="P1083" s="24">
        <v>3.09</v>
      </c>
      <c r="Q1083" s="25" t="s">
        <v>432</v>
      </c>
      <c r="R1083" s="26" t="s">
        <v>427</v>
      </c>
      <c r="S1083" s="26" t="s">
        <v>117</v>
      </c>
      <c r="T1083" s="26"/>
      <c r="U1083" s="49"/>
      <c r="V1083" s="28">
        <f t="shared" si="33"/>
        <v>113</v>
      </c>
    </row>
    <row r="1084" spans="1:24" s="37" customFormat="1" ht="21" customHeight="1">
      <c r="A1084" s="50"/>
      <c r="B1084" s="41"/>
      <c r="C1084" s="32"/>
      <c r="D1084" s="18" t="s">
        <v>430</v>
      </c>
      <c r="E1084" s="19" t="s">
        <v>426</v>
      </c>
      <c r="F1084" s="20">
        <v>10.836</v>
      </c>
      <c r="G1084" s="19">
        <v>2250</v>
      </c>
      <c r="H1084" s="20">
        <v>339</v>
      </c>
      <c r="I1084" s="19" t="s">
        <v>431</v>
      </c>
      <c r="J1084" s="20">
        <v>10525</v>
      </c>
      <c r="K1084" s="21">
        <v>34635</v>
      </c>
      <c r="L1084" s="21">
        <v>24000</v>
      </c>
      <c r="M1084" s="21" t="s">
        <v>394</v>
      </c>
      <c r="N1084" s="22">
        <v>3.5</v>
      </c>
      <c r="O1084" s="23">
        <f t="shared" si="32"/>
        <v>738.92</v>
      </c>
      <c r="P1084" s="24">
        <v>3.09</v>
      </c>
      <c r="Q1084" s="25" t="s">
        <v>432</v>
      </c>
      <c r="R1084" s="26" t="s">
        <v>427</v>
      </c>
      <c r="S1084" s="26" t="s">
        <v>117</v>
      </c>
      <c r="T1084" s="26"/>
      <c r="U1084" s="49"/>
      <c r="V1084" s="28">
        <f t="shared" si="33"/>
        <v>113</v>
      </c>
    </row>
    <row r="1085" spans="1:24" s="37" customFormat="1" ht="21" customHeight="1">
      <c r="A1085" s="50"/>
      <c r="B1085" s="41"/>
      <c r="C1085" s="32"/>
      <c r="D1085" s="18" t="s">
        <v>430</v>
      </c>
      <c r="E1085" s="19" t="s">
        <v>426</v>
      </c>
      <c r="F1085" s="20">
        <v>10.836</v>
      </c>
      <c r="G1085" s="19">
        <v>2000</v>
      </c>
      <c r="H1085" s="20">
        <v>294</v>
      </c>
      <c r="I1085" s="19" t="s">
        <v>431</v>
      </c>
      <c r="J1085" s="20">
        <v>10525</v>
      </c>
      <c r="K1085" s="21">
        <v>34635</v>
      </c>
      <c r="L1085" s="21">
        <v>24000</v>
      </c>
      <c r="M1085" s="21" t="s">
        <v>394</v>
      </c>
      <c r="N1085" s="22">
        <v>3.4</v>
      </c>
      <c r="O1085" s="23">
        <f t="shared" si="32"/>
        <v>760.65294117647068</v>
      </c>
      <c r="P1085" s="24">
        <v>3.09</v>
      </c>
      <c r="Q1085" s="25" t="s">
        <v>434</v>
      </c>
      <c r="R1085" s="26" t="s">
        <v>433</v>
      </c>
      <c r="S1085" s="26" t="s">
        <v>117</v>
      </c>
      <c r="T1085" s="26"/>
      <c r="U1085" s="49"/>
      <c r="V1085" s="28">
        <f t="shared" si="33"/>
        <v>110</v>
      </c>
    </row>
    <row r="1086" spans="1:24" s="37" customFormat="1" ht="21" customHeight="1">
      <c r="A1086" s="50"/>
      <c r="B1086" s="41"/>
      <c r="C1086" s="32"/>
      <c r="D1086" s="18" t="s">
        <v>430</v>
      </c>
      <c r="E1086" s="19" t="s">
        <v>426</v>
      </c>
      <c r="F1086" s="20">
        <v>10.836</v>
      </c>
      <c r="G1086" s="19">
        <v>2000</v>
      </c>
      <c r="H1086" s="20">
        <v>316</v>
      </c>
      <c r="I1086" s="19" t="s">
        <v>431</v>
      </c>
      <c r="J1086" s="20">
        <v>10525</v>
      </c>
      <c r="K1086" s="21">
        <v>34635</v>
      </c>
      <c r="L1086" s="21">
        <v>24000</v>
      </c>
      <c r="M1086" s="21" t="s">
        <v>394</v>
      </c>
      <c r="N1086" s="22">
        <v>3.4</v>
      </c>
      <c r="O1086" s="23">
        <f t="shared" si="32"/>
        <v>760.65294117647068</v>
      </c>
      <c r="P1086" s="24">
        <v>3.09</v>
      </c>
      <c r="Q1086" s="25" t="s">
        <v>435</v>
      </c>
      <c r="R1086" s="26" t="s">
        <v>427</v>
      </c>
      <c r="S1086" s="26" t="s">
        <v>117</v>
      </c>
      <c r="T1086" s="26"/>
      <c r="U1086" s="49"/>
      <c r="V1086" s="28">
        <f t="shared" si="33"/>
        <v>110</v>
      </c>
    </row>
    <row r="1087" spans="1:24" s="37" customFormat="1" ht="21" customHeight="1">
      <c r="A1087" s="50"/>
      <c r="B1087" s="41"/>
      <c r="C1087" s="32"/>
      <c r="D1087" s="18" t="s">
        <v>430</v>
      </c>
      <c r="E1087" s="19" t="s">
        <v>426</v>
      </c>
      <c r="F1087" s="20">
        <v>10.836</v>
      </c>
      <c r="G1087" s="19">
        <v>2250</v>
      </c>
      <c r="H1087" s="20">
        <v>339</v>
      </c>
      <c r="I1087" s="19" t="s">
        <v>431</v>
      </c>
      <c r="J1087" s="20">
        <v>10525</v>
      </c>
      <c r="K1087" s="21">
        <v>34635</v>
      </c>
      <c r="L1087" s="21">
        <v>24000</v>
      </c>
      <c r="M1087" s="21" t="s">
        <v>394</v>
      </c>
      <c r="N1087" s="22">
        <v>3.4</v>
      </c>
      <c r="O1087" s="23">
        <f t="shared" si="32"/>
        <v>760.65294117647068</v>
      </c>
      <c r="P1087" s="24">
        <v>3.09</v>
      </c>
      <c r="Q1087" s="25" t="s">
        <v>435</v>
      </c>
      <c r="R1087" s="26" t="s">
        <v>427</v>
      </c>
      <c r="S1087" s="26" t="s">
        <v>117</v>
      </c>
      <c r="T1087" s="26"/>
      <c r="U1087" s="49"/>
      <c r="V1087" s="28">
        <f t="shared" si="33"/>
        <v>110</v>
      </c>
    </row>
    <row r="1088" spans="1:24" s="37" customFormat="1" ht="21" customHeight="1">
      <c r="A1088" s="50"/>
      <c r="B1088" s="41"/>
      <c r="C1088" s="32"/>
      <c r="D1088" s="18" t="s">
        <v>436</v>
      </c>
      <c r="E1088" s="19" t="s">
        <v>426</v>
      </c>
      <c r="F1088" s="20">
        <v>10.836</v>
      </c>
      <c r="G1088" s="19">
        <v>2000</v>
      </c>
      <c r="H1088" s="20">
        <v>316</v>
      </c>
      <c r="I1088" s="19" t="s">
        <v>431</v>
      </c>
      <c r="J1088" s="20">
        <v>10525</v>
      </c>
      <c r="K1088" s="21">
        <v>34635</v>
      </c>
      <c r="L1088" s="21">
        <v>24000</v>
      </c>
      <c r="M1088" s="21" t="s">
        <v>394</v>
      </c>
      <c r="N1088" s="22">
        <v>3.5</v>
      </c>
      <c r="O1088" s="23">
        <f t="shared" si="32"/>
        <v>738.92</v>
      </c>
      <c r="P1088" s="24">
        <v>3.09</v>
      </c>
      <c r="Q1088" s="25" t="s">
        <v>432</v>
      </c>
      <c r="R1088" s="26" t="s">
        <v>427</v>
      </c>
      <c r="S1088" s="26" t="s">
        <v>34</v>
      </c>
      <c r="T1088" s="26"/>
      <c r="U1088" s="49"/>
      <c r="V1088" s="28">
        <f t="shared" si="33"/>
        <v>113</v>
      </c>
    </row>
    <row r="1089" spans="1:22" s="37" customFormat="1" ht="21" customHeight="1">
      <c r="A1089" s="50"/>
      <c r="B1089" s="41"/>
      <c r="C1089" s="32"/>
      <c r="D1089" s="18" t="s">
        <v>436</v>
      </c>
      <c r="E1089" s="19" t="s">
        <v>426</v>
      </c>
      <c r="F1089" s="20">
        <v>10.836</v>
      </c>
      <c r="G1089" s="19">
        <v>2250</v>
      </c>
      <c r="H1089" s="20">
        <v>339</v>
      </c>
      <c r="I1089" s="19" t="s">
        <v>431</v>
      </c>
      <c r="J1089" s="20">
        <v>10525</v>
      </c>
      <c r="K1089" s="21">
        <v>34635</v>
      </c>
      <c r="L1089" s="21">
        <v>24000</v>
      </c>
      <c r="M1089" s="21" t="s">
        <v>394</v>
      </c>
      <c r="N1089" s="22">
        <v>3.5</v>
      </c>
      <c r="O1089" s="23">
        <f t="shared" si="32"/>
        <v>738.92</v>
      </c>
      <c r="P1089" s="24">
        <v>3.09</v>
      </c>
      <c r="Q1089" s="25" t="s">
        <v>432</v>
      </c>
      <c r="R1089" s="26" t="s">
        <v>427</v>
      </c>
      <c r="S1089" s="26" t="s">
        <v>34</v>
      </c>
      <c r="T1089" s="26"/>
      <c r="U1089" s="49"/>
      <c r="V1089" s="28">
        <f t="shared" si="33"/>
        <v>113</v>
      </c>
    </row>
    <row r="1090" spans="1:22" s="37" customFormat="1" ht="21" customHeight="1">
      <c r="A1090" s="50"/>
      <c r="B1090" s="41"/>
      <c r="C1090" s="32"/>
      <c r="D1090" s="18" t="s">
        <v>436</v>
      </c>
      <c r="E1090" s="19" t="s">
        <v>426</v>
      </c>
      <c r="F1090" s="20">
        <v>10.836</v>
      </c>
      <c r="G1090" s="19">
        <v>2000</v>
      </c>
      <c r="H1090" s="20">
        <v>316</v>
      </c>
      <c r="I1090" s="19" t="s">
        <v>431</v>
      </c>
      <c r="J1090" s="20">
        <v>10525</v>
      </c>
      <c r="K1090" s="21">
        <v>34635</v>
      </c>
      <c r="L1090" s="21">
        <v>24000</v>
      </c>
      <c r="M1090" s="21" t="s">
        <v>394</v>
      </c>
      <c r="N1090" s="22">
        <v>3.4</v>
      </c>
      <c r="O1090" s="23">
        <f t="shared" si="32"/>
        <v>760.65294117647068</v>
      </c>
      <c r="P1090" s="24">
        <v>3.09</v>
      </c>
      <c r="Q1090" s="25" t="s">
        <v>435</v>
      </c>
      <c r="R1090" s="26" t="s">
        <v>427</v>
      </c>
      <c r="S1090" s="26" t="s">
        <v>34</v>
      </c>
      <c r="T1090" s="26"/>
      <c r="U1090" s="49"/>
      <c r="V1090" s="28">
        <f t="shared" si="33"/>
        <v>110</v>
      </c>
    </row>
    <row r="1091" spans="1:22" s="37" customFormat="1" ht="21" customHeight="1">
      <c r="A1091" s="50"/>
      <c r="B1091" s="41"/>
      <c r="C1091" s="32"/>
      <c r="D1091" s="18" t="s">
        <v>436</v>
      </c>
      <c r="E1091" s="19" t="s">
        <v>426</v>
      </c>
      <c r="F1091" s="20">
        <v>10.836</v>
      </c>
      <c r="G1091" s="19">
        <v>2250</v>
      </c>
      <c r="H1091" s="20">
        <v>339</v>
      </c>
      <c r="I1091" s="19" t="s">
        <v>431</v>
      </c>
      <c r="J1091" s="20">
        <v>10525</v>
      </c>
      <c r="K1091" s="21">
        <v>34635</v>
      </c>
      <c r="L1091" s="21">
        <v>24000</v>
      </c>
      <c r="M1091" s="21" t="s">
        <v>394</v>
      </c>
      <c r="N1091" s="22">
        <v>3.4</v>
      </c>
      <c r="O1091" s="23">
        <f t="shared" si="32"/>
        <v>760.65294117647068</v>
      </c>
      <c r="P1091" s="24">
        <v>3.09</v>
      </c>
      <c r="Q1091" s="25" t="s">
        <v>435</v>
      </c>
      <c r="R1091" s="26" t="s">
        <v>427</v>
      </c>
      <c r="S1091" s="26" t="s">
        <v>34</v>
      </c>
      <c r="T1091" s="26"/>
      <c r="U1091" s="49"/>
      <c r="V1091" s="28">
        <f t="shared" si="33"/>
        <v>110</v>
      </c>
    </row>
    <row r="1092" spans="1:22" s="37" customFormat="1" ht="21" customHeight="1">
      <c r="A1092" s="50"/>
      <c r="B1092" s="41"/>
      <c r="C1092" s="32"/>
      <c r="D1092" s="18" t="s">
        <v>437</v>
      </c>
      <c r="E1092" s="19" t="s">
        <v>426</v>
      </c>
      <c r="F1092" s="20">
        <v>10.836</v>
      </c>
      <c r="G1092" s="19">
        <v>2000</v>
      </c>
      <c r="H1092" s="20">
        <v>294</v>
      </c>
      <c r="I1092" s="19" t="s">
        <v>431</v>
      </c>
      <c r="J1092" s="20">
        <v>10525</v>
      </c>
      <c r="K1092" s="21">
        <v>34635</v>
      </c>
      <c r="L1092" s="21">
        <v>24000</v>
      </c>
      <c r="M1092" s="21" t="s">
        <v>394</v>
      </c>
      <c r="N1092" s="22">
        <v>3.5</v>
      </c>
      <c r="O1092" s="23">
        <f t="shared" si="32"/>
        <v>738.92</v>
      </c>
      <c r="P1092" s="24">
        <v>3.09</v>
      </c>
      <c r="Q1092" s="25" t="s">
        <v>432</v>
      </c>
      <c r="R1092" s="26" t="s">
        <v>427</v>
      </c>
      <c r="S1092" s="26" t="s">
        <v>34</v>
      </c>
      <c r="T1092" s="26"/>
      <c r="U1092" s="49"/>
      <c r="V1092" s="28">
        <f t="shared" si="33"/>
        <v>113</v>
      </c>
    </row>
    <row r="1093" spans="1:22" s="37" customFormat="1" ht="21" customHeight="1">
      <c r="A1093" s="50"/>
      <c r="B1093" s="41"/>
      <c r="C1093" s="32"/>
      <c r="D1093" s="18" t="s">
        <v>437</v>
      </c>
      <c r="E1093" s="19" t="s">
        <v>426</v>
      </c>
      <c r="F1093" s="20">
        <v>10.836</v>
      </c>
      <c r="G1093" s="19">
        <v>2000</v>
      </c>
      <c r="H1093" s="20">
        <v>316</v>
      </c>
      <c r="I1093" s="19" t="s">
        <v>431</v>
      </c>
      <c r="J1093" s="20">
        <v>10525</v>
      </c>
      <c r="K1093" s="21">
        <v>34635</v>
      </c>
      <c r="L1093" s="21">
        <v>24000</v>
      </c>
      <c r="M1093" s="21" t="s">
        <v>394</v>
      </c>
      <c r="N1093" s="22">
        <v>3.5</v>
      </c>
      <c r="O1093" s="23">
        <f t="shared" si="32"/>
        <v>738.92</v>
      </c>
      <c r="P1093" s="24">
        <v>3.09</v>
      </c>
      <c r="Q1093" s="25" t="s">
        <v>432</v>
      </c>
      <c r="R1093" s="26" t="s">
        <v>427</v>
      </c>
      <c r="S1093" s="26" t="s">
        <v>34</v>
      </c>
      <c r="T1093" s="26"/>
      <c r="U1093" s="49"/>
      <c r="V1093" s="28">
        <f t="shared" si="33"/>
        <v>113</v>
      </c>
    </row>
    <row r="1094" spans="1:22" s="37" customFormat="1" ht="21" customHeight="1">
      <c r="A1094" s="50"/>
      <c r="B1094" s="41"/>
      <c r="C1094" s="32"/>
      <c r="D1094" s="18" t="s">
        <v>437</v>
      </c>
      <c r="E1094" s="19" t="s">
        <v>426</v>
      </c>
      <c r="F1094" s="20">
        <v>10.836</v>
      </c>
      <c r="G1094" s="19">
        <v>2250</v>
      </c>
      <c r="H1094" s="20">
        <v>339</v>
      </c>
      <c r="I1094" s="19" t="s">
        <v>431</v>
      </c>
      <c r="J1094" s="20">
        <v>10525</v>
      </c>
      <c r="K1094" s="21">
        <v>34635</v>
      </c>
      <c r="L1094" s="21">
        <v>24000</v>
      </c>
      <c r="M1094" s="21" t="s">
        <v>394</v>
      </c>
      <c r="N1094" s="22">
        <v>3.5</v>
      </c>
      <c r="O1094" s="23">
        <f t="shared" si="32"/>
        <v>738.92</v>
      </c>
      <c r="P1094" s="24">
        <v>3.09</v>
      </c>
      <c r="Q1094" s="25" t="s">
        <v>432</v>
      </c>
      <c r="R1094" s="26" t="s">
        <v>427</v>
      </c>
      <c r="S1094" s="26" t="s">
        <v>34</v>
      </c>
      <c r="T1094" s="26"/>
      <c r="U1094" s="49"/>
      <c r="V1094" s="28">
        <f t="shared" si="33"/>
        <v>113</v>
      </c>
    </row>
    <row r="1095" spans="1:22" s="37" customFormat="1" ht="21" customHeight="1">
      <c r="A1095" s="50"/>
      <c r="B1095" s="41"/>
      <c r="C1095" s="32"/>
      <c r="D1095" s="18" t="s">
        <v>437</v>
      </c>
      <c r="E1095" s="19" t="s">
        <v>426</v>
      </c>
      <c r="F1095" s="20">
        <v>10.836</v>
      </c>
      <c r="G1095" s="19">
        <v>2000</v>
      </c>
      <c r="H1095" s="20">
        <v>294</v>
      </c>
      <c r="I1095" s="19" t="s">
        <v>431</v>
      </c>
      <c r="J1095" s="20">
        <v>10525</v>
      </c>
      <c r="K1095" s="21">
        <v>34635</v>
      </c>
      <c r="L1095" s="21">
        <v>24000</v>
      </c>
      <c r="M1095" s="21" t="s">
        <v>394</v>
      </c>
      <c r="N1095" s="22">
        <v>3.4</v>
      </c>
      <c r="O1095" s="23">
        <f t="shared" si="32"/>
        <v>760.65294117647068</v>
      </c>
      <c r="P1095" s="24">
        <v>3.09</v>
      </c>
      <c r="Q1095" s="25" t="s">
        <v>435</v>
      </c>
      <c r="R1095" s="26" t="s">
        <v>427</v>
      </c>
      <c r="S1095" s="26" t="s">
        <v>34</v>
      </c>
      <c r="T1095" s="26"/>
      <c r="U1095" s="49"/>
      <c r="V1095" s="28">
        <f t="shared" si="33"/>
        <v>110</v>
      </c>
    </row>
    <row r="1096" spans="1:22" s="37" customFormat="1" ht="21" customHeight="1">
      <c r="A1096" s="50"/>
      <c r="B1096" s="41"/>
      <c r="C1096" s="32"/>
      <c r="D1096" s="18" t="s">
        <v>437</v>
      </c>
      <c r="E1096" s="19" t="s">
        <v>426</v>
      </c>
      <c r="F1096" s="20">
        <v>10.836</v>
      </c>
      <c r="G1096" s="19">
        <v>2000</v>
      </c>
      <c r="H1096" s="20">
        <v>316</v>
      </c>
      <c r="I1096" s="19" t="s">
        <v>431</v>
      </c>
      <c r="J1096" s="20">
        <v>10525</v>
      </c>
      <c r="K1096" s="21">
        <v>34635</v>
      </c>
      <c r="L1096" s="21">
        <v>24000</v>
      </c>
      <c r="M1096" s="21" t="s">
        <v>394</v>
      </c>
      <c r="N1096" s="22">
        <v>3.4</v>
      </c>
      <c r="O1096" s="23">
        <f t="shared" si="32"/>
        <v>760.65294117647068</v>
      </c>
      <c r="P1096" s="24">
        <v>3.09</v>
      </c>
      <c r="Q1096" s="25" t="s">
        <v>435</v>
      </c>
      <c r="R1096" s="26" t="s">
        <v>427</v>
      </c>
      <c r="S1096" s="26" t="s">
        <v>34</v>
      </c>
      <c r="T1096" s="26"/>
      <c r="U1096" s="49"/>
      <c r="V1096" s="28">
        <f t="shared" si="33"/>
        <v>110</v>
      </c>
    </row>
    <row r="1097" spans="1:22" s="37" customFormat="1" ht="21" customHeight="1">
      <c r="A1097" s="50"/>
      <c r="B1097" s="41"/>
      <c r="C1097" s="32"/>
      <c r="D1097" s="18" t="s">
        <v>437</v>
      </c>
      <c r="E1097" s="19" t="s">
        <v>426</v>
      </c>
      <c r="F1097" s="20">
        <v>10.836</v>
      </c>
      <c r="G1097" s="19">
        <v>2250</v>
      </c>
      <c r="H1097" s="20">
        <v>339</v>
      </c>
      <c r="I1097" s="19" t="s">
        <v>431</v>
      </c>
      <c r="J1097" s="20">
        <v>10525</v>
      </c>
      <c r="K1097" s="21">
        <v>34635</v>
      </c>
      <c r="L1097" s="21">
        <v>24000</v>
      </c>
      <c r="M1097" s="21" t="s">
        <v>394</v>
      </c>
      <c r="N1097" s="22">
        <v>3.4</v>
      </c>
      <c r="O1097" s="23">
        <f t="shared" ref="O1097:O1149" si="34">IF(N1097&gt;0,1/N1097*37.7*68.6,"")</f>
        <v>760.65294117647068</v>
      </c>
      <c r="P1097" s="24">
        <v>3.09</v>
      </c>
      <c r="Q1097" s="25" t="s">
        <v>435</v>
      </c>
      <c r="R1097" s="26" t="s">
        <v>427</v>
      </c>
      <c r="S1097" s="26" t="s">
        <v>34</v>
      </c>
      <c r="T1097" s="26"/>
      <c r="U1097" s="49"/>
      <c r="V1097" s="28">
        <f t="shared" ref="V1097:V1149" si="35">IFERROR(IF(N1097&lt;P1097,"",(ROUNDDOWN(N1097/P1097*100,0))),"")</f>
        <v>110</v>
      </c>
    </row>
    <row r="1098" spans="1:22" s="37" customFormat="1" ht="21" customHeight="1">
      <c r="A1098" s="50"/>
      <c r="B1098" s="41"/>
      <c r="C1098" s="32"/>
      <c r="D1098" s="18" t="s">
        <v>438</v>
      </c>
      <c r="E1098" s="19" t="s">
        <v>426</v>
      </c>
      <c r="F1098" s="20">
        <v>10.836</v>
      </c>
      <c r="G1098" s="19">
        <v>2000</v>
      </c>
      <c r="H1098" s="20">
        <v>294</v>
      </c>
      <c r="I1098" s="19" t="s">
        <v>431</v>
      </c>
      <c r="J1098" s="20">
        <v>10525</v>
      </c>
      <c r="K1098" s="21">
        <v>34635</v>
      </c>
      <c r="L1098" s="21">
        <v>24000</v>
      </c>
      <c r="M1098" s="21" t="s">
        <v>394</v>
      </c>
      <c r="N1098" s="22">
        <v>3.5</v>
      </c>
      <c r="O1098" s="23">
        <f t="shared" si="34"/>
        <v>738.92</v>
      </c>
      <c r="P1098" s="24">
        <v>3.09</v>
      </c>
      <c r="Q1098" s="25" t="s">
        <v>432</v>
      </c>
      <c r="R1098" s="26" t="s">
        <v>427</v>
      </c>
      <c r="S1098" s="26" t="s">
        <v>34</v>
      </c>
      <c r="T1098" s="26"/>
      <c r="U1098" s="49"/>
      <c r="V1098" s="28">
        <f t="shared" si="35"/>
        <v>113</v>
      </c>
    </row>
    <row r="1099" spans="1:22" s="37" customFormat="1" ht="21" customHeight="1">
      <c r="A1099" s="50"/>
      <c r="B1099" s="41"/>
      <c r="C1099" s="32"/>
      <c r="D1099" s="18" t="s">
        <v>438</v>
      </c>
      <c r="E1099" s="19" t="s">
        <v>426</v>
      </c>
      <c r="F1099" s="20">
        <v>10.836</v>
      </c>
      <c r="G1099" s="19">
        <v>2000</v>
      </c>
      <c r="H1099" s="20">
        <v>294</v>
      </c>
      <c r="I1099" s="19" t="s">
        <v>431</v>
      </c>
      <c r="J1099" s="20">
        <v>10525</v>
      </c>
      <c r="K1099" s="21">
        <v>34635</v>
      </c>
      <c r="L1099" s="21">
        <v>24000</v>
      </c>
      <c r="M1099" s="21" t="s">
        <v>394</v>
      </c>
      <c r="N1099" s="22">
        <v>3.4</v>
      </c>
      <c r="O1099" s="23">
        <f t="shared" si="34"/>
        <v>760.65294117647068</v>
      </c>
      <c r="P1099" s="24">
        <v>3.09</v>
      </c>
      <c r="Q1099" s="25" t="s">
        <v>435</v>
      </c>
      <c r="R1099" s="26" t="s">
        <v>427</v>
      </c>
      <c r="S1099" s="26" t="s">
        <v>34</v>
      </c>
      <c r="T1099" s="26"/>
      <c r="U1099" s="49"/>
      <c r="V1099" s="28">
        <f t="shared" si="35"/>
        <v>110</v>
      </c>
    </row>
    <row r="1100" spans="1:22" s="37" customFormat="1" ht="21" customHeight="1">
      <c r="A1100" s="50"/>
      <c r="B1100" s="41"/>
      <c r="C1100" s="32"/>
      <c r="D1100" s="18" t="s">
        <v>439</v>
      </c>
      <c r="E1100" s="19" t="s">
        <v>426</v>
      </c>
      <c r="F1100" s="20">
        <v>10.836</v>
      </c>
      <c r="G1100" s="19">
        <v>1900</v>
      </c>
      <c r="H1100" s="20">
        <v>309</v>
      </c>
      <c r="I1100" s="19" t="s">
        <v>440</v>
      </c>
      <c r="J1100" s="20">
        <v>10525</v>
      </c>
      <c r="K1100" s="21">
        <v>34635</v>
      </c>
      <c r="L1100" s="21">
        <v>24000</v>
      </c>
      <c r="M1100" s="21" t="s">
        <v>394</v>
      </c>
      <c r="N1100" s="22">
        <v>3.37</v>
      </c>
      <c r="O1100" s="23">
        <f t="shared" si="34"/>
        <v>767.42433234421355</v>
      </c>
      <c r="P1100" s="24">
        <v>3.09</v>
      </c>
      <c r="Q1100" s="25" t="s">
        <v>432</v>
      </c>
      <c r="R1100" s="26" t="s">
        <v>433</v>
      </c>
      <c r="S1100" s="26" t="s">
        <v>117</v>
      </c>
      <c r="T1100" s="26"/>
      <c r="U1100" s="49"/>
      <c r="V1100" s="28">
        <f t="shared" si="35"/>
        <v>109</v>
      </c>
    </row>
    <row r="1101" spans="1:22" s="37" customFormat="1" ht="21" customHeight="1">
      <c r="A1101" s="34"/>
      <c r="B1101" s="41"/>
      <c r="C1101" s="32"/>
      <c r="D1101" s="18" t="s">
        <v>439</v>
      </c>
      <c r="E1101" s="19" t="s">
        <v>426</v>
      </c>
      <c r="F1101" s="20">
        <v>10.836</v>
      </c>
      <c r="G1101" s="19">
        <v>1750</v>
      </c>
      <c r="H1101" s="20">
        <v>287</v>
      </c>
      <c r="I1101" s="19" t="s">
        <v>261</v>
      </c>
      <c r="J1101" s="20">
        <v>10525</v>
      </c>
      <c r="K1101" s="21">
        <v>34635</v>
      </c>
      <c r="L1101" s="21">
        <v>24000</v>
      </c>
      <c r="M1101" s="21" t="s">
        <v>394</v>
      </c>
      <c r="N1101" s="69">
        <v>3.33</v>
      </c>
      <c r="O1101" s="70">
        <f t="shared" si="34"/>
        <v>776.64264264264261</v>
      </c>
      <c r="P1101" s="24">
        <v>3.09</v>
      </c>
      <c r="Q1101" s="25" t="s">
        <v>432</v>
      </c>
      <c r="R1101" s="26" t="s">
        <v>433</v>
      </c>
      <c r="S1101" s="26" t="s">
        <v>117</v>
      </c>
      <c r="T1101" s="26"/>
      <c r="U1101" s="49"/>
      <c r="V1101" s="28">
        <f t="shared" si="35"/>
        <v>107</v>
      </c>
    </row>
    <row r="1102" spans="1:22" s="37" customFormat="1" ht="21" customHeight="1">
      <c r="A1102" s="50"/>
      <c r="B1102" s="31"/>
      <c r="C1102" s="32"/>
      <c r="D1102" s="18" t="s">
        <v>439</v>
      </c>
      <c r="E1102" s="19" t="s">
        <v>426</v>
      </c>
      <c r="F1102" s="20">
        <v>10.836</v>
      </c>
      <c r="G1102" s="19">
        <v>1900</v>
      </c>
      <c r="H1102" s="20">
        <v>309</v>
      </c>
      <c r="I1102" s="19" t="s">
        <v>440</v>
      </c>
      <c r="J1102" s="20">
        <v>10525</v>
      </c>
      <c r="K1102" s="21">
        <v>34635</v>
      </c>
      <c r="L1102" s="21">
        <v>24000</v>
      </c>
      <c r="M1102" s="21" t="s">
        <v>394</v>
      </c>
      <c r="N1102" s="22">
        <v>3.3</v>
      </c>
      <c r="O1102" s="23">
        <f t="shared" si="34"/>
        <v>783.70303030303035</v>
      </c>
      <c r="P1102" s="24">
        <v>3.09</v>
      </c>
      <c r="Q1102" s="25" t="s">
        <v>434</v>
      </c>
      <c r="R1102" s="26" t="s">
        <v>433</v>
      </c>
      <c r="S1102" s="26" t="s">
        <v>117</v>
      </c>
      <c r="T1102" s="26"/>
      <c r="U1102" s="49"/>
      <c r="V1102" s="28">
        <f t="shared" si="35"/>
        <v>106</v>
      </c>
    </row>
    <row r="1103" spans="1:22" s="37" customFormat="1" ht="21" customHeight="1">
      <c r="A1103" s="50"/>
      <c r="B1103" s="41"/>
      <c r="C1103" s="32"/>
      <c r="D1103" s="18" t="s">
        <v>439</v>
      </c>
      <c r="E1103" s="19" t="s">
        <v>426</v>
      </c>
      <c r="F1103" s="20">
        <v>10.836</v>
      </c>
      <c r="G1103" s="19">
        <v>1750</v>
      </c>
      <c r="H1103" s="20">
        <v>287</v>
      </c>
      <c r="I1103" s="19" t="s">
        <v>261</v>
      </c>
      <c r="J1103" s="20">
        <v>10525</v>
      </c>
      <c r="K1103" s="21">
        <v>34635</v>
      </c>
      <c r="L1103" s="21">
        <v>24000</v>
      </c>
      <c r="M1103" s="21" t="s">
        <v>394</v>
      </c>
      <c r="N1103" s="45">
        <v>3.25</v>
      </c>
      <c r="O1103" s="70">
        <f t="shared" si="34"/>
        <v>795.76</v>
      </c>
      <c r="P1103" s="24">
        <v>3.09</v>
      </c>
      <c r="Q1103" s="25" t="s">
        <v>434</v>
      </c>
      <c r="R1103" s="26" t="s">
        <v>433</v>
      </c>
      <c r="S1103" s="26" t="s">
        <v>117</v>
      </c>
      <c r="T1103" s="26"/>
      <c r="U1103" s="49"/>
      <c r="V1103" s="28">
        <f t="shared" si="35"/>
        <v>105</v>
      </c>
    </row>
    <row r="1104" spans="1:22" s="37" customFormat="1" ht="21" customHeight="1">
      <c r="A1104" s="50"/>
      <c r="B1104" s="31"/>
      <c r="C1104" s="32"/>
      <c r="D1104" s="18" t="s">
        <v>441</v>
      </c>
      <c r="E1104" s="19" t="s">
        <v>426</v>
      </c>
      <c r="F1104" s="20">
        <v>10.836</v>
      </c>
      <c r="G1104" s="19">
        <v>1900</v>
      </c>
      <c r="H1104" s="20">
        <v>309</v>
      </c>
      <c r="I1104" s="19" t="s">
        <v>440</v>
      </c>
      <c r="J1104" s="20">
        <v>10525</v>
      </c>
      <c r="K1104" s="21">
        <v>34635</v>
      </c>
      <c r="L1104" s="21">
        <v>24000</v>
      </c>
      <c r="M1104" s="21" t="s">
        <v>394</v>
      </c>
      <c r="N1104" s="22">
        <v>3.37</v>
      </c>
      <c r="O1104" s="70">
        <f t="shared" si="34"/>
        <v>767.42433234421355</v>
      </c>
      <c r="P1104" s="24">
        <v>3.09</v>
      </c>
      <c r="Q1104" s="25" t="s">
        <v>432</v>
      </c>
      <c r="R1104" s="26" t="s">
        <v>427</v>
      </c>
      <c r="S1104" s="26" t="s">
        <v>34</v>
      </c>
      <c r="T1104" s="26"/>
      <c r="U1104" s="49"/>
      <c r="V1104" s="28">
        <f t="shared" si="35"/>
        <v>109</v>
      </c>
    </row>
    <row r="1105" spans="1:22" s="37" customFormat="1" ht="21" customHeight="1">
      <c r="A1105" s="50"/>
      <c r="B1105" s="31"/>
      <c r="C1105" s="32"/>
      <c r="D1105" s="18" t="s">
        <v>441</v>
      </c>
      <c r="E1105" s="19" t="s">
        <v>426</v>
      </c>
      <c r="F1105" s="20">
        <v>10.836</v>
      </c>
      <c r="G1105" s="19">
        <v>1900</v>
      </c>
      <c r="H1105" s="20">
        <v>309</v>
      </c>
      <c r="I1105" s="19" t="s">
        <v>440</v>
      </c>
      <c r="J1105" s="20">
        <v>10525</v>
      </c>
      <c r="K1105" s="21">
        <v>34635</v>
      </c>
      <c r="L1105" s="21">
        <v>24000</v>
      </c>
      <c r="M1105" s="21" t="s">
        <v>394</v>
      </c>
      <c r="N1105" s="22">
        <v>3.3</v>
      </c>
      <c r="O1105" s="70">
        <f t="shared" si="34"/>
        <v>783.70303030303035</v>
      </c>
      <c r="P1105" s="24">
        <v>3.09</v>
      </c>
      <c r="Q1105" s="25" t="s">
        <v>435</v>
      </c>
      <c r="R1105" s="26" t="s">
        <v>427</v>
      </c>
      <c r="S1105" s="26" t="s">
        <v>34</v>
      </c>
      <c r="T1105" s="26"/>
      <c r="U1105" s="49"/>
      <c r="V1105" s="28">
        <f t="shared" si="35"/>
        <v>106</v>
      </c>
    </row>
    <row r="1106" spans="1:22" s="37" customFormat="1" ht="21" customHeight="1">
      <c r="A1106" s="50"/>
      <c r="B1106" s="31"/>
      <c r="C1106" s="32"/>
      <c r="D1106" s="18" t="s">
        <v>442</v>
      </c>
      <c r="E1106" s="19" t="s">
        <v>426</v>
      </c>
      <c r="F1106" s="20">
        <v>10.836</v>
      </c>
      <c r="G1106" s="19">
        <v>1900</v>
      </c>
      <c r="H1106" s="20">
        <v>309</v>
      </c>
      <c r="I1106" s="19" t="s">
        <v>440</v>
      </c>
      <c r="J1106" s="20">
        <v>10525</v>
      </c>
      <c r="K1106" s="21">
        <v>34635</v>
      </c>
      <c r="L1106" s="21">
        <v>24000</v>
      </c>
      <c r="M1106" s="21" t="s">
        <v>394</v>
      </c>
      <c r="N1106" s="22">
        <v>3.37</v>
      </c>
      <c r="O1106" s="70">
        <f t="shared" si="34"/>
        <v>767.42433234421355</v>
      </c>
      <c r="P1106" s="24">
        <v>3.09</v>
      </c>
      <c r="Q1106" s="25" t="s">
        <v>432</v>
      </c>
      <c r="R1106" s="26" t="s">
        <v>427</v>
      </c>
      <c r="S1106" s="26" t="s">
        <v>34</v>
      </c>
      <c r="T1106" s="26"/>
      <c r="U1106" s="49"/>
      <c r="V1106" s="28">
        <f t="shared" si="35"/>
        <v>109</v>
      </c>
    </row>
    <row r="1107" spans="1:22" s="37" customFormat="1" ht="21" customHeight="1">
      <c r="A1107" s="50"/>
      <c r="B1107" s="31"/>
      <c r="C1107" s="32"/>
      <c r="D1107" s="18" t="s">
        <v>442</v>
      </c>
      <c r="E1107" s="19" t="s">
        <v>426</v>
      </c>
      <c r="F1107" s="20">
        <v>10.836</v>
      </c>
      <c r="G1107" s="19">
        <v>1750</v>
      </c>
      <c r="H1107" s="20">
        <v>287</v>
      </c>
      <c r="I1107" s="19" t="s">
        <v>243</v>
      </c>
      <c r="J1107" s="20">
        <v>10525</v>
      </c>
      <c r="K1107" s="21">
        <v>34635</v>
      </c>
      <c r="L1107" s="21">
        <v>24000</v>
      </c>
      <c r="M1107" s="21" t="s">
        <v>394</v>
      </c>
      <c r="N1107" s="45">
        <v>3.33</v>
      </c>
      <c r="O1107" s="70">
        <f t="shared" si="34"/>
        <v>776.64264264264261</v>
      </c>
      <c r="P1107" s="24">
        <v>3.09</v>
      </c>
      <c r="Q1107" s="25" t="s">
        <v>432</v>
      </c>
      <c r="R1107" s="26" t="s">
        <v>427</v>
      </c>
      <c r="S1107" s="26" t="s">
        <v>34</v>
      </c>
      <c r="T1107" s="26"/>
      <c r="U1107" s="49"/>
      <c r="V1107" s="28">
        <f t="shared" si="35"/>
        <v>107</v>
      </c>
    </row>
    <row r="1108" spans="1:22" s="37" customFormat="1" ht="21" customHeight="1">
      <c r="A1108" s="50"/>
      <c r="B1108" s="31"/>
      <c r="C1108" s="32"/>
      <c r="D1108" s="18" t="s">
        <v>442</v>
      </c>
      <c r="E1108" s="19" t="s">
        <v>426</v>
      </c>
      <c r="F1108" s="20">
        <v>10.836</v>
      </c>
      <c r="G1108" s="19">
        <v>1900</v>
      </c>
      <c r="H1108" s="20">
        <v>309</v>
      </c>
      <c r="I1108" s="19" t="s">
        <v>440</v>
      </c>
      <c r="J1108" s="20">
        <v>10525</v>
      </c>
      <c r="K1108" s="21">
        <v>34635</v>
      </c>
      <c r="L1108" s="21">
        <v>24000</v>
      </c>
      <c r="M1108" s="21" t="s">
        <v>394</v>
      </c>
      <c r="N1108" s="22">
        <v>3.3</v>
      </c>
      <c r="O1108" s="70">
        <f t="shared" si="34"/>
        <v>783.70303030303035</v>
      </c>
      <c r="P1108" s="24">
        <v>3.09</v>
      </c>
      <c r="Q1108" s="25" t="s">
        <v>435</v>
      </c>
      <c r="R1108" s="26" t="s">
        <v>427</v>
      </c>
      <c r="S1108" s="26" t="s">
        <v>34</v>
      </c>
      <c r="T1108" s="26"/>
      <c r="U1108" s="49"/>
      <c r="V1108" s="28">
        <f t="shared" si="35"/>
        <v>106</v>
      </c>
    </row>
    <row r="1109" spans="1:22" s="37" customFormat="1" ht="21" customHeight="1">
      <c r="A1109" s="50"/>
      <c r="B1109" s="31"/>
      <c r="C1109" s="32"/>
      <c r="D1109" s="18" t="s">
        <v>442</v>
      </c>
      <c r="E1109" s="19" t="s">
        <v>426</v>
      </c>
      <c r="F1109" s="20">
        <v>10.836</v>
      </c>
      <c r="G1109" s="19">
        <v>1750</v>
      </c>
      <c r="H1109" s="20">
        <v>287</v>
      </c>
      <c r="I1109" s="19" t="s">
        <v>243</v>
      </c>
      <c r="J1109" s="20">
        <v>10525</v>
      </c>
      <c r="K1109" s="21">
        <v>34635</v>
      </c>
      <c r="L1109" s="21">
        <v>24000</v>
      </c>
      <c r="M1109" s="21" t="s">
        <v>394</v>
      </c>
      <c r="N1109" s="45">
        <v>3.25</v>
      </c>
      <c r="O1109" s="70">
        <f t="shared" si="34"/>
        <v>795.76</v>
      </c>
      <c r="P1109" s="24">
        <v>3.09</v>
      </c>
      <c r="Q1109" s="25" t="s">
        <v>435</v>
      </c>
      <c r="R1109" s="26" t="s">
        <v>427</v>
      </c>
      <c r="S1109" s="26" t="s">
        <v>34</v>
      </c>
      <c r="T1109" s="26"/>
      <c r="U1109" s="49"/>
      <c r="V1109" s="28">
        <f t="shared" si="35"/>
        <v>105</v>
      </c>
    </row>
    <row r="1110" spans="1:22" s="37" customFormat="1" ht="21" customHeight="1">
      <c r="A1110" s="50"/>
      <c r="B1110" s="31"/>
      <c r="C1110" s="32"/>
      <c r="D1110" s="18" t="s">
        <v>443</v>
      </c>
      <c r="E1110" s="19" t="s">
        <v>444</v>
      </c>
      <c r="F1110" s="20">
        <v>12.776999999999999</v>
      </c>
      <c r="G1110" s="19">
        <v>2601</v>
      </c>
      <c r="H1110" s="20">
        <v>390</v>
      </c>
      <c r="I1110" s="19" t="s">
        <v>431</v>
      </c>
      <c r="J1110" s="20">
        <v>10525</v>
      </c>
      <c r="K1110" s="21">
        <v>34635</v>
      </c>
      <c r="L1110" s="21">
        <v>24000</v>
      </c>
      <c r="M1110" s="21" t="s">
        <v>394</v>
      </c>
      <c r="N1110" s="22">
        <v>3.35</v>
      </c>
      <c r="O1110" s="70">
        <f t="shared" si="34"/>
        <v>772.00597014925359</v>
      </c>
      <c r="P1110" s="24">
        <v>3.09</v>
      </c>
      <c r="Q1110" s="25" t="s">
        <v>432</v>
      </c>
      <c r="R1110" s="26" t="s">
        <v>427</v>
      </c>
      <c r="S1110" s="26" t="s">
        <v>34</v>
      </c>
      <c r="T1110" s="26"/>
      <c r="U1110" s="49"/>
      <c r="V1110" s="28">
        <f t="shared" si="35"/>
        <v>108</v>
      </c>
    </row>
    <row r="1111" spans="1:22" s="37" customFormat="1" ht="21" customHeight="1">
      <c r="A1111" s="50"/>
      <c r="B1111" s="31"/>
      <c r="C1111" s="32"/>
      <c r="D1111" s="18" t="s">
        <v>443</v>
      </c>
      <c r="E1111" s="19" t="s">
        <v>444</v>
      </c>
      <c r="F1111" s="20">
        <v>12.776999999999999</v>
      </c>
      <c r="G1111" s="19">
        <v>2601</v>
      </c>
      <c r="H1111" s="20">
        <v>390</v>
      </c>
      <c r="I1111" s="19" t="s">
        <v>445</v>
      </c>
      <c r="J1111" s="20">
        <v>10525</v>
      </c>
      <c r="K1111" s="21">
        <v>34635</v>
      </c>
      <c r="L1111" s="21">
        <v>24000</v>
      </c>
      <c r="M1111" s="21" t="s">
        <v>394</v>
      </c>
      <c r="N1111" s="22">
        <v>3.25</v>
      </c>
      <c r="O1111" s="70">
        <f t="shared" si="34"/>
        <v>795.76</v>
      </c>
      <c r="P1111" s="24">
        <v>3.09</v>
      </c>
      <c r="Q1111" s="25" t="s">
        <v>435</v>
      </c>
      <c r="R1111" s="26" t="s">
        <v>427</v>
      </c>
      <c r="S1111" s="26" t="s">
        <v>34</v>
      </c>
      <c r="T1111" s="26"/>
      <c r="U1111" s="49"/>
      <c r="V1111" s="28">
        <f t="shared" si="35"/>
        <v>105</v>
      </c>
    </row>
    <row r="1112" spans="1:22" s="37" customFormat="1" ht="21" customHeight="1">
      <c r="A1112" s="50"/>
      <c r="B1112" s="31"/>
      <c r="C1112" s="32"/>
      <c r="D1112" s="18" t="s">
        <v>446</v>
      </c>
      <c r="E1112" s="19" t="s">
        <v>444</v>
      </c>
      <c r="F1112" s="20">
        <v>12.776999999999999</v>
      </c>
      <c r="G1112" s="19">
        <v>2601</v>
      </c>
      <c r="H1112" s="20">
        <v>390</v>
      </c>
      <c r="I1112" s="19" t="s">
        <v>431</v>
      </c>
      <c r="J1112" s="20">
        <v>10525</v>
      </c>
      <c r="K1112" s="21">
        <v>34635</v>
      </c>
      <c r="L1112" s="21">
        <v>24000</v>
      </c>
      <c r="M1112" s="21" t="s">
        <v>394</v>
      </c>
      <c r="N1112" s="22">
        <v>3.35</v>
      </c>
      <c r="O1112" s="70">
        <f t="shared" si="34"/>
        <v>772.00597014925359</v>
      </c>
      <c r="P1112" s="24">
        <v>3.09</v>
      </c>
      <c r="Q1112" s="25" t="s">
        <v>432</v>
      </c>
      <c r="R1112" s="26" t="s">
        <v>427</v>
      </c>
      <c r="S1112" s="26" t="s">
        <v>34</v>
      </c>
      <c r="T1112" s="26"/>
      <c r="U1112" s="49"/>
      <c r="V1112" s="28">
        <f t="shared" si="35"/>
        <v>108</v>
      </c>
    </row>
    <row r="1113" spans="1:22" s="37" customFormat="1" ht="21" customHeight="1">
      <c r="A1113" s="50"/>
      <c r="B1113" s="31"/>
      <c r="C1113" s="32"/>
      <c r="D1113" s="18" t="s">
        <v>446</v>
      </c>
      <c r="E1113" s="19" t="s">
        <v>444</v>
      </c>
      <c r="F1113" s="20">
        <v>12.776999999999999</v>
      </c>
      <c r="G1113" s="19">
        <v>2601</v>
      </c>
      <c r="H1113" s="20">
        <v>390</v>
      </c>
      <c r="I1113" s="19" t="s">
        <v>431</v>
      </c>
      <c r="J1113" s="20">
        <v>10525</v>
      </c>
      <c r="K1113" s="21">
        <v>34635</v>
      </c>
      <c r="L1113" s="21">
        <v>24000</v>
      </c>
      <c r="M1113" s="21" t="s">
        <v>394</v>
      </c>
      <c r="N1113" s="22">
        <v>3.25</v>
      </c>
      <c r="O1113" s="70">
        <f t="shared" si="34"/>
        <v>795.76</v>
      </c>
      <c r="P1113" s="24">
        <v>3.09</v>
      </c>
      <c r="Q1113" s="25" t="s">
        <v>435</v>
      </c>
      <c r="R1113" s="26" t="s">
        <v>427</v>
      </c>
      <c r="S1113" s="26" t="s">
        <v>34</v>
      </c>
      <c r="T1113" s="26"/>
      <c r="U1113" s="49"/>
      <c r="V1113" s="28">
        <f t="shared" si="35"/>
        <v>105</v>
      </c>
    </row>
    <row r="1114" spans="1:22" s="37" customFormat="1" ht="21" customHeight="1">
      <c r="A1114" s="50"/>
      <c r="B1114" s="31"/>
      <c r="C1114" s="32"/>
      <c r="D1114" s="18" t="s">
        <v>447</v>
      </c>
      <c r="E1114" s="19" t="s">
        <v>444</v>
      </c>
      <c r="F1114" s="20">
        <v>12.776999999999999</v>
      </c>
      <c r="G1114" s="19">
        <v>2346</v>
      </c>
      <c r="H1114" s="20">
        <v>345</v>
      </c>
      <c r="I1114" s="19" t="s">
        <v>431</v>
      </c>
      <c r="J1114" s="20">
        <v>10525</v>
      </c>
      <c r="K1114" s="21">
        <v>34635</v>
      </c>
      <c r="L1114" s="21">
        <v>24000</v>
      </c>
      <c r="M1114" s="21" t="s">
        <v>394</v>
      </c>
      <c r="N1114" s="22">
        <v>3.34</v>
      </c>
      <c r="O1114" s="70">
        <f t="shared" si="34"/>
        <v>774.31736526946122</v>
      </c>
      <c r="P1114" s="24">
        <v>3.09</v>
      </c>
      <c r="Q1114" s="25" t="s">
        <v>432</v>
      </c>
      <c r="R1114" s="26" t="s">
        <v>427</v>
      </c>
      <c r="S1114" s="26" t="s">
        <v>448</v>
      </c>
      <c r="T1114" s="26"/>
      <c r="U1114" s="49"/>
      <c r="V1114" s="28">
        <f t="shared" si="35"/>
        <v>108</v>
      </c>
    </row>
    <row r="1115" spans="1:22" s="37" customFormat="1" ht="21" customHeight="1">
      <c r="A1115" s="50"/>
      <c r="B1115" s="31"/>
      <c r="C1115" s="32"/>
      <c r="D1115" s="18" t="s">
        <v>449</v>
      </c>
      <c r="E1115" s="19" t="s">
        <v>426</v>
      </c>
      <c r="F1115" s="20">
        <v>10.836</v>
      </c>
      <c r="G1115" s="19">
        <v>1750</v>
      </c>
      <c r="H1115" s="20">
        <v>287</v>
      </c>
      <c r="I1115" s="19" t="s">
        <v>243</v>
      </c>
      <c r="J1115" s="20">
        <v>10525</v>
      </c>
      <c r="K1115" s="21">
        <v>34635</v>
      </c>
      <c r="L1115" s="21">
        <v>24000</v>
      </c>
      <c r="M1115" s="21" t="s">
        <v>394</v>
      </c>
      <c r="N1115" s="45">
        <v>3.33</v>
      </c>
      <c r="O1115" s="70">
        <f t="shared" si="34"/>
        <v>776.64264264264261</v>
      </c>
      <c r="P1115" s="24">
        <v>3.09</v>
      </c>
      <c r="Q1115" s="25" t="s">
        <v>432</v>
      </c>
      <c r="R1115" s="26" t="s">
        <v>427</v>
      </c>
      <c r="S1115" s="26" t="s">
        <v>34</v>
      </c>
      <c r="T1115" s="26"/>
      <c r="U1115" s="49"/>
      <c r="V1115" s="28">
        <f t="shared" si="35"/>
        <v>107</v>
      </c>
    </row>
    <row r="1116" spans="1:22" s="37" customFormat="1" ht="21" customHeight="1">
      <c r="A1116" s="50"/>
      <c r="B1116" s="31"/>
      <c r="C1116" s="32"/>
      <c r="D1116" s="18" t="s">
        <v>449</v>
      </c>
      <c r="E1116" s="19" t="s">
        <v>426</v>
      </c>
      <c r="F1116" s="20">
        <v>10.836</v>
      </c>
      <c r="G1116" s="19">
        <v>1750</v>
      </c>
      <c r="H1116" s="20">
        <v>287</v>
      </c>
      <c r="I1116" s="19" t="s">
        <v>243</v>
      </c>
      <c r="J1116" s="20">
        <v>10525</v>
      </c>
      <c r="K1116" s="21">
        <v>34635</v>
      </c>
      <c r="L1116" s="21">
        <v>24000</v>
      </c>
      <c r="M1116" s="21" t="s">
        <v>394</v>
      </c>
      <c r="N1116" s="45">
        <v>3.25</v>
      </c>
      <c r="O1116" s="70">
        <f t="shared" si="34"/>
        <v>795.76</v>
      </c>
      <c r="P1116" s="24">
        <v>3.09</v>
      </c>
      <c r="Q1116" s="25" t="s">
        <v>435</v>
      </c>
      <c r="R1116" s="26" t="s">
        <v>427</v>
      </c>
      <c r="S1116" s="26" t="s">
        <v>34</v>
      </c>
      <c r="T1116" s="26"/>
      <c r="U1116" s="49"/>
      <c r="V1116" s="28">
        <f t="shared" si="35"/>
        <v>105</v>
      </c>
    </row>
    <row r="1117" spans="1:22" s="37" customFormat="1" ht="21" customHeight="1">
      <c r="A1117" s="50"/>
      <c r="B1117" s="31"/>
      <c r="C1117" s="32"/>
      <c r="D1117" s="18" t="s">
        <v>450</v>
      </c>
      <c r="E1117" s="19" t="s">
        <v>444</v>
      </c>
      <c r="F1117" s="20">
        <v>12.776999999999999</v>
      </c>
      <c r="G1117" s="19">
        <v>2346</v>
      </c>
      <c r="H1117" s="20">
        <v>345</v>
      </c>
      <c r="I1117" s="19" t="s">
        <v>431</v>
      </c>
      <c r="J1117" s="20">
        <v>10525</v>
      </c>
      <c r="K1117" s="21">
        <v>34635</v>
      </c>
      <c r="L1117" s="21">
        <v>24000</v>
      </c>
      <c r="M1117" s="21" t="s">
        <v>394</v>
      </c>
      <c r="N1117" s="22">
        <v>3.24</v>
      </c>
      <c r="O1117" s="70">
        <f t="shared" si="34"/>
        <v>798.21604938271594</v>
      </c>
      <c r="P1117" s="24">
        <v>3.09</v>
      </c>
      <c r="Q1117" s="25" t="s">
        <v>435</v>
      </c>
      <c r="R1117" s="26" t="s">
        <v>427</v>
      </c>
      <c r="S1117" s="26" t="s">
        <v>448</v>
      </c>
      <c r="T1117" s="26"/>
      <c r="U1117" s="49"/>
      <c r="V1117" s="28">
        <f t="shared" si="35"/>
        <v>104</v>
      </c>
    </row>
    <row r="1118" spans="1:22" s="37" customFormat="1" ht="21" customHeight="1">
      <c r="A1118" s="50"/>
      <c r="B1118" s="31"/>
      <c r="C1118" s="32"/>
      <c r="D1118" s="18" t="s">
        <v>451</v>
      </c>
      <c r="E1118" s="19" t="s">
        <v>444</v>
      </c>
      <c r="F1118" s="20">
        <v>12.776999999999999</v>
      </c>
      <c r="G1118" s="19">
        <v>2601</v>
      </c>
      <c r="H1118" s="20">
        <v>390</v>
      </c>
      <c r="I1118" s="19" t="s">
        <v>431</v>
      </c>
      <c r="J1118" s="20">
        <v>19028</v>
      </c>
      <c r="K1118" s="21">
        <v>59138</v>
      </c>
      <c r="L1118" s="21">
        <v>40000</v>
      </c>
      <c r="M1118" s="21" t="s">
        <v>394</v>
      </c>
      <c r="N1118" s="22">
        <v>1.98</v>
      </c>
      <c r="O1118" s="70">
        <f t="shared" si="34"/>
        <v>1306.1717171717171</v>
      </c>
      <c r="P1118" s="24">
        <v>2.0099999999999998</v>
      </c>
      <c r="Q1118" s="25" t="s">
        <v>432</v>
      </c>
      <c r="R1118" s="26" t="s">
        <v>427</v>
      </c>
      <c r="S1118" s="26" t="s">
        <v>448</v>
      </c>
      <c r="T1118" s="26"/>
      <c r="U1118" s="49"/>
      <c r="V1118" s="28" t="str">
        <f t="shared" si="35"/>
        <v/>
      </c>
    </row>
    <row r="1119" spans="1:22" s="37" customFormat="1" ht="21" customHeight="1">
      <c r="A1119" s="50"/>
      <c r="B1119" s="31"/>
      <c r="C1119" s="32"/>
      <c r="D1119" s="18" t="s">
        <v>451</v>
      </c>
      <c r="E1119" s="19" t="s">
        <v>444</v>
      </c>
      <c r="F1119" s="20">
        <v>12.776999999999999</v>
      </c>
      <c r="G1119" s="19">
        <v>2346</v>
      </c>
      <c r="H1119" s="20">
        <v>345</v>
      </c>
      <c r="I1119" s="19" t="s">
        <v>431</v>
      </c>
      <c r="J1119" s="20">
        <v>19028</v>
      </c>
      <c r="K1119" s="21">
        <v>59138</v>
      </c>
      <c r="L1119" s="21">
        <v>40000</v>
      </c>
      <c r="M1119" s="21" t="s">
        <v>394</v>
      </c>
      <c r="N1119" s="22">
        <v>1.97</v>
      </c>
      <c r="O1119" s="70">
        <f t="shared" si="34"/>
        <v>1312.8020304568527</v>
      </c>
      <c r="P1119" s="24">
        <v>2.0099999999999998</v>
      </c>
      <c r="Q1119" s="25" t="s">
        <v>432</v>
      </c>
      <c r="R1119" s="26" t="s">
        <v>427</v>
      </c>
      <c r="S1119" s="26" t="s">
        <v>448</v>
      </c>
      <c r="T1119" s="26"/>
      <c r="U1119" s="49"/>
      <c r="V1119" s="28" t="str">
        <f t="shared" si="35"/>
        <v/>
      </c>
    </row>
    <row r="1120" spans="1:22" s="37" customFormat="1" ht="21" customHeight="1">
      <c r="A1120" s="50"/>
      <c r="B1120" s="31"/>
      <c r="C1120" s="32"/>
      <c r="D1120" s="18" t="s">
        <v>451</v>
      </c>
      <c r="E1120" s="19" t="s">
        <v>444</v>
      </c>
      <c r="F1120" s="20">
        <v>12.776999999999999</v>
      </c>
      <c r="G1120" s="19">
        <v>2448</v>
      </c>
      <c r="H1120" s="20">
        <v>360</v>
      </c>
      <c r="I1120" s="19" t="s">
        <v>431</v>
      </c>
      <c r="J1120" s="20">
        <v>19028</v>
      </c>
      <c r="K1120" s="21">
        <v>59138</v>
      </c>
      <c r="L1120" s="21">
        <v>40000</v>
      </c>
      <c r="M1120" s="21" t="s">
        <v>394</v>
      </c>
      <c r="N1120" s="22">
        <v>1.97</v>
      </c>
      <c r="O1120" s="70">
        <f t="shared" si="34"/>
        <v>1312.8020304568527</v>
      </c>
      <c r="P1120" s="24">
        <v>2.0099999999999998</v>
      </c>
      <c r="Q1120" s="25" t="s">
        <v>432</v>
      </c>
      <c r="R1120" s="26" t="s">
        <v>427</v>
      </c>
      <c r="S1120" s="26" t="s">
        <v>448</v>
      </c>
      <c r="T1120" s="26"/>
      <c r="U1120" s="49"/>
      <c r="V1120" s="28" t="str">
        <f t="shared" si="35"/>
        <v/>
      </c>
    </row>
    <row r="1121" spans="1:22" s="37" customFormat="1" ht="21" customHeight="1">
      <c r="A1121" s="50"/>
      <c r="B1121" s="31"/>
      <c r="C1121" s="32"/>
      <c r="D1121" s="18" t="s">
        <v>451</v>
      </c>
      <c r="E1121" s="19" t="s">
        <v>444</v>
      </c>
      <c r="F1121" s="20">
        <v>12.776999999999999</v>
      </c>
      <c r="G1121" s="19">
        <v>2601</v>
      </c>
      <c r="H1121" s="20">
        <v>390</v>
      </c>
      <c r="I1121" s="19" t="s">
        <v>431</v>
      </c>
      <c r="J1121" s="20">
        <v>19028</v>
      </c>
      <c r="K1121" s="21">
        <v>59138</v>
      </c>
      <c r="L1121" s="21">
        <v>40000</v>
      </c>
      <c r="M1121" s="21" t="s">
        <v>394</v>
      </c>
      <c r="N1121" s="22">
        <v>1.94</v>
      </c>
      <c r="O1121" s="70">
        <f t="shared" si="34"/>
        <v>1333.1030927835052</v>
      </c>
      <c r="P1121" s="24">
        <v>2.0099999999999998</v>
      </c>
      <c r="Q1121" s="25" t="s">
        <v>435</v>
      </c>
      <c r="R1121" s="26" t="s">
        <v>427</v>
      </c>
      <c r="S1121" s="26" t="s">
        <v>448</v>
      </c>
      <c r="T1121" s="26"/>
      <c r="U1121" s="49"/>
      <c r="V1121" s="28" t="str">
        <f t="shared" si="35"/>
        <v/>
      </c>
    </row>
    <row r="1122" spans="1:22" s="37" customFormat="1" ht="21" customHeight="1">
      <c r="A1122" s="50"/>
      <c r="B1122" s="31"/>
      <c r="C1122" s="32"/>
      <c r="D1122" s="18" t="s">
        <v>451</v>
      </c>
      <c r="E1122" s="19" t="s">
        <v>444</v>
      </c>
      <c r="F1122" s="20">
        <v>12.776999999999999</v>
      </c>
      <c r="G1122" s="19">
        <v>2346</v>
      </c>
      <c r="H1122" s="20">
        <v>345</v>
      </c>
      <c r="I1122" s="19" t="s">
        <v>431</v>
      </c>
      <c r="J1122" s="20">
        <v>19028</v>
      </c>
      <c r="K1122" s="21">
        <v>59138</v>
      </c>
      <c r="L1122" s="21">
        <v>40000</v>
      </c>
      <c r="M1122" s="21" t="s">
        <v>394</v>
      </c>
      <c r="N1122" s="22">
        <v>1.93</v>
      </c>
      <c r="O1122" s="70">
        <f t="shared" si="34"/>
        <v>1340.0103626943007</v>
      </c>
      <c r="P1122" s="24">
        <v>2.0099999999999998</v>
      </c>
      <c r="Q1122" s="25" t="s">
        <v>435</v>
      </c>
      <c r="R1122" s="26" t="s">
        <v>427</v>
      </c>
      <c r="S1122" s="26" t="s">
        <v>448</v>
      </c>
      <c r="T1122" s="26"/>
      <c r="U1122" s="49"/>
      <c r="V1122" s="28" t="str">
        <f t="shared" si="35"/>
        <v/>
      </c>
    </row>
    <row r="1123" spans="1:22" s="37" customFormat="1" ht="21" customHeight="1">
      <c r="A1123" s="50"/>
      <c r="B1123" s="31"/>
      <c r="C1123" s="32"/>
      <c r="D1123" s="18" t="s">
        <v>451</v>
      </c>
      <c r="E1123" s="19" t="s">
        <v>444</v>
      </c>
      <c r="F1123" s="20">
        <v>12.776999999999999</v>
      </c>
      <c r="G1123" s="19">
        <v>2448</v>
      </c>
      <c r="H1123" s="20">
        <v>360</v>
      </c>
      <c r="I1123" s="19" t="s">
        <v>431</v>
      </c>
      <c r="J1123" s="20">
        <v>19028</v>
      </c>
      <c r="K1123" s="21">
        <v>59138</v>
      </c>
      <c r="L1123" s="21">
        <v>40000</v>
      </c>
      <c r="M1123" s="21" t="s">
        <v>394</v>
      </c>
      <c r="N1123" s="22">
        <v>1.93</v>
      </c>
      <c r="O1123" s="70">
        <f t="shared" si="34"/>
        <v>1340.0103626943007</v>
      </c>
      <c r="P1123" s="24">
        <v>2.0099999999999998</v>
      </c>
      <c r="Q1123" s="25" t="s">
        <v>435</v>
      </c>
      <c r="R1123" s="26" t="s">
        <v>427</v>
      </c>
      <c r="S1123" s="26" t="s">
        <v>448</v>
      </c>
      <c r="T1123" s="26"/>
      <c r="U1123" s="49"/>
      <c r="V1123" s="28" t="str">
        <f t="shared" si="35"/>
        <v/>
      </c>
    </row>
    <row r="1124" spans="1:22" s="37" customFormat="1" ht="21" customHeight="1">
      <c r="A1124" s="50"/>
      <c r="B1124" s="31"/>
      <c r="C1124" s="32"/>
      <c r="D1124" s="18" t="s">
        <v>452</v>
      </c>
      <c r="E1124" s="19" t="s">
        <v>444</v>
      </c>
      <c r="F1124" s="20">
        <v>12.776999999999999</v>
      </c>
      <c r="G1124" s="19">
        <v>2601</v>
      </c>
      <c r="H1124" s="20">
        <v>390</v>
      </c>
      <c r="I1124" s="19" t="s">
        <v>431</v>
      </c>
      <c r="J1124" s="20">
        <v>19028</v>
      </c>
      <c r="K1124" s="21">
        <v>59138</v>
      </c>
      <c r="L1124" s="21">
        <v>40000</v>
      </c>
      <c r="M1124" s="21" t="s">
        <v>394</v>
      </c>
      <c r="N1124" s="22">
        <v>1.98</v>
      </c>
      <c r="O1124" s="70">
        <f t="shared" si="34"/>
        <v>1306.1717171717171</v>
      </c>
      <c r="P1124" s="24">
        <v>2.0099999999999998</v>
      </c>
      <c r="Q1124" s="25" t="s">
        <v>432</v>
      </c>
      <c r="R1124" s="26" t="s">
        <v>427</v>
      </c>
      <c r="S1124" s="26" t="s">
        <v>448</v>
      </c>
      <c r="T1124" s="26"/>
      <c r="U1124" s="49"/>
      <c r="V1124" s="28" t="str">
        <f t="shared" si="35"/>
        <v/>
      </c>
    </row>
    <row r="1125" spans="1:22" s="37" customFormat="1" ht="21" customHeight="1">
      <c r="A1125" s="50"/>
      <c r="B1125" s="31"/>
      <c r="C1125" s="32"/>
      <c r="D1125" s="18" t="s">
        <v>452</v>
      </c>
      <c r="E1125" s="19" t="s">
        <v>444</v>
      </c>
      <c r="F1125" s="20">
        <v>12.776999999999999</v>
      </c>
      <c r="G1125" s="19">
        <v>2346</v>
      </c>
      <c r="H1125" s="20">
        <v>345</v>
      </c>
      <c r="I1125" s="19" t="s">
        <v>431</v>
      </c>
      <c r="J1125" s="20">
        <v>19028</v>
      </c>
      <c r="K1125" s="21">
        <v>59138</v>
      </c>
      <c r="L1125" s="21">
        <v>40000</v>
      </c>
      <c r="M1125" s="21" t="s">
        <v>394</v>
      </c>
      <c r="N1125" s="22">
        <v>1.97</v>
      </c>
      <c r="O1125" s="70">
        <f t="shared" si="34"/>
        <v>1312.8020304568527</v>
      </c>
      <c r="P1125" s="24">
        <v>2.0099999999999998</v>
      </c>
      <c r="Q1125" s="25" t="s">
        <v>432</v>
      </c>
      <c r="R1125" s="26" t="s">
        <v>427</v>
      </c>
      <c r="S1125" s="26" t="s">
        <v>448</v>
      </c>
      <c r="T1125" s="26"/>
      <c r="U1125" s="49"/>
      <c r="V1125" s="28" t="str">
        <f t="shared" si="35"/>
        <v/>
      </c>
    </row>
    <row r="1126" spans="1:22" s="37" customFormat="1" ht="21" customHeight="1">
      <c r="A1126" s="50"/>
      <c r="B1126" s="31"/>
      <c r="C1126" s="32"/>
      <c r="D1126" s="18" t="s">
        <v>452</v>
      </c>
      <c r="E1126" s="19" t="s">
        <v>444</v>
      </c>
      <c r="F1126" s="20">
        <v>12.776999999999999</v>
      </c>
      <c r="G1126" s="19">
        <v>2448</v>
      </c>
      <c r="H1126" s="20">
        <v>360</v>
      </c>
      <c r="I1126" s="19" t="s">
        <v>431</v>
      </c>
      <c r="J1126" s="20">
        <v>19028</v>
      </c>
      <c r="K1126" s="21">
        <v>59138</v>
      </c>
      <c r="L1126" s="21">
        <v>40000</v>
      </c>
      <c r="M1126" s="21" t="s">
        <v>394</v>
      </c>
      <c r="N1126" s="22">
        <v>1.97</v>
      </c>
      <c r="O1126" s="70">
        <f t="shared" si="34"/>
        <v>1312.8020304568527</v>
      </c>
      <c r="P1126" s="24">
        <v>2.0099999999999998</v>
      </c>
      <c r="Q1126" s="25" t="s">
        <v>432</v>
      </c>
      <c r="R1126" s="26" t="s">
        <v>427</v>
      </c>
      <c r="S1126" s="26" t="s">
        <v>448</v>
      </c>
      <c r="T1126" s="26"/>
      <c r="U1126" s="49"/>
      <c r="V1126" s="28" t="str">
        <f t="shared" si="35"/>
        <v/>
      </c>
    </row>
    <row r="1127" spans="1:22" s="37" customFormat="1" ht="21" customHeight="1">
      <c r="A1127" s="50"/>
      <c r="B1127" s="31"/>
      <c r="C1127" s="32"/>
      <c r="D1127" s="18" t="s">
        <v>452</v>
      </c>
      <c r="E1127" s="19" t="s">
        <v>444</v>
      </c>
      <c r="F1127" s="20">
        <v>12.776999999999999</v>
      </c>
      <c r="G1127" s="19">
        <v>2601</v>
      </c>
      <c r="H1127" s="20">
        <v>390</v>
      </c>
      <c r="I1127" s="19" t="s">
        <v>431</v>
      </c>
      <c r="J1127" s="20">
        <v>19028</v>
      </c>
      <c r="K1127" s="21">
        <v>59138</v>
      </c>
      <c r="L1127" s="21">
        <v>40000</v>
      </c>
      <c r="M1127" s="21" t="s">
        <v>394</v>
      </c>
      <c r="N1127" s="22">
        <v>1.94</v>
      </c>
      <c r="O1127" s="70">
        <f t="shared" si="34"/>
        <v>1333.1030927835052</v>
      </c>
      <c r="P1127" s="24">
        <v>2.0099999999999998</v>
      </c>
      <c r="Q1127" s="25" t="s">
        <v>435</v>
      </c>
      <c r="R1127" s="26" t="s">
        <v>427</v>
      </c>
      <c r="S1127" s="26" t="s">
        <v>448</v>
      </c>
      <c r="T1127" s="26"/>
      <c r="U1127" s="49"/>
      <c r="V1127" s="28" t="str">
        <f t="shared" si="35"/>
        <v/>
      </c>
    </row>
    <row r="1128" spans="1:22" s="37" customFormat="1" ht="21" customHeight="1">
      <c r="A1128" s="50"/>
      <c r="B1128" s="31"/>
      <c r="C1128" s="32"/>
      <c r="D1128" s="18" t="s">
        <v>452</v>
      </c>
      <c r="E1128" s="19" t="s">
        <v>444</v>
      </c>
      <c r="F1128" s="20">
        <v>12.776999999999999</v>
      </c>
      <c r="G1128" s="19">
        <v>2346</v>
      </c>
      <c r="H1128" s="20">
        <v>345</v>
      </c>
      <c r="I1128" s="19" t="s">
        <v>431</v>
      </c>
      <c r="J1128" s="20">
        <v>19028</v>
      </c>
      <c r="K1128" s="21">
        <v>59138</v>
      </c>
      <c r="L1128" s="21">
        <v>40000</v>
      </c>
      <c r="M1128" s="21" t="s">
        <v>394</v>
      </c>
      <c r="N1128" s="22">
        <v>1.93</v>
      </c>
      <c r="O1128" s="70">
        <f t="shared" si="34"/>
        <v>1340.0103626943007</v>
      </c>
      <c r="P1128" s="24">
        <v>2.0099999999999998</v>
      </c>
      <c r="Q1128" s="25" t="s">
        <v>435</v>
      </c>
      <c r="R1128" s="26" t="s">
        <v>427</v>
      </c>
      <c r="S1128" s="26" t="s">
        <v>448</v>
      </c>
      <c r="T1128" s="26"/>
      <c r="U1128" s="49"/>
      <c r="V1128" s="28" t="str">
        <f t="shared" si="35"/>
        <v/>
      </c>
    </row>
    <row r="1129" spans="1:22" s="37" customFormat="1" ht="21" customHeight="1">
      <c r="A1129" s="50"/>
      <c r="B1129" s="31"/>
      <c r="C1129" s="32"/>
      <c r="D1129" s="18" t="s">
        <v>452</v>
      </c>
      <c r="E1129" s="19" t="s">
        <v>444</v>
      </c>
      <c r="F1129" s="20">
        <v>12.776999999999999</v>
      </c>
      <c r="G1129" s="19">
        <v>2448</v>
      </c>
      <c r="H1129" s="20">
        <v>360</v>
      </c>
      <c r="I1129" s="19" t="s">
        <v>431</v>
      </c>
      <c r="J1129" s="20">
        <v>19028</v>
      </c>
      <c r="K1129" s="21">
        <v>59138</v>
      </c>
      <c r="L1129" s="21">
        <v>40000</v>
      </c>
      <c r="M1129" s="21" t="s">
        <v>394</v>
      </c>
      <c r="N1129" s="22">
        <v>1.93</v>
      </c>
      <c r="O1129" s="70">
        <f t="shared" si="34"/>
        <v>1340.0103626943007</v>
      </c>
      <c r="P1129" s="24">
        <v>2.0099999999999998</v>
      </c>
      <c r="Q1129" s="25" t="s">
        <v>435</v>
      </c>
      <c r="R1129" s="26" t="s">
        <v>427</v>
      </c>
      <c r="S1129" s="26" t="s">
        <v>448</v>
      </c>
      <c r="T1129" s="26"/>
      <c r="U1129" s="49"/>
      <c r="V1129" s="28" t="str">
        <f t="shared" si="35"/>
        <v/>
      </c>
    </row>
    <row r="1130" spans="1:22" s="37" customFormat="1" ht="21" customHeight="1">
      <c r="A1130" s="50"/>
      <c r="B1130" s="31"/>
      <c r="C1130" s="32"/>
      <c r="D1130" s="18" t="s">
        <v>453</v>
      </c>
      <c r="E1130" s="19" t="s">
        <v>426</v>
      </c>
      <c r="F1130" s="20">
        <v>10.836</v>
      </c>
      <c r="G1130" s="19">
        <v>2000</v>
      </c>
      <c r="H1130" s="20">
        <v>316</v>
      </c>
      <c r="I1130" s="19" t="s">
        <v>431</v>
      </c>
      <c r="J1130" s="20">
        <v>19028</v>
      </c>
      <c r="K1130" s="21">
        <v>59138</v>
      </c>
      <c r="L1130" s="21">
        <v>40000</v>
      </c>
      <c r="M1130" s="21" t="s">
        <v>394</v>
      </c>
      <c r="N1130" s="22">
        <v>1.96</v>
      </c>
      <c r="O1130" s="70">
        <f t="shared" si="34"/>
        <v>1319.5000000000002</v>
      </c>
      <c r="P1130" s="24">
        <v>2.0099999999999998</v>
      </c>
      <c r="Q1130" s="25" t="s">
        <v>432</v>
      </c>
      <c r="R1130" s="26" t="s">
        <v>427</v>
      </c>
      <c r="S1130" s="26" t="s">
        <v>454</v>
      </c>
      <c r="T1130" s="26"/>
      <c r="U1130" s="49"/>
      <c r="V1130" s="28" t="str">
        <f t="shared" si="35"/>
        <v/>
      </c>
    </row>
    <row r="1131" spans="1:22" s="37" customFormat="1" ht="21" customHeight="1">
      <c r="A1131" s="50"/>
      <c r="B1131" s="31"/>
      <c r="C1131" s="32"/>
      <c r="D1131" s="18" t="s">
        <v>453</v>
      </c>
      <c r="E1131" s="19" t="s">
        <v>426</v>
      </c>
      <c r="F1131" s="20">
        <v>10.836</v>
      </c>
      <c r="G1131" s="19">
        <v>2000</v>
      </c>
      <c r="H1131" s="20">
        <v>316</v>
      </c>
      <c r="I1131" s="19" t="s">
        <v>431</v>
      </c>
      <c r="J1131" s="20">
        <v>19028</v>
      </c>
      <c r="K1131" s="21">
        <v>59138</v>
      </c>
      <c r="L1131" s="21">
        <v>40000</v>
      </c>
      <c r="M1131" s="21" t="s">
        <v>394</v>
      </c>
      <c r="N1131" s="22">
        <v>1.92</v>
      </c>
      <c r="O1131" s="70">
        <f t="shared" si="34"/>
        <v>1346.9895833333333</v>
      </c>
      <c r="P1131" s="24">
        <v>2.0099999999999998</v>
      </c>
      <c r="Q1131" s="25" t="s">
        <v>435</v>
      </c>
      <c r="R1131" s="26" t="s">
        <v>427</v>
      </c>
      <c r="S1131" s="26" t="s">
        <v>454</v>
      </c>
      <c r="T1131" s="26"/>
      <c r="U1131" s="49"/>
      <c r="V1131" s="28" t="str">
        <f t="shared" si="35"/>
        <v/>
      </c>
    </row>
    <row r="1132" spans="1:22" s="37" customFormat="1" ht="21" customHeight="1">
      <c r="A1132" s="50"/>
      <c r="B1132" s="31"/>
      <c r="C1132" s="32"/>
      <c r="D1132" s="18" t="s">
        <v>455</v>
      </c>
      <c r="E1132" s="19" t="s">
        <v>426</v>
      </c>
      <c r="F1132" s="20">
        <v>10.836</v>
      </c>
      <c r="G1132" s="19">
        <v>2000</v>
      </c>
      <c r="H1132" s="20">
        <v>316</v>
      </c>
      <c r="I1132" s="19" t="s">
        <v>431</v>
      </c>
      <c r="J1132" s="20">
        <v>19028</v>
      </c>
      <c r="K1132" s="21">
        <v>59138</v>
      </c>
      <c r="L1132" s="21">
        <v>40000</v>
      </c>
      <c r="M1132" s="21" t="s">
        <v>394</v>
      </c>
      <c r="N1132" s="22">
        <v>1.96</v>
      </c>
      <c r="O1132" s="70">
        <f t="shared" si="34"/>
        <v>1319.5000000000002</v>
      </c>
      <c r="P1132" s="24">
        <v>2.0099999999999998</v>
      </c>
      <c r="Q1132" s="25" t="s">
        <v>432</v>
      </c>
      <c r="R1132" s="26" t="s">
        <v>427</v>
      </c>
      <c r="S1132" s="26" t="s">
        <v>448</v>
      </c>
      <c r="T1132" s="26"/>
      <c r="U1132" s="49"/>
      <c r="V1132" s="28" t="str">
        <f t="shared" si="35"/>
        <v/>
      </c>
    </row>
    <row r="1133" spans="1:22" s="37" customFormat="1" ht="21" customHeight="1">
      <c r="A1133" s="50"/>
      <c r="B1133" s="31"/>
      <c r="C1133" s="32"/>
      <c r="D1133" s="18" t="s">
        <v>455</v>
      </c>
      <c r="E1133" s="19" t="s">
        <v>426</v>
      </c>
      <c r="F1133" s="20">
        <v>10.836</v>
      </c>
      <c r="G1133" s="19">
        <v>2250</v>
      </c>
      <c r="H1133" s="20">
        <v>339</v>
      </c>
      <c r="I1133" s="19" t="s">
        <v>431</v>
      </c>
      <c r="J1133" s="20">
        <v>19028</v>
      </c>
      <c r="K1133" s="21">
        <v>59138</v>
      </c>
      <c r="L1133" s="21">
        <v>40000</v>
      </c>
      <c r="M1133" s="21" t="s">
        <v>394</v>
      </c>
      <c r="N1133" s="22">
        <v>1.96</v>
      </c>
      <c r="O1133" s="70">
        <f t="shared" si="34"/>
        <v>1319.5000000000002</v>
      </c>
      <c r="P1133" s="24">
        <v>2.0099999999999998</v>
      </c>
      <c r="Q1133" s="25" t="s">
        <v>432</v>
      </c>
      <c r="R1133" s="26" t="s">
        <v>427</v>
      </c>
      <c r="S1133" s="26" t="s">
        <v>448</v>
      </c>
      <c r="T1133" s="26"/>
      <c r="U1133" s="49"/>
      <c r="V1133" s="28" t="str">
        <f t="shared" si="35"/>
        <v/>
      </c>
    </row>
    <row r="1134" spans="1:22" s="37" customFormat="1" ht="21" customHeight="1">
      <c r="A1134" s="50"/>
      <c r="B1134" s="31"/>
      <c r="C1134" s="32"/>
      <c r="D1134" s="18" t="s">
        <v>455</v>
      </c>
      <c r="E1134" s="19" t="s">
        <v>426</v>
      </c>
      <c r="F1134" s="20">
        <v>10.836</v>
      </c>
      <c r="G1134" s="19">
        <v>1900</v>
      </c>
      <c r="H1134" s="20">
        <v>309</v>
      </c>
      <c r="I1134" s="19" t="s">
        <v>440</v>
      </c>
      <c r="J1134" s="20">
        <v>19028</v>
      </c>
      <c r="K1134" s="21">
        <v>59138</v>
      </c>
      <c r="L1134" s="21">
        <v>40000</v>
      </c>
      <c r="M1134" s="21" t="s">
        <v>394</v>
      </c>
      <c r="N1134" s="22">
        <v>1.95</v>
      </c>
      <c r="O1134" s="70">
        <f t="shared" si="34"/>
        <v>1326.2666666666667</v>
      </c>
      <c r="P1134" s="24">
        <v>2.0099999999999998</v>
      </c>
      <c r="Q1134" s="25" t="s">
        <v>432</v>
      </c>
      <c r="R1134" s="26" t="s">
        <v>427</v>
      </c>
      <c r="S1134" s="26" t="s">
        <v>448</v>
      </c>
      <c r="T1134" s="26"/>
      <c r="U1134" s="49"/>
      <c r="V1134" s="28" t="str">
        <f t="shared" si="35"/>
        <v/>
      </c>
    </row>
    <row r="1135" spans="1:22" s="37" customFormat="1" ht="21" customHeight="1">
      <c r="A1135" s="50"/>
      <c r="B1135" s="31"/>
      <c r="C1135" s="32"/>
      <c r="D1135" s="18" t="s">
        <v>455</v>
      </c>
      <c r="E1135" s="19" t="s">
        <v>426</v>
      </c>
      <c r="F1135" s="20">
        <v>10.836</v>
      </c>
      <c r="G1135" s="19">
        <v>1900</v>
      </c>
      <c r="H1135" s="20">
        <v>309</v>
      </c>
      <c r="I1135" s="19" t="s">
        <v>440</v>
      </c>
      <c r="J1135" s="20">
        <v>19028</v>
      </c>
      <c r="K1135" s="21">
        <v>59138</v>
      </c>
      <c r="L1135" s="21">
        <v>40000</v>
      </c>
      <c r="M1135" s="21" t="s">
        <v>394</v>
      </c>
      <c r="N1135" s="22">
        <v>1.92</v>
      </c>
      <c r="O1135" s="70">
        <f t="shared" si="34"/>
        <v>1346.9895833333333</v>
      </c>
      <c r="P1135" s="24">
        <v>2.0099999999999998</v>
      </c>
      <c r="Q1135" s="25" t="s">
        <v>435</v>
      </c>
      <c r="R1135" s="26" t="s">
        <v>427</v>
      </c>
      <c r="S1135" s="26" t="s">
        <v>448</v>
      </c>
      <c r="T1135" s="26"/>
      <c r="U1135" s="49"/>
      <c r="V1135" s="28" t="str">
        <f t="shared" si="35"/>
        <v/>
      </c>
    </row>
    <row r="1136" spans="1:22" s="37" customFormat="1" ht="21" customHeight="1">
      <c r="A1136" s="50"/>
      <c r="B1136" s="31"/>
      <c r="C1136" s="32"/>
      <c r="D1136" s="18" t="s">
        <v>455</v>
      </c>
      <c r="E1136" s="19" t="s">
        <v>426</v>
      </c>
      <c r="F1136" s="20">
        <v>10.836</v>
      </c>
      <c r="G1136" s="19">
        <v>2000</v>
      </c>
      <c r="H1136" s="20">
        <v>316</v>
      </c>
      <c r="I1136" s="19" t="s">
        <v>431</v>
      </c>
      <c r="J1136" s="20">
        <v>19028</v>
      </c>
      <c r="K1136" s="21">
        <v>59138</v>
      </c>
      <c r="L1136" s="21">
        <v>40000</v>
      </c>
      <c r="M1136" s="21" t="s">
        <v>394</v>
      </c>
      <c r="N1136" s="22">
        <v>1.92</v>
      </c>
      <c r="O1136" s="70">
        <f t="shared" si="34"/>
        <v>1346.9895833333333</v>
      </c>
      <c r="P1136" s="24">
        <v>2.0099999999999998</v>
      </c>
      <c r="Q1136" s="25" t="s">
        <v>435</v>
      </c>
      <c r="R1136" s="26" t="s">
        <v>427</v>
      </c>
      <c r="S1136" s="26" t="s">
        <v>448</v>
      </c>
      <c r="T1136" s="26"/>
      <c r="U1136" s="49"/>
      <c r="V1136" s="28" t="str">
        <f t="shared" si="35"/>
        <v/>
      </c>
    </row>
    <row r="1137" spans="1:22" s="37" customFormat="1" ht="21" customHeight="1">
      <c r="A1137" s="50"/>
      <c r="B1137" s="31"/>
      <c r="C1137" s="32"/>
      <c r="D1137" s="18" t="s">
        <v>455</v>
      </c>
      <c r="E1137" s="19" t="s">
        <v>426</v>
      </c>
      <c r="F1137" s="20">
        <v>10.836</v>
      </c>
      <c r="G1137" s="19">
        <v>2250</v>
      </c>
      <c r="H1137" s="20">
        <v>339</v>
      </c>
      <c r="I1137" s="19" t="s">
        <v>431</v>
      </c>
      <c r="J1137" s="20">
        <v>19028</v>
      </c>
      <c r="K1137" s="21">
        <v>59138</v>
      </c>
      <c r="L1137" s="21">
        <v>40000</v>
      </c>
      <c r="M1137" s="21" t="s">
        <v>394</v>
      </c>
      <c r="N1137" s="22">
        <v>1.92</v>
      </c>
      <c r="O1137" s="70">
        <f t="shared" si="34"/>
        <v>1346.9895833333333</v>
      </c>
      <c r="P1137" s="24">
        <v>2.0099999999999998</v>
      </c>
      <c r="Q1137" s="25" t="s">
        <v>435</v>
      </c>
      <c r="R1137" s="26" t="s">
        <v>427</v>
      </c>
      <c r="S1137" s="26" t="s">
        <v>448</v>
      </c>
      <c r="T1137" s="26"/>
      <c r="U1137" s="49"/>
      <c r="V1137" s="28" t="str">
        <f t="shared" si="35"/>
        <v/>
      </c>
    </row>
    <row r="1138" spans="1:22" s="37" customFormat="1" ht="21" customHeight="1">
      <c r="A1138" s="50"/>
      <c r="B1138" s="31"/>
      <c r="C1138" s="32"/>
      <c r="D1138" s="18" t="s">
        <v>456</v>
      </c>
      <c r="E1138" s="19" t="s">
        <v>426</v>
      </c>
      <c r="F1138" s="20">
        <v>10.836</v>
      </c>
      <c r="G1138" s="19">
        <v>2000</v>
      </c>
      <c r="H1138" s="20">
        <v>316</v>
      </c>
      <c r="I1138" s="19" t="s">
        <v>431</v>
      </c>
      <c r="J1138" s="20">
        <v>19028</v>
      </c>
      <c r="K1138" s="21">
        <v>59138</v>
      </c>
      <c r="L1138" s="21">
        <v>40000</v>
      </c>
      <c r="M1138" s="21" t="s">
        <v>394</v>
      </c>
      <c r="N1138" s="22">
        <v>1.96</v>
      </c>
      <c r="O1138" s="70">
        <f t="shared" si="34"/>
        <v>1319.5000000000002</v>
      </c>
      <c r="P1138" s="24">
        <v>2.0099999999999998</v>
      </c>
      <c r="Q1138" s="25" t="s">
        <v>432</v>
      </c>
      <c r="R1138" s="26" t="s">
        <v>427</v>
      </c>
      <c r="S1138" s="26" t="s">
        <v>448</v>
      </c>
      <c r="T1138" s="26"/>
      <c r="U1138" s="49"/>
      <c r="V1138" s="28" t="str">
        <f t="shared" si="35"/>
        <v/>
      </c>
    </row>
    <row r="1139" spans="1:22" s="37" customFormat="1" ht="21" customHeight="1">
      <c r="A1139" s="50"/>
      <c r="B1139" s="31"/>
      <c r="C1139" s="32"/>
      <c r="D1139" s="18" t="s">
        <v>456</v>
      </c>
      <c r="E1139" s="19" t="s">
        <v>426</v>
      </c>
      <c r="F1139" s="20">
        <v>10.836</v>
      </c>
      <c r="G1139" s="19">
        <v>2250</v>
      </c>
      <c r="H1139" s="20">
        <v>339</v>
      </c>
      <c r="I1139" s="19" t="s">
        <v>431</v>
      </c>
      <c r="J1139" s="20">
        <v>19028</v>
      </c>
      <c r="K1139" s="21">
        <v>59138</v>
      </c>
      <c r="L1139" s="21">
        <v>40000</v>
      </c>
      <c r="M1139" s="21" t="s">
        <v>394</v>
      </c>
      <c r="N1139" s="22">
        <v>1.96</v>
      </c>
      <c r="O1139" s="70">
        <f t="shared" si="34"/>
        <v>1319.5000000000002</v>
      </c>
      <c r="P1139" s="24">
        <v>2.0099999999999998</v>
      </c>
      <c r="Q1139" s="25" t="s">
        <v>432</v>
      </c>
      <c r="R1139" s="26" t="s">
        <v>427</v>
      </c>
      <c r="S1139" s="26" t="s">
        <v>448</v>
      </c>
      <c r="T1139" s="26"/>
      <c r="U1139" s="49"/>
      <c r="V1139" s="28" t="str">
        <f t="shared" si="35"/>
        <v/>
      </c>
    </row>
    <row r="1140" spans="1:22" s="37" customFormat="1" ht="21" customHeight="1">
      <c r="A1140" s="50"/>
      <c r="B1140" s="31"/>
      <c r="C1140" s="32"/>
      <c r="D1140" s="18" t="s">
        <v>456</v>
      </c>
      <c r="E1140" s="19" t="s">
        <v>426</v>
      </c>
      <c r="F1140" s="20">
        <v>10.836</v>
      </c>
      <c r="G1140" s="19">
        <v>1900</v>
      </c>
      <c r="H1140" s="20">
        <v>309</v>
      </c>
      <c r="I1140" s="19" t="s">
        <v>440</v>
      </c>
      <c r="J1140" s="20">
        <v>19028</v>
      </c>
      <c r="K1140" s="21">
        <v>59138</v>
      </c>
      <c r="L1140" s="21">
        <v>40000</v>
      </c>
      <c r="M1140" s="21" t="s">
        <v>394</v>
      </c>
      <c r="N1140" s="22">
        <v>1.95</v>
      </c>
      <c r="O1140" s="70">
        <f t="shared" si="34"/>
        <v>1326.2666666666667</v>
      </c>
      <c r="P1140" s="24">
        <v>2.0099999999999998</v>
      </c>
      <c r="Q1140" s="25" t="s">
        <v>432</v>
      </c>
      <c r="R1140" s="26" t="s">
        <v>427</v>
      </c>
      <c r="S1140" s="26" t="s">
        <v>448</v>
      </c>
      <c r="T1140" s="26"/>
      <c r="U1140" s="49"/>
      <c r="V1140" s="28" t="str">
        <f t="shared" si="35"/>
        <v/>
      </c>
    </row>
    <row r="1141" spans="1:22" s="37" customFormat="1" ht="21" customHeight="1">
      <c r="A1141" s="50"/>
      <c r="B1141" s="41"/>
      <c r="C1141" s="32"/>
      <c r="D1141" s="18" t="s">
        <v>456</v>
      </c>
      <c r="E1141" s="19" t="s">
        <v>426</v>
      </c>
      <c r="F1141" s="20">
        <v>10.836</v>
      </c>
      <c r="G1141" s="19">
        <v>1900</v>
      </c>
      <c r="H1141" s="20">
        <v>309</v>
      </c>
      <c r="I1141" s="19" t="s">
        <v>440</v>
      </c>
      <c r="J1141" s="20">
        <v>19028</v>
      </c>
      <c r="K1141" s="21">
        <v>59138</v>
      </c>
      <c r="L1141" s="21">
        <v>40000</v>
      </c>
      <c r="M1141" s="21" t="s">
        <v>394</v>
      </c>
      <c r="N1141" s="22">
        <v>1.92</v>
      </c>
      <c r="O1141" s="70">
        <f t="shared" si="34"/>
        <v>1346.9895833333333</v>
      </c>
      <c r="P1141" s="24">
        <v>2.0099999999999998</v>
      </c>
      <c r="Q1141" s="25" t="s">
        <v>435</v>
      </c>
      <c r="R1141" s="26" t="s">
        <v>427</v>
      </c>
      <c r="S1141" s="26" t="s">
        <v>448</v>
      </c>
      <c r="T1141" s="26"/>
      <c r="U1141" s="49"/>
      <c r="V1141" s="28" t="str">
        <f t="shared" si="35"/>
        <v/>
      </c>
    </row>
    <row r="1142" spans="1:22" s="37" customFormat="1" ht="21" customHeight="1">
      <c r="A1142" s="50"/>
      <c r="B1142" s="31"/>
      <c r="C1142" s="32"/>
      <c r="D1142" s="18" t="s">
        <v>456</v>
      </c>
      <c r="E1142" s="19" t="s">
        <v>426</v>
      </c>
      <c r="F1142" s="20">
        <v>10.836</v>
      </c>
      <c r="G1142" s="19">
        <v>2000</v>
      </c>
      <c r="H1142" s="20">
        <v>316</v>
      </c>
      <c r="I1142" s="19" t="s">
        <v>431</v>
      </c>
      <c r="J1142" s="20">
        <v>19028</v>
      </c>
      <c r="K1142" s="21">
        <v>59138</v>
      </c>
      <c r="L1142" s="21">
        <v>40000</v>
      </c>
      <c r="M1142" s="21" t="s">
        <v>394</v>
      </c>
      <c r="N1142" s="22">
        <v>1.92</v>
      </c>
      <c r="O1142" s="70">
        <f t="shared" si="34"/>
        <v>1346.9895833333333</v>
      </c>
      <c r="P1142" s="24">
        <v>2.0099999999999998</v>
      </c>
      <c r="Q1142" s="25" t="s">
        <v>435</v>
      </c>
      <c r="R1142" s="26" t="s">
        <v>427</v>
      </c>
      <c r="S1142" s="26" t="s">
        <v>448</v>
      </c>
      <c r="T1142" s="26"/>
      <c r="U1142" s="49"/>
      <c r="V1142" s="28" t="str">
        <f t="shared" si="35"/>
        <v/>
      </c>
    </row>
    <row r="1143" spans="1:22" s="37" customFormat="1" ht="21" customHeight="1">
      <c r="A1143" s="50"/>
      <c r="B1143" s="41"/>
      <c r="C1143" s="32"/>
      <c r="D1143" s="18" t="s">
        <v>456</v>
      </c>
      <c r="E1143" s="19" t="s">
        <v>426</v>
      </c>
      <c r="F1143" s="20">
        <v>10.836</v>
      </c>
      <c r="G1143" s="19">
        <v>2250</v>
      </c>
      <c r="H1143" s="20">
        <v>339</v>
      </c>
      <c r="I1143" s="19" t="s">
        <v>431</v>
      </c>
      <c r="J1143" s="20">
        <v>19028</v>
      </c>
      <c r="K1143" s="21">
        <v>59138</v>
      </c>
      <c r="L1143" s="21">
        <v>40000</v>
      </c>
      <c r="M1143" s="21" t="s">
        <v>394</v>
      </c>
      <c r="N1143" s="22">
        <v>1.92</v>
      </c>
      <c r="O1143" s="70">
        <f t="shared" si="34"/>
        <v>1346.9895833333333</v>
      </c>
      <c r="P1143" s="24">
        <v>2.0099999999999998</v>
      </c>
      <c r="Q1143" s="25" t="s">
        <v>435</v>
      </c>
      <c r="R1143" s="26" t="s">
        <v>427</v>
      </c>
      <c r="S1143" s="26" t="s">
        <v>448</v>
      </c>
      <c r="T1143" s="26"/>
      <c r="U1143" s="49"/>
      <c r="V1143" s="28" t="str">
        <f t="shared" si="35"/>
        <v/>
      </c>
    </row>
    <row r="1144" spans="1:22" s="37" customFormat="1" ht="21" customHeight="1">
      <c r="A1144" s="50"/>
      <c r="B1144" s="41"/>
      <c r="C1144" s="32"/>
      <c r="D1144" s="18" t="s">
        <v>457</v>
      </c>
      <c r="E1144" s="19" t="s">
        <v>426</v>
      </c>
      <c r="F1144" s="20">
        <v>10.836</v>
      </c>
      <c r="G1144" s="19">
        <v>2000</v>
      </c>
      <c r="H1144" s="20">
        <v>316</v>
      </c>
      <c r="I1144" s="19" t="s">
        <v>431</v>
      </c>
      <c r="J1144" s="20">
        <v>19028</v>
      </c>
      <c r="K1144" s="21">
        <v>59138</v>
      </c>
      <c r="L1144" s="21">
        <v>40000</v>
      </c>
      <c r="M1144" s="21" t="s">
        <v>394</v>
      </c>
      <c r="N1144" s="22">
        <v>1.96</v>
      </c>
      <c r="O1144" s="70">
        <f t="shared" si="34"/>
        <v>1319.5000000000002</v>
      </c>
      <c r="P1144" s="24">
        <v>2.0099999999999998</v>
      </c>
      <c r="Q1144" s="25" t="s">
        <v>432</v>
      </c>
      <c r="R1144" s="26" t="s">
        <v>427</v>
      </c>
      <c r="S1144" s="26" t="s">
        <v>448</v>
      </c>
      <c r="T1144" s="26"/>
      <c r="U1144" s="49"/>
      <c r="V1144" s="28" t="str">
        <f t="shared" si="35"/>
        <v/>
      </c>
    </row>
    <row r="1145" spans="1:22" s="37" customFormat="1" ht="21" customHeight="1">
      <c r="A1145" s="50"/>
      <c r="B1145" s="41"/>
      <c r="C1145" s="32"/>
      <c r="D1145" s="18" t="s">
        <v>457</v>
      </c>
      <c r="E1145" s="19" t="s">
        <v>426</v>
      </c>
      <c r="F1145" s="20">
        <v>10.836</v>
      </c>
      <c r="G1145" s="19">
        <v>2250</v>
      </c>
      <c r="H1145" s="20">
        <v>339</v>
      </c>
      <c r="I1145" s="19" t="s">
        <v>431</v>
      </c>
      <c r="J1145" s="20">
        <v>19028</v>
      </c>
      <c r="K1145" s="21">
        <v>59138</v>
      </c>
      <c r="L1145" s="21">
        <v>40000</v>
      </c>
      <c r="M1145" s="21" t="s">
        <v>394</v>
      </c>
      <c r="N1145" s="22">
        <v>1.96</v>
      </c>
      <c r="O1145" s="70">
        <f t="shared" si="34"/>
        <v>1319.5000000000002</v>
      </c>
      <c r="P1145" s="24">
        <v>2.0099999999999998</v>
      </c>
      <c r="Q1145" s="25" t="s">
        <v>432</v>
      </c>
      <c r="R1145" s="26" t="s">
        <v>427</v>
      </c>
      <c r="S1145" s="26" t="s">
        <v>448</v>
      </c>
      <c r="T1145" s="26"/>
      <c r="U1145" s="49"/>
      <c r="V1145" s="28" t="str">
        <f t="shared" si="35"/>
        <v/>
      </c>
    </row>
    <row r="1146" spans="1:22" s="37" customFormat="1" ht="21" customHeight="1">
      <c r="A1146" s="50"/>
      <c r="B1146" s="41"/>
      <c r="C1146" s="32"/>
      <c r="D1146" s="18" t="s">
        <v>457</v>
      </c>
      <c r="E1146" s="19" t="s">
        <v>426</v>
      </c>
      <c r="F1146" s="20">
        <v>10.836</v>
      </c>
      <c r="G1146" s="19">
        <v>1900</v>
      </c>
      <c r="H1146" s="20">
        <v>309</v>
      </c>
      <c r="I1146" s="19" t="s">
        <v>440</v>
      </c>
      <c r="J1146" s="20">
        <v>19028</v>
      </c>
      <c r="K1146" s="21">
        <v>59138</v>
      </c>
      <c r="L1146" s="21">
        <v>40000</v>
      </c>
      <c r="M1146" s="21" t="s">
        <v>394</v>
      </c>
      <c r="N1146" s="22">
        <v>1.95</v>
      </c>
      <c r="O1146" s="70">
        <f t="shared" si="34"/>
        <v>1326.2666666666667</v>
      </c>
      <c r="P1146" s="24">
        <v>2.0099999999999998</v>
      </c>
      <c r="Q1146" s="25" t="s">
        <v>432</v>
      </c>
      <c r="R1146" s="26" t="s">
        <v>427</v>
      </c>
      <c r="S1146" s="26" t="s">
        <v>448</v>
      </c>
      <c r="T1146" s="26"/>
      <c r="U1146" s="49"/>
      <c r="V1146" s="28" t="str">
        <f t="shared" si="35"/>
        <v/>
      </c>
    </row>
    <row r="1147" spans="1:22" s="37" customFormat="1" ht="21" customHeight="1">
      <c r="A1147" s="50"/>
      <c r="B1147" s="41"/>
      <c r="C1147" s="32"/>
      <c r="D1147" s="18" t="s">
        <v>457</v>
      </c>
      <c r="E1147" s="19" t="s">
        <v>426</v>
      </c>
      <c r="F1147" s="20">
        <v>10.836</v>
      </c>
      <c r="G1147" s="19">
        <v>1900</v>
      </c>
      <c r="H1147" s="20">
        <v>309</v>
      </c>
      <c r="I1147" s="19" t="s">
        <v>440</v>
      </c>
      <c r="J1147" s="20">
        <v>19028</v>
      </c>
      <c r="K1147" s="21">
        <v>59138</v>
      </c>
      <c r="L1147" s="21">
        <v>40000</v>
      </c>
      <c r="M1147" s="21" t="s">
        <v>394</v>
      </c>
      <c r="N1147" s="22">
        <v>1.92</v>
      </c>
      <c r="O1147" s="70">
        <f t="shared" si="34"/>
        <v>1346.9895833333333</v>
      </c>
      <c r="P1147" s="24">
        <v>2.0099999999999998</v>
      </c>
      <c r="Q1147" s="25" t="s">
        <v>435</v>
      </c>
      <c r="R1147" s="26" t="s">
        <v>427</v>
      </c>
      <c r="S1147" s="26" t="s">
        <v>448</v>
      </c>
      <c r="T1147" s="26"/>
      <c r="U1147" s="49"/>
      <c r="V1147" s="28" t="str">
        <f t="shared" si="35"/>
        <v/>
      </c>
    </row>
    <row r="1148" spans="1:22" s="37" customFormat="1" ht="21" customHeight="1">
      <c r="A1148" s="50"/>
      <c r="B1148" s="41"/>
      <c r="C1148" s="32"/>
      <c r="D1148" s="18" t="s">
        <v>457</v>
      </c>
      <c r="E1148" s="19" t="s">
        <v>426</v>
      </c>
      <c r="F1148" s="20">
        <v>10.836</v>
      </c>
      <c r="G1148" s="19">
        <v>2000</v>
      </c>
      <c r="H1148" s="20">
        <v>316</v>
      </c>
      <c r="I1148" s="19" t="s">
        <v>431</v>
      </c>
      <c r="J1148" s="20">
        <v>19028</v>
      </c>
      <c r="K1148" s="21">
        <v>59138</v>
      </c>
      <c r="L1148" s="21">
        <v>40000</v>
      </c>
      <c r="M1148" s="21" t="s">
        <v>394</v>
      </c>
      <c r="N1148" s="22">
        <v>1.92</v>
      </c>
      <c r="O1148" s="70">
        <f t="shared" si="34"/>
        <v>1346.9895833333333</v>
      </c>
      <c r="P1148" s="24">
        <v>2.0099999999999998</v>
      </c>
      <c r="Q1148" s="25" t="s">
        <v>435</v>
      </c>
      <c r="R1148" s="26" t="s">
        <v>427</v>
      </c>
      <c r="S1148" s="26" t="s">
        <v>448</v>
      </c>
      <c r="T1148" s="26"/>
      <c r="U1148" s="49"/>
      <c r="V1148" s="28" t="str">
        <f t="shared" si="35"/>
        <v/>
      </c>
    </row>
    <row r="1149" spans="1:22" s="37" customFormat="1" ht="21" customHeight="1" thickBot="1">
      <c r="A1149" s="71"/>
      <c r="B1149" s="72"/>
      <c r="C1149" s="73"/>
      <c r="D1149" s="18" t="s">
        <v>457</v>
      </c>
      <c r="E1149" s="19" t="s">
        <v>426</v>
      </c>
      <c r="F1149" s="20">
        <v>10.836</v>
      </c>
      <c r="G1149" s="19">
        <v>2250</v>
      </c>
      <c r="H1149" s="20">
        <v>339</v>
      </c>
      <c r="I1149" s="19" t="s">
        <v>431</v>
      </c>
      <c r="J1149" s="20">
        <v>19028</v>
      </c>
      <c r="K1149" s="21">
        <v>59138</v>
      </c>
      <c r="L1149" s="21">
        <v>40000</v>
      </c>
      <c r="M1149" s="21" t="s">
        <v>394</v>
      </c>
      <c r="N1149" s="74">
        <v>1.92</v>
      </c>
      <c r="O1149" s="75">
        <f t="shared" si="34"/>
        <v>1346.9895833333333</v>
      </c>
      <c r="P1149" s="24">
        <v>2.0099999999999998</v>
      </c>
      <c r="Q1149" s="25" t="s">
        <v>435</v>
      </c>
      <c r="R1149" s="26" t="s">
        <v>427</v>
      </c>
      <c r="S1149" s="26" t="s">
        <v>448</v>
      </c>
      <c r="T1149" s="26"/>
      <c r="U1149" s="49"/>
      <c r="V1149" s="28" t="str">
        <f t="shared" si="35"/>
        <v/>
      </c>
    </row>
    <row r="1150" spans="1:22">
      <c r="B1150" s="76" t="s">
        <v>458</v>
      </c>
    </row>
    <row r="1151" spans="1:22">
      <c r="B1151" s="2" t="s">
        <v>459</v>
      </c>
    </row>
    <row r="1152" spans="1:22">
      <c r="B1152" s="2" t="s">
        <v>460</v>
      </c>
    </row>
    <row r="1154" spans="2:3" ht="12">
      <c r="B1154" s="78"/>
    </row>
    <row r="1155" spans="2:3">
      <c r="B1155" s="3"/>
      <c r="C1155" s="3"/>
    </row>
    <row r="1156" spans="2:3">
      <c r="C1156" s="3"/>
    </row>
    <row r="1157" spans="2:3">
      <c r="C1157" s="3"/>
    </row>
  </sheetData>
  <sheetProtection selectLockedCells="1"/>
  <mergeCells count="24">
    <mergeCell ref="A4:A8"/>
    <mergeCell ref="B4:C8"/>
    <mergeCell ref="D4:D8"/>
    <mergeCell ref="E4:H5"/>
    <mergeCell ref="I4:I8"/>
    <mergeCell ref="V4:V8"/>
    <mergeCell ref="N5:N8"/>
    <mergeCell ref="O5:O8"/>
    <mergeCell ref="P5:P8"/>
    <mergeCell ref="S2:V2"/>
    <mergeCell ref="T6:T8"/>
    <mergeCell ref="N4:P4"/>
    <mergeCell ref="Q4:Q8"/>
    <mergeCell ref="R4:T5"/>
    <mergeCell ref="U4:U8"/>
    <mergeCell ref="F6:F8"/>
    <mergeCell ref="G6:G8"/>
    <mergeCell ref="H6:H8"/>
    <mergeCell ref="R6:R8"/>
    <mergeCell ref="S6:S8"/>
    <mergeCell ref="J4:J8"/>
    <mergeCell ref="K4:K8"/>
    <mergeCell ref="L4:L8"/>
    <mergeCell ref="M4:M8"/>
  </mergeCells>
  <phoneticPr fontId="4"/>
  <conditionalFormatting sqref="G61:H63">
    <cfRule type="cellIs" dxfId="5" priority="1" stopIfTrue="1" operator="equal">
      <formula>706</formula>
    </cfRule>
    <cfRule type="cellIs" dxfId="4" priority="2" stopIfTrue="1" operator="equal">
      <formula>761</formula>
    </cfRule>
  </conditionalFormatting>
  <printOptions horizontalCentered="1"/>
  <pageMargins left="0.39370078740157483" right="0.39370078740157483" top="0.39370078740157483" bottom="0.39370078740157483" header="0.19685039370078741" footer="0.39370078740157483"/>
  <pageSetup paperSize="9" scale="57" fitToHeight="0" orientation="landscape" horizontalDpi="400" verticalDpi="400" r:id="rId1"/>
  <headerFooter alignWithMargins="0">
    <oddHeader>&amp;R様式3-4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E385-D8A6-47D9-9CD1-2EA0093CC640}">
  <sheetPr>
    <tabColor theme="6"/>
    <pageSetUpPr fitToPage="1"/>
  </sheetPr>
  <dimension ref="A1:W361"/>
  <sheetViews>
    <sheetView showGridLines="0" topLeftCell="C336" zoomScaleNormal="100" zoomScaleSheetLayoutView="100" workbookViewId="0">
      <selection activeCell="A3" sqref="A3"/>
    </sheetView>
  </sheetViews>
  <sheetFormatPr defaultColWidth="8.25" defaultRowHeight="11.25"/>
  <cols>
    <col min="1" max="1" width="14.875" style="3" customWidth="1"/>
    <col min="2" max="2" width="4.25" style="3" bestFit="1" customWidth="1"/>
    <col min="3" max="3" width="24.625" style="3" customWidth="1"/>
    <col min="4" max="4" width="11.625" style="3" bestFit="1" customWidth="1"/>
    <col min="5" max="5" width="7.875" style="3" bestFit="1" customWidth="1"/>
    <col min="6" max="6" width="7.75" style="3" bestFit="1" customWidth="1"/>
    <col min="7" max="7" width="9.75" style="3" bestFit="1" customWidth="1"/>
    <col min="8" max="8" width="9.125" style="3" bestFit="1" customWidth="1"/>
    <col min="9" max="9" width="11.375" style="3" bestFit="1" customWidth="1"/>
    <col min="10" max="10" width="6.5" style="3" customWidth="1"/>
    <col min="11" max="11" width="9.125" style="3" customWidth="1"/>
    <col min="12" max="12" width="9.875" style="3" customWidth="1"/>
    <col min="13" max="13" width="8.875" style="3" bestFit="1" customWidth="1"/>
    <col min="14" max="14" width="5.625" style="3" customWidth="1"/>
    <col min="15" max="15" width="8.625" style="3" bestFit="1" customWidth="1"/>
    <col min="16" max="16" width="7.125" style="3" customWidth="1"/>
    <col min="17" max="17" width="15.625" style="3" bestFit="1" customWidth="1"/>
    <col min="18" max="18" width="14.875" style="3" bestFit="1" customWidth="1"/>
    <col min="19" max="19" width="10.375" style="3" bestFit="1" customWidth="1"/>
    <col min="20" max="20" width="8.875" style="3" customWidth="1"/>
    <col min="21" max="21" width="12.125" style="3" bestFit="1" customWidth="1"/>
    <col min="22" max="22" width="8.875" style="10" customWidth="1"/>
    <col min="23" max="16384" width="8.25" style="3"/>
  </cols>
  <sheetData>
    <row r="1" spans="1:22" ht="21" customHeight="1">
      <c r="A1" s="157"/>
      <c r="V1" s="3"/>
    </row>
    <row r="2" spans="1:22" ht="15.75">
      <c r="C2" s="156"/>
      <c r="F2" s="155"/>
      <c r="G2" s="155"/>
      <c r="H2" s="155"/>
      <c r="L2" s="6" t="s">
        <v>576</v>
      </c>
      <c r="M2" s="7"/>
      <c r="N2" s="7"/>
      <c r="O2" s="7"/>
      <c r="P2" s="7"/>
      <c r="Q2" s="7"/>
      <c r="R2" s="7"/>
      <c r="S2" s="154"/>
      <c r="T2" s="153"/>
      <c r="U2" s="153"/>
      <c r="V2" s="153"/>
    </row>
    <row r="3" spans="1:22" ht="19.5" customHeight="1">
      <c r="A3" s="152" t="s">
        <v>1</v>
      </c>
      <c r="V3" s="9" t="s">
        <v>2</v>
      </c>
    </row>
    <row r="4" spans="1:22" ht="11.25" customHeight="1" thickBot="1">
      <c r="A4" s="82" t="s">
        <v>3</v>
      </c>
      <c r="B4" s="82" t="s">
        <v>4</v>
      </c>
      <c r="C4" s="114"/>
      <c r="D4" s="82" t="s">
        <v>5</v>
      </c>
      <c r="E4" s="82" t="s">
        <v>6</v>
      </c>
      <c r="F4" s="82"/>
      <c r="G4" s="82"/>
      <c r="H4" s="82"/>
      <c r="I4" s="95" t="s">
        <v>7</v>
      </c>
      <c r="J4" s="95" t="s">
        <v>8</v>
      </c>
      <c r="K4" s="116" t="s">
        <v>9</v>
      </c>
      <c r="L4" s="116" t="s">
        <v>10</v>
      </c>
      <c r="M4" s="117" t="s">
        <v>11</v>
      </c>
      <c r="N4" s="92" t="s">
        <v>12</v>
      </c>
      <c r="O4" s="93"/>
      <c r="P4" s="94"/>
      <c r="Q4" s="95" t="s">
        <v>13</v>
      </c>
      <c r="R4" s="96" t="s">
        <v>14</v>
      </c>
      <c r="S4" s="96"/>
      <c r="T4" s="96"/>
      <c r="U4" s="97" t="s">
        <v>15</v>
      </c>
      <c r="V4" s="100" t="s">
        <v>16</v>
      </c>
    </row>
    <row r="5" spans="1:22" ht="11.25" customHeight="1">
      <c r="A5" s="82"/>
      <c r="B5" s="82"/>
      <c r="C5" s="114"/>
      <c r="D5" s="82"/>
      <c r="E5" s="82"/>
      <c r="F5" s="82"/>
      <c r="G5" s="82"/>
      <c r="H5" s="82"/>
      <c r="I5" s="95"/>
      <c r="J5" s="95"/>
      <c r="K5" s="116"/>
      <c r="L5" s="116"/>
      <c r="M5" s="118"/>
      <c r="N5" s="103" t="s">
        <v>17</v>
      </c>
      <c r="O5" s="106" t="s">
        <v>18</v>
      </c>
      <c r="P5" s="109" t="s">
        <v>19</v>
      </c>
      <c r="Q5" s="95"/>
      <c r="R5" s="96"/>
      <c r="S5" s="96"/>
      <c r="T5" s="96"/>
      <c r="U5" s="98"/>
      <c r="V5" s="101"/>
    </row>
    <row r="6" spans="1:22">
      <c r="A6" s="82"/>
      <c r="B6" s="82"/>
      <c r="C6" s="114"/>
      <c r="D6" s="82"/>
      <c r="E6" s="10"/>
      <c r="F6" s="81" t="s">
        <v>20</v>
      </c>
      <c r="G6" s="81" t="s">
        <v>21</v>
      </c>
      <c r="H6" s="81" t="s">
        <v>22</v>
      </c>
      <c r="I6" s="95"/>
      <c r="J6" s="95"/>
      <c r="K6" s="116"/>
      <c r="L6" s="116"/>
      <c r="M6" s="118"/>
      <c r="N6" s="104"/>
      <c r="O6" s="107"/>
      <c r="P6" s="150"/>
      <c r="Q6" s="95"/>
      <c r="R6" s="151" t="s">
        <v>23</v>
      </c>
      <c r="S6" s="86" t="s">
        <v>24</v>
      </c>
      <c r="T6" s="89" t="s">
        <v>25</v>
      </c>
      <c r="U6" s="98"/>
      <c r="V6" s="101"/>
    </row>
    <row r="7" spans="1:22">
      <c r="A7" s="82"/>
      <c r="B7" s="82"/>
      <c r="C7" s="114"/>
      <c r="D7" s="82"/>
      <c r="E7" s="10" t="s">
        <v>5</v>
      </c>
      <c r="F7" s="82"/>
      <c r="G7" s="82"/>
      <c r="H7" s="82"/>
      <c r="I7" s="95"/>
      <c r="J7" s="95"/>
      <c r="K7" s="116"/>
      <c r="L7" s="116"/>
      <c r="M7" s="118"/>
      <c r="N7" s="104"/>
      <c r="O7" s="107"/>
      <c r="P7" s="150"/>
      <c r="Q7" s="95"/>
      <c r="R7" s="149"/>
      <c r="S7" s="87"/>
      <c r="T7" s="90"/>
      <c r="U7" s="98"/>
      <c r="V7" s="101"/>
    </row>
    <row r="8" spans="1:22">
      <c r="A8" s="82"/>
      <c r="B8" s="82"/>
      <c r="C8" s="114"/>
      <c r="D8" s="82"/>
      <c r="E8" s="7"/>
      <c r="F8" s="82"/>
      <c r="G8" s="82"/>
      <c r="H8" s="82"/>
      <c r="I8" s="95"/>
      <c r="J8" s="95"/>
      <c r="K8" s="116"/>
      <c r="L8" s="116"/>
      <c r="M8" s="119"/>
      <c r="N8" s="105"/>
      <c r="O8" s="108"/>
      <c r="P8" s="111"/>
      <c r="Q8" s="95"/>
      <c r="R8" s="148"/>
      <c r="S8" s="88"/>
      <c r="T8" s="91"/>
      <c r="U8" s="99"/>
      <c r="V8" s="102"/>
    </row>
    <row r="9" spans="1:22" s="121" customFormat="1" ht="21" customHeight="1">
      <c r="A9" s="147" t="s">
        <v>575</v>
      </c>
      <c r="B9" s="135" t="s">
        <v>574</v>
      </c>
      <c r="C9" s="146" t="s">
        <v>573</v>
      </c>
      <c r="D9" s="129" t="s">
        <v>572</v>
      </c>
      <c r="E9" s="128" t="s">
        <v>41</v>
      </c>
      <c r="F9" s="127">
        <v>2.9990000000000001</v>
      </c>
      <c r="G9" s="128">
        <v>375</v>
      </c>
      <c r="H9" s="127" t="s">
        <v>466</v>
      </c>
      <c r="I9" s="128" t="s">
        <v>42</v>
      </c>
      <c r="J9" s="127">
        <v>2356</v>
      </c>
      <c r="K9" s="123">
        <v>4521</v>
      </c>
      <c r="L9" s="123">
        <v>2000</v>
      </c>
      <c r="M9" s="123" t="s">
        <v>31</v>
      </c>
      <c r="N9" s="133">
        <v>12</v>
      </c>
      <c r="O9" s="23">
        <f>IF(N9&gt;0,1/N9*37.7*68.6,"")</f>
        <v>215.51833333333332</v>
      </c>
      <c r="P9" s="125">
        <v>10.35</v>
      </c>
      <c r="Q9" s="124" t="s">
        <v>43</v>
      </c>
      <c r="R9" s="123" t="s">
        <v>33</v>
      </c>
      <c r="S9" s="123" t="s">
        <v>44</v>
      </c>
      <c r="T9" s="123"/>
      <c r="U9" s="122"/>
      <c r="V9" s="28">
        <f>IFERROR(IF(N9&lt;P9,"",(ROUNDDOWN(N9/P9*100,0))),"")</f>
        <v>115</v>
      </c>
    </row>
    <row r="10" spans="1:22" s="121" customFormat="1" ht="21" customHeight="1">
      <c r="A10" s="136"/>
      <c r="B10" s="135"/>
      <c r="C10" s="134"/>
      <c r="D10" s="129" t="s">
        <v>572</v>
      </c>
      <c r="E10" s="128" t="s">
        <v>41</v>
      </c>
      <c r="F10" s="127">
        <v>2.9990000000000001</v>
      </c>
      <c r="G10" s="128">
        <v>375</v>
      </c>
      <c r="H10" s="127" t="s">
        <v>466</v>
      </c>
      <c r="I10" s="128" t="s">
        <v>42</v>
      </c>
      <c r="J10" s="127">
        <v>2356</v>
      </c>
      <c r="K10" s="123">
        <v>4521</v>
      </c>
      <c r="L10" s="123">
        <v>2000</v>
      </c>
      <c r="M10" s="123" t="s">
        <v>31</v>
      </c>
      <c r="N10" s="133">
        <v>12</v>
      </c>
      <c r="O10" s="23">
        <f>IF(N10&gt;0,1/N10*37.7*68.6,"")</f>
        <v>215.51833333333332</v>
      </c>
      <c r="P10" s="125">
        <v>10.35</v>
      </c>
      <c r="Q10" s="124" t="s">
        <v>43</v>
      </c>
      <c r="R10" s="123" t="s">
        <v>33</v>
      </c>
      <c r="S10" s="123" t="s">
        <v>34</v>
      </c>
      <c r="T10" s="123"/>
      <c r="U10" s="122"/>
      <c r="V10" s="28">
        <f>IFERROR(IF(N10&lt;P10,"",(ROUNDDOWN(N10/P10*100,0))),"")</f>
        <v>115</v>
      </c>
    </row>
    <row r="11" spans="1:22" s="121" customFormat="1" ht="21" customHeight="1">
      <c r="A11" s="136"/>
      <c r="B11" s="135"/>
      <c r="C11" s="134"/>
      <c r="D11" s="129" t="s">
        <v>571</v>
      </c>
      <c r="E11" s="128" t="s">
        <v>41</v>
      </c>
      <c r="F11" s="127">
        <v>2.9990000000000001</v>
      </c>
      <c r="G11" s="128">
        <v>375</v>
      </c>
      <c r="H11" s="127" t="s">
        <v>466</v>
      </c>
      <c r="I11" s="128" t="s">
        <v>42</v>
      </c>
      <c r="J11" s="127">
        <v>2356</v>
      </c>
      <c r="K11" s="123">
        <v>4521</v>
      </c>
      <c r="L11" s="123">
        <v>2000</v>
      </c>
      <c r="M11" s="123" t="s">
        <v>31</v>
      </c>
      <c r="N11" s="133">
        <v>12</v>
      </c>
      <c r="O11" s="23">
        <f>IF(N11&gt;0,1/N11*37.7*68.6,"")</f>
        <v>215.51833333333332</v>
      </c>
      <c r="P11" s="125">
        <v>10.35</v>
      </c>
      <c r="Q11" s="124" t="s">
        <v>43</v>
      </c>
      <c r="R11" s="123" t="s">
        <v>33</v>
      </c>
      <c r="S11" s="123" t="s">
        <v>44</v>
      </c>
      <c r="T11" s="123"/>
      <c r="U11" s="122"/>
      <c r="V11" s="28">
        <f>IFERROR(IF(N11&lt;P11,"",(ROUNDDOWN(N11/P11*100,0))),"")</f>
        <v>115</v>
      </c>
    </row>
    <row r="12" spans="1:22" s="121" customFormat="1" ht="21" customHeight="1">
      <c r="A12" s="136"/>
      <c r="B12" s="135"/>
      <c r="C12" s="134"/>
      <c r="D12" s="129" t="s">
        <v>571</v>
      </c>
      <c r="E12" s="128" t="s">
        <v>41</v>
      </c>
      <c r="F12" s="127">
        <v>2.9990000000000001</v>
      </c>
      <c r="G12" s="128">
        <v>375</v>
      </c>
      <c r="H12" s="127" t="s">
        <v>466</v>
      </c>
      <c r="I12" s="128" t="s">
        <v>42</v>
      </c>
      <c r="J12" s="127">
        <v>2356</v>
      </c>
      <c r="K12" s="123">
        <v>4521</v>
      </c>
      <c r="L12" s="123">
        <v>2000</v>
      </c>
      <c r="M12" s="123" t="s">
        <v>31</v>
      </c>
      <c r="N12" s="133">
        <v>12</v>
      </c>
      <c r="O12" s="23">
        <f>IF(N12&gt;0,1/N12*37.7*68.6,"")</f>
        <v>215.51833333333332</v>
      </c>
      <c r="P12" s="125">
        <v>10.35</v>
      </c>
      <c r="Q12" s="124" t="s">
        <v>43</v>
      </c>
      <c r="R12" s="123" t="s">
        <v>33</v>
      </c>
      <c r="S12" s="123" t="s">
        <v>34</v>
      </c>
      <c r="T12" s="123"/>
      <c r="U12" s="122"/>
      <c r="V12" s="28">
        <f>IFERROR(IF(N12&lt;P12,"",(ROUNDDOWN(N12/P12*100,0))),"")</f>
        <v>115</v>
      </c>
    </row>
    <row r="13" spans="1:22" s="121" customFormat="1" ht="21" customHeight="1">
      <c r="A13" s="136"/>
      <c r="B13" s="135"/>
      <c r="C13" s="134"/>
      <c r="D13" s="129" t="s">
        <v>570</v>
      </c>
      <c r="E13" s="128" t="s">
        <v>41</v>
      </c>
      <c r="F13" s="127">
        <v>2.9990000000000001</v>
      </c>
      <c r="G13" s="128">
        <v>375</v>
      </c>
      <c r="H13" s="127" t="s">
        <v>466</v>
      </c>
      <c r="I13" s="128" t="s">
        <v>42</v>
      </c>
      <c r="J13" s="127">
        <v>2356</v>
      </c>
      <c r="K13" s="123">
        <v>4521</v>
      </c>
      <c r="L13" s="123">
        <v>2000</v>
      </c>
      <c r="M13" s="123" t="s">
        <v>31</v>
      </c>
      <c r="N13" s="133">
        <v>12</v>
      </c>
      <c r="O13" s="23">
        <f>IF(N13&gt;0,1/N13*37.7*68.6,"")</f>
        <v>215.51833333333332</v>
      </c>
      <c r="P13" s="125">
        <v>10.35</v>
      </c>
      <c r="Q13" s="124" t="s">
        <v>43</v>
      </c>
      <c r="R13" s="123" t="s">
        <v>33</v>
      </c>
      <c r="S13" s="123" t="s">
        <v>34</v>
      </c>
      <c r="T13" s="123"/>
      <c r="U13" s="122"/>
      <c r="V13" s="28">
        <f>IFERROR(IF(N13&lt;P13,"",(ROUNDDOWN(N13/P13*100,0))),"")</f>
        <v>115</v>
      </c>
    </row>
    <row r="14" spans="1:22" s="121" customFormat="1" ht="21" customHeight="1">
      <c r="A14" s="136"/>
      <c r="B14" s="135"/>
      <c r="C14" s="134"/>
      <c r="D14" s="129" t="s">
        <v>569</v>
      </c>
      <c r="E14" s="128" t="s">
        <v>41</v>
      </c>
      <c r="F14" s="127">
        <v>2.9990000000000001</v>
      </c>
      <c r="G14" s="128">
        <v>375</v>
      </c>
      <c r="H14" s="127" t="s">
        <v>466</v>
      </c>
      <c r="I14" s="128" t="s">
        <v>42</v>
      </c>
      <c r="J14" s="127">
        <v>2356</v>
      </c>
      <c r="K14" s="123">
        <v>4521</v>
      </c>
      <c r="L14" s="123">
        <v>2000</v>
      </c>
      <c r="M14" s="123" t="s">
        <v>31</v>
      </c>
      <c r="N14" s="133">
        <v>12</v>
      </c>
      <c r="O14" s="23">
        <f>IF(N14&gt;0,1/N14*37.7*68.6,"")</f>
        <v>215.51833333333332</v>
      </c>
      <c r="P14" s="125">
        <v>10.35</v>
      </c>
      <c r="Q14" s="124" t="s">
        <v>43</v>
      </c>
      <c r="R14" s="123" t="s">
        <v>33</v>
      </c>
      <c r="S14" s="123" t="s">
        <v>34</v>
      </c>
      <c r="T14" s="123"/>
      <c r="U14" s="122"/>
      <c r="V14" s="28">
        <f>IFERROR(IF(N14&lt;P14,"",(ROUNDDOWN(N14/P14*100,0))),"")</f>
        <v>115</v>
      </c>
    </row>
    <row r="15" spans="1:22" s="121" customFormat="1" ht="21" customHeight="1">
      <c r="A15" s="136"/>
      <c r="B15" s="135"/>
      <c r="C15" s="134"/>
      <c r="D15" s="129" t="s">
        <v>569</v>
      </c>
      <c r="E15" s="128" t="s">
        <v>41</v>
      </c>
      <c r="F15" s="127">
        <v>2.9990000000000001</v>
      </c>
      <c r="G15" s="128">
        <v>375</v>
      </c>
      <c r="H15" s="127" t="s">
        <v>466</v>
      </c>
      <c r="I15" s="128" t="s">
        <v>42</v>
      </c>
      <c r="J15" s="127">
        <v>2652</v>
      </c>
      <c r="K15" s="123">
        <v>5812</v>
      </c>
      <c r="L15" s="123">
        <v>2995</v>
      </c>
      <c r="M15" s="123" t="s">
        <v>31</v>
      </c>
      <c r="N15" s="133">
        <v>11</v>
      </c>
      <c r="O15" s="23">
        <f>IF(N15&gt;0,1/N15*37.7*68.6,"")</f>
        <v>235.1109090909091</v>
      </c>
      <c r="P15" s="125">
        <v>9.51</v>
      </c>
      <c r="Q15" s="124" t="s">
        <v>43</v>
      </c>
      <c r="R15" s="123" t="s">
        <v>33</v>
      </c>
      <c r="S15" s="123" t="s">
        <v>34</v>
      </c>
      <c r="T15" s="123"/>
      <c r="U15" s="122"/>
      <c r="V15" s="28">
        <f>IFERROR(IF(N15&lt;P15,"",(ROUNDDOWN(N15/P15*100,0))),"")</f>
        <v>115</v>
      </c>
    </row>
    <row r="16" spans="1:22" s="121" customFormat="1" ht="21" customHeight="1">
      <c r="A16" s="136"/>
      <c r="B16" s="135"/>
      <c r="C16" s="134"/>
      <c r="D16" s="129" t="s">
        <v>568</v>
      </c>
      <c r="E16" s="128" t="s">
        <v>41</v>
      </c>
      <c r="F16" s="127">
        <v>2.9990000000000001</v>
      </c>
      <c r="G16" s="128">
        <v>375</v>
      </c>
      <c r="H16" s="127" t="s">
        <v>466</v>
      </c>
      <c r="I16" s="128" t="s">
        <v>42</v>
      </c>
      <c r="J16" s="127">
        <v>2356</v>
      </c>
      <c r="K16" s="123">
        <v>4521</v>
      </c>
      <c r="L16" s="123">
        <v>2000</v>
      </c>
      <c r="M16" s="123" t="s">
        <v>31</v>
      </c>
      <c r="N16" s="133">
        <v>12</v>
      </c>
      <c r="O16" s="23">
        <f>IF(N16&gt;0,1/N16*37.7*68.6,"")</f>
        <v>215.51833333333332</v>
      </c>
      <c r="P16" s="125">
        <v>10.35</v>
      </c>
      <c r="Q16" s="124" t="s">
        <v>43</v>
      </c>
      <c r="R16" s="123" t="s">
        <v>33</v>
      </c>
      <c r="S16" s="123" t="s">
        <v>34</v>
      </c>
      <c r="T16" s="123"/>
      <c r="U16" s="122"/>
      <c r="V16" s="28">
        <f>IFERROR(IF(N16&lt;P16,"",(ROUNDDOWN(N16/P16*100,0))),"")</f>
        <v>115</v>
      </c>
    </row>
    <row r="17" spans="1:22" s="121" customFormat="1" ht="21" customHeight="1">
      <c r="A17" s="136"/>
      <c r="B17" s="135"/>
      <c r="C17" s="134"/>
      <c r="D17" s="129" t="s">
        <v>568</v>
      </c>
      <c r="E17" s="128" t="s">
        <v>41</v>
      </c>
      <c r="F17" s="127">
        <v>2.9990000000000001</v>
      </c>
      <c r="G17" s="128">
        <v>375</v>
      </c>
      <c r="H17" s="127" t="s">
        <v>466</v>
      </c>
      <c r="I17" s="128" t="s">
        <v>42</v>
      </c>
      <c r="J17" s="127">
        <v>2652</v>
      </c>
      <c r="K17" s="123">
        <v>5812</v>
      </c>
      <c r="L17" s="123">
        <v>2995</v>
      </c>
      <c r="M17" s="123" t="s">
        <v>31</v>
      </c>
      <c r="N17" s="133">
        <v>11</v>
      </c>
      <c r="O17" s="23">
        <f>IF(N17&gt;0,1/N17*37.7*68.6,"")</f>
        <v>235.1109090909091</v>
      </c>
      <c r="P17" s="125">
        <v>9.51</v>
      </c>
      <c r="Q17" s="124" t="s">
        <v>43</v>
      </c>
      <c r="R17" s="123" t="s">
        <v>33</v>
      </c>
      <c r="S17" s="123" t="s">
        <v>34</v>
      </c>
      <c r="T17" s="123"/>
      <c r="U17" s="122"/>
      <c r="V17" s="28">
        <f>IFERROR(IF(N17&lt;P17,"",(ROUNDDOWN(N17/P17*100,0))),"")</f>
        <v>115</v>
      </c>
    </row>
    <row r="18" spans="1:22" s="121" customFormat="1" ht="21" customHeight="1">
      <c r="A18" s="136"/>
      <c r="B18" s="135"/>
      <c r="C18" s="134"/>
      <c r="D18" s="129" t="s">
        <v>567</v>
      </c>
      <c r="E18" s="128" t="s">
        <v>41</v>
      </c>
      <c r="F18" s="127">
        <v>2.9990000000000001</v>
      </c>
      <c r="G18" s="128">
        <v>375</v>
      </c>
      <c r="H18" s="127" t="s">
        <v>466</v>
      </c>
      <c r="I18" s="128" t="s">
        <v>42</v>
      </c>
      <c r="J18" s="127">
        <v>2356</v>
      </c>
      <c r="K18" s="123">
        <v>4521</v>
      </c>
      <c r="L18" s="123">
        <v>2000</v>
      </c>
      <c r="M18" s="123" t="s">
        <v>31</v>
      </c>
      <c r="N18" s="133">
        <v>12</v>
      </c>
      <c r="O18" s="23">
        <f>IF(N18&gt;0,1/N18*37.7*68.6,"")</f>
        <v>215.51833333333332</v>
      </c>
      <c r="P18" s="125">
        <v>10.35</v>
      </c>
      <c r="Q18" s="124" t="s">
        <v>43</v>
      </c>
      <c r="R18" s="123" t="s">
        <v>33</v>
      </c>
      <c r="S18" s="123" t="s">
        <v>34</v>
      </c>
      <c r="T18" s="123"/>
      <c r="U18" s="122"/>
      <c r="V18" s="28">
        <f>IFERROR(IF(N18&lt;P18,"",(ROUNDDOWN(N18/P18*100,0))),"")</f>
        <v>115</v>
      </c>
    </row>
    <row r="19" spans="1:22" s="121" customFormat="1" ht="21" customHeight="1">
      <c r="A19" s="136"/>
      <c r="B19" s="135"/>
      <c r="C19" s="134"/>
      <c r="D19" s="129" t="s">
        <v>567</v>
      </c>
      <c r="E19" s="128" t="s">
        <v>41</v>
      </c>
      <c r="F19" s="127">
        <v>2.9990000000000001</v>
      </c>
      <c r="G19" s="128">
        <v>375</v>
      </c>
      <c r="H19" s="127" t="s">
        <v>466</v>
      </c>
      <c r="I19" s="128" t="s">
        <v>42</v>
      </c>
      <c r="J19" s="127">
        <v>2652</v>
      </c>
      <c r="K19" s="123">
        <v>5812</v>
      </c>
      <c r="L19" s="123">
        <v>2995</v>
      </c>
      <c r="M19" s="123" t="s">
        <v>31</v>
      </c>
      <c r="N19" s="133">
        <v>11</v>
      </c>
      <c r="O19" s="23">
        <f>IF(N19&gt;0,1/N19*37.7*68.6,"")</f>
        <v>235.1109090909091</v>
      </c>
      <c r="P19" s="125">
        <v>9.51</v>
      </c>
      <c r="Q19" s="124" t="s">
        <v>43</v>
      </c>
      <c r="R19" s="123" t="s">
        <v>33</v>
      </c>
      <c r="S19" s="123" t="s">
        <v>34</v>
      </c>
      <c r="T19" s="123"/>
      <c r="U19" s="122"/>
      <c r="V19" s="28">
        <f>IFERROR(IF(N19&lt;P19,"",(ROUNDDOWN(N19/P19*100,0))),"")</f>
        <v>115</v>
      </c>
    </row>
    <row r="20" spans="1:22" s="121" customFormat="1" ht="21" customHeight="1">
      <c r="A20" s="136"/>
      <c r="B20" s="135"/>
      <c r="C20" s="134"/>
      <c r="D20" s="129" t="s">
        <v>566</v>
      </c>
      <c r="E20" s="128" t="s">
        <v>41</v>
      </c>
      <c r="F20" s="127">
        <v>2.9990000000000001</v>
      </c>
      <c r="G20" s="128" t="s">
        <v>467</v>
      </c>
      <c r="H20" s="127" t="s">
        <v>466</v>
      </c>
      <c r="I20" s="128" t="s">
        <v>42</v>
      </c>
      <c r="J20" s="127">
        <v>2356</v>
      </c>
      <c r="K20" s="123">
        <v>4521</v>
      </c>
      <c r="L20" s="123">
        <v>2000</v>
      </c>
      <c r="M20" s="123" t="s">
        <v>31</v>
      </c>
      <c r="N20" s="133">
        <v>12</v>
      </c>
      <c r="O20" s="23">
        <f>IF(N20&gt;0,1/N20*37.7*68.6,"")</f>
        <v>215.51833333333332</v>
      </c>
      <c r="P20" s="125">
        <v>10.35</v>
      </c>
      <c r="Q20" s="124" t="s">
        <v>43</v>
      </c>
      <c r="R20" s="123" t="s">
        <v>33</v>
      </c>
      <c r="S20" s="123" t="s">
        <v>34</v>
      </c>
      <c r="T20" s="123"/>
      <c r="U20" s="122"/>
      <c r="V20" s="28">
        <f>IFERROR(IF(N20&lt;P20,"",(ROUNDDOWN(N20/P20*100,0))),"")</f>
        <v>115</v>
      </c>
    </row>
    <row r="21" spans="1:22" s="121" customFormat="1" ht="21" customHeight="1">
      <c r="A21" s="136"/>
      <c r="B21" s="135"/>
      <c r="C21" s="134"/>
      <c r="D21" s="129" t="s">
        <v>565</v>
      </c>
      <c r="E21" s="128" t="s">
        <v>41</v>
      </c>
      <c r="F21" s="127">
        <v>2.9990000000000001</v>
      </c>
      <c r="G21" s="128" t="s">
        <v>467</v>
      </c>
      <c r="H21" s="127" t="s">
        <v>466</v>
      </c>
      <c r="I21" s="128" t="s">
        <v>42</v>
      </c>
      <c r="J21" s="127">
        <v>2356</v>
      </c>
      <c r="K21" s="123">
        <v>4521</v>
      </c>
      <c r="L21" s="123">
        <v>2000</v>
      </c>
      <c r="M21" s="123" t="s">
        <v>31</v>
      </c>
      <c r="N21" s="133">
        <v>12</v>
      </c>
      <c r="O21" s="23">
        <f>IF(N21&gt;0,1/N21*37.7*68.6,"")</f>
        <v>215.51833333333332</v>
      </c>
      <c r="P21" s="125">
        <v>10.35</v>
      </c>
      <c r="Q21" s="124" t="s">
        <v>43</v>
      </c>
      <c r="R21" s="123" t="s">
        <v>33</v>
      </c>
      <c r="S21" s="123" t="s">
        <v>34</v>
      </c>
      <c r="T21" s="123"/>
      <c r="U21" s="122"/>
      <c r="V21" s="28">
        <f>IFERROR(IF(N21&lt;P21,"",(ROUNDDOWN(N21/P21*100,0))),"")</f>
        <v>115</v>
      </c>
    </row>
    <row r="22" spans="1:22" s="121" customFormat="1" ht="21" customHeight="1">
      <c r="A22" s="136"/>
      <c r="B22" s="135"/>
      <c r="C22" s="134"/>
      <c r="D22" s="129" t="s">
        <v>564</v>
      </c>
      <c r="E22" s="128" t="s">
        <v>41</v>
      </c>
      <c r="F22" s="127">
        <v>2.9990000000000001</v>
      </c>
      <c r="G22" s="128" t="s">
        <v>467</v>
      </c>
      <c r="H22" s="127" t="s">
        <v>466</v>
      </c>
      <c r="I22" s="128" t="s">
        <v>42</v>
      </c>
      <c r="J22" s="127">
        <v>2356</v>
      </c>
      <c r="K22" s="123">
        <v>4521</v>
      </c>
      <c r="L22" s="123">
        <v>2000</v>
      </c>
      <c r="M22" s="123" t="s">
        <v>31</v>
      </c>
      <c r="N22" s="133">
        <v>12</v>
      </c>
      <c r="O22" s="23">
        <f>IF(N22&gt;0,1/N22*37.7*68.6,"")</f>
        <v>215.51833333333332</v>
      </c>
      <c r="P22" s="125">
        <v>10.35</v>
      </c>
      <c r="Q22" s="124" t="s">
        <v>43</v>
      </c>
      <c r="R22" s="123" t="s">
        <v>33</v>
      </c>
      <c r="S22" s="123" t="s">
        <v>34</v>
      </c>
      <c r="T22" s="123"/>
      <c r="U22" s="122"/>
      <c r="V22" s="28">
        <f>IFERROR(IF(N22&lt;P22,"",(ROUNDDOWN(N22/P22*100,0))),"")</f>
        <v>115</v>
      </c>
    </row>
    <row r="23" spans="1:22" s="121" customFormat="1" ht="21" customHeight="1">
      <c r="A23" s="136"/>
      <c r="B23" s="135"/>
      <c r="C23" s="134"/>
      <c r="D23" s="129" t="s">
        <v>564</v>
      </c>
      <c r="E23" s="128" t="s">
        <v>41</v>
      </c>
      <c r="F23" s="127">
        <v>2.9990000000000001</v>
      </c>
      <c r="G23" s="128" t="s">
        <v>467</v>
      </c>
      <c r="H23" s="127" t="s">
        <v>466</v>
      </c>
      <c r="I23" s="128" t="s">
        <v>42</v>
      </c>
      <c r="J23" s="127">
        <v>2652</v>
      </c>
      <c r="K23" s="123">
        <v>5812</v>
      </c>
      <c r="L23" s="123">
        <v>2995</v>
      </c>
      <c r="M23" s="123" t="s">
        <v>31</v>
      </c>
      <c r="N23" s="133">
        <v>11</v>
      </c>
      <c r="O23" s="23">
        <f>IF(N23&gt;0,1/N23*37.7*68.6,"")</f>
        <v>235.1109090909091</v>
      </c>
      <c r="P23" s="125">
        <v>9.51</v>
      </c>
      <c r="Q23" s="124" t="s">
        <v>43</v>
      </c>
      <c r="R23" s="123" t="s">
        <v>33</v>
      </c>
      <c r="S23" s="123" t="s">
        <v>34</v>
      </c>
      <c r="T23" s="123"/>
      <c r="U23" s="122"/>
      <c r="V23" s="28">
        <f>IFERROR(IF(N23&lt;P23,"",(ROUNDDOWN(N23/P23*100,0))),"")</f>
        <v>115</v>
      </c>
    </row>
    <row r="24" spans="1:22" s="121" customFormat="1" ht="21" customHeight="1">
      <c r="A24" s="136"/>
      <c r="B24" s="135"/>
      <c r="C24" s="134"/>
      <c r="D24" s="129" t="s">
        <v>563</v>
      </c>
      <c r="E24" s="128" t="s">
        <v>41</v>
      </c>
      <c r="F24" s="127">
        <v>2.9990000000000001</v>
      </c>
      <c r="G24" s="128" t="s">
        <v>467</v>
      </c>
      <c r="H24" s="127" t="s">
        <v>466</v>
      </c>
      <c r="I24" s="128" t="s">
        <v>42</v>
      </c>
      <c r="J24" s="127">
        <v>2356</v>
      </c>
      <c r="K24" s="123">
        <v>4521</v>
      </c>
      <c r="L24" s="123">
        <v>2000</v>
      </c>
      <c r="M24" s="123" t="s">
        <v>31</v>
      </c>
      <c r="N24" s="133">
        <v>12</v>
      </c>
      <c r="O24" s="23">
        <f>IF(N24&gt;0,1/N24*37.7*68.6,"")</f>
        <v>215.51833333333332</v>
      </c>
      <c r="P24" s="125">
        <v>10.35</v>
      </c>
      <c r="Q24" s="124" t="s">
        <v>43</v>
      </c>
      <c r="R24" s="123" t="s">
        <v>33</v>
      </c>
      <c r="S24" s="123" t="s">
        <v>34</v>
      </c>
      <c r="T24" s="123"/>
      <c r="U24" s="122"/>
      <c r="V24" s="28">
        <f>IFERROR(IF(N24&lt;P24,"",(ROUNDDOWN(N24/P24*100,0))),"")</f>
        <v>115</v>
      </c>
    </row>
    <row r="25" spans="1:22" s="121" customFormat="1" ht="21" customHeight="1">
      <c r="A25" s="136"/>
      <c r="B25" s="135"/>
      <c r="C25" s="134"/>
      <c r="D25" s="129" t="s">
        <v>563</v>
      </c>
      <c r="E25" s="128" t="s">
        <v>41</v>
      </c>
      <c r="F25" s="127">
        <v>2.9990000000000001</v>
      </c>
      <c r="G25" s="128" t="s">
        <v>467</v>
      </c>
      <c r="H25" s="127" t="s">
        <v>466</v>
      </c>
      <c r="I25" s="128" t="s">
        <v>42</v>
      </c>
      <c r="J25" s="127">
        <v>2652</v>
      </c>
      <c r="K25" s="123">
        <v>5812</v>
      </c>
      <c r="L25" s="123">
        <v>2995</v>
      </c>
      <c r="M25" s="123" t="s">
        <v>31</v>
      </c>
      <c r="N25" s="133">
        <v>11</v>
      </c>
      <c r="O25" s="23">
        <f>IF(N25&gt;0,1/N25*37.7*68.6,"")</f>
        <v>235.1109090909091</v>
      </c>
      <c r="P25" s="125">
        <v>9.51</v>
      </c>
      <c r="Q25" s="124" t="s">
        <v>43</v>
      </c>
      <c r="R25" s="123" t="s">
        <v>33</v>
      </c>
      <c r="S25" s="123" t="s">
        <v>34</v>
      </c>
      <c r="T25" s="123"/>
      <c r="U25" s="122"/>
      <c r="V25" s="28">
        <f>IFERROR(IF(N25&lt;P25,"",(ROUNDDOWN(N25/P25*100,0))),"")</f>
        <v>115</v>
      </c>
    </row>
    <row r="26" spans="1:22" s="121" customFormat="1" ht="21" customHeight="1">
      <c r="A26" s="136"/>
      <c r="B26" s="135"/>
      <c r="C26" s="134"/>
      <c r="D26" s="129" t="s">
        <v>562</v>
      </c>
      <c r="E26" s="128" t="s">
        <v>41</v>
      </c>
      <c r="F26" s="127">
        <v>2.9990000000000001</v>
      </c>
      <c r="G26" s="128" t="s">
        <v>467</v>
      </c>
      <c r="H26" s="127" t="s">
        <v>466</v>
      </c>
      <c r="I26" s="128" t="s">
        <v>42</v>
      </c>
      <c r="J26" s="127">
        <v>2356</v>
      </c>
      <c r="K26" s="123">
        <v>4521</v>
      </c>
      <c r="L26" s="123">
        <v>2000</v>
      </c>
      <c r="M26" s="123" t="s">
        <v>31</v>
      </c>
      <c r="N26" s="133">
        <v>12</v>
      </c>
      <c r="O26" s="23">
        <f>IF(N26&gt;0,1/N26*37.7*68.6,"")</f>
        <v>215.51833333333332</v>
      </c>
      <c r="P26" s="125">
        <v>10.35</v>
      </c>
      <c r="Q26" s="124" t="s">
        <v>43</v>
      </c>
      <c r="R26" s="123" t="s">
        <v>33</v>
      </c>
      <c r="S26" s="123" t="s">
        <v>34</v>
      </c>
      <c r="T26" s="123"/>
      <c r="U26" s="122"/>
      <c r="V26" s="28">
        <f>IFERROR(IF(N26&lt;P26,"",(ROUNDDOWN(N26/P26*100,0))),"")</f>
        <v>115</v>
      </c>
    </row>
    <row r="27" spans="1:22" s="121" customFormat="1" ht="21" customHeight="1">
      <c r="A27" s="136"/>
      <c r="B27" s="135"/>
      <c r="C27" s="134"/>
      <c r="D27" s="129" t="s">
        <v>562</v>
      </c>
      <c r="E27" s="128" t="s">
        <v>41</v>
      </c>
      <c r="F27" s="127">
        <v>2.9990000000000001</v>
      </c>
      <c r="G27" s="128" t="s">
        <v>467</v>
      </c>
      <c r="H27" s="127" t="s">
        <v>466</v>
      </c>
      <c r="I27" s="128" t="s">
        <v>42</v>
      </c>
      <c r="J27" s="127">
        <v>2652</v>
      </c>
      <c r="K27" s="123">
        <v>5812</v>
      </c>
      <c r="L27" s="123">
        <v>2995</v>
      </c>
      <c r="M27" s="123" t="s">
        <v>31</v>
      </c>
      <c r="N27" s="133">
        <v>11</v>
      </c>
      <c r="O27" s="23">
        <f>IF(N27&gt;0,1/N27*37.7*68.6,"")</f>
        <v>235.1109090909091</v>
      </c>
      <c r="P27" s="125">
        <v>9.51</v>
      </c>
      <c r="Q27" s="124" t="s">
        <v>43</v>
      </c>
      <c r="R27" s="123" t="s">
        <v>33</v>
      </c>
      <c r="S27" s="123" t="s">
        <v>34</v>
      </c>
      <c r="T27" s="123"/>
      <c r="U27" s="122"/>
      <c r="V27" s="28">
        <f>IFERROR(IF(N27&lt;P27,"",(ROUNDDOWN(N27/P27*100,0))),"")</f>
        <v>115</v>
      </c>
    </row>
    <row r="28" spans="1:22" s="121" customFormat="1" ht="21" customHeight="1">
      <c r="A28" s="136"/>
      <c r="B28" s="135"/>
      <c r="C28" s="134"/>
      <c r="D28" s="129" t="s">
        <v>561</v>
      </c>
      <c r="E28" s="128" t="s">
        <v>41</v>
      </c>
      <c r="F28" s="127">
        <v>2.9990000000000001</v>
      </c>
      <c r="G28" s="128" t="s">
        <v>467</v>
      </c>
      <c r="H28" s="127" t="s">
        <v>466</v>
      </c>
      <c r="I28" s="128" t="s">
        <v>42</v>
      </c>
      <c r="J28" s="127">
        <v>2356</v>
      </c>
      <c r="K28" s="123">
        <v>4521</v>
      </c>
      <c r="L28" s="123">
        <v>2000</v>
      </c>
      <c r="M28" s="123" t="s">
        <v>31</v>
      </c>
      <c r="N28" s="133">
        <v>12</v>
      </c>
      <c r="O28" s="23">
        <f>IF(N28&gt;0,1/N28*37.7*68.6,"")</f>
        <v>215.51833333333332</v>
      </c>
      <c r="P28" s="125">
        <v>10.35</v>
      </c>
      <c r="Q28" s="124" t="s">
        <v>43</v>
      </c>
      <c r="R28" s="123" t="s">
        <v>33</v>
      </c>
      <c r="S28" s="123" t="s">
        <v>34</v>
      </c>
      <c r="T28" s="123"/>
      <c r="U28" s="122"/>
      <c r="V28" s="28">
        <f>IFERROR(IF(N28&lt;P28,"",(ROUNDDOWN(N28/P28*100,0))),"")</f>
        <v>115</v>
      </c>
    </row>
    <row r="29" spans="1:22" s="121" customFormat="1" ht="21" customHeight="1">
      <c r="A29" s="136"/>
      <c r="B29" s="135"/>
      <c r="C29" s="134"/>
      <c r="D29" s="129" t="s">
        <v>561</v>
      </c>
      <c r="E29" s="128" t="s">
        <v>41</v>
      </c>
      <c r="F29" s="127">
        <v>2.9990000000000001</v>
      </c>
      <c r="G29" s="128" t="s">
        <v>467</v>
      </c>
      <c r="H29" s="127" t="s">
        <v>466</v>
      </c>
      <c r="I29" s="128" t="s">
        <v>42</v>
      </c>
      <c r="J29" s="127">
        <v>2652</v>
      </c>
      <c r="K29" s="123">
        <v>5812</v>
      </c>
      <c r="L29" s="123">
        <v>2995</v>
      </c>
      <c r="M29" s="123" t="s">
        <v>31</v>
      </c>
      <c r="N29" s="133">
        <v>11</v>
      </c>
      <c r="O29" s="23">
        <f>IF(N29&gt;0,1/N29*37.7*68.6,"")</f>
        <v>235.1109090909091</v>
      </c>
      <c r="P29" s="125">
        <v>9.51</v>
      </c>
      <c r="Q29" s="124" t="s">
        <v>43</v>
      </c>
      <c r="R29" s="123" t="s">
        <v>33</v>
      </c>
      <c r="S29" s="123" t="s">
        <v>34</v>
      </c>
      <c r="T29" s="123"/>
      <c r="U29" s="122"/>
      <c r="V29" s="28">
        <f>IFERROR(IF(N29&lt;P29,"",(ROUNDDOWN(N29/P29*100,0))),"")</f>
        <v>115</v>
      </c>
    </row>
    <row r="30" spans="1:22" s="121" customFormat="1" ht="21" customHeight="1">
      <c r="A30" s="136"/>
      <c r="B30" s="135"/>
      <c r="C30" s="134"/>
      <c r="D30" s="129" t="s">
        <v>560</v>
      </c>
      <c r="E30" s="128" t="s">
        <v>41</v>
      </c>
      <c r="F30" s="127">
        <v>2.9990000000000001</v>
      </c>
      <c r="G30" s="128" t="s">
        <v>467</v>
      </c>
      <c r="H30" s="127" t="s">
        <v>466</v>
      </c>
      <c r="I30" s="128" t="s">
        <v>42</v>
      </c>
      <c r="J30" s="127">
        <v>2356</v>
      </c>
      <c r="K30" s="123">
        <v>4521</v>
      </c>
      <c r="L30" s="123">
        <v>2000</v>
      </c>
      <c r="M30" s="123" t="s">
        <v>31</v>
      </c>
      <c r="N30" s="133">
        <v>12</v>
      </c>
      <c r="O30" s="23">
        <f>IF(N30&gt;0,1/N30*37.7*68.6,"")</f>
        <v>215.51833333333332</v>
      </c>
      <c r="P30" s="125">
        <v>10.35</v>
      </c>
      <c r="Q30" s="124" t="s">
        <v>43</v>
      </c>
      <c r="R30" s="123" t="s">
        <v>33</v>
      </c>
      <c r="S30" s="123" t="s">
        <v>34</v>
      </c>
      <c r="T30" s="123"/>
      <c r="U30" s="122"/>
      <c r="V30" s="28">
        <f>IFERROR(IF(N30&lt;P30,"",(ROUNDDOWN(N30/P30*100,0))),"")</f>
        <v>115</v>
      </c>
    </row>
    <row r="31" spans="1:22" s="121" customFormat="1" ht="21" customHeight="1">
      <c r="A31" s="136"/>
      <c r="B31" s="135"/>
      <c r="C31" s="134"/>
      <c r="D31" s="129" t="s">
        <v>559</v>
      </c>
      <c r="E31" s="128" t="s">
        <v>41</v>
      </c>
      <c r="F31" s="127">
        <v>2.9990000000000001</v>
      </c>
      <c r="G31" s="128" t="s">
        <v>467</v>
      </c>
      <c r="H31" s="127" t="s">
        <v>466</v>
      </c>
      <c r="I31" s="128" t="s">
        <v>42</v>
      </c>
      <c r="J31" s="127">
        <v>2356</v>
      </c>
      <c r="K31" s="123">
        <v>4521</v>
      </c>
      <c r="L31" s="123">
        <v>2000</v>
      </c>
      <c r="M31" s="123" t="s">
        <v>31</v>
      </c>
      <c r="N31" s="133">
        <v>12</v>
      </c>
      <c r="O31" s="23">
        <f>IF(N31&gt;0,1/N31*37.7*68.6,"")</f>
        <v>215.51833333333332</v>
      </c>
      <c r="P31" s="125">
        <v>10.35</v>
      </c>
      <c r="Q31" s="124" t="s">
        <v>43</v>
      </c>
      <c r="R31" s="123" t="s">
        <v>33</v>
      </c>
      <c r="S31" s="123" t="s">
        <v>34</v>
      </c>
      <c r="T31" s="123"/>
      <c r="U31" s="122"/>
      <c r="V31" s="28">
        <f>IFERROR(IF(N31&lt;P31,"",(ROUNDDOWN(N31/P31*100,0))),"")</f>
        <v>115</v>
      </c>
    </row>
    <row r="32" spans="1:22" s="121" customFormat="1" ht="21" customHeight="1">
      <c r="A32" s="136"/>
      <c r="B32" s="135"/>
      <c r="C32" s="134"/>
      <c r="D32" s="129" t="s">
        <v>558</v>
      </c>
      <c r="E32" s="128" t="s">
        <v>41</v>
      </c>
      <c r="F32" s="127">
        <v>2.9990000000000001</v>
      </c>
      <c r="G32" s="128" t="s">
        <v>467</v>
      </c>
      <c r="H32" s="127" t="s">
        <v>466</v>
      </c>
      <c r="I32" s="128" t="s">
        <v>42</v>
      </c>
      <c r="J32" s="127">
        <v>2356</v>
      </c>
      <c r="K32" s="123">
        <v>4521</v>
      </c>
      <c r="L32" s="123">
        <v>2000</v>
      </c>
      <c r="M32" s="123" t="s">
        <v>31</v>
      </c>
      <c r="N32" s="133">
        <v>12</v>
      </c>
      <c r="O32" s="23">
        <f>IF(N32&gt;0,1/N32*37.7*68.6,"")</f>
        <v>215.51833333333332</v>
      </c>
      <c r="P32" s="125">
        <v>10.35</v>
      </c>
      <c r="Q32" s="124" t="s">
        <v>43</v>
      </c>
      <c r="R32" s="123" t="s">
        <v>33</v>
      </c>
      <c r="S32" s="123" t="s">
        <v>34</v>
      </c>
      <c r="T32" s="123"/>
      <c r="U32" s="122"/>
      <c r="V32" s="28">
        <f>IFERROR(IF(N32&lt;P32,"",(ROUNDDOWN(N32/P32*100,0))),"")</f>
        <v>115</v>
      </c>
    </row>
    <row r="33" spans="1:23" s="143" customFormat="1" ht="21" customHeight="1">
      <c r="A33" s="136"/>
      <c r="B33" s="135"/>
      <c r="C33" s="134"/>
      <c r="D33" s="129" t="s">
        <v>558</v>
      </c>
      <c r="E33" s="128" t="s">
        <v>41</v>
      </c>
      <c r="F33" s="127">
        <v>2.9990000000000001</v>
      </c>
      <c r="G33" s="128" t="s">
        <v>467</v>
      </c>
      <c r="H33" s="127" t="s">
        <v>466</v>
      </c>
      <c r="I33" s="128" t="s">
        <v>42</v>
      </c>
      <c r="J33" s="127">
        <v>2652</v>
      </c>
      <c r="K33" s="123">
        <v>5812</v>
      </c>
      <c r="L33" s="123">
        <v>2995</v>
      </c>
      <c r="M33" s="123" t="s">
        <v>31</v>
      </c>
      <c r="N33" s="133">
        <v>11</v>
      </c>
      <c r="O33" s="23">
        <f>IF(N33&gt;0,1/N33*37.7*68.6,"")</f>
        <v>235.1109090909091</v>
      </c>
      <c r="P33" s="125">
        <v>9.51</v>
      </c>
      <c r="Q33" s="124" t="s">
        <v>43</v>
      </c>
      <c r="R33" s="123" t="s">
        <v>33</v>
      </c>
      <c r="S33" s="123" t="s">
        <v>34</v>
      </c>
      <c r="T33" s="123"/>
      <c r="U33" s="122"/>
      <c r="V33" s="28">
        <f>IFERROR(IF(N33&lt;P33,"",(ROUNDDOWN(N33/P33*100,0))),"")</f>
        <v>115</v>
      </c>
      <c r="W33" s="121"/>
    </row>
    <row r="34" spans="1:23" s="143" customFormat="1" ht="21" customHeight="1">
      <c r="A34" s="136"/>
      <c r="B34" s="135"/>
      <c r="C34" s="134"/>
      <c r="D34" s="129" t="s">
        <v>558</v>
      </c>
      <c r="E34" s="128" t="s">
        <v>41</v>
      </c>
      <c r="F34" s="127">
        <v>2.9990000000000001</v>
      </c>
      <c r="G34" s="128" t="s">
        <v>464</v>
      </c>
      <c r="H34" s="127" t="s">
        <v>463</v>
      </c>
      <c r="I34" s="128" t="s">
        <v>42</v>
      </c>
      <c r="J34" s="127">
        <v>2652</v>
      </c>
      <c r="K34" s="123">
        <v>5812</v>
      </c>
      <c r="L34" s="123">
        <v>2995</v>
      </c>
      <c r="M34" s="123" t="s">
        <v>31</v>
      </c>
      <c r="N34" s="133">
        <v>11</v>
      </c>
      <c r="O34" s="23">
        <f>IF(N34&gt;0,1/N34*37.7*68.6,"")</f>
        <v>235.1109090909091</v>
      </c>
      <c r="P34" s="125">
        <v>9.51</v>
      </c>
      <c r="Q34" s="124" t="s">
        <v>43</v>
      </c>
      <c r="R34" s="123" t="s">
        <v>33</v>
      </c>
      <c r="S34" s="123" t="s">
        <v>34</v>
      </c>
      <c r="T34" s="123"/>
      <c r="U34" s="122"/>
      <c r="V34" s="28">
        <f>IFERROR(IF(N34&lt;P34,"",(ROUNDDOWN(N34/P34*100,0))),"")</f>
        <v>115</v>
      </c>
      <c r="W34" s="121"/>
    </row>
    <row r="35" spans="1:23" s="143" customFormat="1" ht="21" customHeight="1">
      <c r="A35" s="136"/>
      <c r="B35" s="135"/>
      <c r="C35" s="134"/>
      <c r="D35" s="129" t="s">
        <v>557</v>
      </c>
      <c r="E35" s="128" t="s">
        <v>41</v>
      </c>
      <c r="F35" s="127">
        <v>2.9990000000000001</v>
      </c>
      <c r="G35" s="128" t="s">
        <v>467</v>
      </c>
      <c r="H35" s="127" t="s">
        <v>466</v>
      </c>
      <c r="I35" s="128" t="s">
        <v>42</v>
      </c>
      <c r="J35" s="127">
        <v>2356</v>
      </c>
      <c r="K35" s="123">
        <v>4521</v>
      </c>
      <c r="L35" s="123">
        <v>2000</v>
      </c>
      <c r="M35" s="123" t="s">
        <v>31</v>
      </c>
      <c r="N35" s="133">
        <v>12</v>
      </c>
      <c r="O35" s="23">
        <f>IF(N35&gt;0,1/N35*37.7*68.6,"")</f>
        <v>215.51833333333332</v>
      </c>
      <c r="P35" s="125">
        <v>10.35</v>
      </c>
      <c r="Q35" s="124" t="s">
        <v>43</v>
      </c>
      <c r="R35" s="123" t="s">
        <v>33</v>
      </c>
      <c r="S35" s="123" t="s">
        <v>34</v>
      </c>
      <c r="T35" s="123"/>
      <c r="U35" s="122"/>
      <c r="V35" s="28">
        <f>IFERROR(IF(N35&lt;P35,"",(ROUNDDOWN(N35/P35*100,0))),"")</f>
        <v>115</v>
      </c>
      <c r="W35" s="121"/>
    </row>
    <row r="36" spans="1:23" s="143" customFormat="1" ht="21" customHeight="1">
      <c r="A36" s="136"/>
      <c r="B36" s="135"/>
      <c r="C36" s="134"/>
      <c r="D36" s="129" t="s">
        <v>557</v>
      </c>
      <c r="E36" s="128" t="s">
        <v>41</v>
      </c>
      <c r="F36" s="127">
        <v>2.9990000000000001</v>
      </c>
      <c r="G36" s="128" t="s">
        <v>467</v>
      </c>
      <c r="H36" s="127" t="s">
        <v>466</v>
      </c>
      <c r="I36" s="128" t="s">
        <v>42</v>
      </c>
      <c r="J36" s="127">
        <v>2652</v>
      </c>
      <c r="K36" s="123">
        <v>5812</v>
      </c>
      <c r="L36" s="123">
        <v>2995</v>
      </c>
      <c r="M36" s="123" t="s">
        <v>31</v>
      </c>
      <c r="N36" s="133">
        <v>11</v>
      </c>
      <c r="O36" s="23">
        <f>IF(N36&gt;0,1/N36*37.7*68.6,"")</f>
        <v>235.1109090909091</v>
      </c>
      <c r="P36" s="125">
        <v>9.51</v>
      </c>
      <c r="Q36" s="124" t="s">
        <v>43</v>
      </c>
      <c r="R36" s="123" t="s">
        <v>33</v>
      </c>
      <c r="S36" s="123" t="s">
        <v>34</v>
      </c>
      <c r="T36" s="123"/>
      <c r="U36" s="122"/>
      <c r="V36" s="28">
        <f>IFERROR(IF(N36&lt;P36,"",(ROUNDDOWN(N36/P36*100,0))),"")</f>
        <v>115</v>
      </c>
      <c r="W36" s="121"/>
    </row>
    <row r="37" spans="1:23" s="121" customFormat="1" ht="21" customHeight="1">
      <c r="A37" s="136"/>
      <c r="B37" s="135"/>
      <c r="C37" s="134"/>
      <c r="D37" s="129" t="s">
        <v>557</v>
      </c>
      <c r="E37" s="128" t="s">
        <v>41</v>
      </c>
      <c r="F37" s="127">
        <v>2.9990000000000001</v>
      </c>
      <c r="G37" s="128" t="s">
        <v>464</v>
      </c>
      <c r="H37" s="127" t="s">
        <v>463</v>
      </c>
      <c r="I37" s="128" t="s">
        <v>42</v>
      </c>
      <c r="J37" s="127">
        <v>2652</v>
      </c>
      <c r="K37" s="123">
        <v>5812</v>
      </c>
      <c r="L37" s="123">
        <v>2995</v>
      </c>
      <c r="M37" s="123" t="s">
        <v>31</v>
      </c>
      <c r="N37" s="133">
        <v>11</v>
      </c>
      <c r="O37" s="23">
        <f>IF(N37&gt;0,1/N37*37.7*68.6,"")</f>
        <v>235.1109090909091</v>
      </c>
      <c r="P37" s="125">
        <v>9.51</v>
      </c>
      <c r="Q37" s="124" t="s">
        <v>43</v>
      </c>
      <c r="R37" s="123" t="s">
        <v>33</v>
      </c>
      <c r="S37" s="123" t="s">
        <v>34</v>
      </c>
      <c r="T37" s="123"/>
      <c r="U37" s="122"/>
      <c r="V37" s="28">
        <f>IFERROR(IF(N37&lt;P37,"",(ROUNDDOWN(N37/P37*100,0))),"")</f>
        <v>115</v>
      </c>
    </row>
    <row r="38" spans="1:23" s="121" customFormat="1" ht="21" customHeight="1">
      <c r="A38" s="136"/>
      <c r="B38" s="135"/>
      <c r="C38" s="134"/>
      <c r="D38" s="129" t="s">
        <v>556</v>
      </c>
      <c r="E38" s="128" t="s">
        <v>41</v>
      </c>
      <c r="F38" s="127">
        <v>2.9990000000000001</v>
      </c>
      <c r="G38" s="128">
        <v>375</v>
      </c>
      <c r="H38" s="127">
        <v>110</v>
      </c>
      <c r="I38" s="128" t="s">
        <v>70</v>
      </c>
      <c r="J38" s="127">
        <v>2356</v>
      </c>
      <c r="K38" s="123">
        <v>4521</v>
      </c>
      <c r="L38" s="123">
        <v>2000</v>
      </c>
      <c r="M38" s="123" t="s">
        <v>31</v>
      </c>
      <c r="N38" s="133">
        <v>11.8</v>
      </c>
      <c r="O38" s="23">
        <f>IF(N38&gt;0,1/N38*37.7*68.6,"")</f>
        <v>219.17118644067796</v>
      </c>
      <c r="P38" s="125">
        <v>10.35</v>
      </c>
      <c r="Q38" s="124" t="s">
        <v>43</v>
      </c>
      <c r="R38" s="123" t="s">
        <v>33</v>
      </c>
      <c r="S38" s="123" t="s">
        <v>34</v>
      </c>
      <c r="T38" s="123"/>
      <c r="U38" s="122"/>
      <c r="V38" s="28">
        <f>IFERROR(IF(N38&lt;P38,"",(ROUNDDOWN(N38/P38*100,0))),"")</f>
        <v>114</v>
      </c>
    </row>
    <row r="39" spans="1:23" s="143" customFormat="1" ht="21" customHeight="1">
      <c r="A39" s="136"/>
      <c r="B39" s="135"/>
      <c r="C39" s="134"/>
      <c r="D39" s="129" t="s">
        <v>556</v>
      </c>
      <c r="E39" s="128" t="s">
        <v>41</v>
      </c>
      <c r="F39" s="127">
        <v>2.9990000000000001</v>
      </c>
      <c r="G39" s="128">
        <v>375</v>
      </c>
      <c r="H39" s="127">
        <v>110</v>
      </c>
      <c r="I39" s="128" t="s">
        <v>71</v>
      </c>
      <c r="J39" s="127">
        <v>2356</v>
      </c>
      <c r="K39" s="123">
        <v>4521</v>
      </c>
      <c r="L39" s="123">
        <v>2000</v>
      </c>
      <c r="M39" s="123" t="s">
        <v>31</v>
      </c>
      <c r="N39" s="133">
        <v>11.8</v>
      </c>
      <c r="O39" s="23">
        <f>IF(N39&gt;0,1/N39*37.7*68.6,"")</f>
        <v>219.17118644067796</v>
      </c>
      <c r="P39" s="125">
        <v>10.35</v>
      </c>
      <c r="Q39" s="124" t="s">
        <v>43</v>
      </c>
      <c r="R39" s="123" t="s">
        <v>33</v>
      </c>
      <c r="S39" s="123" t="s">
        <v>34</v>
      </c>
      <c r="T39" s="123"/>
      <c r="U39" s="122"/>
      <c r="V39" s="28">
        <f>IFERROR(IF(N39&lt;P39,"",(ROUNDDOWN(N39/P39*100,0))),"")</f>
        <v>114</v>
      </c>
      <c r="W39" s="121"/>
    </row>
    <row r="40" spans="1:23" s="143" customFormat="1" ht="21" customHeight="1">
      <c r="A40" s="136"/>
      <c r="B40" s="135"/>
      <c r="C40" s="134"/>
      <c r="D40" s="129" t="s">
        <v>556</v>
      </c>
      <c r="E40" s="128" t="s">
        <v>41</v>
      </c>
      <c r="F40" s="127">
        <v>2.9990000000000001</v>
      </c>
      <c r="G40" s="128">
        <v>375</v>
      </c>
      <c r="H40" s="127">
        <v>110</v>
      </c>
      <c r="I40" s="128" t="s">
        <v>70</v>
      </c>
      <c r="J40" s="127">
        <v>2356</v>
      </c>
      <c r="K40" s="123">
        <v>4521</v>
      </c>
      <c r="L40" s="123">
        <v>2000</v>
      </c>
      <c r="M40" s="123" t="s">
        <v>31</v>
      </c>
      <c r="N40" s="133">
        <v>11.4</v>
      </c>
      <c r="O40" s="23">
        <f>IF(N40&gt;0,1/N40*37.7*68.6,"")</f>
        <v>226.8614035087719</v>
      </c>
      <c r="P40" s="125">
        <v>10.35</v>
      </c>
      <c r="Q40" s="124" t="s">
        <v>63</v>
      </c>
      <c r="R40" s="123" t="s">
        <v>33</v>
      </c>
      <c r="S40" s="123" t="s">
        <v>34</v>
      </c>
      <c r="T40" s="123"/>
      <c r="U40" s="122"/>
      <c r="V40" s="28">
        <f>IFERROR(IF(N40&lt;P40,"",(ROUNDDOWN(N40/P40*100,0))),"")</f>
        <v>110</v>
      </c>
      <c r="W40" s="121"/>
    </row>
    <row r="41" spans="1:23" s="143" customFormat="1" ht="21" customHeight="1">
      <c r="A41" s="136"/>
      <c r="B41" s="135"/>
      <c r="C41" s="134"/>
      <c r="D41" s="129" t="s">
        <v>556</v>
      </c>
      <c r="E41" s="128" t="s">
        <v>41</v>
      </c>
      <c r="F41" s="127">
        <v>2.9990000000000001</v>
      </c>
      <c r="G41" s="128">
        <v>375</v>
      </c>
      <c r="H41" s="127">
        <v>110</v>
      </c>
      <c r="I41" s="128" t="s">
        <v>71</v>
      </c>
      <c r="J41" s="127">
        <v>2356</v>
      </c>
      <c r="K41" s="123">
        <v>4521</v>
      </c>
      <c r="L41" s="123">
        <v>2000</v>
      </c>
      <c r="M41" s="123" t="s">
        <v>31</v>
      </c>
      <c r="N41" s="133">
        <v>11.4</v>
      </c>
      <c r="O41" s="23">
        <f>IF(N41&gt;0,1/N41*37.7*68.6,"")</f>
        <v>226.8614035087719</v>
      </c>
      <c r="P41" s="125">
        <v>10.35</v>
      </c>
      <c r="Q41" s="124" t="s">
        <v>63</v>
      </c>
      <c r="R41" s="123" t="s">
        <v>33</v>
      </c>
      <c r="S41" s="123" t="s">
        <v>34</v>
      </c>
      <c r="T41" s="123"/>
      <c r="U41" s="122"/>
      <c r="V41" s="28">
        <f>IFERROR(IF(N41&lt;P41,"",(ROUNDDOWN(N41/P41*100,0))),"")</f>
        <v>110</v>
      </c>
      <c r="W41" s="121"/>
    </row>
    <row r="42" spans="1:23" s="143" customFormat="1" ht="21" customHeight="1">
      <c r="A42" s="136"/>
      <c r="B42" s="135"/>
      <c r="C42" s="134"/>
      <c r="D42" s="129" t="s">
        <v>555</v>
      </c>
      <c r="E42" s="128" t="s">
        <v>41</v>
      </c>
      <c r="F42" s="127">
        <v>2.9990000000000001</v>
      </c>
      <c r="G42" s="128">
        <v>375</v>
      </c>
      <c r="H42" s="127">
        <v>110</v>
      </c>
      <c r="I42" s="128" t="s">
        <v>70</v>
      </c>
      <c r="J42" s="127">
        <v>2356</v>
      </c>
      <c r="K42" s="123">
        <v>4521</v>
      </c>
      <c r="L42" s="123">
        <v>2000</v>
      </c>
      <c r="M42" s="123" t="s">
        <v>31</v>
      </c>
      <c r="N42" s="133">
        <v>11.8</v>
      </c>
      <c r="O42" s="23">
        <f>IF(N42&gt;0,1/N42*37.7*68.6,"")</f>
        <v>219.17118644067796</v>
      </c>
      <c r="P42" s="125">
        <v>10.35</v>
      </c>
      <c r="Q42" s="124" t="s">
        <v>43</v>
      </c>
      <c r="R42" s="123" t="s">
        <v>33</v>
      </c>
      <c r="S42" s="123" t="s">
        <v>34</v>
      </c>
      <c r="T42" s="123"/>
      <c r="U42" s="122"/>
      <c r="V42" s="28">
        <f>IFERROR(IF(N42&lt;P42,"",(ROUNDDOWN(N42/P42*100,0))),"")</f>
        <v>114</v>
      </c>
      <c r="W42" s="121"/>
    </row>
    <row r="43" spans="1:23" s="143" customFormat="1" ht="21" customHeight="1">
      <c r="A43" s="136"/>
      <c r="B43" s="135"/>
      <c r="C43" s="134"/>
      <c r="D43" s="129" t="s">
        <v>555</v>
      </c>
      <c r="E43" s="128" t="s">
        <v>41</v>
      </c>
      <c r="F43" s="127">
        <v>2.9990000000000001</v>
      </c>
      <c r="G43" s="128">
        <v>375</v>
      </c>
      <c r="H43" s="127">
        <v>110</v>
      </c>
      <c r="I43" s="128" t="s">
        <v>71</v>
      </c>
      <c r="J43" s="127">
        <v>2356</v>
      </c>
      <c r="K43" s="123">
        <v>4521</v>
      </c>
      <c r="L43" s="123">
        <v>2000</v>
      </c>
      <c r="M43" s="123" t="s">
        <v>31</v>
      </c>
      <c r="N43" s="133">
        <v>11.8</v>
      </c>
      <c r="O43" s="23">
        <f>IF(N43&gt;0,1/N43*37.7*68.6,"")</f>
        <v>219.17118644067796</v>
      </c>
      <c r="P43" s="125">
        <v>10.35</v>
      </c>
      <c r="Q43" s="124" t="s">
        <v>43</v>
      </c>
      <c r="R43" s="123" t="s">
        <v>33</v>
      </c>
      <c r="S43" s="123" t="s">
        <v>34</v>
      </c>
      <c r="T43" s="123"/>
      <c r="U43" s="122"/>
      <c r="V43" s="28">
        <f>IFERROR(IF(N43&lt;P43,"",(ROUNDDOWN(N43/P43*100,0))),"")</f>
        <v>114</v>
      </c>
      <c r="W43" s="121"/>
    </row>
    <row r="44" spans="1:23" s="143" customFormat="1" ht="21" customHeight="1">
      <c r="A44" s="136"/>
      <c r="B44" s="135"/>
      <c r="C44" s="134"/>
      <c r="D44" s="129" t="s">
        <v>555</v>
      </c>
      <c r="E44" s="128" t="s">
        <v>41</v>
      </c>
      <c r="F44" s="127">
        <v>2.9990000000000001</v>
      </c>
      <c r="G44" s="128">
        <v>375</v>
      </c>
      <c r="H44" s="127">
        <v>110</v>
      </c>
      <c r="I44" s="128" t="s">
        <v>70</v>
      </c>
      <c r="J44" s="127">
        <v>2356</v>
      </c>
      <c r="K44" s="123">
        <v>4521</v>
      </c>
      <c r="L44" s="123">
        <v>2000</v>
      </c>
      <c r="M44" s="123" t="s">
        <v>31</v>
      </c>
      <c r="N44" s="133">
        <v>11.4</v>
      </c>
      <c r="O44" s="23">
        <f>IF(N44&gt;0,1/N44*37.7*68.6,"")</f>
        <v>226.8614035087719</v>
      </c>
      <c r="P44" s="125">
        <v>10.35</v>
      </c>
      <c r="Q44" s="124" t="s">
        <v>63</v>
      </c>
      <c r="R44" s="123" t="s">
        <v>33</v>
      </c>
      <c r="S44" s="123" t="s">
        <v>34</v>
      </c>
      <c r="T44" s="123"/>
      <c r="U44" s="122"/>
      <c r="V44" s="28">
        <f>IFERROR(IF(N44&lt;P44,"",(ROUNDDOWN(N44/P44*100,0))),"")</f>
        <v>110</v>
      </c>
      <c r="W44" s="121"/>
    </row>
    <row r="45" spans="1:23" s="143" customFormat="1" ht="21" customHeight="1">
      <c r="A45" s="136"/>
      <c r="B45" s="135"/>
      <c r="C45" s="134"/>
      <c r="D45" s="129" t="s">
        <v>555</v>
      </c>
      <c r="E45" s="128" t="s">
        <v>41</v>
      </c>
      <c r="F45" s="127">
        <v>2.9990000000000001</v>
      </c>
      <c r="G45" s="128">
        <v>375</v>
      </c>
      <c r="H45" s="127">
        <v>110</v>
      </c>
      <c r="I45" s="128" t="s">
        <v>71</v>
      </c>
      <c r="J45" s="127">
        <v>2356</v>
      </c>
      <c r="K45" s="123">
        <v>4521</v>
      </c>
      <c r="L45" s="123">
        <v>2000</v>
      </c>
      <c r="M45" s="123" t="s">
        <v>31</v>
      </c>
      <c r="N45" s="133">
        <v>11.4</v>
      </c>
      <c r="O45" s="23">
        <f>IF(N45&gt;0,1/N45*37.7*68.6,"")</f>
        <v>226.8614035087719</v>
      </c>
      <c r="P45" s="125">
        <v>10.35</v>
      </c>
      <c r="Q45" s="124" t="s">
        <v>63</v>
      </c>
      <c r="R45" s="123" t="s">
        <v>33</v>
      </c>
      <c r="S45" s="123" t="s">
        <v>34</v>
      </c>
      <c r="T45" s="123"/>
      <c r="U45" s="122"/>
      <c r="V45" s="28">
        <f>IFERROR(IF(N45&lt;P45,"",(ROUNDDOWN(N45/P45*100,0))),"")</f>
        <v>110</v>
      </c>
      <c r="W45" s="121"/>
    </row>
    <row r="46" spans="1:23" s="143" customFormat="1" ht="21" customHeight="1">
      <c r="A46" s="136"/>
      <c r="B46" s="135"/>
      <c r="C46" s="134"/>
      <c r="D46" s="129" t="s">
        <v>554</v>
      </c>
      <c r="E46" s="128" t="s">
        <v>41</v>
      </c>
      <c r="F46" s="127">
        <v>2.9990000000000001</v>
      </c>
      <c r="G46" s="128">
        <v>375</v>
      </c>
      <c r="H46" s="127">
        <v>110</v>
      </c>
      <c r="I46" s="128" t="s">
        <v>70</v>
      </c>
      <c r="J46" s="127">
        <v>2356</v>
      </c>
      <c r="K46" s="123">
        <v>4521</v>
      </c>
      <c r="L46" s="123">
        <v>2000</v>
      </c>
      <c r="M46" s="123" t="s">
        <v>31</v>
      </c>
      <c r="N46" s="133">
        <v>11.8</v>
      </c>
      <c r="O46" s="23">
        <f>IF(N46&gt;0,1/N46*37.7*68.6,"")</f>
        <v>219.17118644067796</v>
      </c>
      <c r="P46" s="125">
        <v>10.35</v>
      </c>
      <c r="Q46" s="124" t="s">
        <v>43</v>
      </c>
      <c r="R46" s="123" t="s">
        <v>33</v>
      </c>
      <c r="S46" s="123" t="s">
        <v>110</v>
      </c>
      <c r="T46" s="123"/>
      <c r="U46" s="122"/>
      <c r="V46" s="28">
        <f>IFERROR(IF(N46&lt;P46,"",(ROUNDDOWN(N46/P46*100,0))),"")</f>
        <v>114</v>
      </c>
      <c r="W46" s="121"/>
    </row>
    <row r="47" spans="1:23" s="143" customFormat="1" ht="21" customHeight="1">
      <c r="A47" s="136"/>
      <c r="B47" s="135"/>
      <c r="C47" s="134"/>
      <c r="D47" s="129" t="s">
        <v>554</v>
      </c>
      <c r="E47" s="128" t="s">
        <v>41</v>
      </c>
      <c r="F47" s="127">
        <v>2.9990000000000001</v>
      </c>
      <c r="G47" s="128">
        <v>375</v>
      </c>
      <c r="H47" s="127">
        <v>110</v>
      </c>
      <c r="I47" s="128" t="s">
        <v>70</v>
      </c>
      <c r="J47" s="127">
        <v>2356</v>
      </c>
      <c r="K47" s="123">
        <v>4521</v>
      </c>
      <c r="L47" s="123">
        <v>2000</v>
      </c>
      <c r="M47" s="123" t="s">
        <v>31</v>
      </c>
      <c r="N47" s="133">
        <v>11.4</v>
      </c>
      <c r="O47" s="23">
        <f>IF(N47&gt;0,1/N47*37.7*68.6,"")</f>
        <v>226.8614035087719</v>
      </c>
      <c r="P47" s="125">
        <v>10.35</v>
      </c>
      <c r="Q47" s="124" t="s">
        <v>63</v>
      </c>
      <c r="R47" s="123" t="s">
        <v>33</v>
      </c>
      <c r="S47" s="123" t="s">
        <v>110</v>
      </c>
      <c r="T47" s="123"/>
      <c r="U47" s="122"/>
      <c r="V47" s="28">
        <f>IFERROR(IF(N47&lt;P47,"",(ROUNDDOWN(N47/P47*100,0))),"")</f>
        <v>110</v>
      </c>
      <c r="W47" s="121"/>
    </row>
    <row r="48" spans="1:23" s="143" customFormat="1" ht="21" customHeight="1">
      <c r="A48" s="136"/>
      <c r="B48" s="135"/>
      <c r="C48" s="134"/>
      <c r="D48" s="129" t="s">
        <v>553</v>
      </c>
      <c r="E48" s="128" t="s">
        <v>41</v>
      </c>
      <c r="F48" s="127">
        <v>2.9990000000000001</v>
      </c>
      <c r="G48" s="128">
        <v>375</v>
      </c>
      <c r="H48" s="127">
        <v>110</v>
      </c>
      <c r="I48" s="128" t="s">
        <v>70</v>
      </c>
      <c r="J48" s="127">
        <v>2356</v>
      </c>
      <c r="K48" s="123">
        <v>4521</v>
      </c>
      <c r="L48" s="123">
        <v>2000</v>
      </c>
      <c r="M48" s="123" t="s">
        <v>31</v>
      </c>
      <c r="N48" s="133">
        <v>11.8</v>
      </c>
      <c r="O48" s="23">
        <f>IF(N48&gt;0,1/N48*37.7*68.6,"")</f>
        <v>219.17118644067796</v>
      </c>
      <c r="P48" s="125">
        <v>10.35</v>
      </c>
      <c r="Q48" s="124" t="s">
        <v>43</v>
      </c>
      <c r="R48" s="123" t="s">
        <v>33</v>
      </c>
      <c r="S48" s="123" t="s">
        <v>110</v>
      </c>
      <c r="T48" s="123"/>
      <c r="U48" s="122"/>
      <c r="V48" s="28">
        <f>IFERROR(IF(N48&lt;P48,"",(ROUNDDOWN(N48/P48*100,0))),"")</f>
        <v>114</v>
      </c>
      <c r="W48" s="121"/>
    </row>
    <row r="49" spans="1:23" s="121" customFormat="1" ht="21" customHeight="1">
      <c r="A49" s="136"/>
      <c r="B49" s="135"/>
      <c r="C49" s="134"/>
      <c r="D49" s="129" t="s">
        <v>553</v>
      </c>
      <c r="E49" s="128" t="s">
        <v>41</v>
      </c>
      <c r="F49" s="127">
        <v>2.9990000000000001</v>
      </c>
      <c r="G49" s="128">
        <v>375</v>
      </c>
      <c r="H49" s="127">
        <v>110</v>
      </c>
      <c r="I49" s="128" t="s">
        <v>70</v>
      </c>
      <c r="J49" s="127">
        <v>2356</v>
      </c>
      <c r="K49" s="123">
        <v>4521</v>
      </c>
      <c r="L49" s="123">
        <v>2000</v>
      </c>
      <c r="M49" s="123" t="s">
        <v>31</v>
      </c>
      <c r="N49" s="133">
        <v>11.4</v>
      </c>
      <c r="O49" s="23">
        <f>IF(N49&gt;0,1/N49*37.7*68.6,"")</f>
        <v>226.8614035087719</v>
      </c>
      <c r="P49" s="125">
        <v>10.35</v>
      </c>
      <c r="Q49" s="124" t="s">
        <v>63</v>
      </c>
      <c r="R49" s="123" t="s">
        <v>33</v>
      </c>
      <c r="S49" s="123" t="s">
        <v>110</v>
      </c>
      <c r="T49" s="123"/>
      <c r="U49" s="122"/>
      <c r="V49" s="28">
        <f>IFERROR(IF(N49&lt;P49,"",(ROUNDDOWN(N49/P49*100,0))),"")</f>
        <v>110</v>
      </c>
    </row>
    <row r="50" spans="1:23" s="121" customFormat="1" ht="21" customHeight="1">
      <c r="A50" s="136"/>
      <c r="B50" s="135"/>
      <c r="C50" s="134"/>
      <c r="D50" s="129" t="s">
        <v>552</v>
      </c>
      <c r="E50" s="128" t="s">
        <v>41</v>
      </c>
      <c r="F50" s="127">
        <v>2.9990000000000001</v>
      </c>
      <c r="G50" s="128">
        <v>375</v>
      </c>
      <c r="H50" s="127">
        <v>110</v>
      </c>
      <c r="I50" s="128" t="s">
        <v>70</v>
      </c>
      <c r="J50" s="127">
        <v>2356</v>
      </c>
      <c r="K50" s="123">
        <v>4521</v>
      </c>
      <c r="L50" s="123">
        <v>2000</v>
      </c>
      <c r="M50" s="123" t="s">
        <v>31</v>
      </c>
      <c r="N50" s="133">
        <v>11.8</v>
      </c>
      <c r="O50" s="23">
        <f>IF(N50&gt;0,1/N50*37.7*68.6,"")</f>
        <v>219.17118644067796</v>
      </c>
      <c r="P50" s="125">
        <v>10.35</v>
      </c>
      <c r="Q50" s="124" t="s">
        <v>43</v>
      </c>
      <c r="R50" s="123" t="s">
        <v>33</v>
      </c>
      <c r="S50" s="123" t="s">
        <v>44</v>
      </c>
      <c r="T50" s="123"/>
      <c r="U50" s="122"/>
      <c r="V50" s="28">
        <f>IFERROR(IF(N50&lt;P50,"",(ROUNDDOWN(N50/P50*100,0))),"")</f>
        <v>114</v>
      </c>
    </row>
    <row r="51" spans="1:23" s="143" customFormat="1" ht="21" customHeight="1">
      <c r="A51" s="136"/>
      <c r="B51" s="135"/>
      <c r="C51" s="134"/>
      <c r="D51" s="129" t="s">
        <v>552</v>
      </c>
      <c r="E51" s="128" t="s">
        <v>41</v>
      </c>
      <c r="F51" s="127">
        <v>2.9990000000000001</v>
      </c>
      <c r="G51" s="128">
        <v>375</v>
      </c>
      <c r="H51" s="127">
        <v>110</v>
      </c>
      <c r="I51" s="128" t="s">
        <v>70</v>
      </c>
      <c r="J51" s="127">
        <v>2356</v>
      </c>
      <c r="K51" s="123">
        <v>4521</v>
      </c>
      <c r="L51" s="123">
        <v>2000</v>
      </c>
      <c r="M51" s="123" t="s">
        <v>31</v>
      </c>
      <c r="N51" s="133">
        <v>11.8</v>
      </c>
      <c r="O51" s="23">
        <f>IF(N51&gt;0,1/N51*37.7*68.6,"")</f>
        <v>219.17118644067796</v>
      </c>
      <c r="P51" s="125">
        <v>10.35</v>
      </c>
      <c r="Q51" s="124" t="s">
        <v>43</v>
      </c>
      <c r="R51" s="123" t="s">
        <v>33</v>
      </c>
      <c r="S51" s="123" t="s">
        <v>34</v>
      </c>
      <c r="T51" s="123"/>
      <c r="U51" s="122"/>
      <c r="V51" s="28">
        <f>IFERROR(IF(N51&lt;P51,"",(ROUNDDOWN(N51/P51*100,0))),"")</f>
        <v>114</v>
      </c>
      <c r="W51" s="121"/>
    </row>
    <row r="52" spans="1:23" s="143" customFormat="1" ht="21" customHeight="1">
      <c r="A52" s="136"/>
      <c r="B52" s="135"/>
      <c r="C52" s="134"/>
      <c r="D52" s="129" t="s">
        <v>552</v>
      </c>
      <c r="E52" s="128" t="s">
        <v>41</v>
      </c>
      <c r="F52" s="127">
        <v>2.9990000000000001</v>
      </c>
      <c r="G52" s="128">
        <v>375</v>
      </c>
      <c r="H52" s="127">
        <v>110</v>
      </c>
      <c r="I52" s="128" t="s">
        <v>71</v>
      </c>
      <c r="J52" s="127">
        <v>2356</v>
      </c>
      <c r="K52" s="123">
        <v>4521</v>
      </c>
      <c r="L52" s="123">
        <v>2000</v>
      </c>
      <c r="M52" s="123" t="s">
        <v>31</v>
      </c>
      <c r="N52" s="133">
        <v>11.8</v>
      </c>
      <c r="O52" s="23">
        <f>IF(N52&gt;0,1/N52*37.7*68.6,"")</f>
        <v>219.17118644067796</v>
      </c>
      <c r="P52" s="125">
        <v>10.35</v>
      </c>
      <c r="Q52" s="124" t="s">
        <v>43</v>
      </c>
      <c r="R52" s="123" t="s">
        <v>33</v>
      </c>
      <c r="S52" s="123" t="s">
        <v>44</v>
      </c>
      <c r="T52" s="123"/>
      <c r="U52" s="122"/>
      <c r="V52" s="28">
        <f>IFERROR(IF(N52&lt;P52,"",(ROUNDDOWN(N52/P52*100,0))),"")</f>
        <v>114</v>
      </c>
      <c r="W52" s="121"/>
    </row>
    <row r="53" spans="1:23" s="143" customFormat="1" ht="21" customHeight="1">
      <c r="A53" s="136"/>
      <c r="B53" s="135"/>
      <c r="C53" s="134"/>
      <c r="D53" s="129" t="s">
        <v>552</v>
      </c>
      <c r="E53" s="128" t="s">
        <v>41</v>
      </c>
      <c r="F53" s="127">
        <v>2.9990000000000001</v>
      </c>
      <c r="G53" s="128">
        <v>375</v>
      </c>
      <c r="H53" s="127">
        <v>110</v>
      </c>
      <c r="I53" s="128" t="s">
        <v>71</v>
      </c>
      <c r="J53" s="127">
        <v>2356</v>
      </c>
      <c r="K53" s="123">
        <v>4521</v>
      </c>
      <c r="L53" s="123">
        <v>2000</v>
      </c>
      <c r="M53" s="123" t="s">
        <v>31</v>
      </c>
      <c r="N53" s="133">
        <v>11.8</v>
      </c>
      <c r="O53" s="23">
        <f>IF(N53&gt;0,1/N53*37.7*68.6,"")</f>
        <v>219.17118644067796</v>
      </c>
      <c r="P53" s="125">
        <v>10.35</v>
      </c>
      <c r="Q53" s="124" t="s">
        <v>43</v>
      </c>
      <c r="R53" s="123" t="s">
        <v>33</v>
      </c>
      <c r="S53" s="123" t="s">
        <v>34</v>
      </c>
      <c r="T53" s="123"/>
      <c r="U53" s="122"/>
      <c r="V53" s="28">
        <f>IFERROR(IF(N53&lt;P53,"",(ROUNDDOWN(N53/P53*100,0))),"")</f>
        <v>114</v>
      </c>
      <c r="W53" s="121"/>
    </row>
    <row r="54" spans="1:23" s="143" customFormat="1" ht="21" customHeight="1">
      <c r="A54" s="136"/>
      <c r="B54" s="135"/>
      <c r="C54" s="134"/>
      <c r="D54" s="129" t="s">
        <v>552</v>
      </c>
      <c r="E54" s="128" t="s">
        <v>41</v>
      </c>
      <c r="F54" s="127">
        <v>2.9990000000000001</v>
      </c>
      <c r="G54" s="128">
        <v>375</v>
      </c>
      <c r="H54" s="127">
        <v>110</v>
      </c>
      <c r="I54" s="128" t="s">
        <v>70</v>
      </c>
      <c r="J54" s="127">
        <v>2356</v>
      </c>
      <c r="K54" s="123">
        <v>4521</v>
      </c>
      <c r="L54" s="123">
        <v>2000</v>
      </c>
      <c r="M54" s="123" t="s">
        <v>31</v>
      </c>
      <c r="N54" s="133">
        <v>11.4</v>
      </c>
      <c r="O54" s="23">
        <f>IF(N54&gt;0,1/N54*37.7*68.6,"")</f>
        <v>226.8614035087719</v>
      </c>
      <c r="P54" s="125">
        <v>10.35</v>
      </c>
      <c r="Q54" s="124" t="s">
        <v>63</v>
      </c>
      <c r="R54" s="123" t="s">
        <v>33</v>
      </c>
      <c r="S54" s="123" t="s">
        <v>44</v>
      </c>
      <c r="T54" s="123"/>
      <c r="U54" s="122"/>
      <c r="V54" s="28">
        <f>IFERROR(IF(N54&lt;P54,"",(ROUNDDOWN(N54/P54*100,0))),"")</f>
        <v>110</v>
      </c>
      <c r="W54" s="121"/>
    </row>
    <row r="55" spans="1:23" s="143" customFormat="1" ht="21" customHeight="1">
      <c r="A55" s="136"/>
      <c r="B55" s="135"/>
      <c r="C55" s="134"/>
      <c r="D55" s="129" t="s">
        <v>552</v>
      </c>
      <c r="E55" s="128" t="s">
        <v>41</v>
      </c>
      <c r="F55" s="127">
        <v>2.9990000000000001</v>
      </c>
      <c r="G55" s="128">
        <v>375</v>
      </c>
      <c r="H55" s="127">
        <v>110</v>
      </c>
      <c r="I55" s="128" t="s">
        <v>70</v>
      </c>
      <c r="J55" s="127">
        <v>2356</v>
      </c>
      <c r="K55" s="123">
        <v>4521</v>
      </c>
      <c r="L55" s="123">
        <v>2000</v>
      </c>
      <c r="M55" s="123" t="s">
        <v>31</v>
      </c>
      <c r="N55" s="133">
        <v>11.4</v>
      </c>
      <c r="O55" s="23">
        <f>IF(N55&gt;0,1/N55*37.7*68.6,"")</f>
        <v>226.8614035087719</v>
      </c>
      <c r="P55" s="125">
        <v>10.35</v>
      </c>
      <c r="Q55" s="124" t="s">
        <v>63</v>
      </c>
      <c r="R55" s="123" t="s">
        <v>33</v>
      </c>
      <c r="S55" s="123" t="s">
        <v>34</v>
      </c>
      <c r="T55" s="123"/>
      <c r="U55" s="122"/>
      <c r="V55" s="28">
        <f>IFERROR(IF(N55&lt;P55,"",(ROUNDDOWN(N55/P55*100,0))),"")</f>
        <v>110</v>
      </c>
      <c r="W55" s="121"/>
    </row>
    <row r="56" spans="1:23" s="143" customFormat="1" ht="21" customHeight="1">
      <c r="A56" s="136"/>
      <c r="B56" s="135"/>
      <c r="C56" s="134"/>
      <c r="D56" s="129" t="s">
        <v>552</v>
      </c>
      <c r="E56" s="128" t="s">
        <v>41</v>
      </c>
      <c r="F56" s="127">
        <v>2.9990000000000001</v>
      </c>
      <c r="G56" s="128">
        <v>375</v>
      </c>
      <c r="H56" s="127">
        <v>110</v>
      </c>
      <c r="I56" s="128" t="s">
        <v>71</v>
      </c>
      <c r="J56" s="127">
        <v>2356</v>
      </c>
      <c r="K56" s="123">
        <v>4521</v>
      </c>
      <c r="L56" s="123">
        <v>2000</v>
      </c>
      <c r="M56" s="123" t="s">
        <v>31</v>
      </c>
      <c r="N56" s="133">
        <v>11.4</v>
      </c>
      <c r="O56" s="23">
        <f>IF(N56&gt;0,1/N56*37.7*68.6,"")</f>
        <v>226.8614035087719</v>
      </c>
      <c r="P56" s="125">
        <v>10.35</v>
      </c>
      <c r="Q56" s="124" t="s">
        <v>63</v>
      </c>
      <c r="R56" s="123" t="s">
        <v>33</v>
      </c>
      <c r="S56" s="123" t="s">
        <v>44</v>
      </c>
      <c r="T56" s="123"/>
      <c r="U56" s="122"/>
      <c r="V56" s="28">
        <f>IFERROR(IF(N56&lt;P56,"",(ROUNDDOWN(N56/P56*100,0))),"")</f>
        <v>110</v>
      </c>
      <c r="W56" s="121"/>
    </row>
    <row r="57" spans="1:23" s="143" customFormat="1" ht="21" customHeight="1">
      <c r="A57" s="136"/>
      <c r="B57" s="135"/>
      <c r="C57" s="134"/>
      <c r="D57" s="129" t="s">
        <v>552</v>
      </c>
      <c r="E57" s="128" t="s">
        <v>41</v>
      </c>
      <c r="F57" s="127">
        <v>2.9990000000000001</v>
      </c>
      <c r="G57" s="128">
        <v>375</v>
      </c>
      <c r="H57" s="127">
        <v>110</v>
      </c>
      <c r="I57" s="128" t="s">
        <v>71</v>
      </c>
      <c r="J57" s="127">
        <v>2356</v>
      </c>
      <c r="K57" s="123">
        <v>4521</v>
      </c>
      <c r="L57" s="123">
        <v>2000</v>
      </c>
      <c r="M57" s="123" t="s">
        <v>31</v>
      </c>
      <c r="N57" s="133">
        <v>11.4</v>
      </c>
      <c r="O57" s="23">
        <f>IF(N57&gt;0,1/N57*37.7*68.6,"")</f>
        <v>226.8614035087719</v>
      </c>
      <c r="P57" s="125">
        <v>10.35</v>
      </c>
      <c r="Q57" s="124" t="s">
        <v>63</v>
      </c>
      <c r="R57" s="123" t="s">
        <v>33</v>
      </c>
      <c r="S57" s="123" t="s">
        <v>34</v>
      </c>
      <c r="T57" s="123"/>
      <c r="U57" s="122"/>
      <c r="V57" s="28">
        <f>IFERROR(IF(N57&lt;P57,"",(ROUNDDOWN(N57/P57*100,0))),"")</f>
        <v>110</v>
      </c>
      <c r="W57" s="121"/>
    </row>
    <row r="58" spans="1:23" s="143" customFormat="1" ht="21" customHeight="1">
      <c r="A58" s="136"/>
      <c r="B58" s="135"/>
      <c r="C58" s="134"/>
      <c r="D58" s="129" t="s">
        <v>551</v>
      </c>
      <c r="E58" s="128" t="s">
        <v>41</v>
      </c>
      <c r="F58" s="127">
        <v>2.9990000000000001</v>
      </c>
      <c r="G58" s="128">
        <v>375</v>
      </c>
      <c r="H58" s="127" t="s">
        <v>466</v>
      </c>
      <c r="I58" s="128" t="s">
        <v>70</v>
      </c>
      <c r="J58" s="127">
        <v>2356</v>
      </c>
      <c r="K58" s="123">
        <v>4521</v>
      </c>
      <c r="L58" s="123">
        <v>2000</v>
      </c>
      <c r="M58" s="123" t="s">
        <v>31</v>
      </c>
      <c r="N58" s="133">
        <v>11.8</v>
      </c>
      <c r="O58" s="23">
        <f>IF(N58&gt;0,1/N58*37.7*68.6,"")</f>
        <v>219.17118644067796</v>
      </c>
      <c r="P58" s="125">
        <v>10.35</v>
      </c>
      <c r="Q58" s="124" t="s">
        <v>43</v>
      </c>
      <c r="R58" s="123" t="s">
        <v>33</v>
      </c>
      <c r="S58" s="123" t="s">
        <v>44</v>
      </c>
      <c r="T58" s="123"/>
      <c r="U58" s="122"/>
      <c r="V58" s="28">
        <f>IFERROR(IF(N58&lt;P58,"",(ROUNDDOWN(N58/P58*100,0))),"")</f>
        <v>114</v>
      </c>
      <c r="W58" s="121"/>
    </row>
    <row r="59" spans="1:23" s="143" customFormat="1" ht="21" customHeight="1">
      <c r="A59" s="136"/>
      <c r="B59" s="135"/>
      <c r="C59" s="134"/>
      <c r="D59" s="129" t="s">
        <v>551</v>
      </c>
      <c r="E59" s="128" t="s">
        <v>41</v>
      </c>
      <c r="F59" s="127">
        <v>2.9990000000000001</v>
      </c>
      <c r="G59" s="128">
        <v>375</v>
      </c>
      <c r="H59" s="127" t="s">
        <v>466</v>
      </c>
      <c r="I59" s="128" t="s">
        <v>42</v>
      </c>
      <c r="J59" s="127">
        <v>2356</v>
      </c>
      <c r="K59" s="123">
        <v>4521</v>
      </c>
      <c r="L59" s="123">
        <v>2000</v>
      </c>
      <c r="M59" s="123" t="s">
        <v>31</v>
      </c>
      <c r="N59" s="133">
        <v>11.8</v>
      </c>
      <c r="O59" s="23">
        <f>IF(N59&gt;0,1/N59*37.7*68.6,"")</f>
        <v>219.17118644067796</v>
      </c>
      <c r="P59" s="125">
        <v>10.35</v>
      </c>
      <c r="Q59" s="124" t="s">
        <v>63</v>
      </c>
      <c r="R59" s="123" t="s">
        <v>33</v>
      </c>
      <c r="S59" s="123" t="s">
        <v>44</v>
      </c>
      <c r="T59" s="123"/>
      <c r="U59" s="122"/>
      <c r="V59" s="28">
        <f>IFERROR(IF(N59&lt;P59,"",(ROUNDDOWN(N59/P59*100,0))),"")</f>
        <v>114</v>
      </c>
      <c r="W59" s="121"/>
    </row>
    <row r="60" spans="1:23" s="143" customFormat="1" ht="21" customHeight="1">
      <c r="A60" s="136"/>
      <c r="B60" s="135"/>
      <c r="C60" s="134"/>
      <c r="D60" s="129" t="s">
        <v>551</v>
      </c>
      <c r="E60" s="128" t="s">
        <v>41</v>
      </c>
      <c r="F60" s="127">
        <v>2.9990000000000001</v>
      </c>
      <c r="G60" s="128">
        <v>375</v>
      </c>
      <c r="H60" s="127" t="s">
        <v>466</v>
      </c>
      <c r="I60" s="128" t="s">
        <v>70</v>
      </c>
      <c r="J60" s="127">
        <v>2356</v>
      </c>
      <c r="K60" s="123">
        <v>4521</v>
      </c>
      <c r="L60" s="123">
        <v>2000</v>
      </c>
      <c r="M60" s="123" t="s">
        <v>31</v>
      </c>
      <c r="N60" s="133">
        <v>11.8</v>
      </c>
      <c r="O60" s="23">
        <f>IF(N60&gt;0,1/N60*37.7*68.6,"")</f>
        <v>219.17118644067796</v>
      </c>
      <c r="P60" s="125">
        <v>10.35</v>
      </c>
      <c r="Q60" s="124" t="s">
        <v>43</v>
      </c>
      <c r="R60" s="123" t="s">
        <v>33</v>
      </c>
      <c r="S60" s="123" t="s">
        <v>34</v>
      </c>
      <c r="T60" s="123"/>
      <c r="U60" s="122"/>
      <c r="V60" s="28">
        <f>IFERROR(IF(N60&lt;P60,"",(ROUNDDOWN(N60/P60*100,0))),"")</f>
        <v>114</v>
      </c>
      <c r="W60" s="121"/>
    </row>
    <row r="61" spans="1:23" s="143" customFormat="1" ht="21" customHeight="1">
      <c r="A61" s="136"/>
      <c r="B61" s="135"/>
      <c r="C61" s="134"/>
      <c r="D61" s="129" t="s">
        <v>551</v>
      </c>
      <c r="E61" s="128" t="s">
        <v>41</v>
      </c>
      <c r="F61" s="127">
        <v>2.9990000000000001</v>
      </c>
      <c r="G61" s="128">
        <v>375</v>
      </c>
      <c r="H61" s="127" t="s">
        <v>466</v>
      </c>
      <c r="I61" s="128" t="s">
        <v>42</v>
      </c>
      <c r="J61" s="127">
        <v>2356</v>
      </c>
      <c r="K61" s="123">
        <v>4521</v>
      </c>
      <c r="L61" s="123">
        <v>2000</v>
      </c>
      <c r="M61" s="123" t="s">
        <v>31</v>
      </c>
      <c r="N61" s="133">
        <v>11.8</v>
      </c>
      <c r="O61" s="23">
        <f>IF(N61&gt;0,1/N61*37.7*68.6,"")</f>
        <v>219.17118644067796</v>
      </c>
      <c r="P61" s="125">
        <v>10.35</v>
      </c>
      <c r="Q61" s="124" t="s">
        <v>63</v>
      </c>
      <c r="R61" s="123" t="s">
        <v>33</v>
      </c>
      <c r="S61" s="123" t="s">
        <v>34</v>
      </c>
      <c r="T61" s="123"/>
      <c r="U61" s="122"/>
      <c r="V61" s="28">
        <f>IFERROR(IF(N61&lt;P61,"",(ROUNDDOWN(N61/P61*100,0))),"")</f>
        <v>114</v>
      </c>
      <c r="W61" s="121"/>
    </row>
    <row r="62" spans="1:23" s="143" customFormat="1" ht="21" customHeight="1">
      <c r="A62" s="136"/>
      <c r="B62" s="135"/>
      <c r="C62" s="134"/>
      <c r="D62" s="129" t="s">
        <v>551</v>
      </c>
      <c r="E62" s="128" t="s">
        <v>41</v>
      </c>
      <c r="F62" s="127">
        <v>2.9990000000000001</v>
      </c>
      <c r="G62" s="128">
        <v>375</v>
      </c>
      <c r="H62" s="127" t="s">
        <v>466</v>
      </c>
      <c r="I62" s="128" t="s">
        <v>70</v>
      </c>
      <c r="J62" s="127">
        <v>2356</v>
      </c>
      <c r="K62" s="123">
        <v>4521</v>
      </c>
      <c r="L62" s="123">
        <v>2000</v>
      </c>
      <c r="M62" s="123" t="s">
        <v>31</v>
      </c>
      <c r="N62" s="133">
        <v>11.4</v>
      </c>
      <c r="O62" s="23">
        <f>IF(N62&gt;0,1/N62*37.7*68.6,"")</f>
        <v>226.8614035087719</v>
      </c>
      <c r="P62" s="125">
        <v>10.35</v>
      </c>
      <c r="Q62" s="124" t="s">
        <v>63</v>
      </c>
      <c r="R62" s="123" t="s">
        <v>33</v>
      </c>
      <c r="S62" s="123" t="s">
        <v>44</v>
      </c>
      <c r="T62" s="123"/>
      <c r="U62" s="122"/>
      <c r="V62" s="28">
        <f>IFERROR(IF(N62&lt;P62,"",(ROUNDDOWN(N62/P62*100,0))),"")</f>
        <v>110</v>
      </c>
      <c r="W62" s="121"/>
    </row>
    <row r="63" spans="1:23" s="143" customFormat="1" ht="21" customHeight="1">
      <c r="A63" s="136"/>
      <c r="B63" s="135"/>
      <c r="C63" s="134"/>
      <c r="D63" s="129" t="s">
        <v>551</v>
      </c>
      <c r="E63" s="128" t="s">
        <v>41</v>
      </c>
      <c r="F63" s="127">
        <v>2.9990000000000001</v>
      </c>
      <c r="G63" s="128">
        <v>375</v>
      </c>
      <c r="H63" s="127" t="s">
        <v>466</v>
      </c>
      <c r="I63" s="128" t="s">
        <v>70</v>
      </c>
      <c r="J63" s="127">
        <v>2356</v>
      </c>
      <c r="K63" s="123">
        <v>4521</v>
      </c>
      <c r="L63" s="123">
        <v>2000</v>
      </c>
      <c r="M63" s="123" t="s">
        <v>31</v>
      </c>
      <c r="N63" s="133">
        <v>11.4</v>
      </c>
      <c r="O63" s="23">
        <f>IF(N63&gt;0,1/N63*37.7*68.6,"")</f>
        <v>226.8614035087719</v>
      </c>
      <c r="P63" s="125">
        <v>10.35</v>
      </c>
      <c r="Q63" s="124" t="s">
        <v>63</v>
      </c>
      <c r="R63" s="123" t="s">
        <v>33</v>
      </c>
      <c r="S63" s="123" t="s">
        <v>34</v>
      </c>
      <c r="T63" s="123"/>
      <c r="U63" s="122"/>
      <c r="V63" s="28">
        <f>IFERROR(IF(N63&lt;P63,"",(ROUNDDOWN(N63/P63*100,0))),"")</f>
        <v>110</v>
      </c>
      <c r="W63" s="121"/>
    </row>
    <row r="64" spans="1:23" s="143" customFormat="1" ht="21" customHeight="1">
      <c r="A64" s="136"/>
      <c r="B64" s="135"/>
      <c r="C64" s="134"/>
      <c r="D64" s="129" t="s">
        <v>550</v>
      </c>
      <c r="E64" s="128" t="s">
        <v>41</v>
      </c>
      <c r="F64" s="127">
        <v>2.9990000000000001</v>
      </c>
      <c r="G64" s="128">
        <v>375</v>
      </c>
      <c r="H64" s="127" t="s">
        <v>466</v>
      </c>
      <c r="I64" s="128" t="s">
        <v>70</v>
      </c>
      <c r="J64" s="127">
        <v>2356</v>
      </c>
      <c r="K64" s="123">
        <v>4521</v>
      </c>
      <c r="L64" s="123">
        <v>2000</v>
      </c>
      <c r="M64" s="123" t="s">
        <v>31</v>
      </c>
      <c r="N64" s="133">
        <v>11.8</v>
      </c>
      <c r="O64" s="23">
        <f>IF(N64&gt;0,1/N64*37.7*68.6,"")</f>
        <v>219.17118644067796</v>
      </c>
      <c r="P64" s="125">
        <v>10.35</v>
      </c>
      <c r="Q64" s="124" t="s">
        <v>43</v>
      </c>
      <c r="R64" s="123" t="s">
        <v>33</v>
      </c>
      <c r="S64" s="123" t="s">
        <v>44</v>
      </c>
      <c r="T64" s="123"/>
      <c r="U64" s="122"/>
      <c r="V64" s="28">
        <f>IFERROR(IF(N64&lt;P64,"",(ROUNDDOWN(N64/P64*100,0))),"")</f>
        <v>114</v>
      </c>
      <c r="W64" s="121"/>
    </row>
    <row r="65" spans="1:23" s="143" customFormat="1" ht="21" customHeight="1">
      <c r="A65" s="136"/>
      <c r="B65" s="135"/>
      <c r="C65" s="134"/>
      <c r="D65" s="129" t="s">
        <v>550</v>
      </c>
      <c r="E65" s="128" t="s">
        <v>41</v>
      </c>
      <c r="F65" s="127">
        <v>2.9990000000000001</v>
      </c>
      <c r="G65" s="128">
        <v>375</v>
      </c>
      <c r="H65" s="127" t="s">
        <v>466</v>
      </c>
      <c r="I65" s="128" t="s">
        <v>42</v>
      </c>
      <c r="J65" s="127">
        <v>2356</v>
      </c>
      <c r="K65" s="123">
        <v>4521</v>
      </c>
      <c r="L65" s="123">
        <v>2000</v>
      </c>
      <c r="M65" s="123" t="s">
        <v>31</v>
      </c>
      <c r="N65" s="133">
        <v>11.8</v>
      </c>
      <c r="O65" s="23">
        <f>IF(N65&gt;0,1/N65*37.7*68.6,"")</f>
        <v>219.17118644067796</v>
      </c>
      <c r="P65" s="125">
        <v>10.35</v>
      </c>
      <c r="Q65" s="124" t="s">
        <v>63</v>
      </c>
      <c r="R65" s="123" t="s">
        <v>33</v>
      </c>
      <c r="S65" s="123" t="s">
        <v>44</v>
      </c>
      <c r="T65" s="123"/>
      <c r="U65" s="122"/>
      <c r="V65" s="28">
        <f>IFERROR(IF(N65&lt;P65,"",(ROUNDDOWN(N65/P65*100,0))),"")</f>
        <v>114</v>
      </c>
      <c r="W65" s="121"/>
    </row>
    <row r="66" spans="1:23" s="143" customFormat="1" ht="21" customHeight="1">
      <c r="A66" s="136"/>
      <c r="B66" s="135"/>
      <c r="C66" s="134"/>
      <c r="D66" s="129" t="s">
        <v>550</v>
      </c>
      <c r="E66" s="128" t="s">
        <v>41</v>
      </c>
      <c r="F66" s="127">
        <v>2.9990000000000001</v>
      </c>
      <c r="G66" s="128">
        <v>375</v>
      </c>
      <c r="H66" s="127" t="s">
        <v>466</v>
      </c>
      <c r="I66" s="128" t="s">
        <v>70</v>
      </c>
      <c r="J66" s="127">
        <v>2356</v>
      </c>
      <c r="K66" s="123">
        <v>4521</v>
      </c>
      <c r="L66" s="123">
        <v>2000</v>
      </c>
      <c r="M66" s="123" t="s">
        <v>31</v>
      </c>
      <c r="N66" s="133">
        <v>11.8</v>
      </c>
      <c r="O66" s="23">
        <f>IF(N66&gt;0,1/N66*37.7*68.6,"")</f>
        <v>219.17118644067796</v>
      </c>
      <c r="P66" s="125">
        <v>10.35</v>
      </c>
      <c r="Q66" s="124" t="s">
        <v>43</v>
      </c>
      <c r="R66" s="123" t="s">
        <v>33</v>
      </c>
      <c r="S66" s="123" t="s">
        <v>34</v>
      </c>
      <c r="T66" s="123"/>
      <c r="U66" s="122"/>
      <c r="V66" s="28">
        <f>IFERROR(IF(N66&lt;P66,"",(ROUNDDOWN(N66/P66*100,0))),"")</f>
        <v>114</v>
      </c>
    </row>
    <row r="67" spans="1:23" s="143" customFormat="1" ht="21" customHeight="1">
      <c r="A67" s="136"/>
      <c r="B67" s="135"/>
      <c r="C67" s="134"/>
      <c r="D67" s="129" t="s">
        <v>550</v>
      </c>
      <c r="E67" s="128" t="s">
        <v>41</v>
      </c>
      <c r="F67" s="127">
        <v>2.9990000000000001</v>
      </c>
      <c r="G67" s="128">
        <v>375</v>
      </c>
      <c r="H67" s="127" t="s">
        <v>466</v>
      </c>
      <c r="I67" s="128" t="s">
        <v>42</v>
      </c>
      <c r="J67" s="127">
        <v>2356</v>
      </c>
      <c r="K67" s="123">
        <v>4521</v>
      </c>
      <c r="L67" s="123">
        <v>2000</v>
      </c>
      <c r="M67" s="123" t="s">
        <v>31</v>
      </c>
      <c r="N67" s="133">
        <v>11.8</v>
      </c>
      <c r="O67" s="23">
        <f>IF(N67&gt;0,1/N67*37.7*68.6,"")</f>
        <v>219.17118644067796</v>
      </c>
      <c r="P67" s="125">
        <v>10.35</v>
      </c>
      <c r="Q67" s="124" t="s">
        <v>63</v>
      </c>
      <c r="R67" s="123" t="s">
        <v>33</v>
      </c>
      <c r="S67" s="123" t="s">
        <v>34</v>
      </c>
      <c r="T67" s="123"/>
      <c r="U67" s="122"/>
      <c r="V67" s="28">
        <f>IFERROR(IF(N67&lt;P67,"",(ROUNDDOWN(N67/P67*100,0))),"")</f>
        <v>114</v>
      </c>
    </row>
    <row r="68" spans="1:23" s="143" customFormat="1" ht="21" customHeight="1">
      <c r="A68" s="136"/>
      <c r="B68" s="135"/>
      <c r="C68" s="134"/>
      <c r="D68" s="129" t="s">
        <v>550</v>
      </c>
      <c r="E68" s="128" t="s">
        <v>41</v>
      </c>
      <c r="F68" s="127">
        <v>2.9990000000000001</v>
      </c>
      <c r="G68" s="128">
        <v>375</v>
      </c>
      <c r="H68" s="127" t="s">
        <v>466</v>
      </c>
      <c r="I68" s="128" t="s">
        <v>70</v>
      </c>
      <c r="J68" s="127">
        <v>2356</v>
      </c>
      <c r="K68" s="123">
        <v>4521</v>
      </c>
      <c r="L68" s="123">
        <v>2000</v>
      </c>
      <c r="M68" s="123" t="s">
        <v>31</v>
      </c>
      <c r="N68" s="133">
        <v>11.4</v>
      </c>
      <c r="O68" s="23">
        <f>IF(N68&gt;0,1/N68*37.7*68.6,"")</f>
        <v>226.8614035087719</v>
      </c>
      <c r="P68" s="125">
        <v>10.35</v>
      </c>
      <c r="Q68" s="124" t="s">
        <v>63</v>
      </c>
      <c r="R68" s="123" t="s">
        <v>33</v>
      </c>
      <c r="S68" s="123" t="s">
        <v>44</v>
      </c>
      <c r="T68" s="123"/>
      <c r="U68" s="122"/>
      <c r="V68" s="28">
        <f>IFERROR(IF(N68&lt;P68,"",(ROUNDDOWN(N68/P68*100,0))),"")</f>
        <v>110</v>
      </c>
    </row>
    <row r="69" spans="1:23" s="143" customFormat="1" ht="21" customHeight="1">
      <c r="A69" s="136"/>
      <c r="B69" s="135"/>
      <c r="C69" s="134"/>
      <c r="D69" s="129" t="s">
        <v>550</v>
      </c>
      <c r="E69" s="128" t="s">
        <v>41</v>
      </c>
      <c r="F69" s="127">
        <v>2.9990000000000001</v>
      </c>
      <c r="G69" s="128">
        <v>375</v>
      </c>
      <c r="H69" s="127" t="s">
        <v>466</v>
      </c>
      <c r="I69" s="128" t="s">
        <v>70</v>
      </c>
      <c r="J69" s="127">
        <v>2356</v>
      </c>
      <c r="K69" s="123">
        <v>4521</v>
      </c>
      <c r="L69" s="123">
        <v>2000</v>
      </c>
      <c r="M69" s="123" t="s">
        <v>31</v>
      </c>
      <c r="N69" s="133">
        <v>11.4</v>
      </c>
      <c r="O69" s="23">
        <f>IF(N69&gt;0,1/N69*37.7*68.6,"")</f>
        <v>226.8614035087719</v>
      </c>
      <c r="P69" s="125">
        <v>10.35</v>
      </c>
      <c r="Q69" s="124" t="s">
        <v>63</v>
      </c>
      <c r="R69" s="123" t="s">
        <v>33</v>
      </c>
      <c r="S69" s="123" t="s">
        <v>34</v>
      </c>
      <c r="T69" s="123"/>
      <c r="U69" s="122"/>
      <c r="V69" s="28">
        <f>IFERROR(IF(N69&lt;P69,"",(ROUNDDOWN(N69/P69*100,0))),"")</f>
        <v>110</v>
      </c>
    </row>
    <row r="70" spans="1:23" s="143" customFormat="1" ht="21" customHeight="1">
      <c r="A70" s="136"/>
      <c r="B70" s="135"/>
      <c r="C70" s="134"/>
      <c r="D70" s="129" t="s">
        <v>549</v>
      </c>
      <c r="E70" s="128" t="s">
        <v>41</v>
      </c>
      <c r="F70" s="127">
        <v>2.9990000000000001</v>
      </c>
      <c r="G70" s="128">
        <v>375</v>
      </c>
      <c r="H70" s="127">
        <v>110</v>
      </c>
      <c r="I70" s="128" t="s">
        <v>70</v>
      </c>
      <c r="J70" s="127">
        <v>2356</v>
      </c>
      <c r="K70" s="123">
        <v>4521</v>
      </c>
      <c r="L70" s="123">
        <v>2000</v>
      </c>
      <c r="M70" s="123" t="s">
        <v>31</v>
      </c>
      <c r="N70" s="133">
        <v>11.8</v>
      </c>
      <c r="O70" s="23">
        <f>IF(N70&gt;0,1/N70*37.7*68.6,"")</f>
        <v>219.17118644067796</v>
      </c>
      <c r="P70" s="125">
        <v>10.35</v>
      </c>
      <c r="Q70" s="124" t="s">
        <v>43</v>
      </c>
      <c r="R70" s="123" t="s">
        <v>33</v>
      </c>
      <c r="S70" s="123" t="s">
        <v>44</v>
      </c>
      <c r="T70" s="123"/>
      <c r="U70" s="122"/>
      <c r="V70" s="28">
        <f>IFERROR(IF(N70&lt;P70,"",(ROUNDDOWN(N70/P70*100,0))),"")</f>
        <v>114</v>
      </c>
      <c r="W70" s="121"/>
    </row>
    <row r="71" spans="1:23" s="143" customFormat="1" ht="21" customHeight="1">
      <c r="A71" s="136"/>
      <c r="B71" s="135"/>
      <c r="C71" s="134"/>
      <c r="D71" s="129" t="s">
        <v>549</v>
      </c>
      <c r="E71" s="128" t="s">
        <v>41</v>
      </c>
      <c r="F71" s="127">
        <v>2.9990000000000001</v>
      </c>
      <c r="G71" s="128">
        <v>375</v>
      </c>
      <c r="H71" s="127">
        <v>110</v>
      </c>
      <c r="I71" s="128" t="s">
        <v>70</v>
      </c>
      <c r="J71" s="127">
        <v>2356</v>
      </c>
      <c r="K71" s="123">
        <v>4521</v>
      </c>
      <c r="L71" s="123">
        <v>2000</v>
      </c>
      <c r="M71" s="123" t="s">
        <v>31</v>
      </c>
      <c r="N71" s="133">
        <v>11.8</v>
      </c>
      <c r="O71" s="23">
        <f>IF(N71&gt;0,1/N71*37.7*68.6,"")</f>
        <v>219.17118644067796</v>
      </c>
      <c r="P71" s="125">
        <v>10.35</v>
      </c>
      <c r="Q71" s="124" t="s">
        <v>43</v>
      </c>
      <c r="R71" s="123" t="s">
        <v>33</v>
      </c>
      <c r="S71" s="123" t="s">
        <v>34</v>
      </c>
      <c r="T71" s="123"/>
      <c r="U71" s="122"/>
      <c r="V71" s="28">
        <f>IFERROR(IF(N71&lt;P71,"",(ROUNDDOWN(N71/P71*100,0))),"")</f>
        <v>114</v>
      </c>
      <c r="W71" s="121"/>
    </row>
    <row r="72" spans="1:23" s="143" customFormat="1" ht="21" customHeight="1">
      <c r="A72" s="136"/>
      <c r="B72" s="135"/>
      <c r="C72" s="134"/>
      <c r="D72" s="129" t="s">
        <v>549</v>
      </c>
      <c r="E72" s="128" t="s">
        <v>41</v>
      </c>
      <c r="F72" s="127">
        <v>2.9990000000000001</v>
      </c>
      <c r="G72" s="128">
        <v>375</v>
      </c>
      <c r="H72" s="127">
        <v>110</v>
      </c>
      <c r="I72" s="128" t="s">
        <v>71</v>
      </c>
      <c r="J72" s="127">
        <v>2356</v>
      </c>
      <c r="K72" s="123">
        <v>4521</v>
      </c>
      <c r="L72" s="123">
        <v>2000</v>
      </c>
      <c r="M72" s="123" t="s">
        <v>31</v>
      </c>
      <c r="N72" s="133">
        <v>11.8</v>
      </c>
      <c r="O72" s="23">
        <f>IF(N72&gt;0,1/N72*37.7*68.6,"")</f>
        <v>219.17118644067796</v>
      </c>
      <c r="P72" s="125">
        <v>10.35</v>
      </c>
      <c r="Q72" s="124" t="s">
        <v>43</v>
      </c>
      <c r="R72" s="123" t="s">
        <v>33</v>
      </c>
      <c r="S72" s="123" t="s">
        <v>44</v>
      </c>
      <c r="T72" s="123"/>
      <c r="U72" s="122"/>
      <c r="V72" s="28">
        <f>IFERROR(IF(N72&lt;P72,"",(ROUNDDOWN(N72/P72*100,0))),"")</f>
        <v>114</v>
      </c>
      <c r="W72" s="121"/>
    </row>
    <row r="73" spans="1:23" s="143" customFormat="1" ht="21" customHeight="1">
      <c r="A73" s="136"/>
      <c r="B73" s="135"/>
      <c r="C73" s="134"/>
      <c r="D73" s="129" t="s">
        <v>549</v>
      </c>
      <c r="E73" s="128" t="s">
        <v>41</v>
      </c>
      <c r="F73" s="127">
        <v>2.9990000000000001</v>
      </c>
      <c r="G73" s="128">
        <v>375</v>
      </c>
      <c r="H73" s="127">
        <v>110</v>
      </c>
      <c r="I73" s="128" t="s">
        <v>71</v>
      </c>
      <c r="J73" s="127">
        <v>2356</v>
      </c>
      <c r="K73" s="123">
        <v>4521</v>
      </c>
      <c r="L73" s="123">
        <v>2000</v>
      </c>
      <c r="M73" s="123" t="s">
        <v>31</v>
      </c>
      <c r="N73" s="133">
        <v>11.8</v>
      </c>
      <c r="O73" s="23">
        <f>IF(N73&gt;0,1/N73*37.7*68.6,"")</f>
        <v>219.17118644067796</v>
      </c>
      <c r="P73" s="125">
        <v>10.35</v>
      </c>
      <c r="Q73" s="124" t="s">
        <v>43</v>
      </c>
      <c r="R73" s="123" t="s">
        <v>33</v>
      </c>
      <c r="S73" s="123" t="s">
        <v>34</v>
      </c>
      <c r="T73" s="123"/>
      <c r="U73" s="122"/>
      <c r="V73" s="28">
        <f>IFERROR(IF(N73&lt;P73,"",(ROUNDDOWN(N73/P73*100,0))),"")</f>
        <v>114</v>
      </c>
      <c r="W73" s="121"/>
    </row>
    <row r="74" spans="1:23" s="143" customFormat="1" ht="21" customHeight="1">
      <c r="A74" s="136"/>
      <c r="B74" s="135"/>
      <c r="C74" s="134"/>
      <c r="D74" s="129" t="s">
        <v>549</v>
      </c>
      <c r="E74" s="128" t="s">
        <v>41</v>
      </c>
      <c r="F74" s="127">
        <v>2.9990000000000001</v>
      </c>
      <c r="G74" s="128">
        <v>375</v>
      </c>
      <c r="H74" s="127">
        <v>110</v>
      </c>
      <c r="I74" s="128" t="s">
        <v>70</v>
      </c>
      <c r="J74" s="127">
        <v>2356</v>
      </c>
      <c r="K74" s="123">
        <v>4521</v>
      </c>
      <c r="L74" s="123">
        <v>2000</v>
      </c>
      <c r="M74" s="123" t="s">
        <v>31</v>
      </c>
      <c r="N74" s="133">
        <v>11.4</v>
      </c>
      <c r="O74" s="23">
        <f>IF(N74&gt;0,1/N74*37.7*68.6,"")</f>
        <v>226.8614035087719</v>
      </c>
      <c r="P74" s="125">
        <v>10.35</v>
      </c>
      <c r="Q74" s="124" t="s">
        <v>63</v>
      </c>
      <c r="R74" s="123" t="s">
        <v>33</v>
      </c>
      <c r="S74" s="123" t="s">
        <v>44</v>
      </c>
      <c r="T74" s="123"/>
      <c r="U74" s="122"/>
      <c r="V74" s="28">
        <f>IFERROR(IF(N74&lt;P74,"",(ROUNDDOWN(N74/P74*100,0))),"")</f>
        <v>110</v>
      </c>
      <c r="W74" s="121"/>
    </row>
    <row r="75" spans="1:23" s="143" customFormat="1" ht="21" customHeight="1">
      <c r="A75" s="136"/>
      <c r="B75" s="135"/>
      <c r="C75" s="134"/>
      <c r="D75" s="129" t="s">
        <v>549</v>
      </c>
      <c r="E75" s="128" t="s">
        <v>41</v>
      </c>
      <c r="F75" s="127">
        <v>2.9990000000000001</v>
      </c>
      <c r="G75" s="128">
        <v>375</v>
      </c>
      <c r="H75" s="127">
        <v>110</v>
      </c>
      <c r="I75" s="128" t="s">
        <v>70</v>
      </c>
      <c r="J75" s="127">
        <v>2356</v>
      </c>
      <c r="K75" s="123">
        <v>4521</v>
      </c>
      <c r="L75" s="123">
        <v>2000</v>
      </c>
      <c r="M75" s="123" t="s">
        <v>31</v>
      </c>
      <c r="N75" s="133">
        <v>11.4</v>
      </c>
      <c r="O75" s="23">
        <f>IF(N75&gt;0,1/N75*37.7*68.6,"")</f>
        <v>226.8614035087719</v>
      </c>
      <c r="P75" s="125">
        <v>10.35</v>
      </c>
      <c r="Q75" s="124" t="s">
        <v>63</v>
      </c>
      <c r="R75" s="123" t="s">
        <v>33</v>
      </c>
      <c r="S75" s="123" t="s">
        <v>34</v>
      </c>
      <c r="T75" s="123"/>
      <c r="U75" s="122"/>
      <c r="V75" s="28">
        <f>IFERROR(IF(N75&lt;P75,"",(ROUNDDOWN(N75/P75*100,0))),"")</f>
        <v>110</v>
      </c>
      <c r="W75" s="121"/>
    </row>
    <row r="76" spans="1:23" s="143" customFormat="1" ht="21" customHeight="1">
      <c r="A76" s="136"/>
      <c r="B76" s="135"/>
      <c r="C76" s="134"/>
      <c r="D76" s="129" t="s">
        <v>549</v>
      </c>
      <c r="E76" s="128" t="s">
        <v>41</v>
      </c>
      <c r="F76" s="127">
        <v>2.9990000000000001</v>
      </c>
      <c r="G76" s="128">
        <v>375</v>
      </c>
      <c r="H76" s="127">
        <v>110</v>
      </c>
      <c r="I76" s="128" t="s">
        <v>71</v>
      </c>
      <c r="J76" s="127">
        <v>2356</v>
      </c>
      <c r="K76" s="123">
        <v>4521</v>
      </c>
      <c r="L76" s="123">
        <v>2000</v>
      </c>
      <c r="M76" s="123" t="s">
        <v>31</v>
      </c>
      <c r="N76" s="133">
        <v>11.4</v>
      </c>
      <c r="O76" s="23">
        <f>IF(N76&gt;0,1/N76*37.7*68.6,"")</f>
        <v>226.8614035087719</v>
      </c>
      <c r="P76" s="125">
        <v>10.35</v>
      </c>
      <c r="Q76" s="124" t="s">
        <v>63</v>
      </c>
      <c r="R76" s="123" t="s">
        <v>33</v>
      </c>
      <c r="S76" s="123" t="s">
        <v>44</v>
      </c>
      <c r="T76" s="123"/>
      <c r="U76" s="122"/>
      <c r="V76" s="28">
        <f>IFERROR(IF(N76&lt;P76,"",(ROUNDDOWN(N76/P76*100,0))),"")</f>
        <v>110</v>
      </c>
      <c r="W76" s="121"/>
    </row>
    <row r="77" spans="1:23" s="143" customFormat="1" ht="21" customHeight="1">
      <c r="A77" s="136"/>
      <c r="B77" s="135"/>
      <c r="C77" s="134"/>
      <c r="D77" s="129" t="s">
        <v>549</v>
      </c>
      <c r="E77" s="128" t="s">
        <v>41</v>
      </c>
      <c r="F77" s="127">
        <v>2.9990000000000001</v>
      </c>
      <c r="G77" s="128">
        <v>375</v>
      </c>
      <c r="H77" s="127">
        <v>110</v>
      </c>
      <c r="I77" s="128" t="s">
        <v>71</v>
      </c>
      <c r="J77" s="127">
        <v>2356</v>
      </c>
      <c r="K77" s="123">
        <v>4521</v>
      </c>
      <c r="L77" s="123">
        <v>2000</v>
      </c>
      <c r="M77" s="123" t="s">
        <v>31</v>
      </c>
      <c r="N77" s="133">
        <v>11.4</v>
      </c>
      <c r="O77" s="23">
        <f>IF(N77&gt;0,1/N77*37.7*68.6,"")</f>
        <v>226.8614035087719</v>
      </c>
      <c r="P77" s="125">
        <v>10.35</v>
      </c>
      <c r="Q77" s="124" t="s">
        <v>63</v>
      </c>
      <c r="R77" s="123" t="s">
        <v>33</v>
      </c>
      <c r="S77" s="123" t="s">
        <v>34</v>
      </c>
      <c r="T77" s="123"/>
      <c r="U77" s="122"/>
      <c r="V77" s="28">
        <f>IFERROR(IF(N77&lt;P77,"",(ROUNDDOWN(N77/P77*100,0))),"")</f>
        <v>110</v>
      </c>
      <c r="W77" s="121"/>
    </row>
    <row r="78" spans="1:23" s="143" customFormat="1" ht="21" customHeight="1">
      <c r="A78" s="136"/>
      <c r="B78" s="135"/>
      <c r="C78" s="134"/>
      <c r="D78" s="129" t="s">
        <v>548</v>
      </c>
      <c r="E78" s="128" t="s">
        <v>41</v>
      </c>
      <c r="F78" s="127">
        <v>2.9990000000000001</v>
      </c>
      <c r="G78" s="128">
        <v>375</v>
      </c>
      <c r="H78" s="127">
        <v>110</v>
      </c>
      <c r="I78" s="128" t="s">
        <v>70</v>
      </c>
      <c r="J78" s="127">
        <v>2356</v>
      </c>
      <c r="K78" s="123">
        <v>4521</v>
      </c>
      <c r="L78" s="123">
        <v>2000</v>
      </c>
      <c r="M78" s="123" t="s">
        <v>31</v>
      </c>
      <c r="N78" s="133">
        <v>11.8</v>
      </c>
      <c r="O78" s="23">
        <f>IF(N78&gt;0,1/N78*37.7*68.6,"")</f>
        <v>219.17118644067796</v>
      </c>
      <c r="P78" s="125">
        <v>10.35</v>
      </c>
      <c r="Q78" s="124" t="s">
        <v>43</v>
      </c>
      <c r="R78" s="123" t="s">
        <v>33</v>
      </c>
      <c r="S78" s="123" t="s">
        <v>34</v>
      </c>
      <c r="T78" s="123"/>
      <c r="U78" s="122"/>
      <c r="V78" s="28">
        <f>IFERROR(IF(N78&lt;P78,"",(ROUNDDOWN(N78/P78*100,0))),"")</f>
        <v>114</v>
      </c>
      <c r="W78" s="121"/>
    </row>
    <row r="79" spans="1:23" s="143" customFormat="1" ht="21" customHeight="1">
      <c r="A79" s="136"/>
      <c r="B79" s="135"/>
      <c r="C79" s="134"/>
      <c r="D79" s="129" t="s">
        <v>548</v>
      </c>
      <c r="E79" s="128" t="s">
        <v>41</v>
      </c>
      <c r="F79" s="127">
        <v>2.9990000000000001</v>
      </c>
      <c r="G79" s="128">
        <v>375</v>
      </c>
      <c r="H79" s="127">
        <v>110</v>
      </c>
      <c r="I79" s="128" t="s">
        <v>71</v>
      </c>
      <c r="J79" s="127">
        <v>2356</v>
      </c>
      <c r="K79" s="123">
        <v>4521</v>
      </c>
      <c r="L79" s="123">
        <v>2000</v>
      </c>
      <c r="M79" s="123" t="s">
        <v>31</v>
      </c>
      <c r="N79" s="133">
        <v>11.8</v>
      </c>
      <c r="O79" s="23">
        <f>IF(N79&gt;0,1/N79*37.7*68.6,"")</f>
        <v>219.17118644067796</v>
      </c>
      <c r="P79" s="125">
        <v>10.35</v>
      </c>
      <c r="Q79" s="124" t="s">
        <v>43</v>
      </c>
      <c r="R79" s="123" t="s">
        <v>33</v>
      </c>
      <c r="S79" s="123" t="s">
        <v>34</v>
      </c>
      <c r="T79" s="123"/>
      <c r="U79" s="122"/>
      <c r="V79" s="28">
        <f>IFERROR(IF(N79&lt;P79,"",(ROUNDDOWN(N79/P79*100,0))),"")</f>
        <v>114</v>
      </c>
      <c r="W79" s="121"/>
    </row>
    <row r="80" spans="1:23" s="143" customFormat="1" ht="21" customHeight="1">
      <c r="A80" s="136"/>
      <c r="B80" s="135"/>
      <c r="C80" s="134"/>
      <c r="D80" s="129" t="s">
        <v>548</v>
      </c>
      <c r="E80" s="128" t="s">
        <v>41</v>
      </c>
      <c r="F80" s="127">
        <v>2.9990000000000001</v>
      </c>
      <c r="G80" s="128">
        <v>375</v>
      </c>
      <c r="H80" s="127">
        <v>110</v>
      </c>
      <c r="I80" s="128" t="s">
        <v>70</v>
      </c>
      <c r="J80" s="127">
        <v>2356</v>
      </c>
      <c r="K80" s="123">
        <v>4521</v>
      </c>
      <c r="L80" s="123">
        <v>2000</v>
      </c>
      <c r="M80" s="123" t="s">
        <v>31</v>
      </c>
      <c r="N80" s="133">
        <v>11.4</v>
      </c>
      <c r="O80" s="23">
        <f>IF(N80&gt;0,1/N80*37.7*68.6,"")</f>
        <v>226.8614035087719</v>
      </c>
      <c r="P80" s="125">
        <v>10.35</v>
      </c>
      <c r="Q80" s="124" t="s">
        <v>63</v>
      </c>
      <c r="R80" s="123" t="s">
        <v>33</v>
      </c>
      <c r="S80" s="123" t="s">
        <v>34</v>
      </c>
      <c r="T80" s="123"/>
      <c r="U80" s="122"/>
      <c r="V80" s="28">
        <f>IFERROR(IF(N80&lt;P80,"",(ROUNDDOWN(N80/P80*100,0))),"")</f>
        <v>110</v>
      </c>
      <c r="W80" s="121"/>
    </row>
    <row r="81" spans="1:23" s="121" customFormat="1" ht="21" customHeight="1">
      <c r="A81" s="136"/>
      <c r="B81" s="135"/>
      <c r="C81" s="134"/>
      <c r="D81" s="129" t="s">
        <v>548</v>
      </c>
      <c r="E81" s="128" t="s">
        <v>41</v>
      </c>
      <c r="F81" s="127">
        <v>2.9990000000000001</v>
      </c>
      <c r="G81" s="128">
        <v>375</v>
      </c>
      <c r="H81" s="127">
        <v>110</v>
      </c>
      <c r="I81" s="128" t="s">
        <v>71</v>
      </c>
      <c r="J81" s="127">
        <v>2356</v>
      </c>
      <c r="K81" s="123">
        <v>4521</v>
      </c>
      <c r="L81" s="123">
        <v>2000</v>
      </c>
      <c r="M81" s="123" t="s">
        <v>31</v>
      </c>
      <c r="N81" s="133">
        <v>11.4</v>
      </c>
      <c r="O81" s="23">
        <f>IF(N81&gt;0,1/N81*37.7*68.6,"")</f>
        <v>226.8614035087719</v>
      </c>
      <c r="P81" s="125">
        <v>10.35</v>
      </c>
      <c r="Q81" s="124" t="s">
        <v>63</v>
      </c>
      <c r="R81" s="123" t="s">
        <v>33</v>
      </c>
      <c r="S81" s="123" t="s">
        <v>34</v>
      </c>
      <c r="T81" s="123"/>
      <c r="U81" s="122"/>
      <c r="V81" s="28">
        <f>IFERROR(IF(N81&lt;P81,"",(ROUNDDOWN(N81/P81*100,0))),"")</f>
        <v>110</v>
      </c>
    </row>
    <row r="82" spans="1:23" s="121" customFormat="1" ht="21" customHeight="1">
      <c r="A82" s="136"/>
      <c r="B82" s="135"/>
      <c r="C82" s="134"/>
      <c r="D82" s="129" t="s">
        <v>547</v>
      </c>
      <c r="E82" s="128" t="s">
        <v>41</v>
      </c>
      <c r="F82" s="127">
        <v>2.9990000000000001</v>
      </c>
      <c r="G82" s="128">
        <v>375</v>
      </c>
      <c r="H82" s="127">
        <v>110</v>
      </c>
      <c r="I82" s="128" t="s">
        <v>70</v>
      </c>
      <c r="J82" s="127">
        <v>2356</v>
      </c>
      <c r="K82" s="123">
        <v>4521</v>
      </c>
      <c r="L82" s="123">
        <v>2000</v>
      </c>
      <c r="M82" s="123" t="s">
        <v>31</v>
      </c>
      <c r="N82" s="133">
        <v>11.8</v>
      </c>
      <c r="O82" s="23">
        <f>IF(N82&gt;0,1/N82*37.7*68.6,"")</f>
        <v>219.17118644067796</v>
      </c>
      <c r="P82" s="125">
        <v>10.35</v>
      </c>
      <c r="Q82" s="124" t="s">
        <v>43</v>
      </c>
      <c r="R82" s="123" t="s">
        <v>33</v>
      </c>
      <c r="S82" s="123" t="s">
        <v>110</v>
      </c>
      <c r="T82" s="123"/>
      <c r="U82" s="122"/>
      <c r="V82" s="28">
        <f>IFERROR(IF(N82&lt;P82,"",(ROUNDDOWN(N82/P82*100,0))),"")</f>
        <v>114</v>
      </c>
    </row>
    <row r="83" spans="1:23" s="121" customFormat="1" ht="21" customHeight="1">
      <c r="A83" s="136"/>
      <c r="B83" s="135"/>
      <c r="C83" s="134"/>
      <c r="D83" s="129" t="s">
        <v>547</v>
      </c>
      <c r="E83" s="128" t="s">
        <v>41</v>
      </c>
      <c r="F83" s="127">
        <v>2.9990000000000001</v>
      </c>
      <c r="G83" s="128">
        <v>375</v>
      </c>
      <c r="H83" s="127">
        <v>110</v>
      </c>
      <c r="I83" s="128" t="s">
        <v>70</v>
      </c>
      <c r="J83" s="127">
        <v>2356</v>
      </c>
      <c r="K83" s="123">
        <v>4521</v>
      </c>
      <c r="L83" s="123">
        <v>2000</v>
      </c>
      <c r="M83" s="123" t="s">
        <v>31</v>
      </c>
      <c r="N83" s="133">
        <v>11.4</v>
      </c>
      <c r="O83" s="23">
        <f>IF(N83&gt;0,1/N83*37.7*68.6,"")</f>
        <v>226.8614035087719</v>
      </c>
      <c r="P83" s="125">
        <v>10.35</v>
      </c>
      <c r="Q83" s="124" t="s">
        <v>63</v>
      </c>
      <c r="R83" s="123" t="s">
        <v>33</v>
      </c>
      <c r="S83" s="123" t="s">
        <v>110</v>
      </c>
      <c r="T83" s="123"/>
      <c r="U83" s="122"/>
      <c r="V83" s="28">
        <f>IFERROR(IF(N83&lt;P83,"",(ROUNDDOWN(N83/P83*100,0))),"")</f>
        <v>110</v>
      </c>
    </row>
    <row r="84" spans="1:23" s="121" customFormat="1" ht="21" customHeight="1">
      <c r="A84" s="136"/>
      <c r="B84" s="135"/>
      <c r="C84" s="134"/>
      <c r="D84" s="129" t="s">
        <v>546</v>
      </c>
      <c r="E84" s="128" t="s">
        <v>41</v>
      </c>
      <c r="F84" s="127">
        <v>2.9990000000000001</v>
      </c>
      <c r="G84" s="128">
        <v>375</v>
      </c>
      <c r="H84" s="127">
        <v>110</v>
      </c>
      <c r="I84" s="128" t="s">
        <v>70</v>
      </c>
      <c r="J84" s="127">
        <v>2356</v>
      </c>
      <c r="K84" s="123">
        <v>4521</v>
      </c>
      <c r="L84" s="123">
        <v>2000</v>
      </c>
      <c r="M84" s="123" t="s">
        <v>31</v>
      </c>
      <c r="N84" s="133">
        <v>11.8</v>
      </c>
      <c r="O84" s="23">
        <f>IF(N84&gt;0,1/N84*37.7*68.6,"")</f>
        <v>219.17118644067796</v>
      </c>
      <c r="P84" s="125">
        <v>10.35</v>
      </c>
      <c r="Q84" s="124" t="s">
        <v>43</v>
      </c>
      <c r="R84" s="123" t="s">
        <v>33</v>
      </c>
      <c r="S84" s="123" t="s">
        <v>110</v>
      </c>
      <c r="T84" s="123"/>
      <c r="U84" s="122"/>
      <c r="V84" s="28">
        <f>IFERROR(IF(N84&lt;P84,"",(ROUNDDOWN(N84/P84*100,0))),"")</f>
        <v>114</v>
      </c>
      <c r="W84" s="143"/>
    </row>
    <row r="85" spans="1:23" s="121" customFormat="1" ht="21" customHeight="1">
      <c r="A85" s="136"/>
      <c r="B85" s="135"/>
      <c r="C85" s="134"/>
      <c r="D85" s="129" t="s">
        <v>546</v>
      </c>
      <c r="E85" s="128" t="s">
        <v>41</v>
      </c>
      <c r="F85" s="127">
        <v>2.9990000000000001</v>
      </c>
      <c r="G85" s="128">
        <v>375</v>
      </c>
      <c r="H85" s="127">
        <v>110</v>
      </c>
      <c r="I85" s="128" t="s">
        <v>70</v>
      </c>
      <c r="J85" s="127">
        <v>2356</v>
      </c>
      <c r="K85" s="123">
        <v>4521</v>
      </c>
      <c r="L85" s="123">
        <v>2000</v>
      </c>
      <c r="M85" s="123" t="s">
        <v>31</v>
      </c>
      <c r="N85" s="133">
        <v>11.4</v>
      </c>
      <c r="O85" s="23">
        <f>IF(N85&gt;0,1/N85*37.7*68.6,"")</f>
        <v>226.8614035087719</v>
      </c>
      <c r="P85" s="125">
        <v>10.35</v>
      </c>
      <c r="Q85" s="124" t="s">
        <v>63</v>
      </c>
      <c r="R85" s="123" t="s">
        <v>33</v>
      </c>
      <c r="S85" s="123" t="s">
        <v>110</v>
      </c>
      <c r="T85" s="123"/>
      <c r="U85" s="122"/>
      <c r="V85" s="28">
        <f>IFERROR(IF(N85&lt;P85,"",(ROUNDDOWN(N85/P85*100,0))),"")</f>
        <v>110</v>
      </c>
      <c r="W85" s="143"/>
    </row>
    <row r="86" spans="1:23" s="121" customFormat="1" ht="21" customHeight="1">
      <c r="A86" s="136"/>
      <c r="B86" s="135"/>
      <c r="C86" s="134"/>
      <c r="D86" s="129" t="s">
        <v>545</v>
      </c>
      <c r="E86" s="128" t="s">
        <v>41</v>
      </c>
      <c r="F86" s="127">
        <v>2.9990000000000001</v>
      </c>
      <c r="G86" s="128">
        <v>375</v>
      </c>
      <c r="H86" s="127">
        <v>110</v>
      </c>
      <c r="I86" s="128" t="s">
        <v>71</v>
      </c>
      <c r="J86" s="127">
        <v>2356</v>
      </c>
      <c r="K86" s="123">
        <v>4521</v>
      </c>
      <c r="L86" s="123">
        <v>2000</v>
      </c>
      <c r="M86" s="123" t="s">
        <v>31</v>
      </c>
      <c r="N86" s="133">
        <v>11.8</v>
      </c>
      <c r="O86" s="23">
        <f>IF(N86&gt;0,1/N86*37.7*68.6,"")</f>
        <v>219.17118644067796</v>
      </c>
      <c r="P86" s="125">
        <v>10.35</v>
      </c>
      <c r="Q86" s="124" t="s">
        <v>43</v>
      </c>
      <c r="R86" s="123" t="s">
        <v>33</v>
      </c>
      <c r="S86" s="123" t="s">
        <v>34</v>
      </c>
      <c r="T86" s="123"/>
      <c r="U86" s="122"/>
      <c r="V86" s="28">
        <f>IFERROR(IF(N86&lt;P86,"",(ROUNDDOWN(N86/P86*100,0))),"")</f>
        <v>114</v>
      </c>
      <c r="W86" s="143"/>
    </row>
    <row r="87" spans="1:23" s="121" customFormat="1" ht="21" customHeight="1">
      <c r="A87" s="136"/>
      <c r="B87" s="135"/>
      <c r="C87" s="134"/>
      <c r="D87" s="129" t="s">
        <v>545</v>
      </c>
      <c r="E87" s="128" t="s">
        <v>41</v>
      </c>
      <c r="F87" s="127">
        <v>2.9990000000000001</v>
      </c>
      <c r="G87" s="128">
        <v>375</v>
      </c>
      <c r="H87" s="127">
        <v>110</v>
      </c>
      <c r="I87" s="128" t="s">
        <v>71</v>
      </c>
      <c r="J87" s="127">
        <v>2356</v>
      </c>
      <c r="K87" s="123">
        <v>4521</v>
      </c>
      <c r="L87" s="123">
        <v>2000</v>
      </c>
      <c r="M87" s="123" t="s">
        <v>31</v>
      </c>
      <c r="N87" s="133">
        <v>11.4</v>
      </c>
      <c r="O87" s="23">
        <f>IF(N87&gt;0,1/N87*37.7*68.6,"")</f>
        <v>226.8614035087719</v>
      </c>
      <c r="P87" s="125">
        <v>10.35</v>
      </c>
      <c r="Q87" s="124" t="s">
        <v>63</v>
      </c>
      <c r="R87" s="123" t="s">
        <v>33</v>
      </c>
      <c r="S87" s="123" t="s">
        <v>34</v>
      </c>
      <c r="T87" s="123"/>
      <c r="U87" s="122"/>
      <c r="V87" s="28">
        <f>IFERROR(IF(N87&lt;P87,"",(ROUNDDOWN(N87/P87*100,0))),"")</f>
        <v>110</v>
      </c>
      <c r="W87" s="143"/>
    </row>
    <row r="88" spans="1:23" s="121" customFormat="1" ht="21" customHeight="1">
      <c r="A88" s="136"/>
      <c r="B88" s="135"/>
      <c r="C88" s="134"/>
      <c r="D88" s="129" t="s">
        <v>545</v>
      </c>
      <c r="E88" s="128" t="s">
        <v>41</v>
      </c>
      <c r="F88" s="127">
        <v>2.9990000000000001</v>
      </c>
      <c r="G88" s="128">
        <v>375</v>
      </c>
      <c r="H88" s="127">
        <v>110</v>
      </c>
      <c r="I88" s="128" t="s">
        <v>71</v>
      </c>
      <c r="J88" s="127">
        <v>2652</v>
      </c>
      <c r="K88" s="123">
        <v>5812</v>
      </c>
      <c r="L88" s="123">
        <v>2995</v>
      </c>
      <c r="M88" s="123" t="s">
        <v>31</v>
      </c>
      <c r="N88" s="133">
        <v>10.8</v>
      </c>
      <c r="O88" s="23">
        <f>IF(N88&gt;0,1/N88*37.7*68.6,"")</f>
        <v>239.46481481481482</v>
      </c>
      <c r="P88" s="125">
        <v>9.51</v>
      </c>
      <c r="Q88" s="124" t="s">
        <v>43</v>
      </c>
      <c r="R88" s="123" t="s">
        <v>33</v>
      </c>
      <c r="S88" s="123" t="s">
        <v>34</v>
      </c>
      <c r="T88" s="123"/>
      <c r="U88" s="122"/>
      <c r="V88" s="28">
        <f>IFERROR(IF(N88&lt;P88,"",(ROUNDDOWN(N88/P88*100,0))),"")</f>
        <v>113</v>
      </c>
      <c r="W88" s="143"/>
    </row>
    <row r="89" spans="1:23" s="121" customFormat="1" ht="21" customHeight="1">
      <c r="A89" s="136"/>
      <c r="B89" s="135"/>
      <c r="C89" s="134"/>
      <c r="D89" s="129" t="s">
        <v>545</v>
      </c>
      <c r="E89" s="128" t="s">
        <v>41</v>
      </c>
      <c r="F89" s="127">
        <v>2.9990000000000001</v>
      </c>
      <c r="G89" s="128">
        <v>375</v>
      </c>
      <c r="H89" s="127">
        <v>110</v>
      </c>
      <c r="I89" s="128" t="s">
        <v>71</v>
      </c>
      <c r="J89" s="127">
        <v>2652</v>
      </c>
      <c r="K89" s="123">
        <v>5812</v>
      </c>
      <c r="L89" s="123">
        <v>2995</v>
      </c>
      <c r="M89" s="123" t="s">
        <v>31</v>
      </c>
      <c r="N89" s="133">
        <v>10.6</v>
      </c>
      <c r="O89" s="23">
        <f>IF(N89&gt;0,1/N89*37.7*68.6,"")</f>
        <v>243.98301886792456</v>
      </c>
      <c r="P89" s="125">
        <v>9.51</v>
      </c>
      <c r="Q89" s="124" t="s">
        <v>63</v>
      </c>
      <c r="R89" s="123" t="s">
        <v>33</v>
      </c>
      <c r="S89" s="123" t="s">
        <v>34</v>
      </c>
      <c r="T89" s="123"/>
      <c r="U89" s="122"/>
      <c r="V89" s="28">
        <f>IFERROR(IF(N89&lt;P89,"",(ROUNDDOWN(N89/P89*100,0))),"")</f>
        <v>111</v>
      </c>
      <c r="W89" s="143"/>
    </row>
    <row r="90" spans="1:23" s="143" customFormat="1" ht="21" customHeight="1">
      <c r="A90" s="136"/>
      <c r="B90" s="135"/>
      <c r="C90" s="134"/>
      <c r="D90" s="129" t="s">
        <v>544</v>
      </c>
      <c r="E90" s="128" t="s">
        <v>41</v>
      </c>
      <c r="F90" s="127">
        <v>2.9990000000000001</v>
      </c>
      <c r="G90" s="128">
        <v>375</v>
      </c>
      <c r="H90" s="127" t="s">
        <v>466</v>
      </c>
      <c r="I90" s="128" t="s">
        <v>71</v>
      </c>
      <c r="J90" s="127">
        <v>2356</v>
      </c>
      <c r="K90" s="123">
        <v>4521</v>
      </c>
      <c r="L90" s="123">
        <v>2000</v>
      </c>
      <c r="M90" s="123" t="s">
        <v>31</v>
      </c>
      <c r="N90" s="133">
        <v>11.8</v>
      </c>
      <c r="O90" s="23">
        <f>IF(N90&gt;0,1/N90*37.7*68.6,"")</f>
        <v>219.17118644067796</v>
      </c>
      <c r="P90" s="125">
        <v>10.35</v>
      </c>
      <c r="Q90" s="124" t="s">
        <v>43</v>
      </c>
      <c r="R90" s="123" t="s">
        <v>33</v>
      </c>
      <c r="S90" s="123" t="s">
        <v>34</v>
      </c>
      <c r="T90" s="123"/>
      <c r="U90" s="122"/>
      <c r="V90" s="28">
        <f>IFERROR(IF(N90&lt;P90,"",(ROUNDDOWN(N90/P90*100,0))),"")</f>
        <v>114</v>
      </c>
    </row>
    <row r="91" spans="1:23" s="143" customFormat="1" ht="21" customHeight="1">
      <c r="A91" s="136"/>
      <c r="B91" s="135"/>
      <c r="C91" s="134"/>
      <c r="D91" s="129" t="s">
        <v>544</v>
      </c>
      <c r="E91" s="128" t="s">
        <v>41</v>
      </c>
      <c r="F91" s="127">
        <v>2.9990000000000001</v>
      </c>
      <c r="G91" s="128">
        <v>375</v>
      </c>
      <c r="H91" s="127" t="s">
        <v>466</v>
      </c>
      <c r="I91" s="128" t="s">
        <v>42</v>
      </c>
      <c r="J91" s="127">
        <v>2356</v>
      </c>
      <c r="K91" s="123">
        <v>4521</v>
      </c>
      <c r="L91" s="123">
        <v>2000</v>
      </c>
      <c r="M91" s="123" t="s">
        <v>31</v>
      </c>
      <c r="N91" s="133">
        <v>11.8</v>
      </c>
      <c r="O91" s="23">
        <f>IF(N91&gt;0,1/N91*37.7*68.6,"")</f>
        <v>219.17118644067796</v>
      </c>
      <c r="P91" s="125">
        <v>10.35</v>
      </c>
      <c r="Q91" s="124" t="s">
        <v>63</v>
      </c>
      <c r="R91" s="123" t="s">
        <v>33</v>
      </c>
      <c r="S91" s="123" t="s">
        <v>34</v>
      </c>
      <c r="T91" s="123"/>
      <c r="U91" s="122"/>
      <c r="V91" s="28">
        <f>IFERROR(IF(N91&lt;P91,"",(ROUNDDOWN(N91/P91*100,0))),"")</f>
        <v>114</v>
      </c>
    </row>
    <row r="92" spans="1:23" s="143" customFormat="1" ht="21" customHeight="1">
      <c r="A92" s="136"/>
      <c r="B92" s="135"/>
      <c r="C92" s="134"/>
      <c r="D92" s="129" t="s">
        <v>544</v>
      </c>
      <c r="E92" s="128" t="s">
        <v>41</v>
      </c>
      <c r="F92" s="127">
        <v>2.9990000000000001</v>
      </c>
      <c r="G92" s="128">
        <v>375</v>
      </c>
      <c r="H92" s="127" t="s">
        <v>466</v>
      </c>
      <c r="I92" s="128" t="s">
        <v>71</v>
      </c>
      <c r="J92" s="127">
        <v>2356</v>
      </c>
      <c r="K92" s="123">
        <v>4521</v>
      </c>
      <c r="L92" s="123">
        <v>2000</v>
      </c>
      <c r="M92" s="123" t="s">
        <v>31</v>
      </c>
      <c r="N92" s="133">
        <v>11.4</v>
      </c>
      <c r="O92" s="23">
        <f>IF(N92&gt;0,1/N92*37.7*68.6,"")</f>
        <v>226.8614035087719</v>
      </c>
      <c r="P92" s="125">
        <v>10.35</v>
      </c>
      <c r="Q92" s="124" t="s">
        <v>63</v>
      </c>
      <c r="R92" s="123" t="s">
        <v>33</v>
      </c>
      <c r="S92" s="123" t="s">
        <v>34</v>
      </c>
      <c r="T92" s="123"/>
      <c r="U92" s="122"/>
      <c r="V92" s="28">
        <f>IFERROR(IF(N92&lt;P92,"",(ROUNDDOWN(N92/P92*100,0))),"")</f>
        <v>110</v>
      </c>
    </row>
    <row r="93" spans="1:23" s="143" customFormat="1" ht="21" customHeight="1">
      <c r="A93" s="136"/>
      <c r="B93" s="135"/>
      <c r="C93" s="134"/>
      <c r="D93" s="129" t="s">
        <v>543</v>
      </c>
      <c r="E93" s="128" t="s">
        <v>41</v>
      </c>
      <c r="F93" s="127">
        <v>2.9990000000000001</v>
      </c>
      <c r="G93" s="128">
        <v>375</v>
      </c>
      <c r="H93" s="127" t="s">
        <v>466</v>
      </c>
      <c r="I93" s="128" t="s">
        <v>71</v>
      </c>
      <c r="J93" s="127">
        <v>2356</v>
      </c>
      <c r="K93" s="123">
        <v>4521</v>
      </c>
      <c r="L93" s="123">
        <v>2000</v>
      </c>
      <c r="M93" s="123" t="s">
        <v>31</v>
      </c>
      <c r="N93" s="133">
        <v>11.8</v>
      </c>
      <c r="O93" s="23">
        <f>IF(N93&gt;0,1/N93*37.7*68.6,"")</f>
        <v>219.17118644067796</v>
      </c>
      <c r="P93" s="125">
        <v>10.35</v>
      </c>
      <c r="Q93" s="124" t="s">
        <v>43</v>
      </c>
      <c r="R93" s="123" t="s">
        <v>33</v>
      </c>
      <c r="S93" s="123" t="s">
        <v>34</v>
      </c>
      <c r="T93" s="123"/>
      <c r="U93" s="122"/>
      <c r="V93" s="28">
        <f>IFERROR(IF(N93&lt;P93,"",(ROUNDDOWN(N93/P93*100,0))),"")</f>
        <v>114</v>
      </c>
    </row>
    <row r="94" spans="1:23" s="143" customFormat="1" ht="21" customHeight="1">
      <c r="A94" s="136"/>
      <c r="B94" s="135"/>
      <c r="C94" s="134"/>
      <c r="D94" s="129" t="s">
        <v>543</v>
      </c>
      <c r="E94" s="128" t="s">
        <v>41</v>
      </c>
      <c r="F94" s="127">
        <v>2.9990000000000001</v>
      </c>
      <c r="G94" s="128">
        <v>375</v>
      </c>
      <c r="H94" s="127" t="s">
        <v>466</v>
      </c>
      <c r="I94" s="128" t="s">
        <v>42</v>
      </c>
      <c r="J94" s="127">
        <v>2356</v>
      </c>
      <c r="K94" s="123">
        <v>4521</v>
      </c>
      <c r="L94" s="123">
        <v>2000</v>
      </c>
      <c r="M94" s="123" t="s">
        <v>31</v>
      </c>
      <c r="N94" s="133">
        <v>11.8</v>
      </c>
      <c r="O94" s="23">
        <f>IF(N94&gt;0,1/N94*37.7*68.6,"")</f>
        <v>219.17118644067796</v>
      </c>
      <c r="P94" s="125">
        <v>10.35</v>
      </c>
      <c r="Q94" s="124" t="s">
        <v>63</v>
      </c>
      <c r="R94" s="123" t="s">
        <v>33</v>
      </c>
      <c r="S94" s="123" t="s">
        <v>34</v>
      </c>
      <c r="T94" s="123"/>
      <c r="U94" s="122"/>
      <c r="V94" s="28">
        <f>IFERROR(IF(N94&lt;P94,"",(ROUNDDOWN(N94/P94*100,0))),"")</f>
        <v>114</v>
      </c>
      <c r="W94" s="121"/>
    </row>
    <row r="95" spans="1:23" s="143" customFormat="1" ht="21" customHeight="1">
      <c r="A95" s="136"/>
      <c r="B95" s="139"/>
      <c r="C95" s="134"/>
      <c r="D95" s="129" t="s">
        <v>543</v>
      </c>
      <c r="E95" s="128" t="s">
        <v>41</v>
      </c>
      <c r="F95" s="127">
        <v>2.9990000000000001</v>
      </c>
      <c r="G95" s="128">
        <v>375</v>
      </c>
      <c r="H95" s="127" t="s">
        <v>466</v>
      </c>
      <c r="I95" s="128" t="s">
        <v>71</v>
      </c>
      <c r="J95" s="127">
        <v>2356</v>
      </c>
      <c r="K95" s="123">
        <v>4521</v>
      </c>
      <c r="L95" s="123">
        <v>2000</v>
      </c>
      <c r="M95" s="123" t="s">
        <v>31</v>
      </c>
      <c r="N95" s="133">
        <v>11.4</v>
      </c>
      <c r="O95" s="23">
        <f>IF(N95&gt;0,1/N95*37.7*68.6,"")</f>
        <v>226.8614035087719</v>
      </c>
      <c r="P95" s="125">
        <v>10.35</v>
      </c>
      <c r="Q95" s="124" t="s">
        <v>63</v>
      </c>
      <c r="R95" s="123" t="s">
        <v>33</v>
      </c>
      <c r="S95" s="123" t="s">
        <v>34</v>
      </c>
      <c r="T95" s="123"/>
      <c r="U95" s="122"/>
      <c r="V95" s="28">
        <f>IFERROR(IF(N95&lt;P95,"",(ROUNDDOWN(N95/P95*100,0))),"")</f>
        <v>110</v>
      </c>
      <c r="W95" s="121"/>
    </row>
    <row r="96" spans="1:23" s="143" customFormat="1" ht="21" customHeight="1">
      <c r="A96" s="136"/>
      <c r="B96" s="139"/>
      <c r="C96" s="134"/>
      <c r="D96" s="129" t="s">
        <v>543</v>
      </c>
      <c r="E96" s="128" t="s">
        <v>41</v>
      </c>
      <c r="F96" s="127">
        <v>2.9990000000000001</v>
      </c>
      <c r="G96" s="128">
        <v>375</v>
      </c>
      <c r="H96" s="127" t="s">
        <v>466</v>
      </c>
      <c r="I96" s="128" t="s">
        <v>71</v>
      </c>
      <c r="J96" s="127">
        <v>2652</v>
      </c>
      <c r="K96" s="123">
        <v>5812</v>
      </c>
      <c r="L96" s="123">
        <v>2995</v>
      </c>
      <c r="M96" s="123" t="s">
        <v>31</v>
      </c>
      <c r="N96" s="133">
        <v>10.8</v>
      </c>
      <c r="O96" s="23">
        <f>IF(N96&gt;0,1/N96*37.7*68.6,"")</f>
        <v>239.46481481481482</v>
      </c>
      <c r="P96" s="125">
        <v>9.51</v>
      </c>
      <c r="Q96" s="124" t="s">
        <v>43</v>
      </c>
      <c r="R96" s="123" t="s">
        <v>33</v>
      </c>
      <c r="S96" s="123" t="s">
        <v>34</v>
      </c>
      <c r="T96" s="123"/>
      <c r="U96" s="122"/>
      <c r="V96" s="28">
        <f>IFERROR(IF(N96&lt;P96,"",(ROUNDDOWN(N96/P96*100,0))),"")</f>
        <v>113</v>
      </c>
    </row>
    <row r="97" spans="1:23" s="143" customFormat="1" ht="21" customHeight="1">
      <c r="A97" s="136"/>
      <c r="B97" s="139"/>
      <c r="C97" s="134"/>
      <c r="D97" s="129" t="s">
        <v>543</v>
      </c>
      <c r="E97" s="128" t="s">
        <v>41</v>
      </c>
      <c r="F97" s="127">
        <v>2.9990000000000001</v>
      </c>
      <c r="G97" s="128">
        <v>375</v>
      </c>
      <c r="H97" s="127" t="s">
        <v>466</v>
      </c>
      <c r="I97" s="128" t="s">
        <v>42</v>
      </c>
      <c r="J97" s="127">
        <v>2652</v>
      </c>
      <c r="K97" s="123">
        <v>5812</v>
      </c>
      <c r="L97" s="123">
        <v>2995</v>
      </c>
      <c r="M97" s="123" t="s">
        <v>31</v>
      </c>
      <c r="N97" s="133">
        <v>10.8</v>
      </c>
      <c r="O97" s="23">
        <f>IF(N97&gt;0,1/N97*37.7*68.6,"")</f>
        <v>239.46481481481482</v>
      </c>
      <c r="P97" s="125">
        <v>9.51</v>
      </c>
      <c r="Q97" s="124" t="s">
        <v>63</v>
      </c>
      <c r="R97" s="123" t="s">
        <v>33</v>
      </c>
      <c r="S97" s="123" t="s">
        <v>34</v>
      </c>
      <c r="T97" s="123"/>
      <c r="U97" s="122"/>
      <c r="V97" s="28">
        <f>IFERROR(IF(N97&lt;P97,"",(ROUNDDOWN(N97/P97*100,0))),"")</f>
        <v>113</v>
      </c>
    </row>
    <row r="98" spans="1:23" s="143" customFormat="1" ht="21" customHeight="1">
      <c r="A98" s="136"/>
      <c r="B98" s="139"/>
      <c r="C98" s="134"/>
      <c r="D98" s="129" t="s">
        <v>543</v>
      </c>
      <c r="E98" s="128" t="s">
        <v>41</v>
      </c>
      <c r="F98" s="127">
        <v>2.9990000000000001</v>
      </c>
      <c r="G98" s="128">
        <v>375</v>
      </c>
      <c r="H98" s="127" t="s">
        <v>466</v>
      </c>
      <c r="I98" s="128" t="s">
        <v>71</v>
      </c>
      <c r="J98" s="127">
        <v>2652</v>
      </c>
      <c r="K98" s="123">
        <v>5812</v>
      </c>
      <c r="L98" s="123">
        <v>2995</v>
      </c>
      <c r="M98" s="123" t="s">
        <v>31</v>
      </c>
      <c r="N98" s="133">
        <v>10.6</v>
      </c>
      <c r="O98" s="23">
        <f>IF(N98&gt;0,1/N98*37.7*68.6,"")</f>
        <v>243.98301886792456</v>
      </c>
      <c r="P98" s="125">
        <v>9.51</v>
      </c>
      <c r="Q98" s="124" t="s">
        <v>63</v>
      </c>
      <c r="R98" s="123" t="s">
        <v>33</v>
      </c>
      <c r="S98" s="123" t="s">
        <v>34</v>
      </c>
      <c r="T98" s="123"/>
      <c r="U98" s="122"/>
      <c r="V98" s="28">
        <f>IFERROR(IF(N98&lt;P98,"",(ROUNDDOWN(N98/P98*100,0))),"")</f>
        <v>111</v>
      </c>
    </row>
    <row r="99" spans="1:23" s="143" customFormat="1" ht="21" customHeight="1">
      <c r="A99" s="136"/>
      <c r="B99" s="135"/>
      <c r="C99" s="134"/>
      <c r="D99" s="129" t="s">
        <v>542</v>
      </c>
      <c r="E99" s="128" t="s">
        <v>41</v>
      </c>
      <c r="F99" s="127">
        <v>2.9990000000000001</v>
      </c>
      <c r="G99" s="128">
        <v>375</v>
      </c>
      <c r="H99" s="127" t="s">
        <v>466</v>
      </c>
      <c r="I99" s="128" t="s">
        <v>71</v>
      </c>
      <c r="J99" s="127">
        <v>2356</v>
      </c>
      <c r="K99" s="123">
        <v>4521</v>
      </c>
      <c r="L99" s="123">
        <v>2000</v>
      </c>
      <c r="M99" s="123" t="s">
        <v>31</v>
      </c>
      <c r="N99" s="133">
        <v>11.8</v>
      </c>
      <c r="O99" s="23">
        <f>IF(N99&gt;0,1/N99*37.7*68.6,"")</f>
        <v>219.17118644067796</v>
      </c>
      <c r="P99" s="125">
        <v>10.35</v>
      </c>
      <c r="Q99" s="124" t="s">
        <v>43</v>
      </c>
      <c r="R99" s="123" t="s">
        <v>33</v>
      </c>
      <c r="S99" s="123" t="s">
        <v>34</v>
      </c>
      <c r="T99" s="123"/>
      <c r="U99" s="122"/>
      <c r="V99" s="28">
        <f>IFERROR(IF(N99&lt;P99,"",(ROUNDDOWN(N99/P99*100,0))),"")</f>
        <v>114</v>
      </c>
    </row>
    <row r="100" spans="1:23" s="143" customFormat="1" ht="21" customHeight="1">
      <c r="A100" s="136"/>
      <c r="B100" s="135"/>
      <c r="C100" s="134"/>
      <c r="D100" s="129" t="s">
        <v>542</v>
      </c>
      <c r="E100" s="128" t="s">
        <v>41</v>
      </c>
      <c r="F100" s="127">
        <v>2.9990000000000001</v>
      </c>
      <c r="G100" s="128">
        <v>375</v>
      </c>
      <c r="H100" s="127" t="s">
        <v>466</v>
      </c>
      <c r="I100" s="128" t="s">
        <v>42</v>
      </c>
      <c r="J100" s="127">
        <v>2356</v>
      </c>
      <c r="K100" s="123">
        <v>4521</v>
      </c>
      <c r="L100" s="123">
        <v>2000</v>
      </c>
      <c r="M100" s="123" t="s">
        <v>31</v>
      </c>
      <c r="N100" s="133">
        <v>11.8</v>
      </c>
      <c r="O100" s="23">
        <f>IF(N100&gt;0,1/N100*37.7*68.6,"")</f>
        <v>219.17118644067796</v>
      </c>
      <c r="P100" s="125">
        <v>10.35</v>
      </c>
      <c r="Q100" s="124" t="s">
        <v>63</v>
      </c>
      <c r="R100" s="123" t="s">
        <v>33</v>
      </c>
      <c r="S100" s="123" t="s">
        <v>34</v>
      </c>
      <c r="T100" s="123"/>
      <c r="U100" s="122"/>
      <c r="V100" s="28">
        <f>IFERROR(IF(N100&lt;P100,"",(ROUNDDOWN(N100/P100*100,0))),"")</f>
        <v>114</v>
      </c>
    </row>
    <row r="101" spans="1:23" s="121" customFormat="1" ht="21" customHeight="1">
      <c r="A101" s="136"/>
      <c r="B101" s="135"/>
      <c r="C101" s="134"/>
      <c r="D101" s="129" t="s">
        <v>542</v>
      </c>
      <c r="E101" s="128" t="s">
        <v>41</v>
      </c>
      <c r="F101" s="127">
        <v>2.9990000000000001</v>
      </c>
      <c r="G101" s="128">
        <v>375</v>
      </c>
      <c r="H101" s="127" t="s">
        <v>466</v>
      </c>
      <c r="I101" s="128" t="s">
        <v>71</v>
      </c>
      <c r="J101" s="127">
        <v>2356</v>
      </c>
      <c r="K101" s="123">
        <v>4521</v>
      </c>
      <c r="L101" s="123">
        <v>2000</v>
      </c>
      <c r="M101" s="123" t="s">
        <v>31</v>
      </c>
      <c r="N101" s="133">
        <v>11.4</v>
      </c>
      <c r="O101" s="23">
        <f>IF(N101&gt;0,1/N101*37.7*68.6,"")</f>
        <v>226.8614035087719</v>
      </c>
      <c r="P101" s="125">
        <v>10.35</v>
      </c>
      <c r="Q101" s="124" t="s">
        <v>63</v>
      </c>
      <c r="R101" s="123" t="s">
        <v>33</v>
      </c>
      <c r="S101" s="123" t="s">
        <v>34</v>
      </c>
      <c r="T101" s="123"/>
      <c r="U101" s="122"/>
      <c r="V101" s="28">
        <f>IFERROR(IF(N101&lt;P101,"",(ROUNDDOWN(N101/P101*100,0))),"")</f>
        <v>110</v>
      </c>
      <c r="W101" s="143"/>
    </row>
    <row r="102" spans="1:23" s="121" customFormat="1" ht="21" customHeight="1">
      <c r="A102" s="136"/>
      <c r="B102" s="135"/>
      <c r="C102" s="134"/>
      <c r="D102" s="129" t="s">
        <v>542</v>
      </c>
      <c r="E102" s="128" t="s">
        <v>41</v>
      </c>
      <c r="F102" s="127">
        <v>2.9990000000000001</v>
      </c>
      <c r="G102" s="128">
        <v>375</v>
      </c>
      <c r="H102" s="127" t="s">
        <v>466</v>
      </c>
      <c r="I102" s="128" t="s">
        <v>71</v>
      </c>
      <c r="J102" s="127">
        <v>2652</v>
      </c>
      <c r="K102" s="123">
        <v>5812</v>
      </c>
      <c r="L102" s="123">
        <v>2995</v>
      </c>
      <c r="M102" s="123" t="s">
        <v>31</v>
      </c>
      <c r="N102" s="133">
        <v>10.8</v>
      </c>
      <c r="O102" s="23">
        <f>IF(N102&gt;0,1/N102*37.7*68.6,"")</f>
        <v>239.46481481481482</v>
      </c>
      <c r="P102" s="125">
        <v>9.51</v>
      </c>
      <c r="Q102" s="124" t="s">
        <v>43</v>
      </c>
      <c r="R102" s="123" t="s">
        <v>33</v>
      </c>
      <c r="S102" s="123" t="s">
        <v>34</v>
      </c>
      <c r="T102" s="123"/>
      <c r="U102" s="122"/>
      <c r="V102" s="28">
        <f>IFERROR(IF(N102&lt;P102,"",(ROUNDDOWN(N102/P102*100,0))),"")</f>
        <v>113</v>
      </c>
      <c r="W102" s="143"/>
    </row>
    <row r="103" spans="1:23" s="121" customFormat="1" ht="21" customHeight="1">
      <c r="A103" s="136"/>
      <c r="B103" s="135"/>
      <c r="C103" s="134"/>
      <c r="D103" s="129" t="s">
        <v>542</v>
      </c>
      <c r="E103" s="128" t="s">
        <v>41</v>
      </c>
      <c r="F103" s="127">
        <v>2.9990000000000001</v>
      </c>
      <c r="G103" s="128">
        <v>375</v>
      </c>
      <c r="H103" s="127" t="s">
        <v>466</v>
      </c>
      <c r="I103" s="128" t="s">
        <v>42</v>
      </c>
      <c r="J103" s="127">
        <v>2652</v>
      </c>
      <c r="K103" s="123">
        <v>5812</v>
      </c>
      <c r="L103" s="123">
        <v>2995</v>
      </c>
      <c r="M103" s="123" t="s">
        <v>31</v>
      </c>
      <c r="N103" s="133">
        <v>10.8</v>
      </c>
      <c r="O103" s="23">
        <f>IF(N103&gt;0,1/N103*37.7*68.6,"")</f>
        <v>239.46481481481482</v>
      </c>
      <c r="P103" s="125">
        <v>9.51</v>
      </c>
      <c r="Q103" s="124" t="s">
        <v>63</v>
      </c>
      <c r="R103" s="123" t="s">
        <v>33</v>
      </c>
      <c r="S103" s="123" t="s">
        <v>34</v>
      </c>
      <c r="T103" s="123"/>
      <c r="U103" s="122"/>
      <c r="V103" s="28">
        <f>IFERROR(IF(N103&lt;P103,"",(ROUNDDOWN(N103/P103*100,0))),"")</f>
        <v>113</v>
      </c>
    </row>
    <row r="104" spans="1:23" s="121" customFormat="1" ht="21" customHeight="1">
      <c r="A104" s="136"/>
      <c r="B104" s="135"/>
      <c r="C104" s="134"/>
      <c r="D104" s="129" t="s">
        <v>542</v>
      </c>
      <c r="E104" s="128" t="s">
        <v>41</v>
      </c>
      <c r="F104" s="127">
        <v>2.9990000000000001</v>
      </c>
      <c r="G104" s="128">
        <v>375</v>
      </c>
      <c r="H104" s="127" t="s">
        <v>466</v>
      </c>
      <c r="I104" s="128" t="s">
        <v>71</v>
      </c>
      <c r="J104" s="127">
        <v>2652</v>
      </c>
      <c r="K104" s="123">
        <v>5812</v>
      </c>
      <c r="L104" s="123">
        <v>2995</v>
      </c>
      <c r="M104" s="123" t="s">
        <v>31</v>
      </c>
      <c r="N104" s="133">
        <v>10.6</v>
      </c>
      <c r="O104" s="23">
        <f>IF(N104&gt;0,1/N104*37.7*68.6,"")</f>
        <v>243.98301886792456</v>
      </c>
      <c r="P104" s="125">
        <v>9.51</v>
      </c>
      <c r="Q104" s="124" t="s">
        <v>63</v>
      </c>
      <c r="R104" s="123" t="s">
        <v>33</v>
      </c>
      <c r="S104" s="123" t="s">
        <v>34</v>
      </c>
      <c r="T104" s="123"/>
      <c r="U104" s="122"/>
      <c r="V104" s="28">
        <f>IFERROR(IF(N104&lt;P104,"",(ROUNDDOWN(N104/P104*100,0))),"")</f>
        <v>111</v>
      </c>
    </row>
    <row r="105" spans="1:23" s="121" customFormat="1" ht="21" customHeight="1">
      <c r="A105" s="136"/>
      <c r="B105" s="135"/>
      <c r="C105" s="134"/>
      <c r="D105" s="129" t="s">
        <v>541</v>
      </c>
      <c r="E105" s="128" t="s">
        <v>41</v>
      </c>
      <c r="F105" s="127">
        <v>2.9990000000000001</v>
      </c>
      <c r="G105" s="128">
        <v>375</v>
      </c>
      <c r="H105" s="127">
        <v>110</v>
      </c>
      <c r="I105" s="128" t="s">
        <v>71</v>
      </c>
      <c r="J105" s="127">
        <v>2356</v>
      </c>
      <c r="K105" s="123">
        <v>4521</v>
      </c>
      <c r="L105" s="123">
        <v>2000</v>
      </c>
      <c r="M105" s="123" t="s">
        <v>31</v>
      </c>
      <c r="N105" s="133">
        <v>11.8</v>
      </c>
      <c r="O105" s="23">
        <f>IF(N105&gt;0,1/N105*37.7*68.6,"")</f>
        <v>219.17118644067796</v>
      </c>
      <c r="P105" s="125">
        <v>10.35</v>
      </c>
      <c r="Q105" s="124" t="s">
        <v>43</v>
      </c>
      <c r="R105" s="123" t="s">
        <v>33</v>
      </c>
      <c r="S105" s="123" t="s">
        <v>34</v>
      </c>
      <c r="T105" s="123"/>
      <c r="U105" s="122"/>
      <c r="V105" s="28">
        <f>IFERROR(IF(N105&lt;P105,"",(ROUNDDOWN(N105/P105*100,0))),"")</f>
        <v>114</v>
      </c>
    </row>
    <row r="106" spans="1:23" s="121" customFormat="1" ht="21" customHeight="1">
      <c r="A106" s="136"/>
      <c r="B106" s="135"/>
      <c r="C106" s="134"/>
      <c r="D106" s="129" t="s">
        <v>541</v>
      </c>
      <c r="E106" s="128" t="s">
        <v>41</v>
      </c>
      <c r="F106" s="127">
        <v>2.9990000000000001</v>
      </c>
      <c r="G106" s="128">
        <v>375</v>
      </c>
      <c r="H106" s="127">
        <v>110</v>
      </c>
      <c r="I106" s="128" t="s">
        <v>71</v>
      </c>
      <c r="J106" s="127">
        <v>2356</v>
      </c>
      <c r="K106" s="123">
        <v>4521</v>
      </c>
      <c r="L106" s="123">
        <v>2000</v>
      </c>
      <c r="M106" s="123" t="s">
        <v>31</v>
      </c>
      <c r="N106" s="133">
        <v>11.4</v>
      </c>
      <c r="O106" s="23">
        <f>IF(N106&gt;0,1/N106*37.7*68.6,"")</f>
        <v>226.8614035087719</v>
      </c>
      <c r="P106" s="125">
        <v>10.35</v>
      </c>
      <c r="Q106" s="124" t="s">
        <v>63</v>
      </c>
      <c r="R106" s="123" t="s">
        <v>33</v>
      </c>
      <c r="S106" s="123" t="s">
        <v>34</v>
      </c>
      <c r="T106" s="123"/>
      <c r="U106" s="122"/>
      <c r="V106" s="28">
        <f>IFERROR(IF(N106&lt;P106,"",(ROUNDDOWN(N106/P106*100,0))),"")</f>
        <v>110</v>
      </c>
    </row>
    <row r="107" spans="1:23" s="121" customFormat="1" ht="21" customHeight="1">
      <c r="A107" s="136"/>
      <c r="B107" s="135"/>
      <c r="C107" s="134"/>
      <c r="D107" s="129" t="s">
        <v>541</v>
      </c>
      <c r="E107" s="128" t="s">
        <v>41</v>
      </c>
      <c r="F107" s="127">
        <v>2.9990000000000001</v>
      </c>
      <c r="G107" s="128">
        <v>375</v>
      </c>
      <c r="H107" s="127">
        <v>110</v>
      </c>
      <c r="I107" s="128" t="s">
        <v>71</v>
      </c>
      <c r="J107" s="127">
        <v>2652</v>
      </c>
      <c r="K107" s="123">
        <v>5812</v>
      </c>
      <c r="L107" s="123">
        <v>2995</v>
      </c>
      <c r="M107" s="123" t="s">
        <v>31</v>
      </c>
      <c r="N107" s="133">
        <v>10.8</v>
      </c>
      <c r="O107" s="23">
        <f>IF(N107&gt;0,1/N107*37.7*68.6,"")</f>
        <v>239.46481481481482</v>
      </c>
      <c r="P107" s="125">
        <v>9.51</v>
      </c>
      <c r="Q107" s="124" t="s">
        <v>43</v>
      </c>
      <c r="R107" s="123" t="s">
        <v>33</v>
      </c>
      <c r="S107" s="123" t="s">
        <v>34</v>
      </c>
      <c r="T107" s="123"/>
      <c r="U107" s="122"/>
      <c r="V107" s="28">
        <f>IFERROR(IF(N107&lt;P107,"",(ROUNDDOWN(N107/P107*100,0))),"")</f>
        <v>113</v>
      </c>
    </row>
    <row r="108" spans="1:23" s="121" customFormat="1" ht="21" customHeight="1">
      <c r="A108" s="136"/>
      <c r="B108" s="135"/>
      <c r="C108" s="134"/>
      <c r="D108" s="129" t="s">
        <v>541</v>
      </c>
      <c r="E108" s="128" t="s">
        <v>41</v>
      </c>
      <c r="F108" s="127">
        <v>2.9990000000000001</v>
      </c>
      <c r="G108" s="128">
        <v>375</v>
      </c>
      <c r="H108" s="127">
        <v>110</v>
      </c>
      <c r="I108" s="128" t="s">
        <v>71</v>
      </c>
      <c r="J108" s="127">
        <v>2652</v>
      </c>
      <c r="K108" s="123">
        <v>5812</v>
      </c>
      <c r="L108" s="123">
        <v>2995</v>
      </c>
      <c r="M108" s="123" t="s">
        <v>31</v>
      </c>
      <c r="N108" s="133">
        <v>10.6</v>
      </c>
      <c r="O108" s="23">
        <f>IF(N108&gt;0,1/N108*37.7*68.6,"")</f>
        <v>243.98301886792456</v>
      </c>
      <c r="P108" s="125">
        <v>9.51</v>
      </c>
      <c r="Q108" s="124" t="s">
        <v>63</v>
      </c>
      <c r="R108" s="123" t="s">
        <v>33</v>
      </c>
      <c r="S108" s="123" t="s">
        <v>34</v>
      </c>
      <c r="T108" s="123"/>
      <c r="U108" s="122"/>
      <c r="V108" s="28">
        <f>IFERROR(IF(N108&lt;P108,"",(ROUNDDOWN(N108/P108*100,0))),"")</f>
        <v>111</v>
      </c>
    </row>
    <row r="109" spans="1:23" s="121" customFormat="1" ht="21" customHeight="1">
      <c r="A109" s="136"/>
      <c r="B109" s="135"/>
      <c r="C109" s="134"/>
      <c r="D109" s="129" t="s">
        <v>540</v>
      </c>
      <c r="E109" s="128" t="s">
        <v>41</v>
      </c>
      <c r="F109" s="127">
        <v>2.9990000000000001</v>
      </c>
      <c r="G109" s="128">
        <v>375</v>
      </c>
      <c r="H109" s="127">
        <v>110</v>
      </c>
      <c r="I109" s="128" t="s">
        <v>71</v>
      </c>
      <c r="J109" s="127">
        <v>2356</v>
      </c>
      <c r="K109" s="123">
        <v>4521</v>
      </c>
      <c r="L109" s="123">
        <v>2000</v>
      </c>
      <c r="M109" s="123" t="s">
        <v>31</v>
      </c>
      <c r="N109" s="133">
        <v>11.8</v>
      </c>
      <c r="O109" s="23">
        <f>IF(N109&gt;0,1/N109*37.7*68.6,"")</f>
        <v>219.17118644067796</v>
      </c>
      <c r="P109" s="125">
        <v>10.35</v>
      </c>
      <c r="Q109" s="124" t="s">
        <v>43</v>
      </c>
      <c r="R109" s="123" t="s">
        <v>33</v>
      </c>
      <c r="S109" s="123" t="s">
        <v>34</v>
      </c>
      <c r="T109" s="123"/>
      <c r="U109" s="122"/>
      <c r="V109" s="28">
        <f>IFERROR(IF(N109&lt;P109,"",(ROUNDDOWN(N109/P109*100,0))),"")</f>
        <v>114</v>
      </c>
    </row>
    <row r="110" spans="1:23" s="121" customFormat="1" ht="21" customHeight="1">
      <c r="A110" s="136"/>
      <c r="B110" s="135"/>
      <c r="C110" s="134"/>
      <c r="D110" s="129" t="s">
        <v>540</v>
      </c>
      <c r="E110" s="128" t="s">
        <v>41</v>
      </c>
      <c r="F110" s="127">
        <v>2.9990000000000001</v>
      </c>
      <c r="G110" s="128">
        <v>375</v>
      </c>
      <c r="H110" s="127">
        <v>110</v>
      </c>
      <c r="I110" s="128" t="s">
        <v>71</v>
      </c>
      <c r="J110" s="127">
        <v>2356</v>
      </c>
      <c r="K110" s="123">
        <v>4521</v>
      </c>
      <c r="L110" s="123">
        <v>2000</v>
      </c>
      <c r="M110" s="123" t="s">
        <v>31</v>
      </c>
      <c r="N110" s="133">
        <v>11.4</v>
      </c>
      <c r="O110" s="23">
        <f>IF(N110&gt;0,1/N110*37.7*68.6,"")</f>
        <v>226.8614035087719</v>
      </c>
      <c r="P110" s="125">
        <v>10.35</v>
      </c>
      <c r="Q110" s="124" t="s">
        <v>63</v>
      </c>
      <c r="R110" s="123" t="s">
        <v>33</v>
      </c>
      <c r="S110" s="123" t="s">
        <v>34</v>
      </c>
      <c r="T110" s="123"/>
      <c r="U110" s="122"/>
      <c r="V110" s="28">
        <f>IFERROR(IF(N110&lt;P110,"",(ROUNDDOWN(N110/P110*100,0))),"")</f>
        <v>110</v>
      </c>
    </row>
    <row r="111" spans="1:23" s="143" customFormat="1" ht="21" customHeight="1">
      <c r="A111" s="136"/>
      <c r="B111" s="135"/>
      <c r="C111" s="134"/>
      <c r="D111" s="129" t="s">
        <v>539</v>
      </c>
      <c r="E111" s="128" t="s">
        <v>41</v>
      </c>
      <c r="F111" s="127">
        <v>2.9990000000000001</v>
      </c>
      <c r="G111" s="128">
        <v>375</v>
      </c>
      <c r="H111" s="127" t="s">
        <v>466</v>
      </c>
      <c r="I111" s="128" t="s">
        <v>42</v>
      </c>
      <c r="J111" s="127">
        <v>2356</v>
      </c>
      <c r="K111" s="123">
        <v>4521</v>
      </c>
      <c r="L111" s="123">
        <v>2000</v>
      </c>
      <c r="M111" s="123" t="s">
        <v>31</v>
      </c>
      <c r="N111" s="133">
        <v>11.8</v>
      </c>
      <c r="O111" s="23">
        <f>IF(N111&gt;0,1/N111*37.7*68.6,"")</f>
        <v>219.17118644067796</v>
      </c>
      <c r="P111" s="125">
        <v>10.35</v>
      </c>
      <c r="Q111" s="124" t="s">
        <v>63</v>
      </c>
      <c r="R111" s="123" t="s">
        <v>33</v>
      </c>
      <c r="S111" s="123" t="s">
        <v>34</v>
      </c>
      <c r="T111" s="123"/>
      <c r="U111" s="122"/>
      <c r="V111" s="28">
        <f>IFERROR(IF(N111&lt;P111,"",(ROUNDDOWN(N111/P111*100,0))),"")</f>
        <v>114</v>
      </c>
      <c r="W111" s="121"/>
    </row>
    <row r="112" spans="1:23" s="143" customFormat="1" ht="21" customHeight="1">
      <c r="A112" s="136"/>
      <c r="B112" s="135"/>
      <c r="C112" s="134"/>
      <c r="D112" s="129" t="s">
        <v>539</v>
      </c>
      <c r="E112" s="128" t="s">
        <v>41</v>
      </c>
      <c r="F112" s="127">
        <v>2.9990000000000001</v>
      </c>
      <c r="G112" s="128">
        <v>375</v>
      </c>
      <c r="H112" s="127" t="s">
        <v>466</v>
      </c>
      <c r="I112" s="128" t="s">
        <v>71</v>
      </c>
      <c r="J112" s="127">
        <v>2356</v>
      </c>
      <c r="K112" s="123">
        <v>4521</v>
      </c>
      <c r="L112" s="123">
        <v>2000</v>
      </c>
      <c r="M112" s="123" t="s">
        <v>31</v>
      </c>
      <c r="N112" s="133">
        <v>11.4</v>
      </c>
      <c r="O112" s="23">
        <f>IF(N112&gt;0,1/N112*37.7*68.6,"")</f>
        <v>226.8614035087719</v>
      </c>
      <c r="P112" s="125">
        <v>10.35</v>
      </c>
      <c r="Q112" s="124" t="s">
        <v>63</v>
      </c>
      <c r="R112" s="123" t="s">
        <v>33</v>
      </c>
      <c r="S112" s="123" t="s">
        <v>34</v>
      </c>
      <c r="T112" s="123"/>
      <c r="U112" s="122"/>
      <c r="V112" s="28">
        <f>IFERROR(IF(N112&lt;P112,"",(ROUNDDOWN(N112/P112*100,0))),"")</f>
        <v>110</v>
      </c>
      <c r="W112" s="121"/>
    </row>
    <row r="113" spans="1:23" s="121" customFormat="1" ht="21" customHeight="1">
      <c r="A113" s="136"/>
      <c r="B113" s="135"/>
      <c r="C113" s="134"/>
      <c r="D113" s="129" t="s">
        <v>539</v>
      </c>
      <c r="E113" s="128" t="s">
        <v>41</v>
      </c>
      <c r="F113" s="127">
        <v>2.9990000000000001</v>
      </c>
      <c r="G113" s="128">
        <v>375</v>
      </c>
      <c r="H113" s="127" t="s">
        <v>466</v>
      </c>
      <c r="I113" s="128" t="s">
        <v>42</v>
      </c>
      <c r="J113" s="127">
        <v>2652</v>
      </c>
      <c r="K113" s="123">
        <v>5812</v>
      </c>
      <c r="L113" s="123">
        <v>2995</v>
      </c>
      <c r="M113" s="123" t="s">
        <v>31</v>
      </c>
      <c r="N113" s="133">
        <v>10.8</v>
      </c>
      <c r="O113" s="23">
        <f>IF(N113&gt;0,1/N113*37.7*68.6,"")</f>
        <v>239.46481481481482</v>
      </c>
      <c r="P113" s="125">
        <v>9.51</v>
      </c>
      <c r="Q113" s="124" t="s">
        <v>63</v>
      </c>
      <c r="R113" s="123" t="s">
        <v>33</v>
      </c>
      <c r="S113" s="123" t="s">
        <v>34</v>
      </c>
      <c r="T113" s="123"/>
      <c r="U113" s="122"/>
      <c r="V113" s="28">
        <f>IFERROR(IF(N113&lt;P113,"",(ROUNDDOWN(N113/P113*100,0))),"")</f>
        <v>113</v>
      </c>
    </row>
    <row r="114" spans="1:23" s="121" customFormat="1" ht="21" customHeight="1">
      <c r="A114" s="136"/>
      <c r="B114" s="135"/>
      <c r="C114" s="134"/>
      <c r="D114" s="129" t="s">
        <v>539</v>
      </c>
      <c r="E114" s="128" t="s">
        <v>41</v>
      </c>
      <c r="F114" s="127">
        <v>2.9990000000000001</v>
      </c>
      <c r="G114" s="128">
        <v>375</v>
      </c>
      <c r="H114" s="127" t="s">
        <v>466</v>
      </c>
      <c r="I114" s="128" t="s">
        <v>71</v>
      </c>
      <c r="J114" s="127">
        <v>2652</v>
      </c>
      <c r="K114" s="123">
        <v>5812</v>
      </c>
      <c r="L114" s="123">
        <v>2995</v>
      </c>
      <c r="M114" s="123" t="s">
        <v>31</v>
      </c>
      <c r="N114" s="133">
        <v>10.6</v>
      </c>
      <c r="O114" s="23">
        <f>IF(N114&gt;0,1/N114*37.7*68.6,"")</f>
        <v>243.98301886792456</v>
      </c>
      <c r="P114" s="125">
        <v>9.51</v>
      </c>
      <c r="Q114" s="124" t="s">
        <v>63</v>
      </c>
      <c r="R114" s="123" t="s">
        <v>33</v>
      </c>
      <c r="S114" s="123" t="s">
        <v>34</v>
      </c>
      <c r="T114" s="123"/>
      <c r="U114" s="122"/>
      <c r="V114" s="28">
        <f>IFERROR(IF(N114&lt;P114,"",(ROUNDDOWN(N114/P114*100,0))),"")</f>
        <v>111</v>
      </c>
    </row>
    <row r="115" spans="1:23" s="121" customFormat="1" ht="21" customHeight="1">
      <c r="A115" s="136"/>
      <c r="B115" s="135"/>
      <c r="C115" s="134"/>
      <c r="D115" s="129" t="s">
        <v>538</v>
      </c>
      <c r="E115" s="128" t="s">
        <v>41</v>
      </c>
      <c r="F115" s="127">
        <v>2.9990000000000001</v>
      </c>
      <c r="G115" s="128">
        <v>375</v>
      </c>
      <c r="H115" s="127" t="s">
        <v>466</v>
      </c>
      <c r="I115" s="128" t="s">
        <v>71</v>
      </c>
      <c r="J115" s="127">
        <v>2356</v>
      </c>
      <c r="K115" s="123">
        <v>4521</v>
      </c>
      <c r="L115" s="123">
        <v>2000</v>
      </c>
      <c r="M115" s="123" t="s">
        <v>31</v>
      </c>
      <c r="N115" s="133">
        <v>11.8</v>
      </c>
      <c r="O115" s="23">
        <f>IF(N115&gt;0,1/N115*37.7*68.6,"")</f>
        <v>219.17118644067796</v>
      </c>
      <c r="P115" s="125">
        <v>10.35</v>
      </c>
      <c r="Q115" s="124" t="s">
        <v>43</v>
      </c>
      <c r="R115" s="123" t="s">
        <v>33</v>
      </c>
      <c r="S115" s="123" t="s">
        <v>34</v>
      </c>
      <c r="T115" s="123"/>
      <c r="U115" s="122"/>
      <c r="V115" s="28">
        <f>IFERROR(IF(N115&lt;P115,"",(ROUNDDOWN(N115/P115*100,0))),"")</f>
        <v>114</v>
      </c>
    </row>
    <row r="116" spans="1:23" s="121" customFormat="1" ht="21" customHeight="1">
      <c r="A116" s="136"/>
      <c r="B116" s="135"/>
      <c r="C116" s="134"/>
      <c r="D116" s="129" t="s">
        <v>538</v>
      </c>
      <c r="E116" s="128" t="s">
        <v>41</v>
      </c>
      <c r="F116" s="127">
        <v>2.9990000000000001</v>
      </c>
      <c r="G116" s="128">
        <v>375</v>
      </c>
      <c r="H116" s="127" t="s">
        <v>466</v>
      </c>
      <c r="I116" s="128" t="s">
        <v>42</v>
      </c>
      <c r="J116" s="127">
        <v>2356</v>
      </c>
      <c r="K116" s="123">
        <v>4521</v>
      </c>
      <c r="L116" s="123">
        <v>2000</v>
      </c>
      <c r="M116" s="123" t="s">
        <v>31</v>
      </c>
      <c r="N116" s="133">
        <v>11.8</v>
      </c>
      <c r="O116" s="23">
        <f>IF(N116&gt;0,1/N116*37.7*68.6,"")</f>
        <v>219.17118644067796</v>
      </c>
      <c r="P116" s="125">
        <v>10.35</v>
      </c>
      <c r="Q116" s="124" t="s">
        <v>63</v>
      </c>
      <c r="R116" s="123" t="s">
        <v>33</v>
      </c>
      <c r="S116" s="123" t="s">
        <v>34</v>
      </c>
      <c r="T116" s="123"/>
      <c r="U116" s="122"/>
      <c r="V116" s="28">
        <f>IFERROR(IF(N116&lt;P116,"",(ROUNDDOWN(N116/P116*100,0))),"")</f>
        <v>114</v>
      </c>
    </row>
    <row r="117" spans="1:23" s="121" customFormat="1" ht="21" customHeight="1">
      <c r="A117" s="136"/>
      <c r="B117" s="135"/>
      <c r="C117" s="134"/>
      <c r="D117" s="129" t="s">
        <v>538</v>
      </c>
      <c r="E117" s="128" t="s">
        <v>41</v>
      </c>
      <c r="F117" s="127">
        <v>2.9990000000000001</v>
      </c>
      <c r="G117" s="128">
        <v>375</v>
      </c>
      <c r="H117" s="127" t="s">
        <v>466</v>
      </c>
      <c r="I117" s="128" t="s">
        <v>71</v>
      </c>
      <c r="J117" s="127">
        <v>2356</v>
      </c>
      <c r="K117" s="123">
        <v>4521</v>
      </c>
      <c r="L117" s="123">
        <v>2000</v>
      </c>
      <c r="M117" s="123" t="s">
        <v>31</v>
      </c>
      <c r="N117" s="133">
        <v>11.4</v>
      </c>
      <c r="O117" s="23">
        <f>IF(N117&gt;0,1/N117*37.7*68.6,"")</f>
        <v>226.8614035087719</v>
      </c>
      <c r="P117" s="125">
        <v>10.35</v>
      </c>
      <c r="Q117" s="124" t="s">
        <v>63</v>
      </c>
      <c r="R117" s="123" t="s">
        <v>33</v>
      </c>
      <c r="S117" s="123" t="s">
        <v>34</v>
      </c>
      <c r="T117" s="123"/>
      <c r="U117" s="122"/>
      <c r="V117" s="28">
        <f>IFERROR(IF(N117&lt;P117,"",(ROUNDDOWN(N117/P117*100,0))),"")</f>
        <v>110</v>
      </c>
    </row>
    <row r="118" spans="1:23" s="121" customFormat="1" ht="21" customHeight="1">
      <c r="A118" s="136"/>
      <c r="B118" s="135"/>
      <c r="C118" s="134"/>
      <c r="D118" s="129" t="s">
        <v>538</v>
      </c>
      <c r="E118" s="128" t="s">
        <v>41</v>
      </c>
      <c r="F118" s="127">
        <v>2.9990000000000001</v>
      </c>
      <c r="G118" s="128">
        <v>375</v>
      </c>
      <c r="H118" s="127" t="s">
        <v>466</v>
      </c>
      <c r="I118" s="128" t="s">
        <v>71</v>
      </c>
      <c r="J118" s="127">
        <v>2652</v>
      </c>
      <c r="K118" s="123">
        <v>5812</v>
      </c>
      <c r="L118" s="123">
        <v>2995</v>
      </c>
      <c r="M118" s="123" t="s">
        <v>31</v>
      </c>
      <c r="N118" s="133">
        <v>10.8</v>
      </c>
      <c r="O118" s="23">
        <f>IF(N118&gt;0,1/N118*37.7*68.6,"")</f>
        <v>239.46481481481482</v>
      </c>
      <c r="P118" s="125">
        <v>9.51</v>
      </c>
      <c r="Q118" s="124" t="s">
        <v>43</v>
      </c>
      <c r="R118" s="123" t="s">
        <v>33</v>
      </c>
      <c r="S118" s="123" t="s">
        <v>34</v>
      </c>
      <c r="T118" s="123"/>
      <c r="U118" s="122"/>
      <c r="V118" s="28">
        <f>IFERROR(IF(N118&lt;P118,"",(ROUNDDOWN(N118/P118*100,0))),"")</f>
        <v>113</v>
      </c>
      <c r="W118" s="143"/>
    </row>
    <row r="119" spans="1:23" s="121" customFormat="1" ht="21" customHeight="1">
      <c r="A119" s="136"/>
      <c r="B119" s="135"/>
      <c r="C119" s="134"/>
      <c r="D119" s="129" t="s">
        <v>538</v>
      </c>
      <c r="E119" s="128" t="s">
        <v>41</v>
      </c>
      <c r="F119" s="127">
        <v>2.9990000000000001</v>
      </c>
      <c r="G119" s="128">
        <v>375</v>
      </c>
      <c r="H119" s="127" t="s">
        <v>466</v>
      </c>
      <c r="I119" s="128" t="s">
        <v>42</v>
      </c>
      <c r="J119" s="127">
        <v>2652</v>
      </c>
      <c r="K119" s="123">
        <v>5812</v>
      </c>
      <c r="L119" s="123">
        <v>2995</v>
      </c>
      <c r="M119" s="123" t="s">
        <v>31</v>
      </c>
      <c r="N119" s="133">
        <v>10.8</v>
      </c>
      <c r="O119" s="23">
        <f>IF(N119&gt;0,1/N119*37.7*68.6,"")</f>
        <v>239.46481481481482</v>
      </c>
      <c r="P119" s="125">
        <v>9.51</v>
      </c>
      <c r="Q119" s="124" t="s">
        <v>63</v>
      </c>
      <c r="R119" s="123" t="s">
        <v>33</v>
      </c>
      <c r="S119" s="123" t="s">
        <v>34</v>
      </c>
      <c r="T119" s="123"/>
      <c r="U119" s="122"/>
      <c r="V119" s="28">
        <f>IFERROR(IF(N119&lt;P119,"",(ROUNDDOWN(N119/P119*100,0))),"")</f>
        <v>113</v>
      </c>
      <c r="W119" s="143"/>
    </row>
    <row r="120" spans="1:23" s="121" customFormat="1" ht="21" customHeight="1">
      <c r="A120" s="136"/>
      <c r="B120" s="135"/>
      <c r="C120" s="134"/>
      <c r="D120" s="129" t="s">
        <v>538</v>
      </c>
      <c r="E120" s="128" t="s">
        <v>41</v>
      </c>
      <c r="F120" s="127">
        <v>2.9990000000000001</v>
      </c>
      <c r="G120" s="128">
        <v>375</v>
      </c>
      <c r="H120" s="127" t="s">
        <v>466</v>
      </c>
      <c r="I120" s="128" t="s">
        <v>71</v>
      </c>
      <c r="J120" s="127">
        <v>2652</v>
      </c>
      <c r="K120" s="123">
        <v>5812</v>
      </c>
      <c r="L120" s="123">
        <v>2995</v>
      </c>
      <c r="M120" s="123" t="s">
        <v>31</v>
      </c>
      <c r="N120" s="133">
        <v>10.6</v>
      </c>
      <c r="O120" s="23">
        <f>IF(N120&gt;0,1/N120*37.7*68.6,"")</f>
        <v>243.98301886792456</v>
      </c>
      <c r="P120" s="125">
        <v>9.51</v>
      </c>
      <c r="Q120" s="124" t="s">
        <v>63</v>
      </c>
      <c r="R120" s="123" t="s">
        <v>33</v>
      </c>
      <c r="S120" s="123" t="s">
        <v>34</v>
      </c>
      <c r="T120" s="123"/>
      <c r="U120" s="122"/>
      <c r="V120" s="28">
        <f>IFERROR(IF(N120&lt;P120,"",(ROUNDDOWN(N120/P120*100,0))),"")</f>
        <v>111</v>
      </c>
      <c r="W120" s="143"/>
    </row>
    <row r="121" spans="1:23" s="121" customFormat="1" ht="21" customHeight="1">
      <c r="A121" s="136"/>
      <c r="B121" s="135"/>
      <c r="C121" s="134"/>
      <c r="D121" s="129" t="s">
        <v>538</v>
      </c>
      <c r="E121" s="128" t="s">
        <v>41</v>
      </c>
      <c r="F121" s="127">
        <v>2.9990000000000001</v>
      </c>
      <c r="G121" s="128">
        <v>375</v>
      </c>
      <c r="H121" s="127" t="s">
        <v>466</v>
      </c>
      <c r="I121" s="128" t="s">
        <v>42</v>
      </c>
      <c r="J121" s="127">
        <v>2979</v>
      </c>
      <c r="K121" s="123">
        <v>6893</v>
      </c>
      <c r="L121" s="123">
        <v>3749</v>
      </c>
      <c r="M121" s="123" t="s">
        <v>31</v>
      </c>
      <c r="N121" s="133">
        <v>9.1999999999999993</v>
      </c>
      <c r="O121" s="23">
        <f>IF(N121&gt;0,1/N121*37.7*68.6,"")</f>
        <v>281.1108695652174</v>
      </c>
      <c r="P121" s="125">
        <v>8.1199999999999992</v>
      </c>
      <c r="Q121" s="124" t="s">
        <v>43</v>
      </c>
      <c r="R121" s="123" t="s">
        <v>33</v>
      </c>
      <c r="S121" s="123" t="s">
        <v>34</v>
      </c>
      <c r="T121" s="123"/>
      <c r="U121" s="122"/>
      <c r="V121" s="28">
        <f>IFERROR(IF(N121&lt;P121,"",(ROUNDDOWN(N121/P121*100,0))),"")</f>
        <v>113</v>
      </c>
      <c r="W121" s="143"/>
    </row>
    <row r="122" spans="1:23" s="121" customFormat="1" ht="21" customHeight="1">
      <c r="A122" s="136"/>
      <c r="B122" s="135"/>
      <c r="C122" s="134"/>
      <c r="D122" s="129" t="s">
        <v>538</v>
      </c>
      <c r="E122" s="128" t="s">
        <v>41</v>
      </c>
      <c r="F122" s="127">
        <v>2.9990000000000001</v>
      </c>
      <c r="G122" s="128">
        <v>375</v>
      </c>
      <c r="H122" s="127" t="s">
        <v>466</v>
      </c>
      <c r="I122" s="128" t="s">
        <v>71</v>
      </c>
      <c r="J122" s="127">
        <v>2979</v>
      </c>
      <c r="K122" s="123">
        <v>6893</v>
      </c>
      <c r="L122" s="123">
        <v>3749</v>
      </c>
      <c r="M122" s="123" t="s">
        <v>31</v>
      </c>
      <c r="N122" s="133">
        <v>9</v>
      </c>
      <c r="O122" s="23">
        <f>IF(N122&gt;0,1/N122*37.7*68.6,"")</f>
        <v>287.35777777777776</v>
      </c>
      <c r="P122" s="125">
        <v>8.1199999999999992</v>
      </c>
      <c r="Q122" s="124" t="s">
        <v>43</v>
      </c>
      <c r="R122" s="123" t="s">
        <v>33</v>
      </c>
      <c r="S122" s="123" t="s">
        <v>34</v>
      </c>
      <c r="T122" s="123"/>
      <c r="U122" s="122"/>
      <c r="V122" s="28">
        <f>IFERROR(IF(N122&lt;P122,"",(ROUNDDOWN(N122/P122*100,0))),"")</f>
        <v>110</v>
      </c>
      <c r="W122" s="143"/>
    </row>
    <row r="123" spans="1:23" s="121" customFormat="1" ht="21" customHeight="1">
      <c r="A123" s="136"/>
      <c r="B123" s="135"/>
      <c r="C123" s="134"/>
      <c r="D123" s="129" t="s">
        <v>538</v>
      </c>
      <c r="E123" s="128" t="s">
        <v>41</v>
      </c>
      <c r="F123" s="127">
        <v>2.9990000000000001</v>
      </c>
      <c r="G123" s="128">
        <v>375</v>
      </c>
      <c r="H123" s="127" t="s">
        <v>466</v>
      </c>
      <c r="I123" s="128" t="s">
        <v>42</v>
      </c>
      <c r="J123" s="127">
        <v>2979</v>
      </c>
      <c r="K123" s="123">
        <v>6893</v>
      </c>
      <c r="L123" s="123">
        <v>3749</v>
      </c>
      <c r="M123" s="123" t="s">
        <v>31</v>
      </c>
      <c r="N123" s="133">
        <v>9</v>
      </c>
      <c r="O123" s="23">
        <f>IF(N123&gt;0,1/N123*37.7*68.6,"")</f>
        <v>287.35777777777776</v>
      </c>
      <c r="P123" s="125">
        <v>8.1199999999999992</v>
      </c>
      <c r="Q123" s="124" t="s">
        <v>63</v>
      </c>
      <c r="R123" s="123" t="s">
        <v>33</v>
      </c>
      <c r="S123" s="123" t="s">
        <v>34</v>
      </c>
      <c r="T123" s="123"/>
      <c r="U123" s="122"/>
      <c r="V123" s="28">
        <f>IFERROR(IF(N123&lt;P123,"",(ROUNDDOWN(N123/P123*100,0))),"")</f>
        <v>110</v>
      </c>
      <c r="W123" s="143"/>
    </row>
    <row r="124" spans="1:23" s="121" customFormat="1" ht="21" customHeight="1">
      <c r="A124" s="136"/>
      <c r="B124" s="135"/>
      <c r="C124" s="134"/>
      <c r="D124" s="129" t="s">
        <v>537</v>
      </c>
      <c r="E124" s="128" t="s">
        <v>41</v>
      </c>
      <c r="F124" s="127">
        <v>2.9990000000000001</v>
      </c>
      <c r="G124" s="128">
        <v>375</v>
      </c>
      <c r="H124" s="127" t="s">
        <v>466</v>
      </c>
      <c r="I124" s="128" t="s">
        <v>42</v>
      </c>
      <c r="J124" s="127">
        <v>2356</v>
      </c>
      <c r="K124" s="123">
        <v>4521</v>
      </c>
      <c r="L124" s="123">
        <v>2000</v>
      </c>
      <c r="M124" s="123" t="s">
        <v>31</v>
      </c>
      <c r="N124" s="133">
        <v>11.8</v>
      </c>
      <c r="O124" s="23">
        <f>IF(N124&gt;0,1/N124*37.7*68.6,"")</f>
        <v>219.17118644067796</v>
      </c>
      <c r="P124" s="125">
        <v>10.35</v>
      </c>
      <c r="Q124" s="124" t="s">
        <v>63</v>
      </c>
      <c r="R124" s="123" t="s">
        <v>33</v>
      </c>
      <c r="S124" s="123" t="s">
        <v>34</v>
      </c>
      <c r="T124" s="123"/>
      <c r="U124" s="122"/>
      <c r="V124" s="28">
        <f>IFERROR(IF(N124&lt;P124,"",(ROUNDDOWN(N124/P124*100,0))),"")</f>
        <v>114</v>
      </c>
    </row>
    <row r="125" spans="1:23" s="121" customFormat="1" ht="21" customHeight="1">
      <c r="A125" s="136"/>
      <c r="B125" s="135"/>
      <c r="C125" s="134"/>
      <c r="D125" s="129" t="s">
        <v>537</v>
      </c>
      <c r="E125" s="128" t="s">
        <v>41</v>
      </c>
      <c r="F125" s="127">
        <v>2.9990000000000001</v>
      </c>
      <c r="G125" s="128">
        <v>375</v>
      </c>
      <c r="H125" s="127" t="s">
        <v>466</v>
      </c>
      <c r="I125" s="128" t="s">
        <v>71</v>
      </c>
      <c r="J125" s="127">
        <v>2356</v>
      </c>
      <c r="K125" s="123">
        <v>4521</v>
      </c>
      <c r="L125" s="123">
        <v>2000</v>
      </c>
      <c r="M125" s="123" t="s">
        <v>31</v>
      </c>
      <c r="N125" s="133">
        <v>11.4</v>
      </c>
      <c r="O125" s="23">
        <f>IF(N125&gt;0,1/N125*37.7*68.6,"")</f>
        <v>226.8614035087719</v>
      </c>
      <c r="P125" s="125">
        <v>10.35</v>
      </c>
      <c r="Q125" s="124" t="s">
        <v>63</v>
      </c>
      <c r="R125" s="123" t="s">
        <v>33</v>
      </c>
      <c r="S125" s="123" t="s">
        <v>34</v>
      </c>
      <c r="T125" s="123"/>
      <c r="U125" s="122"/>
      <c r="V125" s="28">
        <f>IFERROR(IF(N125&lt;P125,"",(ROUNDDOWN(N125/P125*100,0))),"")</f>
        <v>110</v>
      </c>
    </row>
    <row r="126" spans="1:23" s="121" customFormat="1" ht="21" customHeight="1">
      <c r="A126" s="136"/>
      <c r="B126" s="135"/>
      <c r="C126" s="134"/>
      <c r="D126" s="129" t="s">
        <v>537</v>
      </c>
      <c r="E126" s="128" t="s">
        <v>41</v>
      </c>
      <c r="F126" s="127">
        <v>2.9990000000000001</v>
      </c>
      <c r="G126" s="128">
        <v>375</v>
      </c>
      <c r="H126" s="127" t="s">
        <v>466</v>
      </c>
      <c r="I126" s="128" t="s">
        <v>71</v>
      </c>
      <c r="J126" s="127">
        <v>2652</v>
      </c>
      <c r="K126" s="123">
        <v>5812</v>
      </c>
      <c r="L126" s="123">
        <v>2995</v>
      </c>
      <c r="M126" s="123" t="s">
        <v>31</v>
      </c>
      <c r="N126" s="133">
        <v>10.8</v>
      </c>
      <c r="O126" s="23">
        <f>IF(N126&gt;0,1/N126*37.7*68.6,"")</f>
        <v>239.46481481481482</v>
      </c>
      <c r="P126" s="125">
        <v>9.51</v>
      </c>
      <c r="Q126" s="124" t="s">
        <v>43</v>
      </c>
      <c r="R126" s="123" t="s">
        <v>33</v>
      </c>
      <c r="S126" s="123" t="s">
        <v>34</v>
      </c>
      <c r="T126" s="123"/>
      <c r="U126" s="122"/>
      <c r="V126" s="28">
        <f>IFERROR(IF(N126&lt;P126,"",(ROUNDDOWN(N126/P126*100,0))),"")</f>
        <v>113</v>
      </c>
    </row>
    <row r="127" spans="1:23" s="140" customFormat="1" ht="21" customHeight="1">
      <c r="A127" s="136"/>
      <c r="B127" s="135"/>
      <c r="C127" s="134"/>
      <c r="D127" s="129" t="s">
        <v>537</v>
      </c>
      <c r="E127" s="128" t="s">
        <v>41</v>
      </c>
      <c r="F127" s="127">
        <v>2.9990000000000001</v>
      </c>
      <c r="G127" s="128">
        <v>375</v>
      </c>
      <c r="H127" s="127" t="s">
        <v>466</v>
      </c>
      <c r="I127" s="128" t="s">
        <v>42</v>
      </c>
      <c r="J127" s="127">
        <v>2652</v>
      </c>
      <c r="K127" s="123">
        <v>5812</v>
      </c>
      <c r="L127" s="123">
        <v>2995</v>
      </c>
      <c r="M127" s="123" t="s">
        <v>31</v>
      </c>
      <c r="N127" s="133">
        <v>10.8</v>
      </c>
      <c r="O127" s="23">
        <f>IF(N127&gt;0,1/N127*37.7*68.6,"")</f>
        <v>239.46481481481482</v>
      </c>
      <c r="P127" s="125">
        <v>9.51</v>
      </c>
      <c r="Q127" s="124" t="s">
        <v>63</v>
      </c>
      <c r="R127" s="123" t="s">
        <v>33</v>
      </c>
      <c r="S127" s="123" t="s">
        <v>34</v>
      </c>
      <c r="T127" s="123"/>
      <c r="U127" s="122"/>
      <c r="V127" s="28">
        <f>IFERROR(IF(N127&lt;P127,"",(ROUNDDOWN(N127/P127*100,0))),"")</f>
        <v>113</v>
      </c>
      <c r="W127" s="121"/>
    </row>
    <row r="128" spans="1:23" s="140" customFormat="1" ht="21" customHeight="1">
      <c r="A128" s="136"/>
      <c r="B128" s="135"/>
      <c r="C128" s="134"/>
      <c r="D128" s="129" t="s">
        <v>537</v>
      </c>
      <c r="E128" s="128" t="s">
        <v>41</v>
      </c>
      <c r="F128" s="127">
        <v>2.9990000000000001</v>
      </c>
      <c r="G128" s="128">
        <v>375</v>
      </c>
      <c r="H128" s="127" t="s">
        <v>466</v>
      </c>
      <c r="I128" s="128" t="s">
        <v>71</v>
      </c>
      <c r="J128" s="127">
        <v>2652</v>
      </c>
      <c r="K128" s="123">
        <v>5812</v>
      </c>
      <c r="L128" s="123">
        <v>2995</v>
      </c>
      <c r="M128" s="123" t="s">
        <v>31</v>
      </c>
      <c r="N128" s="133">
        <v>10.6</v>
      </c>
      <c r="O128" s="23">
        <f>IF(N128&gt;0,1/N128*37.7*68.6,"")</f>
        <v>243.98301886792456</v>
      </c>
      <c r="P128" s="125">
        <v>9.51</v>
      </c>
      <c r="Q128" s="124" t="s">
        <v>63</v>
      </c>
      <c r="R128" s="123" t="s">
        <v>33</v>
      </c>
      <c r="S128" s="123" t="s">
        <v>34</v>
      </c>
      <c r="T128" s="123"/>
      <c r="U128" s="122"/>
      <c r="V128" s="28">
        <f>IFERROR(IF(N128&lt;P128,"",(ROUNDDOWN(N128/P128*100,0))),"")</f>
        <v>111</v>
      </c>
      <c r="W128" s="121"/>
    </row>
    <row r="129" spans="1:23" s="140" customFormat="1" ht="21" customHeight="1">
      <c r="A129" s="136"/>
      <c r="B129" s="135"/>
      <c r="C129" s="134"/>
      <c r="D129" s="129" t="s">
        <v>537</v>
      </c>
      <c r="E129" s="128" t="s">
        <v>41</v>
      </c>
      <c r="F129" s="127">
        <v>2.9990000000000001</v>
      </c>
      <c r="G129" s="128">
        <v>375</v>
      </c>
      <c r="H129" s="127" t="s">
        <v>466</v>
      </c>
      <c r="I129" s="128" t="s">
        <v>42</v>
      </c>
      <c r="J129" s="127">
        <v>2979</v>
      </c>
      <c r="K129" s="123">
        <v>6893</v>
      </c>
      <c r="L129" s="123">
        <v>3749</v>
      </c>
      <c r="M129" s="123" t="s">
        <v>31</v>
      </c>
      <c r="N129" s="133">
        <v>9.1999999999999993</v>
      </c>
      <c r="O129" s="23">
        <f>IF(N129&gt;0,1/N129*37.7*68.6,"")</f>
        <v>281.1108695652174</v>
      </c>
      <c r="P129" s="125">
        <v>8.1199999999999992</v>
      </c>
      <c r="Q129" s="124" t="s">
        <v>43</v>
      </c>
      <c r="R129" s="123" t="s">
        <v>33</v>
      </c>
      <c r="S129" s="123" t="s">
        <v>34</v>
      </c>
      <c r="T129" s="123"/>
      <c r="U129" s="122"/>
      <c r="V129" s="28">
        <f>IFERROR(IF(N129&lt;P129,"",(ROUNDDOWN(N129/P129*100,0))),"")</f>
        <v>113</v>
      </c>
      <c r="W129" s="121"/>
    </row>
    <row r="130" spans="1:23" s="140" customFormat="1" ht="21" customHeight="1">
      <c r="A130" s="136"/>
      <c r="B130" s="135"/>
      <c r="C130" s="134"/>
      <c r="D130" s="129" t="s">
        <v>537</v>
      </c>
      <c r="E130" s="128" t="s">
        <v>41</v>
      </c>
      <c r="F130" s="127">
        <v>2.9990000000000001</v>
      </c>
      <c r="G130" s="128">
        <v>375</v>
      </c>
      <c r="H130" s="127" t="s">
        <v>466</v>
      </c>
      <c r="I130" s="128" t="s">
        <v>71</v>
      </c>
      <c r="J130" s="127">
        <v>2979</v>
      </c>
      <c r="K130" s="123">
        <v>6893</v>
      </c>
      <c r="L130" s="123">
        <v>3749</v>
      </c>
      <c r="M130" s="123" t="s">
        <v>31</v>
      </c>
      <c r="N130" s="133">
        <v>9</v>
      </c>
      <c r="O130" s="23">
        <f>IF(N130&gt;0,1/N130*37.7*68.6,"")</f>
        <v>287.35777777777776</v>
      </c>
      <c r="P130" s="125">
        <v>8.1199999999999992</v>
      </c>
      <c r="Q130" s="124" t="s">
        <v>43</v>
      </c>
      <c r="R130" s="123" t="s">
        <v>33</v>
      </c>
      <c r="S130" s="123" t="s">
        <v>34</v>
      </c>
      <c r="T130" s="123"/>
      <c r="U130" s="122"/>
      <c r="V130" s="28">
        <f>IFERROR(IF(N130&lt;P130,"",(ROUNDDOWN(N130/P130*100,0))),"")</f>
        <v>110</v>
      </c>
      <c r="W130" s="121"/>
    </row>
    <row r="131" spans="1:23" s="140" customFormat="1" ht="21" customHeight="1">
      <c r="A131" s="136"/>
      <c r="B131" s="135"/>
      <c r="C131" s="134"/>
      <c r="D131" s="129" t="s">
        <v>537</v>
      </c>
      <c r="E131" s="128" t="s">
        <v>41</v>
      </c>
      <c r="F131" s="127">
        <v>2.9990000000000001</v>
      </c>
      <c r="G131" s="128">
        <v>375</v>
      </c>
      <c r="H131" s="127" t="s">
        <v>466</v>
      </c>
      <c r="I131" s="128" t="s">
        <v>42</v>
      </c>
      <c r="J131" s="127">
        <v>2979</v>
      </c>
      <c r="K131" s="123">
        <v>6893</v>
      </c>
      <c r="L131" s="123">
        <v>3749</v>
      </c>
      <c r="M131" s="123" t="s">
        <v>31</v>
      </c>
      <c r="N131" s="133">
        <v>9</v>
      </c>
      <c r="O131" s="23">
        <f>IF(N131&gt;0,1/N131*37.7*68.6,"")</f>
        <v>287.35777777777776</v>
      </c>
      <c r="P131" s="125">
        <v>8.1199999999999992</v>
      </c>
      <c r="Q131" s="124" t="s">
        <v>63</v>
      </c>
      <c r="R131" s="123" t="s">
        <v>33</v>
      </c>
      <c r="S131" s="123" t="s">
        <v>34</v>
      </c>
      <c r="T131" s="123"/>
      <c r="U131" s="122"/>
      <c r="V131" s="28">
        <f>IFERROR(IF(N131&lt;P131,"",(ROUNDDOWN(N131/P131*100,0))),"")</f>
        <v>110</v>
      </c>
      <c r="W131" s="121"/>
    </row>
    <row r="132" spans="1:23" s="140" customFormat="1" ht="21" customHeight="1">
      <c r="A132" s="136"/>
      <c r="B132" s="135"/>
      <c r="C132" s="134"/>
      <c r="D132" s="129" t="s">
        <v>536</v>
      </c>
      <c r="E132" s="128" t="s">
        <v>41</v>
      </c>
      <c r="F132" s="127">
        <v>2.9990000000000001</v>
      </c>
      <c r="G132" s="128">
        <v>375</v>
      </c>
      <c r="H132" s="127">
        <v>110</v>
      </c>
      <c r="I132" s="128" t="s">
        <v>71</v>
      </c>
      <c r="J132" s="127">
        <v>2356</v>
      </c>
      <c r="K132" s="123">
        <v>4521</v>
      </c>
      <c r="L132" s="123">
        <v>2000</v>
      </c>
      <c r="M132" s="123" t="s">
        <v>31</v>
      </c>
      <c r="N132" s="133">
        <v>11.8</v>
      </c>
      <c r="O132" s="23">
        <f>IF(N132&gt;0,1/N132*37.7*68.6,"")</f>
        <v>219.17118644067796</v>
      </c>
      <c r="P132" s="125">
        <v>10.35</v>
      </c>
      <c r="Q132" s="124" t="s">
        <v>43</v>
      </c>
      <c r="R132" s="123" t="s">
        <v>33</v>
      </c>
      <c r="S132" s="123" t="s">
        <v>34</v>
      </c>
      <c r="T132" s="123"/>
      <c r="U132" s="122"/>
      <c r="V132" s="28">
        <f>IFERROR(IF(N132&lt;P132,"",(ROUNDDOWN(N132/P132*100,0))),"")</f>
        <v>114</v>
      </c>
      <c r="W132" s="121"/>
    </row>
    <row r="133" spans="1:23" s="140" customFormat="1" ht="21" customHeight="1">
      <c r="A133" s="136"/>
      <c r="B133" s="135"/>
      <c r="C133" s="134"/>
      <c r="D133" s="129" t="s">
        <v>536</v>
      </c>
      <c r="E133" s="128" t="s">
        <v>41</v>
      </c>
      <c r="F133" s="127">
        <v>2.9990000000000001</v>
      </c>
      <c r="G133" s="128">
        <v>375</v>
      </c>
      <c r="H133" s="127">
        <v>110</v>
      </c>
      <c r="I133" s="128" t="s">
        <v>71</v>
      </c>
      <c r="J133" s="127">
        <v>2356</v>
      </c>
      <c r="K133" s="123">
        <v>4521</v>
      </c>
      <c r="L133" s="123">
        <v>2000</v>
      </c>
      <c r="M133" s="123" t="s">
        <v>31</v>
      </c>
      <c r="N133" s="133">
        <v>11.4</v>
      </c>
      <c r="O133" s="23">
        <f>IF(N133&gt;0,1/N133*37.7*68.6,"")</f>
        <v>226.8614035087719</v>
      </c>
      <c r="P133" s="125">
        <v>10.35</v>
      </c>
      <c r="Q133" s="124" t="s">
        <v>63</v>
      </c>
      <c r="R133" s="123" t="s">
        <v>33</v>
      </c>
      <c r="S133" s="123" t="s">
        <v>34</v>
      </c>
      <c r="T133" s="123"/>
      <c r="U133" s="122"/>
      <c r="V133" s="28">
        <f>IFERROR(IF(N133&lt;P133,"",(ROUNDDOWN(N133/P133*100,0))),"")</f>
        <v>110</v>
      </c>
      <c r="W133" s="121"/>
    </row>
    <row r="134" spans="1:23" s="140" customFormat="1" ht="21" customHeight="1">
      <c r="A134" s="136"/>
      <c r="B134" s="135"/>
      <c r="C134" s="134"/>
      <c r="D134" s="129" t="s">
        <v>536</v>
      </c>
      <c r="E134" s="128" t="s">
        <v>41</v>
      </c>
      <c r="F134" s="127">
        <v>2.9990000000000001</v>
      </c>
      <c r="G134" s="128">
        <v>375</v>
      </c>
      <c r="H134" s="127">
        <v>110</v>
      </c>
      <c r="I134" s="128" t="s">
        <v>71</v>
      </c>
      <c r="J134" s="127">
        <v>2652</v>
      </c>
      <c r="K134" s="123">
        <v>5812</v>
      </c>
      <c r="L134" s="123">
        <v>2995</v>
      </c>
      <c r="M134" s="123" t="s">
        <v>31</v>
      </c>
      <c r="N134" s="133">
        <v>10.8</v>
      </c>
      <c r="O134" s="23">
        <f>IF(N134&gt;0,1/N134*37.7*68.6,"")</f>
        <v>239.46481481481482</v>
      </c>
      <c r="P134" s="125">
        <v>9.51</v>
      </c>
      <c r="Q134" s="124" t="s">
        <v>43</v>
      </c>
      <c r="R134" s="123" t="s">
        <v>33</v>
      </c>
      <c r="S134" s="123" t="s">
        <v>34</v>
      </c>
      <c r="T134" s="123"/>
      <c r="U134" s="122"/>
      <c r="V134" s="28">
        <f>IFERROR(IF(N134&lt;P134,"",(ROUNDDOWN(N134/P134*100,0))),"")</f>
        <v>113</v>
      </c>
      <c r="W134" s="121"/>
    </row>
    <row r="135" spans="1:23" s="121" customFormat="1" ht="21" customHeight="1">
      <c r="A135" s="136"/>
      <c r="B135" s="135"/>
      <c r="C135" s="134"/>
      <c r="D135" s="129" t="s">
        <v>536</v>
      </c>
      <c r="E135" s="128" t="s">
        <v>41</v>
      </c>
      <c r="F135" s="127">
        <v>2.9990000000000001</v>
      </c>
      <c r="G135" s="128">
        <v>375</v>
      </c>
      <c r="H135" s="127">
        <v>110</v>
      </c>
      <c r="I135" s="128" t="s">
        <v>71</v>
      </c>
      <c r="J135" s="127">
        <v>2652</v>
      </c>
      <c r="K135" s="123">
        <v>5812</v>
      </c>
      <c r="L135" s="123">
        <v>2995</v>
      </c>
      <c r="M135" s="123" t="s">
        <v>31</v>
      </c>
      <c r="N135" s="133">
        <v>10.6</v>
      </c>
      <c r="O135" s="23">
        <f>IF(N135&gt;0,1/N135*37.7*68.6,"")</f>
        <v>243.98301886792456</v>
      </c>
      <c r="P135" s="125">
        <v>9.51</v>
      </c>
      <c r="Q135" s="124" t="s">
        <v>63</v>
      </c>
      <c r="R135" s="123" t="s">
        <v>33</v>
      </c>
      <c r="S135" s="123" t="s">
        <v>34</v>
      </c>
      <c r="T135" s="123"/>
      <c r="U135" s="122"/>
      <c r="V135" s="28">
        <f>IFERROR(IF(N135&lt;P135,"",(ROUNDDOWN(N135/P135*100,0))),"")</f>
        <v>111</v>
      </c>
    </row>
    <row r="136" spans="1:23" s="121" customFormat="1" ht="21" customHeight="1">
      <c r="A136" s="136"/>
      <c r="B136" s="135"/>
      <c r="C136" s="134"/>
      <c r="D136" s="129" t="s">
        <v>536</v>
      </c>
      <c r="E136" s="128" t="s">
        <v>41</v>
      </c>
      <c r="F136" s="127">
        <v>2.9990000000000001</v>
      </c>
      <c r="G136" s="128">
        <v>375</v>
      </c>
      <c r="H136" s="127">
        <v>110</v>
      </c>
      <c r="I136" s="128" t="s">
        <v>71</v>
      </c>
      <c r="J136" s="127">
        <v>2979</v>
      </c>
      <c r="K136" s="123">
        <v>6893</v>
      </c>
      <c r="L136" s="123">
        <v>3749</v>
      </c>
      <c r="M136" s="123" t="s">
        <v>31</v>
      </c>
      <c r="N136" s="133">
        <v>9.1</v>
      </c>
      <c r="O136" s="23">
        <f>IF(N136&gt;0,1/N136*37.7*68.6,"")</f>
        <v>284.2</v>
      </c>
      <c r="P136" s="125">
        <v>8.1199999999999992</v>
      </c>
      <c r="Q136" s="124" t="s">
        <v>43</v>
      </c>
      <c r="R136" s="123" t="s">
        <v>33</v>
      </c>
      <c r="S136" s="123" t="s">
        <v>34</v>
      </c>
      <c r="T136" s="123"/>
      <c r="U136" s="122"/>
      <c r="V136" s="28">
        <f>IFERROR(IF(N136&lt;P136,"",(ROUNDDOWN(N136/P136*100,0))),"")</f>
        <v>112</v>
      </c>
    </row>
    <row r="137" spans="1:23" s="121" customFormat="1" ht="21" customHeight="1">
      <c r="A137" s="136"/>
      <c r="B137" s="135"/>
      <c r="C137" s="134"/>
      <c r="D137" s="129" t="s">
        <v>535</v>
      </c>
      <c r="E137" s="128" t="s">
        <v>41</v>
      </c>
      <c r="F137" s="127">
        <v>2.9990000000000001</v>
      </c>
      <c r="G137" s="128" t="s">
        <v>467</v>
      </c>
      <c r="H137" s="127" t="s">
        <v>466</v>
      </c>
      <c r="I137" s="128" t="s">
        <v>70</v>
      </c>
      <c r="J137" s="127">
        <v>2356</v>
      </c>
      <c r="K137" s="123">
        <v>4521</v>
      </c>
      <c r="L137" s="123">
        <v>2000</v>
      </c>
      <c r="M137" s="123" t="s">
        <v>31</v>
      </c>
      <c r="N137" s="133">
        <v>11.8</v>
      </c>
      <c r="O137" s="23">
        <f>IF(N137&gt;0,1/N137*37.7*68.6,"")</f>
        <v>219.17118644067796</v>
      </c>
      <c r="P137" s="125">
        <v>10.35</v>
      </c>
      <c r="Q137" s="124" t="s">
        <v>43</v>
      </c>
      <c r="R137" s="123" t="s">
        <v>33</v>
      </c>
      <c r="S137" s="123" t="s">
        <v>34</v>
      </c>
      <c r="T137" s="123"/>
      <c r="U137" s="122"/>
      <c r="V137" s="28">
        <f>IFERROR(IF(N137&lt;P137,"",(ROUNDDOWN(N137/P137*100,0))),"")</f>
        <v>114</v>
      </c>
    </row>
    <row r="138" spans="1:23" s="140" customFormat="1" ht="21" customHeight="1">
      <c r="A138" s="136"/>
      <c r="B138" s="135"/>
      <c r="C138" s="134"/>
      <c r="D138" s="129" t="s">
        <v>535</v>
      </c>
      <c r="E138" s="128" t="s">
        <v>41</v>
      </c>
      <c r="F138" s="127">
        <v>2.9990000000000001</v>
      </c>
      <c r="G138" s="128" t="s">
        <v>467</v>
      </c>
      <c r="H138" s="127" t="s">
        <v>466</v>
      </c>
      <c r="I138" s="128" t="s">
        <v>42</v>
      </c>
      <c r="J138" s="127">
        <v>2356</v>
      </c>
      <c r="K138" s="123">
        <v>4521</v>
      </c>
      <c r="L138" s="123">
        <v>2000</v>
      </c>
      <c r="M138" s="123" t="s">
        <v>31</v>
      </c>
      <c r="N138" s="133">
        <v>11.8</v>
      </c>
      <c r="O138" s="23">
        <f>IF(N138&gt;0,1/N138*37.7*68.6,"")</f>
        <v>219.17118644067796</v>
      </c>
      <c r="P138" s="125">
        <v>10.35</v>
      </c>
      <c r="Q138" s="124" t="s">
        <v>63</v>
      </c>
      <c r="R138" s="123" t="s">
        <v>33</v>
      </c>
      <c r="S138" s="123" t="s">
        <v>34</v>
      </c>
      <c r="T138" s="123"/>
      <c r="U138" s="122"/>
      <c r="V138" s="28">
        <f>IFERROR(IF(N138&lt;P138,"",(ROUNDDOWN(N138/P138*100,0))),"")</f>
        <v>114</v>
      </c>
      <c r="W138" s="121"/>
    </row>
    <row r="139" spans="1:23" s="121" customFormat="1" ht="21" customHeight="1">
      <c r="A139" s="136"/>
      <c r="B139" s="135"/>
      <c r="C139" s="134"/>
      <c r="D139" s="129" t="s">
        <v>535</v>
      </c>
      <c r="E139" s="128" t="s">
        <v>41</v>
      </c>
      <c r="F139" s="127">
        <v>2.9990000000000001</v>
      </c>
      <c r="G139" s="128" t="s">
        <v>467</v>
      </c>
      <c r="H139" s="127" t="s">
        <v>466</v>
      </c>
      <c r="I139" s="128" t="s">
        <v>70</v>
      </c>
      <c r="J139" s="127">
        <v>2356</v>
      </c>
      <c r="K139" s="123">
        <v>4521</v>
      </c>
      <c r="L139" s="123">
        <v>2000</v>
      </c>
      <c r="M139" s="123" t="s">
        <v>31</v>
      </c>
      <c r="N139" s="133">
        <v>11.4</v>
      </c>
      <c r="O139" s="23">
        <f>IF(N139&gt;0,1/N139*37.7*68.6,"")</f>
        <v>226.8614035087719</v>
      </c>
      <c r="P139" s="125">
        <v>10.35</v>
      </c>
      <c r="Q139" s="124" t="s">
        <v>63</v>
      </c>
      <c r="R139" s="123" t="s">
        <v>33</v>
      </c>
      <c r="S139" s="123" t="s">
        <v>34</v>
      </c>
      <c r="T139" s="123"/>
      <c r="U139" s="122"/>
      <c r="V139" s="28">
        <f>IFERROR(IF(N139&lt;P139,"",(ROUNDDOWN(N139/P139*100,0))),"")</f>
        <v>110</v>
      </c>
    </row>
    <row r="140" spans="1:23" s="140" customFormat="1" ht="21" customHeight="1">
      <c r="A140" s="136"/>
      <c r="B140" s="135"/>
      <c r="C140" s="134"/>
      <c r="D140" s="129" t="s">
        <v>534</v>
      </c>
      <c r="E140" s="128" t="s">
        <v>41</v>
      </c>
      <c r="F140" s="127">
        <v>2.9990000000000001</v>
      </c>
      <c r="G140" s="128" t="s">
        <v>467</v>
      </c>
      <c r="H140" s="127" t="s">
        <v>466</v>
      </c>
      <c r="I140" s="128" t="s">
        <v>70</v>
      </c>
      <c r="J140" s="127">
        <v>2356</v>
      </c>
      <c r="K140" s="123">
        <v>4521</v>
      </c>
      <c r="L140" s="123">
        <v>2000</v>
      </c>
      <c r="M140" s="123" t="s">
        <v>31</v>
      </c>
      <c r="N140" s="133">
        <v>11.8</v>
      </c>
      <c r="O140" s="23">
        <f>IF(N140&gt;0,1/N140*37.7*68.6,"")</f>
        <v>219.17118644067796</v>
      </c>
      <c r="P140" s="125">
        <v>10.35</v>
      </c>
      <c r="Q140" s="124" t="s">
        <v>43</v>
      </c>
      <c r="R140" s="123" t="s">
        <v>33</v>
      </c>
      <c r="S140" s="123" t="s">
        <v>34</v>
      </c>
      <c r="T140" s="123"/>
      <c r="U140" s="122"/>
      <c r="V140" s="28">
        <f>IFERROR(IF(N140&lt;P140,"",(ROUNDDOWN(N140/P140*100,0))),"")</f>
        <v>114</v>
      </c>
      <c r="W140" s="121"/>
    </row>
    <row r="141" spans="1:23" s="121" customFormat="1" ht="21" customHeight="1">
      <c r="A141" s="136"/>
      <c r="B141" s="135"/>
      <c r="C141" s="134"/>
      <c r="D141" s="129" t="s">
        <v>534</v>
      </c>
      <c r="E141" s="128" t="s">
        <v>41</v>
      </c>
      <c r="F141" s="127">
        <v>2.9990000000000001</v>
      </c>
      <c r="G141" s="128" t="s">
        <v>467</v>
      </c>
      <c r="H141" s="127" t="s">
        <v>466</v>
      </c>
      <c r="I141" s="128" t="s">
        <v>42</v>
      </c>
      <c r="J141" s="127">
        <v>2356</v>
      </c>
      <c r="K141" s="123">
        <v>4521</v>
      </c>
      <c r="L141" s="123">
        <v>2000</v>
      </c>
      <c r="M141" s="123" t="s">
        <v>31</v>
      </c>
      <c r="N141" s="133">
        <v>11.8</v>
      </c>
      <c r="O141" s="23">
        <f>IF(N141&gt;0,1/N141*37.7*68.6,"")</f>
        <v>219.17118644067796</v>
      </c>
      <c r="P141" s="125">
        <v>10.35</v>
      </c>
      <c r="Q141" s="124" t="s">
        <v>63</v>
      </c>
      <c r="R141" s="123" t="s">
        <v>33</v>
      </c>
      <c r="S141" s="123" t="s">
        <v>34</v>
      </c>
      <c r="T141" s="123"/>
      <c r="U141" s="122"/>
      <c r="V141" s="28">
        <f>IFERROR(IF(N141&lt;P141,"",(ROUNDDOWN(N141/P141*100,0))),"")</f>
        <v>114</v>
      </c>
    </row>
    <row r="142" spans="1:23" s="140" customFormat="1" ht="21" customHeight="1">
      <c r="A142" s="136"/>
      <c r="B142" s="135"/>
      <c r="C142" s="134"/>
      <c r="D142" s="129" t="s">
        <v>534</v>
      </c>
      <c r="E142" s="128" t="s">
        <v>41</v>
      </c>
      <c r="F142" s="127">
        <v>2.9990000000000001</v>
      </c>
      <c r="G142" s="128" t="s">
        <v>467</v>
      </c>
      <c r="H142" s="127" t="s">
        <v>466</v>
      </c>
      <c r="I142" s="128" t="s">
        <v>70</v>
      </c>
      <c r="J142" s="127">
        <v>2356</v>
      </c>
      <c r="K142" s="123">
        <v>4521</v>
      </c>
      <c r="L142" s="123">
        <v>2000</v>
      </c>
      <c r="M142" s="123" t="s">
        <v>31</v>
      </c>
      <c r="N142" s="133">
        <v>11.4</v>
      </c>
      <c r="O142" s="23">
        <f>IF(N142&gt;0,1/N142*37.7*68.6,"")</f>
        <v>226.8614035087719</v>
      </c>
      <c r="P142" s="125">
        <v>10.35</v>
      </c>
      <c r="Q142" s="124" t="s">
        <v>63</v>
      </c>
      <c r="R142" s="123" t="s">
        <v>33</v>
      </c>
      <c r="S142" s="123" t="s">
        <v>34</v>
      </c>
      <c r="T142" s="123"/>
      <c r="U142" s="122"/>
      <c r="V142" s="28">
        <f>IFERROR(IF(N142&lt;P142,"",(ROUNDDOWN(N142/P142*100,0))),"")</f>
        <v>110</v>
      </c>
      <c r="W142" s="121"/>
    </row>
    <row r="143" spans="1:23" s="121" customFormat="1" ht="21" customHeight="1">
      <c r="A143" s="136"/>
      <c r="B143" s="135"/>
      <c r="C143" s="134"/>
      <c r="D143" s="129" t="s">
        <v>533</v>
      </c>
      <c r="E143" s="128" t="s">
        <v>41</v>
      </c>
      <c r="F143" s="127">
        <v>2.9990000000000001</v>
      </c>
      <c r="G143" s="128">
        <v>375</v>
      </c>
      <c r="H143" s="127">
        <v>110</v>
      </c>
      <c r="I143" s="128" t="s">
        <v>70</v>
      </c>
      <c r="J143" s="127">
        <v>2356</v>
      </c>
      <c r="K143" s="123">
        <v>4521</v>
      </c>
      <c r="L143" s="123">
        <v>2000</v>
      </c>
      <c r="M143" s="123" t="s">
        <v>31</v>
      </c>
      <c r="N143" s="133">
        <v>11.8</v>
      </c>
      <c r="O143" s="23">
        <f>IF(N143&gt;0,1/N143*37.7*68.6,"")</f>
        <v>219.17118644067796</v>
      </c>
      <c r="P143" s="125">
        <v>10.35</v>
      </c>
      <c r="Q143" s="124" t="s">
        <v>43</v>
      </c>
      <c r="R143" s="123" t="s">
        <v>33</v>
      </c>
      <c r="S143" s="123" t="s">
        <v>34</v>
      </c>
      <c r="T143" s="123"/>
      <c r="U143" s="122"/>
      <c r="V143" s="28">
        <f>IFERROR(IF(N143&lt;P143,"",(ROUNDDOWN(N143/P143*100,0))),"")</f>
        <v>114</v>
      </c>
    </row>
    <row r="144" spans="1:23" s="121" customFormat="1" ht="21" customHeight="1">
      <c r="A144" s="136"/>
      <c r="B144" s="135"/>
      <c r="C144" s="134"/>
      <c r="D144" s="129" t="s">
        <v>533</v>
      </c>
      <c r="E144" s="128" t="s">
        <v>41</v>
      </c>
      <c r="F144" s="127">
        <v>2.9990000000000001</v>
      </c>
      <c r="G144" s="128">
        <v>375</v>
      </c>
      <c r="H144" s="127">
        <v>110</v>
      </c>
      <c r="I144" s="128" t="s">
        <v>71</v>
      </c>
      <c r="J144" s="127">
        <v>2356</v>
      </c>
      <c r="K144" s="123">
        <v>4521</v>
      </c>
      <c r="L144" s="123">
        <v>2000</v>
      </c>
      <c r="M144" s="123" t="s">
        <v>31</v>
      </c>
      <c r="N144" s="133">
        <v>11.8</v>
      </c>
      <c r="O144" s="23">
        <f>IF(N144&gt;0,1/N144*37.7*68.6,"")</f>
        <v>219.17118644067796</v>
      </c>
      <c r="P144" s="125">
        <v>10.35</v>
      </c>
      <c r="Q144" s="124" t="s">
        <v>43</v>
      </c>
      <c r="R144" s="123" t="s">
        <v>33</v>
      </c>
      <c r="S144" s="123" t="s">
        <v>34</v>
      </c>
      <c r="T144" s="123"/>
      <c r="U144" s="122"/>
      <c r="V144" s="28">
        <f>IFERROR(IF(N144&lt;P144,"",(ROUNDDOWN(N144/P144*100,0))),"")</f>
        <v>114</v>
      </c>
    </row>
    <row r="145" spans="1:23" s="121" customFormat="1" ht="21" customHeight="1">
      <c r="A145" s="136"/>
      <c r="B145" s="135"/>
      <c r="C145" s="134"/>
      <c r="D145" s="129" t="s">
        <v>533</v>
      </c>
      <c r="E145" s="128" t="s">
        <v>41</v>
      </c>
      <c r="F145" s="127">
        <v>2.9990000000000001</v>
      </c>
      <c r="G145" s="128">
        <v>375</v>
      </c>
      <c r="H145" s="127">
        <v>110</v>
      </c>
      <c r="I145" s="128" t="s">
        <v>70</v>
      </c>
      <c r="J145" s="127">
        <v>2356</v>
      </c>
      <c r="K145" s="123">
        <v>4521</v>
      </c>
      <c r="L145" s="123">
        <v>2000</v>
      </c>
      <c r="M145" s="123" t="s">
        <v>31</v>
      </c>
      <c r="N145" s="133">
        <v>11.4</v>
      </c>
      <c r="O145" s="23">
        <f>IF(N145&gt;0,1/N145*37.7*68.6,"")</f>
        <v>226.8614035087719</v>
      </c>
      <c r="P145" s="125">
        <v>10.35</v>
      </c>
      <c r="Q145" s="124" t="s">
        <v>63</v>
      </c>
      <c r="R145" s="123" t="s">
        <v>33</v>
      </c>
      <c r="S145" s="123" t="s">
        <v>34</v>
      </c>
      <c r="T145" s="123"/>
      <c r="U145" s="122"/>
      <c r="V145" s="28">
        <f>IFERROR(IF(N145&lt;P145,"",(ROUNDDOWN(N145/P145*100,0))),"")</f>
        <v>110</v>
      </c>
      <c r="W145" s="143"/>
    </row>
    <row r="146" spans="1:23" s="121" customFormat="1" ht="21" customHeight="1">
      <c r="A146" s="136"/>
      <c r="B146" s="135"/>
      <c r="C146" s="134"/>
      <c r="D146" s="129" t="s">
        <v>533</v>
      </c>
      <c r="E146" s="128" t="s">
        <v>41</v>
      </c>
      <c r="F146" s="127">
        <v>2.9990000000000001</v>
      </c>
      <c r="G146" s="128">
        <v>375</v>
      </c>
      <c r="H146" s="127">
        <v>110</v>
      </c>
      <c r="I146" s="128" t="s">
        <v>71</v>
      </c>
      <c r="J146" s="127">
        <v>2356</v>
      </c>
      <c r="K146" s="123">
        <v>4521</v>
      </c>
      <c r="L146" s="123">
        <v>2000</v>
      </c>
      <c r="M146" s="123" t="s">
        <v>31</v>
      </c>
      <c r="N146" s="133">
        <v>11.4</v>
      </c>
      <c r="O146" s="23">
        <f>IF(N146&gt;0,1/N146*37.7*68.6,"")</f>
        <v>226.8614035087719</v>
      </c>
      <c r="P146" s="125">
        <v>10.35</v>
      </c>
      <c r="Q146" s="124" t="s">
        <v>63</v>
      </c>
      <c r="R146" s="123" t="s">
        <v>33</v>
      </c>
      <c r="S146" s="123" t="s">
        <v>34</v>
      </c>
      <c r="T146" s="123"/>
      <c r="U146" s="122"/>
      <c r="V146" s="28">
        <f>IFERROR(IF(N146&lt;P146,"",(ROUNDDOWN(N146/P146*100,0))),"")</f>
        <v>110</v>
      </c>
      <c r="W146" s="143"/>
    </row>
    <row r="147" spans="1:23" s="137" customFormat="1" ht="21" customHeight="1">
      <c r="A147" s="136"/>
      <c r="B147" s="135"/>
      <c r="C147" s="134"/>
      <c r="D147" s="129" t="s">
        <v>532</v>
      </c>
      <c r="E147" s="128" t="s">
        <v>41</v>
      </c>
      <c r="F147" s="127">
        <v>2.9990000000000001</v>
      </c>
      <c r="G147" s="128">
        <v>375</v>
      </c>
      <c r="H147" s="127">
        <v>110</v>
      </c>
      <c r="I147" s="128" t="s">
        <v>70</v>
      </c>
      <c r="J147" s="127">
        <v>2356</v>
      </c>
      <c r="K147" s="123">
        <v>4521</v>
      </c>
      <c r="L147" s="123">
        <v>2000</v>
      </c>
      <c r="M147" s="123" t="s">
        <v>31</v>
      </c>
      <c r="N147" s="133">
        <v>11.8</v>
      </c>
      <c r="O147" s="23">
        <f>IF(N147&gt;0,1/N147*37.7*68.6,"")</f>
        <v>219.17118644067796</v>
      </c>
      <c r="P147" s="125">
        <v>10.35</v>
      </c>
      <c r="Q147" s="144" t="s">
        <v>43</v>
      </c>
      <c r="R147" s="123" t="s">
        <v>33</v>
      </c>
      <c r="S147" s="123" t="s">
        <v>34</v>
      </c>
      <c r="T147" s="123"/>
      <c r="U147" s="142"/>
      <c r="V147" s="28">
        <f>IFERROR(IF(N147&lt;P147,"",(ROUNDDOWN(N147/P147*100,0))),"")</f>
        <v>114</v>
      </c>
      <c r="W147" s="143"/>
    </row>
    <row r="148" spans="1:23" s="137" customFormat="1" ht="21" customHeight="1">
      <c r="A148" s="136"/>
      <c r="B148" s="135"/>
      <c r="C148" s="134"/>
      <c r="D148" s="129" t="s">
        <v>532</v>
      </c>
      <c r="E148" s="128" t="s">
        <v>41</v>
      </c>
      <c r="F148" s="127">
        <v>2.9990000000000001</v>
      </c>
      <c r="G148" s="128">
        <v>375</v>
      </c>
      <c r="H148" s="127">
        <v>110</v>
      </c>
      <c r="I148" s="128" t="s">
        <v>71</v>
      </c>
      <c r="J148" s="127">
        <v>2356</v>
      </c>
      <c r="K148" s="123">
        <v>4521</v>
      </c>
      <c r="L148" s="123">
        <v>2000</v>
      </c>
      <c r="M148" s="123" t="s">
        <v>31</v>
      </c>
      <c r="N148" s="133">
        <v>11.8</v>
      </c>
      <c r="O148" s="23">
        <f>IF(N148&gt;0,1/N148*37.7*68.6,"")</f>
        <v>219.17118644067796</v>
      </c>
      <c r="P148" s="125">
        <v>10.35</v>
      </c>
      <c r="Q148" s="144" t="s">
        <v>43</v>
      </c>
      <c r="R148" s="123" t="s">
        <v>33</v>
      </c>
      <c r="S148" s="123" t="s">
        <v>34</v>
      </c>
      <c r="T148" s="123"/>
      <c r="U148" s="142"/>
      <c r="V148" s="28">
        <f>IFERROR(IF(N148&lt;P148,"",(ROUNDDOWN(N148/P148*100,0))),"")</f>
        <v>114</v>
      </c>
      <c r="W148" s="143"/>
    </row>
    <row r="149" spans="1:23" s="137" customFormat="1" ht="21" customHeight="1">
      <c r="A149" s="136"/>
      <c r="B149" s="135"/>
      <c r="C149" s="134"/>
      <c r="D149" s="129" t="s">
        <v>532</v>
      </c>
      <c r="E149" s="128" t="s">
        <v>41</v>
      </c>
      <c r="F149" s="127">
        <v>2.9990000000000001</v>
      </c>
      <c r="G149" s="128">
        <v>375</v>
      </c>
      <c r="H149" s="127">
        <v>110</v>
      </c>
      <c r="I149" s="128" t="s">
        <v>70</v>
      </c>
      <c r="J149" s="127">
        <v>2356</v>
      </c>
      <c r="K149" s="123">
        <v>4521</v>
      </c>
      <c r="L149" s="123">
        <v>2000</v>
      </c>
      <c r="M149" s="123" t="s">
        <v>31</v>
      </c>
      <c r="N149" s="133">
        <v>11.4</v>
      </c>
      <c r="O149" s="23">
        <f>IF(N149&gt;0,1/N149*37.7*68.6,"")</f>
        <v>226.8614035087719</v>
      </c>
      <c r="P149" s="125">
        <v>10.35</v>
      </c>
      <c r="Q149" s="144" t="s">
        <v>63</v>
      </c>
      <c r="R149" s="123" t="s">
        <v>33</v>
      </c>
      <c r="S149" s="123" t="s">
        <v>34</v>
      </c>
      <c r="T149" s="123"/>
      <c r="U149" s="142"/>
      <c r="V149" s="28">
        <f>IFERROR(IF(N149&lt;P149,"",(ROUNDDOWN(N149/P149*100,0))),"")</f>
        <v>110</v>
      </c>
      <c r="W149" s="143"/>
    </row>
    <row r="150" spans="1:23" s="137" customFormat="1" ht="21" customHeight="1">
      <c r="A150" s="145"/>
      <c r="B150" s="135"/>
      <c r="C150" s="134"/>
      <c r="D150" s="129" t="s">
        <v>532</v>
      </c>
      <c r="E150" s="128" t="s">
        <v>41</v>
      </c>
      <c r="F150" s="127">
        <v>2.9990000000000001</v>
      </c>
      <c r="G150" s="128">
        <v>375</v>
      </c>
      <c r="H150" s="127">
        <v>110</v>
      </c>
      <c r="I150" s="128" t="s">
        <v>71</v>
      </c>
      <c r="J150" s="127">
        <v>2356</v>
      </c>
      <c r="K150" s="123">
        <v>4521</v>
      </c>
      <c r="L150" s="123">
        <v>2000</v>
      </c>
      <c r="M150" s="123" t="s">
        <v>31</v>
      </c>
      <c r="N150" s="133">
        <v>11.4</v>
      </c>
      <c r="O150" s="23">
        <f>IF(N150&gt;0,1/N150*37.7*68.6,"")</f>
        <v>226.8614035087719</v>
      </c>
      <c r="P150" s="125">
        <v>10.35</v>
      </c>
      <c r="Q150" s="144" t="s">
        <v>63</v>
      </c>
      <c r="R150" s="123" t="s">
        <v>33</v>
      </c>
      <c r="S150" s="123" t="s">
        <v>34</v>
      </c>
      <c r="T150" s="123"/>
      <c r="U150" s="142"/>
      <c r="V150" s="28">
        <f>IFERROR(IF(N150&lt;P150,"",(ROUNDDOWN(N150/P150*100,0))),"")</f>
        <v>110</v>
      </c>
      <c r="W150" s="121"/>
    </row>
    <row r="151" spans="1:23" s="137" customFormat="1" ht="21" customHeight="1">
      <c r="A151" s="136"/>
      <c r="B151" s="135"/>
      <c r="C151" s="134"/>
      <c r="D151" s="129" t="s">
        <v>531</v>
      </c>
      <c r="E151" s="128" t="s">
        <v>41</v>
      </c>
      <c r="F151" s="127">
        <v>2.9990000000000001</v>
      </c>
      <c r="G151" s="128">
        <v>375</v>
      </c>
      <c r="H151" s="127">
        <v>110</v>
      </c>
      <c r="I151" s="128" t="s">
        <v>70</v>
      </c>
      <c r="J151" s="127">
        <v>2356</v>
      </c>
      <c r="K151" s="123">
        <v>4521</v>
      </c>
      <c r="L151" s="123">
        <v>2000</v>
      </c>
      <c r="M151" s="123" t="s">
        <v>31</v>
      </c>
      <c r="N151" s="133">
        <v>11.8</v>
      </c>
      <c r="O151" s="23">
        <f>IF(N151&gt;0,1/N151*37.7*68.6,"")</f>
        <v>219.17118644067796</v>
      </c>
      <c r="P151" s="125">
        <v>10.35</v>
      </c>
      <c r="Q151" s="144" t="s">
        <v>43</v>
      </c>
      <c r="R151" s="123" t="s">
        <v>33</v>
      </c>
      <c r="S151" s="123" t="s">
        <v>34</v>
      </c>
      <c r="T151" s="123"/>
      <c r="U151" s="142"/>
      <c r="V151" s="28">
        <f>IFERROR(IF(N151&lt;P151,"",(ROUNDDOWN(N151/P151*100,0))),"")</f>
        <v>114</v>
      </c>
      <c r="W151" s="121"/>
    </row>
    <row r="152" spans="1:23" s="137" customFormat="1" ht="21" customHeight="1">
      <c r="A152" s="136"/>
      <c r="B152" s="135"/>
      <c r="C152" s="134"/>
      <c r="D152" s="129" t="s">
        <v>531</v>
      </c>
      <c r="E152" s="128" t="s">
        <v>41</v>
      </c>
      <c r="F152" s="127">
        <v>2.9990000000000001</v>
      </c>
      <c r="G152" s="128">
        <v>375</v>
      </c>
      <c r="H152" s="127">
        <v>110</v>
      </c>
      <c r="I152" s="128" t="s">
        <v>71</v>
      </c>
      <c r="J152" s="127">
        <v>2356</v>
      </c>
      <c r="K152" s="123">
        <v>4521</v>
      </c>
      <c r="L152" s="123">
        <v>2000</v>
      </c>
      <c r="M152" s="123" t="s">
        <v>31</v>
      </c>
      <c r="N152" s="133">
        <v>11.8</v>
      </c>
      <c r="O152" s="23">
        <f>IF(N152&gt;0,1/N152*37.7*68.6,"")</f>
        <v>219.17118644067796</v>
      </c>
      <c r="P152" s="125">
        <v>10.35</v>
      </c>
      <c r="Q152" s="124" t="s">
        <v>43</v>
      </c>
      <c r="R152" s="123" t="s">
        <v>33</v>
      </c>
      <c r="S152" s="123" t="s">
        <v>34</v>
      </c>
      <c r="T152" s="123"/>
      <c r="U152" s="142"/>
      <c r="V152" s="28">
        <f>IFERROR(IF(N152&lt;P152,"",(ROUNDDOWN(N152/P152*100,0))),"")</f>
        <v>114</v>
      </c>
      <c r="W152" s="121"/>
    </row>
    <row r="153" spans="1:23" s="137" customFormat="1" ht="21" customHeight="1">
      <c r="A153" s="136"/>
      <c r="B153" s="135"/>
      <c r="C153" s="134"/>
      <c r="D153" s="129" t="s">
        <v>531</v>
      </c>
      <c r="E153" s="128" t="s">
        <v>41</v>
      </c>
      <c r="F153" s="127">
        <v>2.9990000000000001</v>
      </c>
      <c r="G153" s="128">
        <v>375</v>
      </c>
      <c r="H153" s="127">
        <v>110</v>
      </c>
      <c r="I153" s="128" t="s">
        <v>70</v>
      </c>
      <c r="J153" s="127">
        <v>2356</v>
      </c>
      <c r="K153" s="123">
        <v>4521</v>
      </c>
      <c r="L153" s="123">
        <v>2000</v>
      </c>
      <c r="M153" s="123" t="s">
        <v>31</v>
      </c>
      <c r="N153" s="133">
        <v>11.4</v>
      </c>
      <c r="O153" s="23">
        <f>IF(N153&gt;0,1/N153*37.7*68.6,"")</f>
        <v>226.8614035087719</v>
      </c>
      <c r="P153" s="125">
        <v>10.35</v>
      </c>
      <c r="Q153" s="124" t="s">
        <v>63</v>
      </c>
      <c r="R153" s="123" t="s">
        <v>33</v>
      </c>
      <c r="S153" s="123" t="s">
        <v>34</v>
      </c>
      <c r="T153" s="123"/>
      <c r="U153" s="142"/>
      <c r="V153" s="28">
        <f>IFERROR(IF(N153&lt;P153,"",(ROUNDDOWN(N153/P153*100,0))),"")</f>
        <v>110</v>
      </c>
      <c r="W153" s="121"/>
    </row>
    <row r="154" spans="1:23" s="137" customFormat="1" ht="21" customHeight="1">
      <c r="A154" s="136"/>
      <c r="B154" s="135"/>
      <c r="C154" s="134"/>
      <c r="D154" s="129" t="s">
        <v>531</v>
      </c>
      <c r="E154" s="128" t="s">
        <v>41</v>
      </c>
      <c r="F154" s="127">
        <v>2.9990000000000001</v>
      </c>
      <c r="G154" s="128">
        <v>375</v>
      </c>
      <c r="H154" s="127">
        <v>110</v>
      </c>
      <c r="I154" s="128" t="s">
        <v>71</v>
      </c>
      <c r="J154" s="127">
        <v>2356</v>
      </c>
      <c r="K154" s="123">
        <v>4521</v>
      </c>
      <c r="L154" s="123">
        <v>2000</v>
      </c>
      <c r="M154" s="123" t="s">
        <v>31</v>
      </c>
      <c r="N154" s="133">
        <v>11.4</v>
      </c>
      <c r="O154" s="23">
        <f>IF(N154&gt;0,1/N154*37.7*68.6,"")</f>
        <v>226.8614035087719</v>
      </c>
      <c r="P154" s="125">
        <v>10.35</v>
      </c>
      <c r="Q154" s="124" t="s">
        <v>63</v>
      </c>
      <c r="R154" s="123" t="s">
        <v>33</v>
      </c>
      <c r="S154" s="123" t="s">
        <v>34</v>
      </c>
      <c r="T154" s="123"/>
      <c r="U154" s="142"/>
      <c r="V154" s="28">
        <f>IFERROR(IF(N154&lt;P154,"",(ROUNDDOWN(N154/P154*100,0))),"")</f>
        <v>110</v>
      </c>
      <c r="W154" s="121"/>
    </row>
    <row r="155" spans="1:23" s="137" customFormat="1" ht="21" customHeight="1">
      <c r="A155" s="136"/>
      <c r="B155" s="135"/>
      <c r="C155" s="134"/>
      <c r="D155" s="129" t="s">
        <v>530</v>
      </c>
      <c r="E155" s="128" t="s">
        <v>41</v>
      </c>
      <c r="F155" s="127">
        <v>2.9990000000000001</v>
      </c>
      <c r="G155" s="128">
        <v>375</v>
      </c>
      <c r="H155" s="127">
        <v>110</v>
      </c>
      <c r="I155" s="128" t="s">
        <v>70</v>
      </c>
      <c r="J155" s="127">
        <v>2356</v>
      </c>
      <c r="K155" s="123">
        <v>4521</v>
      </c>
      <c r="L155" s="123">
        <v>2000</v>
      </c>
      <c r="M155" s="123" t="s">
        <v>31</v>
      </c>
      <c r="N155" s="133">
        <v>11.8</v>
      </c>
      <c r="O155" s="23">
        <f>IF(N155&gt;0,1/N155*37.7*68.6,"")</f>
        <v>219.17118644067796</v>
      </c>
      <c r="P155" s="125">
        <v>10.35</v>
      </c>
      <c r="Q155" s="124" t="s">
        <v>43</v>
      </c>
      <c r="R155" s="123" t="s">
        <v>33</v>
      </c>
      <c r="S155" s="123" t="s">
        <v>110</v>
      </c>
      <c r="T155" s="123"/>
      <c r="U155" s="142"/>
      <c r="V155" s="28">
        <f>IFERROR(IF(N155&lt;P155,"",(ROUNDDOWN(N155/P155*100,0))),"")</f>
        <v>114</v>
      </c>
      <c r="W155" s="121"/>
    </row>
    <row r="156" spans="1:23" s="137" customFormat="1" ht="21" customHeight="1">
      <c r="A156" s="136"/>
      <c r="B156" s="135"/>
      <c r="C156" s="134"/>
      <c r="D156" s="129" t="s">
        <v>530</v>
      </c>
      <c r="E156" s="128" t="s">
        <v>41</v>
      </c>
      <c r="F156" s="127">
        <v>2.9990000000000001</v>
      </c>
      <c r="G156" s="128">
        <v>375</v>
      </c>
      <c r="H156" s="127">
        <v>110</v>
      </c>
      <c r="I156" s="128" t="s">
        <v>70</v>
      </c>
      <c r="J156" s="127">
        <v>2356</v>
      </c>
      <c r="K156" s="123">
        <v>4521</v>
      </c>
      <c r="L156" s="123">
        <v>2000</v>
      </c>
      <c r="M156" s="123" t="s">
        <v>31</v>
      </c>
      <c r="N156" s="133">
        <v>11.4</v>
      </c>
      <c r="O156" s="23">
        <f>IF(N156&gt;0,1/N156*37.7*68.6,"")</f>
        <v>226.8614035087719</v>
      </c>
      <c r="P156" s="125">
        <v>10.35</v>
      </c>
      <c r="Q156" s="124" t="s">
        <v>63</v>
      </c>
      <c r="R156" s="123" t="s">
        <v>33</v>
      </c>
      <c r="S156" s="123" t="s">
        <v>110</v>
      </c>
      <c r="T156" s="123"/>
      <c r="U156" s="142"/>
      <c r="V156" s="28">
        <f>IFERROR(IF(N156&lt;P156,"",(ROUNDDOWN(N156/P156*100,0))),"")</f>
        <v>110</v>
      </c>
      <c r="W156" s="121"/>
    </row>
    <row r="157" spans="1:23" s="137" customFormat="1" ht="21" customHeight="1">
      <c r="A157" s="136"/>
      <c r="B157" s="135"/>
      <c r="C157" s="134"/>
      <c r="D157" s="129" t="s">
        <v>529</v>
      </c>
      <c r="E157" s="128" t="s">
        <v>41</v>
      </c>
      <c r="F157" s="127">
        <v>2.9990000000000001</v>
      </c>
      <c r="G157" s="128">
        <v>375</v>
      </c>
      <c r="H157" s="127">
        <v>110</v>
      </c>
      <c r="I157" s="128" t="s">
        <v>70</v>
      </c>
      <c r="J157" s="127">
        <v>2356</v>
      </c>
      <c r="K157" s="123">
        <v>4521</v>
      </c>
      <c r="L157" s="123">
        <v>2000</v>
      </c>
      <c r="M157" s="123" t="s">
        <v>31</v>
      </c>
      <c r="N157" s="133">
        <v>11.8</v>
      </c>
      <c r="O157" s="23">
        <f>IF(N157&gt;0,1/N157*37.7*68.6,"")</f>
        <v>219.17118644067796</v>
      </c>
      <c r="P157" s="125">
        <v>10.35</v>
      </c>
      <c r="Q157" s="124" t="s">
        <v>43</v>
      </c>
      <c r="R157" s="123" t="s">
        <v>33</v>
      </c>
      <c r="S157" s="123" t="s">
        <v>110</v>
      </c>
      <c r="T157" s="123"/>
      <c r="U157" s="142"/>
      <c r="V157" s="28">
        <f>IFERROR(IF(N157&lt;P157,"",(ROUNDDOWN(N157/P157*100,0))),"")</f>
        <v>114</v>
      </c>
      <c r="W157" s="143"/>
    </row>
    <row r="158" spans="1:23" s="137" customFormat="1" ht="21" customHeight="1">
      <c r="A158" s="136"/>
      <c r="B158" s="135"/>
      <c r="C158" s="134"/>
      <c r="D158" s="129" t="s">
        <v>529</v>
      </c>
      <c r="E158" s="128" t="s">
        <v>41</v>
      </c>
      <c r="F158" s="127">
        <v>2.9990000000000001</v>
      </c>
      <c r="G158" s="128">
        <v>375</v>
      </c>
      <c r="H158" s="127">
        <v>110</v>
      </c>
      <c r="I158" s="128" t="s">
        <v>70</v>
      </c>
      <c r="J158" s="127">
        <v>2356</v>
      </c>
      <c r="K158" s="123">
        <v>4521</v>
      </c>
      <c r="L158" s="123">
        <v>2000</v>
      </c>
      <c r="M158" s="123" t="s">
        <v>31</v>
      </c>
      <c r="N158" s="133">
        <v>11.4</v>
      </c>
      <c r="O158" s="23">
        <f>IF(N158&gt;0,1/N158*37.7*68.6,"")</f>
        <v>226.8614035087719</v>
      </c>
      <c r="P158" s="125">
        <v>10.35</v>
      </c>
      <c r="Q158" s="124" t="s">
        <v>63</v>
      </c>
      <c r="R158" s="123" t="s">
        <v>33</v>
      </c>
      <c r="S158" s="123" t="s">
        <v>110</v>
      </c>
      <c r="T158" s="123"/>
      <c r="U158" s="142"/>
      <c r="V158" s="28">
        <f>IFERROR(IF(N158&lt;P158,"",(ROUNDDOWN(N158/P158*100,0))),"")</f>
        <v>110</v>
      </c>
      <c r="W158" s="143"/>
    </row>
    <row r="159" spans="1:23" s="121" customFormat="1" ht="21" customHeight="1">
      <c r="A159" s="136"/>
      <c r="B159" s="135"/>
      <c r="C159" s="134"/>
      <c r="D159" s="129" t="s">
        <v>528</v>
      </c>
      <c r="E159" s="128" t="s">
        <v>41</v>
      </c>
      <c r="F159" s="127">
        <v>2.9990000000000001</v>
      </c>
      <c r="G159" s="128" t="s">
        <v>467</v>
      </c>
      <c r="H159" s="127" t="s">
        <v>466</v>
      </c>
      <c r="I159" s="128" t="s">
        <v>71</v>
      </c>
      <c r="J159" s="127">
        <v>2356</v>
      </c>
      <c r="K159" s="123">
        <v>4521</v>
      </c>
      <c r="L159" s="123">
        <v>2000</v>
      </c>
      <c r="M159" s="123" t="s">
        <v>31</v>
      </c>
      <c r="N159" s="133">
        <v>11.8</v>
      </c>
      <c r="O159" s="23">
        <f>IF(N159&gt;0,1/N159*37.7*68.6,"")</f>
        <v>219.17118644067796</v>
      </c>
      <c r="P159" s="125">
        <v>10.35</v>
      </c>
      <c r="Q159" s="124" t="s">
        <v>43</v>
      </c>
      <c r="R159" s="123" t="s">
        <v>33</v>
      </c>
      <c r="S159" s="123" t="s">
        <v>34</v>
      </c>
      <c r="T159" s="123"/>
      <c r="U159" s="122"/>
      <c r="V159" s="28">
        <f>IFERROR(IF(N159&lt;P159,"",(ROUNDDOWN(N159/P159*100,0))),"")</f>
        <v>114</v>
      </c>
      <c r="W159" s="143"/>
    </row>
    <row r="160" spans="1:23" s="121" customFormat="1" ht="21" customHeight="1">
      <c r="A160" s="136"/>
      <c r="B160" s="135"/>
      <c r="C160" s="134"/>
      <c r="D160" s="129" t="s">
        <v>528</v>
      </c>
      <c r="E160" s="128" t="s">
        <v>41</v>
      </c>
      <c r="F160" s="127">
        <v>2.9990000000000001</v>
      </c>
      <c r="G160" s="128" t="s">
        <v>467</v>
      </c>
      <c r="H160" s="127" t="s">
        <v>466</v>
      </c>
      <c r="I160" s="128" t="s">
        <v>42</v>
      </c>
      <c r="J160" s="127">
        <v>2356</v>
      </c>
      <c r="K160" s="123">
        <v>4521</v>
      </c>
      <c r="L160" s="123">
        <v>2000</v>
      </c>
      <c r="M160" s="123" t="s">
        <v>31</v>
      </c>
      <c r="N160" s="133">
        <v>11.8</v>
      </c>
      <c r="O160" s="23">
        <f>IF(N160&gt;0,1/N160*37.7*68.6,"")</f>
        <v>219.17118644067796</v>
      </c>
      <c r="P160" s="125">
        <v>10.35</v>
      </c>
      <c r="Q160" s="124" t="s">
        <v>63</v>
      </c>
      <c r="R160" s="123" t="s">
        <v>33</v>
      </c>
      <c r="S160" s="123" t="s">
        <v>34</v>
      </c>
      <c r="T160" s="123"/>
      <c r="U160" s="122"/>
      <c r="V160" s="28">
        <f>IFERROR(IF(N160&lt;P160,"",(ROUNDDOWN(N160/P160*100,0))),"")</f>
        <v>114</v>
      </c>
      <c r="W160" s="143"/>
    </row>
    <row r="161" spans="1:23" s="121" customFormat="1" ht="21" customHeight="1">
      <c r="A161" s="136"/>
      <c r="B161" s="135"/>
      <c r="C161" s="134"/>
      <c r="D161" s="129" t="s">
        <v>528</v>
      </c>
      <c r="E161" s="128" t="s">
        <v>41</v>
      </c>
      <c r="F161" s="127">
        <v>2.9990000000000001</v>
      </c>
      <c r="G161" s="128" t="s">
        <v>467</v>
      </c>
      <c r="H161" s="127" t="s">
        <v>466</v>
      </c>
      <c r="I161" s="128" t="s">
        <v>71</v>
      </c>
      <c r="J161" s="127">
        <v>2356</v>
      </c>
      <c r="K161" s="123">
        <v>4521</v>
      </c>
      <c r="L161" s="123">
        <v>2000</v>
      </c>
      <c r="M161" s="123" t="s">
        <v>31</v>
      </c>
      <c r="N161" s="133">
        <v>11.4</v>
      </c>
      <c r="O161" s="23">
        <f>IF(N161&gt;0,1/N161*37.7*68.6,"")</f>
        <v>226.8614035087719</v>
      </c>
      <c r="P161" s="125">
        <v>10.35</v>
      </c>
      <c r="Q161" s="124" t="s">
        <v>63</v>
      </c>
      <c r="R161" s="123" t="s">
        <v>33</v>
      </c>
      <c r="S161" s="123" t="s">
        <v>34</v>
      </c>
      <c r="T161" s="123"/>
      <c r="U161" s="122"/>
      <c r="V161" s="28">
        <f>IFERROR(IF(N161&lt;P161,"",(ROUNDDOWN(N161/P161*100,0))),"")</f>
        <v>110</v>
      </c>
      <c r="W161" s="143"/>
    </row>
    <row r="162" spans="1:23" s="121" customFormat="1" ht="21" customHeight="1">
      <c r="A162" s="136"/>
      <c r="B162" s="135"/>
      <c r="C162" s="134"/>
      <c r="D162" s="129" t="s">
        <v>528</v>
      </c>
      <c r="E162" s="128" t="s">
        <v>41</v>
      </c>
      <c r="F162" s="127">
        <v>2.9990000000000001</v>
      </c>
      <c r="G162" s="128" t="s">
        <v>467</v>
      </c>
      <c r="H162" s="127" t="s">
        <v>466</v>
      </c>
      <c r="I162" s="128" t="s">
        <v>71</v>
      </c>
      <c r="J162" s="127">
        <v>2652</v>
      </c>
      <c r="K162" s="123">
        <v>5812</v>
      </c>
      <c r="L162" s="123">
        <v>2995</v>
      </c>
      <c r="M162" s="123" t="s">
        <v>31</v>
      </c>
      <c r="N162" s="133">
        <v>10.8</v>
      </c>
      <c r="O162" s="23">
        <f>IF(N162&gt;0,1/N162*37.7*68.6,"")</f>
        <v>239.46481481481482</v>
      </c>
      <c r="P162" s="125">
        <v>9.51</v>
      </c>
      <c r="Q162" s="124" t="s">
        <v>43</v>
      </c>
      <c r="R162" s="123" t="s">
        <v>33</v>
      </c>
      <c r="S162" s="123" t="s">
        <v>34</v>
      </c>
      <c r="T162" s="123"/>
      <c r="U162" s="122"/>
      <c r="V162" s="28">
        <f>IFERROR(IF(N162&lt;P162,"",(ROUNDDOWN(N162/P162*100,0))),"")</f>
        <v>113</v>
      </c>
      <c r="W162" s="143"/>
    </row>
    <row r="163" spans="1:23" s="121" customFormat="1" ht="21" customHeight="1">
      <c r="A163" s="136"/>
      <c r="B163" s="135"/>
      <c r="C163" s="134"/>
      <c r="D163" s="129" t="s">
        <v>528</v>
      </c>
      <c r="E163" s="128" t="s">
        <v>41</v>
      </c>
      <c r="F163" s="127">
        <v>2.9990000000000001</v>
      </c>
      <c r="G163" s="128" t="s">
        <v>467</v>
      </c>
      <c r="H163" s="127" t="s">
        <v>466</v>
      </c>
      <c r="I163" s="128" t="s">
        <v>42</v>
      </c>
      <c r="J163" s="127">
        <v>2652</v>
      </c>
      <c r="K163" s="123">
        <v>5812</v>
      </c>
      <c r="L163" s="123">
        <v>2995</v>
      </c>
      <c r="M163" s="123" t="s">
        <v>31</v>
      </c>
      <c r="N163" s="133">
        <v>10.8</v>
      </c>
      <c r="O163" s="23">
        <f>IF(N163&gt;0,1/N163*37.7*68.6,"")</f>
        <v>239.46481481481482</v>
      </c>
      <c r="P163" s="125">
        <v>9.51</v>
      </c>
      <c r="Q163" s="124" t="s">
        <v>63</v>
      </c>
      <c r="R163" s="123" t="s">
        <v>33</v>
      </c>
      <c r="S163" s="123" t="s">
        <v>34</v>
      </c>
      <c r="T163" s="123"/>
      <c r="U163" s="122"/>
      <c r="V163" s="28">
        <f>IFERROR(IF(N163&lt;P163,"",(ROUNDDOWN(N163/P163*100,0))),"")</f>
        <v>113</v>
      </c>
      <c r="W163" s="143"/>
    </row>
    <row r="164" spans="1:23" s="121" customFormat="1" ht="21" customHeight="1">
      <c r="A164" s="136"/>
      <c r="B164" s="135"/>
      <c r="C164" s="134"/>
      <c r="D164" s="129" t="s">
        <v>528</v>
      </c>
      <c r="E164" s="128" t="s">
        <v>41</v>
      </c>
      <c r="F164" s="127">
        <v>2.9990000000000001</v>
      </c>
      <c r="G164" s="128" t="s">
        <v>467</v>
      </c>
      <c r="H164" s="127" t="s">
        <v>466</v>
      </c>
      <c r="I164" s="128" t="s">
        <v>71</v>
      </c>
      <c r="J164" s="127">
        <v>2652</v>
      </c>
      <c r="K164" s="123">
        <v>5812</v>
      </c>
      <c r="L164" s="123">
        <v>2995</v>
      </c>
      <c r="M164" s="123" t="s">
        <v>31</v>
      </c>
      <c r="N164" s="133">
        <v>10.6</v>
      </c>
      <c r="O164" s="23">
        <f>IF(N164&gt;0,1/N164*37.7*68.6,"")</f>
        <v>243.98301886792456</v>
      </c>
      <c r="P164" s="125">
        <v>9.51</v>
      </c>
      <c r="Q164" s="124" t="s">
        <v>63</v>
      </c>
      <c r="R164" s="123" t="s">
        <v>33</v>
      </c>
      <c r="S164" s="123" t="s">
        <v>34</v>
      </c>
      <c r="T164" s="123"/>
      <c r="U164" s="122"/>
      <c r="V164" s="28">
        <f>IFERROR(IF(N164&lt;P164,"",(ROUNDDOWN(N164/P164*100,0))),"")</f>
        <v>111</v>
      </c>
      <c r="W164" s="143"/>
    </row>
    <row r="165" spans="1:23" s="121" customFormat="1" ht="21" customHeight="1">
      <c r="A165" s="136"/>
      <c r="B165" s="135"/>
      <c r="C165" s="134"/>
      <c r="D165" s="129" t="s">
        <v>527</v>
      </c>
      <c r="E165" s="128" t="s">
        <v>41</v>
      </c>
      <c r="F165" s="127">
        <v>2.9990000000000001</v>
      </c>
      <c r="G165" s="128" t="s">
        <v>467</v>
      </c>
      <c r="H165" s="127" t="s">
        <v>466</v>
      </c>
      <c r="I165" s="128" t="s">
        <v>71</v>
      </c>
      <c r="J165" s="127">
        <v>2356</v>
      </c>
      <c r="K165" s="123">
        <v>4521</v>
      </c>
      <c r="L165" s="123">
        <v>2000</v>
      </c>
      <c r="M165" s="123" t="s">
        <v>31</v>
      </c>
      <c r="N165" s="133">
        <v>11.8</v>
      </c>
      <c r="O165" s="23">
        <f>IF(N165&gt;0,1/N165*37.7*68.6,"")</f>
        <v>219.17118644067796</v>
      </c>
      <c r="P165" s="125">
        <v>10.35</v>
      </c>
      <c r="Q165" s="124" t="s">
        <v>43</v>
      </c>
      <c r="R165" s="123" t="s">
        <v>33</v>
      </c>
      <c r="S165" s="123" t="s">
        <v>34</v>
      </c>
      <c r="T165" s="123"/>
      <c r="U165" s="122"/>
      <c r="V165" s="28">
        <f>IFERROR(IF(N165&lt;P165,"",(ROUNDDOWN(N165/P165*100,0))),"")</f>
        <v>114</v>
      </c>
      <c r="W165" s="143"/>
    </row>
    <row r="166" spans="1:23" s="121" customFormat="1" ht="21" customHeight="1">
      <c r="A166" s="136"/>
      <c r="B166" s="135"/>
      <c r="C166" s="134"/>
      <c r="D166" s="129" t="s">
        <v>527</v>
      </c>
      <c r="E166" s="128" t="s">
        <v>41</v>
      </c>
      <c r="F166" s="127">
        <v>2.9990000000000001</v>
      </c>
      <c r="G166" s="128" t="s">
        <v>467</v>
      </c>
      <c r="H166" s="127" t="s">
        <v>466</v>
      </c>
      <c r="I166" s="128" t="s">
        <v>42</v>
      </c>
      <c r="J166" s="127">
        <v>2356</v>
      </c>
      <c r="K166" s="123">
        <v>4521</v>
      </c>
      <c r="L166" s="123">
        <v>2000</v>
      </c>
      <c r="M166" s="123" t="s">
        <v>31</v>
      </c>
      <c r="N166" s="133">
        <v>11.8</v>
      </c>
      <c r="O166" s="23">
        <f>IF(N166&gt;0,1/N166*37.7*68.6,"")</f>
        <v>219.17118644067796</v>
      </c>
      <c r="P166" s="125">
        <v>10.35</v>
      </c>
      <c r="Q166" s="124" t="s">
        <v>63</v>
      </c>
      <c r="R166" s="123" t="s">
        <v>33</v>
      </c>
      <c r="S166" s="123" t="s">
        <v>34</v>
      </c>
      <c r="T166" s="123"/>
      <c r="U166" s="122"/>
      <c r="V166" s="28">
        <f>IFERROR(IF(N166&lt;P166,"",(ROUNDDOWN(N166/P166*100,0))),"")</f>
        <v>114</v>
      </c>
      <c r="W166" s="143"/>
    </row>
    <row r="167" spans="1:23" s="121" customFormat="1" ht="21" customHeight="1">
      <c r="A167" s="136"/>
      <c r="B167" s="135"/>
      <c r="C167" s="134"/>
      <c r="D167" s="129" t="s">
        <v>527</v>
      </c>
      <c r="E167" s="128" t="s">
        <v>41</v>
      </c>
      <c r="F167" s="127">
        <v>2.9990000000000001</v>
      </c>
      <c r="G167" s="128" t="s">
        <v>467</v>
      </c>
      <c r="H167" s="127" t="s">
        <v>466</v>
      </c>
      <c r="I167" s="128" t="s">
        <v>71</v>
      </c>
      <c r="J167" s="127">
        <v>2356</v>
      </c>
      <c r="K167" s="123">
        <v>4521</v>
      </c>
      <c r="L167" s="123">
        <v>2000</v>
      </c>
      <c r="M167" s="123" t="s">
        <v>31</v>
      </c>
      <c r="N167" s="133">
        <v>11.4</v>
      </c>
      <c r="O167" s="23">
        <f>IF(N167&gt;0,1/N167*37.7*68.6,"")</f>
        <v>226.8614035087719</v>
      </c>
      <c r="P167" s="125">
        <v>10.35</v>
      </c>
      <c r="Q167" s="124" t="s">
        <v>63</v>
      </c>
      <c r="R167" s="123" t="s">
        <v>33</v>
      </c>
      <c r="S167" s="123" t="s">
        <v>34</v>
      </c>
      <c r="T167" s="123"/>
      <c r="U167" s="122"/>
      <c r="V167" s="28">
        <f>IFERROR(IF(N167&lt;P167,"",(ROUNDDOWN(N167/P167*100,0))),"")</f>
        <v>110</v>
      </c>
      <c r="W167" s="143"/>
    </row>
    <row r="168" spans="1:23" s="121" customFormat="1" ht="21" customHeight="1">
      <c r="A168" s="136"/>
      <c r="B168" s="135"/>
      <c r="C168" s="134"/>
      <c r="D168" s="129" t="s">
        <v>527</v>
      </c>
      <c r="E168" s="128" t="s">
        <v>41</v>
      </c>
      <c r="F168" s="127">
        <v>2.9990000000000001</v>
      </c>
      <c r="G168" s="128" t="s">
        <v>467</v>
      </c>
      <c r="H168" s="127" t="s">
        <v>466</v>
      </c>
      <c r="I168" s="128" t="s">
        <v>71</v>
      </c>
      <c r="J168" s="127">
        <v>2652</v>
      </c>
      <c r="K168" s="123">
        <v>5812</v>
      </c>
      <c r="L168" s="123">
        <v>2995</v>
      </c>
      <c r="M168" s="123" t="s">
        <v>31</v>
      </c>
      <c r="N168" s="133">
        <v>10.8</v>
      </c>
      <c r="O168" s="23">
        <f>IF(N168&gt;0,1/N168*37.7*68.6,"")</f>
        <v>239.46481481481482</v>
      </c>
      <c r="P168" s="125">
        <v>9.51</v>
      </c>
      <c r="Q168" s="124" t="s">
        <v>43</v>
      </c>
      <c r="R168" s="123" t="s">
        <v>33</v>
      </c>
      <c r="S168" s="123" t="s">
        <v>34</v>
      </c>
      <c r="T168" s="123"/>
      <c r="U168" s="122"/>
      <c r="V168" s="28">
        <f>IFERROR(IF(N168&lt;P168,"",(ROUNDDOWN(N168/P168*100,0))),"")</f>
        <v>113</v>
      </c>
      <c r="W168" s="143"/>
    </row>
    <row r="169" spans="1:23" s="121" customFormat="1" ht="21" customHeight="1">
      <c r="A169" s="136"/>
      <c r="B169" s="139"/>
      <c r="C169" s="134"/>
      <c r="D169" s="129" t="s">
        <v>527</v>
      </c>
      <c r="E169" s="128" t="s">
        <v>41</v>
      </c>
      <c r="F169" s="127">
        <v>2.9990000000000001</v>
      </c>
      <c r="G169" s="128" t="s">
        <v>467</v>
      </c>
      <c r="H169" s="127" t="s">
        <v>466</v>
      </c>
      <c r="I169" s="128" t="s">
        <v>42</v>
      </c>
      <c r="J169" s="127">
        <v>2652</v>
      </c>
      <c r="K169" s="123">
        <v>5812</v>
      </c>
      <c r="L169" s="123">
        <v>2995</v>
      </c>
      <c r="M169" s="123" t="s">
        <v>31</v>
      </c>
      <c r="N169" s="133">
        <v>10.8</v>
      </c>
      <c r="O169" s="23">
        <f>IF(N169&gt;0,1/N169*37.7*68.6,"")</f>
        <v>239.46481481481482</v>
      </c>
      <c r="P169" s="125">
        <v>9.51</v>
      </c>
      <c r="Q169" s="124" t="s">
        <v>63</v>
      </c>
      <c r="R169" s="123" t="s">
        <v>33</v>
      </c>
      <c r="S169" s="123" t="s">
        <v>34</v>
      </c>
      <c r="T169" s="123"/>
      <c r="U169" s="122"/>
      <c r="V169" s="28">
        <f>IFERROR(IF(N169&lt;P169,"",(ROUNDDOWN(N169/P169*100,0))),"")</f>
        <v>113</v>
      </c>
    </row>
    <row r="170" spans="1:23" s="121" customFormat="1" ht="21" customHeight="1">
      <c r="A170" s="136"/>
      <c r="B170" s="139"/>
      <c r="C170" s="134"/>
      <c r="D170" s="129" t="s">
        <v>527</v>
      </c>
      <c r="E170" s="128" t="s">
        <v>41</v>
      </c>
      <c r="F170" s="127">
        <v>2.9990000000000001</v>
      </c>
      <c r="G170" s="128" t="s">
        <v>467</v>
      </c>
      <c r="H170" s="127" t="s">
        <v>466</v>
      </c>
      <c r="I170" s="128" t="s">
        <v>71</v>
      </c>
      <c r="J170" s="127">
        <v>2652</v>
      </c>
      <c r="K170" s="123">
        <v>5812</v>
      </c>
      <c r="L170" s="123">
        <v>2995</v>
      </c>
      <c r="M170" s="123" t="s">
        <v>31</v>
      </c>
      <c r="N170" s="133">
        <v>10.6</v>
      </c>
      <c r="O170" s="23">
        <f>IF(N170&gt;0,1/N170*37.7*68.6,"")</f>
        <v>243.98301886792456</v>
      </c>
      <c r="P170" s="125">
        <v>9.51</v>
      </c>
      <c r="Q170" s="124" t="s">
        <v>63</v>
      </c>
      <c r="R170" s="123" t="s">
        <v>33</v>
      </c>
      <c r="S170" s="123" t="s">
        <v>34</v>
      </c>
      <c r="T170" s="123"/>
      <c r="U170" s="122"/>
      <c r="V170" s="28">
        <f>IFERROR(IF(N170&lt;P170,"",(ROUNDDOWN(N170/P170*100,0))),"")</f>
        <v>111</v>
      </c>
    </row>
    <row r="171" spans="1:23" s="121" customFormat="1" ht="21" customHeight="1">
      <c r="A171" s="136"/>
      <c r="B171" s="139"/>
      <c r="C171" s="134"/>
      <c r="D171" s="129" t="s">
        <v>526</v>
      </c>
      <c r="E171" s="128" t="s">
        <v>41</v>
      </c>
      <c r="F171" s="127">
        <v>2.9990000000000001</v>
      </c>
      <c r="G171" s="128">
        <v>375</v>
      </c>
      <c r="H171" s="127">
        <v>110</v>
      </c>
      <c r="I171" s="128" t="s">
        <v>71</v>
      </c>
      <c r="J171" s="127">
        <v>2356</v>
      </c>
      <c r="K171" s="123">
        <v>4521</v>
      </c>
      <c r="L171" s="123">
        <v>2000</v>
      </c>
      <c r="M171" s="123" t="s">
        <v>31</v>
      </c>
      <c r="N171" s="133">
        <v>11.8</v>
      </c>
      <c r="O171" s="23">
        <f>IF(N171&gt;0,1/N171*37.7*68.6,"")</f>
        <v>219.17118644067796</v>
      </c>
      <c r="P171" s="125">
        <v>10.35</v>
      </c>
      <c r="Q171" s="124" t="s">
        <v>43</v>
      </c>
      <c r="R171" s="123" t="s">
        <v>33</v>
      </c>
      <c r="S171" s="123" t="s">
        <v>34</v>
      </c>
      <c r="T171" s="123"/>
      <c r="U171" s="122"/>
      <c r="V171" s="28">
        <f>IFERROR(IF(N171&lt;P171,"",(ROUNDDOWN(N171/P171*100,0))),"")</f>
        <v>114</v>
      </c>
    </row>
    <row r="172" spans="1:23" s="137" customFormat="1" ht="21" customHeight="1">
      <c r="A172" s="136"/>
      <c r="B172" s="139"/>
      <c r="C172" s="134"/>
      <c r="D172" s="129" t="s">
        <v>526</v>
      </c>
      <c r="E172" s="128" t="s">
        <v>41</v>
      </c>
      <c r="F172" s="127">
        <v>2.9990000000000001</v>
      </c>
      <c r="G172" s="128">
        <v>375</v>
      </c>
      <c r="H172" s="127">
        <v>110</v>
      </c>
      <c r="I172" s="128" t="s">
        <v>71</v>
      </c>
      <c r="J172" s="127">
        <v>2356</v>
      </c>
      <c r="K172" s="123">
        <v>4521</v>
      </c>
      <c r="L172" s="123">
        <v>2000</v>
      </c>
      <c r="M172" s="123" t="s">
        <v>31</v>
      </c>
      <c r="N172" s="133">
        <v>11.4</v>
      </c>
      <c r="O172" s="23">
        <f>IF(N172&gt;0,1/N172*37.7*68.6,"")</f>
        <v>226.8614035087719</v>
      </c>
      <c r="P172" s="125">
        <v>10.35</v>
      </c>
      <c r="Q172" s="124" t="s">
        <v>63</v>
      </c>
      <c r="R172" s="123" t="s">
        <v>33</v>
      </c>
      <c r="S172" s="123" t="s">
        <v>34</v>
      </c>
      <c r="T172" s="123"/>
      <c r="U172" s="142"/>
      <c r="V172" s="28">
        <f>IFERROR(IF(N172&lt;P172,"",(ROUNDDOWN(N172/P172*100,0))),"")</f>
        <v>110</v>
      </c>
      <c r="W172" s="121"/>
    </row>
    <row r="173" spans="1:23" s="137" customFormat="1" ht="21" customHeight="1">
      <c r="A173" s="136"/>
      <c r="B173" s="135"/>
      <c r="C173" s="134"/>
      <c r="D173" s="129" t="s">
        <v>526</v>
      </c>
      <c r="E173" s="128" t="s">
        <v>41</v>
      </c>
      <c r="F173" s="127">
        <v>2.9990000000000001</v>
      </c>
      <c r="G173" s="128">
        <v>375</v>
      </c>
      <c r="H173" s="127">
        <v>110</v>
      </c>
      <c r="I173" s="128" t="s">
        <v>71</v>
      </c>
      <c r="J173" s="127">
        <v>2652</v>
      </c>
      <c r="K173" s="123">
        <v>5812</v>
      </c>
      <c r="L173" s="123">
        <v>2995</v>
      </c>
      <c r="M173" s="123" t="s">
        <v>31</v>
      </c>
      <c r="N173" s="133">
        <v>10.8</v>
      </c>
      <c r="O173" s="23">
        <f>IF(N173&gt;0,1/N173*37.7*68.6,"")</f>
        <v>239.46481481481482</v>
      </c>
      <c r="P173" s="125">
        <v>9.51</v>
      </c>
      <c r="Q173" s="124" t="s">
        <v>43</v>
      </c>
      <c r="R173" s="123" t="s">
        <v>33</v>
      </c>
      <c r="S173" s="123" t="s">
        <v>34</v>
      </c>
      <c r="T173" s="123"/>
      <c r="U173" s="142"/>
      <c r="V173" s="28">
        <f>IFERROR(IF(N173&lt;P173,"",(ROUNDDOWN(N173/P173*100,0))),"")</f>
        <v>113</v>
      </c>
      <c r="W173" s="121"/>
    </row>
    <row r="174" spans="1:23" s="137" customFormat="1" ht="21" customHeight="1">
      <c r="A174" s="136"/>
      <c r="B174" s="135"/>
      <c r="C174" s="134"/>
      <c r="D174" s="129" t="s">
        <v>526</v>
      </c>
      <c r="E174" s="128" t="s">
        <v>41</v>
      </c>
      <c r="F174" s="127">
        <v>2.9990000000000001</v>
      </c>
      <c r="G174" s="128">
        <v>375</v>
      </c>
      <c r="H174" s="127">
        <v>110</v>
      </c>
      <c r="I174" s="128" t="s">
        <v>71</v>
      </c>
      <c r="J174" s="127">
        <v>2652</v>
      </c>
      <c r="K174" s="123">
        <v>5812</v>
      </c>
      <c r="L174" s="123">
        <v>2995</v>
      </c>
      <c r="M174" s="123" t="s">
        <v>31</v>
      </c>
      <c r="N174" s="133">
        <v>10.6</v>
      </c>
      <c r="O174" s="23">
        <f>IF(N174&gt;0,1/N174*37.7*68.6,"")</f>
        <v>243.98301886792456</v>
      </c>
      <c r="P174" s="125">
        <v>9.51</v>
      </c>
      <c r="Q174" s="124" t="s">
        <v>63</v>
      </c>
      <c r="R174" s="123" t="s">
        <v>33</v>
      </c>
      <c r="S174" s="123" t="s">
        <v>34</v>
      </c>
      <c r="T174" s="123"/>
      <c r="U174" s="142"/>
      <c r="V174" s="28">
        <f>IFERROR(IF(N174&lt;P174,"",(ROUNDDOWN(N174/P174*100,0))),"")</f>
        <v>111</v>
      </c>
      <c r="W174" s="121"/>
    </row>
    <row r="175" spans="1:23" s="137" customFormat="1" ht="21" customHeight="1">
      <c r="A175" s="136"/>
      <c r="B175" s="135"/>
      <c r="C175" s="134"/>
      <c r="D175" s="129" t="s">
        <v>525</v>
      </c>
      <c r="E175" s="128" t="s">
        <v>41</v>
      </c>
      <c r="F175" s="127">
        <v>2.9990000000000001</v>
      </c>
      <c r="G175" s="128">
        <v>375</v>
      </c>
      <c r="H175" s="127">
        <v>110</v>
      </c>
      <c r="I175" s="128" t="s">
        <v>71</v>
      </c>
      <c r="J175" s="127">
        <v>2356</v>
      </c>
      <c r="K175" s="123">
        <v>4521</v>
      </c>
      <c r="L175" s="123">
        <v>2000</v>
      </c>
      <c r="M175" s="123" t="s">
        <v>31</v>
      </c>
      <c r="N175" s="133">
        <v>11.8</v>
      </c>
      <c r="O175" s="23">
        <f>IF(N175&gt;0,1/N175*37.7*68.6,"")</f>
        <v>219.17118644067796</v>
      </c>
      <c r="P175" s="125">
        <v>10.35</v>
      </c>
      <c r="Q175" s="124" t="s">
        <v>43</v>
      </c>
      <c r="R175" s="123" t="s">
        <v>33</v>
      </c>
      <c r="S175" s="123" t="s">
        <v>34</v>
      </c>
      <c r="T175" s="123"/>
      <c r="U175" s="142"/>
      <c r="V175" s="28">
        <f>IFERROR(IF(N175&lt;P175,"",(ROUNDDOWN(N175/P175*100,0))),"")</f>
        <v>114</v>
      </c>
      <c r="W175" s="121"/>
    </row>
    <row r="176" spans="1:23" s="137" customFormat="1" ht="21" customHeight="1">
      <c r="A176" s="136"/>
      <c r="B176" s="135"/>
      <c r="C176" s="134"/>
      <c r="D176" s="129" t="s">
        <v>525</v>
      </c>
      <c r="E176" s="128" t="s">
        <v>41</v>
      </c>
      <c r="F176" s="127">
        <v>2.9990000000000001</v>
      </c>
      <c r="G176" s="128">
        <v>375</v>
      </c>
      <c r="H176" s="127">
        <v>110</v>
      </c>
      <c r="I176" s="128" t="s">
        <v>71</v>
      </c>
      <c r="J176" s="127">
        <v>2356</v>
      </c>
      <c r="K176" s="123">
        <v>4521</v>
      </c>
      <c r="L176" s="123">
        <v>2000</v>
      </c>
      <c r="M176" s="123" t="s">
        <v>31</v>
      </c>
      <c r="N176" s="133">
        <v>11.4</v>
      </c>
      <c r="O176" s="23">
        <f>IF(N176&gt;0,1/N176*37.7*68.6,"")</f>
        <v>226.8614035087719</v>
      </c>
      <c r="P176" s="125">
        <v>10.35</v>
      </c>
      <c r="Q176" s="124" t="s">
        <v>63</v>
      </c>
      <c r="R176" s="123" t="s">
        <v>33</v>
      </c>
      <c r="S176" s="123" t="s">
        <v>34</v>
      </c>
      <c r="T176" s="123"/>
      <c r="U176" s="142"/>
      <c r="V176" s="28">
        <f>IFERROR(IF(N176&lt;P176,"",(ROUNDDOWN(N176/P176*100,0))),"")</f>
        <v>110</v>
      </c>
      <c r="W176" s="121"/>
    </row>
    <row r="177" spans="1:23" s="137" customFormat="1" ht="21" customHeight="1">
      <c r="A177" s="136"/>
      <c r="B177" s="135"/>
      <c r="C177" s="134"/>
      <c r="D177" s="129" t="s">
        <v>525</v>
      </c>
      <c r="E177" s="128" t="s">
        <v>41</v>
      </c>
      <c r="F177" s="127">
        <v>2.9990000000000001</v>
      </c>
      <c r="G177" s="128">
        <v>375</v>
      </c>
      <c r="H177" s="127">
        <v>110</v>
      </c>
      <c r="I177" s="128" t="s">
        <v>71</v>
      </c>
      <c r="J177" s="127">
        <v>2652</v>
      </c>
      <c r="K177" s="123">
        <v>5812</v>
      </c>
      <c r="L177" s="123">
        <v>2995</v>
      </c>
      <c r="M177" s="123" t="s">
        <v>31</v>
      </c>
      <c r="N177" s="133">
        <v>10.8</v>
      </c>
      <c r="O177" s="23">
        <f>IF(N177&gt;0,1/N177*37.7*68.6,"")</f>
        <v>239.46481481481482</v>
      </c>
      <c r="P177" s="125">
        <v>9.51</v>
      </c>
      <c r="Q177" s="124" t="s">
        <v>43</v>
      </c>
      <c r="R177" s="123" t="s">
        <v>33</v>
      </c>
      <c r="S177" s="123" t="s">
        <v>34</v>
      </c>
      <c r="T177" s="123"/>
      <c r="U177" s="142"/>
      <c r="V177" s="28">
        <f>IFERROR(IF(N177&lt;P177,"",(ROUNDDOWN(N177/P177*100,0))),"")</f>
        <v>113</v>
      </c>
      <c r="W177" s="121"/>
    </row>
    <row r="178" spans="1:23" s="137" customFormat="1" ht="21" customHeight="1">
      <c r="A178" s="136"/>
      <c r="B178" s="135"/>
      <c r="C178" s="134"/>
      <c r="D178" s="129" t="s">
        <v>525</v>
      </c>
      <c r="E178" s="128" t="s">
        <v>41</v>
      </c>
      <c r="F178" s="127">
        <v>2.9990000000000001</v>
      </c>
      <c r="G178" s="128">
        <v>375</v>
      </c>
      <c r="H178" s="127">
        <v>110</v>
      </c>
      <c r="I178" s="128" t="s">
        <v>71</v>
      </c>
      <c r="J178" s="127">
        <v>2652</v>
      </c>
      <c r="K178" s="123">
        <v>5812</v>
      </c>
      <c r="L178" s="123">
        <v>2995</v>
      </c>
      <c r="M178" s="123" t="s">
        <v>31</v>
      </c>
      <c r="N178" s="133">
        <v>10.6</v>
      </c>
      <c r="O178" s="23">
        <f>IF(N178&gt;0,1/N178*37.7*68.6,"")</f>
        <v>243.98301886792456</v>
      </c>
      <c r="P178" s="125">
        <v>9.51</v>
      </c>
      <c r="Q178" s="124" t="s">
        <v>63</v>
      </c>
      <c r="R178" s="123" t="s">
        <v>33</v>
      </c>
      <c r="S178" s="123" t="s">
        <v>34</v>
      </c>
      <c r="T178" s="123"/>
      <c r="U178" s="142"/>
      <c r="V178" s="28">
        <f>IFERROR(IF(N178&lt;P178,"",(ROUNDDOWN(N178/P178*100,0))),"")</f>
        <v>111</v>
      </c>
      <c r="W178" s="121"/>
    </row>
    <row r="179" spans="1:23" s="137" customFormat="1" ht="21" customHeight="1">
      <c r="A179" s="136"/>
      <c r="B179" s="135"/>
      <c r="C179" s="134"/>
      <c r="D179" s="129" t="s">
        <v>524</v>
      </c>
      <c r="E179" s="128" t="s">
        <v>41</v>
      </c>
      <c r="F179" s="127">
        <v>2.9990000000000001</v>
      </c>
      <c r="G179" s="128" t="s">
        <v>467</v>
      </c>
      <c r="H179" s="127" t="s">
        <v>466</v>
      </c>
      <c r="I179" s="128" t="s">
        <v>71</v>
      </c>
      <c r="J179" s="127">
        <v>2356</v>
      </c>
      <c r="K179" s="123">
        <v>4521</v>
      </c>
      <c r="L179" s="123">
        <v>2000</v>
      </c>
      <c r="M179" s="123" t="s">
        <v>31</v>
      </c>
      <c r="N179" s="133">
        <v>11.8</v>
      </c>
      <c r="O179" s="23">
        <f>IF(N179&gt;0,1/N179*37.7*68.6,"")</f>
        <v>219.17118644067796</v>
      </c>
      <c r="P179" s="125">
        <v>10.35</v>
      </c>
      <c r="Q179" s="124" t="s">
        <v>43</v>
      </c>
      <c r="R179" s="123" t="s">
        <v>33</v>
      </c>
      <c r="S179" s="123" t="s">
        <v>34</v>
      </c>
      <c r="T179" s="123"/>
      <c r="U179" s="142"/>
      <c r="V179" s="28">
        <f>IFERROR(IF(N179&lt;P179,"",(ROUNDDOWN(N179/P179*100,0))),"")</f>
        <v>114</v>
      </c>
      <c r="W179" s="121"/>
    </row>
    <row r="180" spans="1:23" s="137" customFormat="1" ht="21" customHeight="1">
      <c r="A180" s="136"/>
      <c r="B180" s="135"/>
      <c r="C180" s="134"/>
      <c r="D180" s="129" t="s">
        <v>524</v>
      </c>
      <c r="E180" s="128" t="s">
        <v>41</v>
      </c>
      <c r="F180" s="127">
        <v>2.9990000000000001</v>
      </c>
      <c r="G180" s="128" t="s">
        <v>467</v>
      </c>
      <c r="H180" s="127" t="s">
        <v>466</v>
      </c>
      <c r="I180" s="128" t="s">
        <v>42</v>
      </c>
      <c r="J180" s="127">
        <v>2356</v>
      </c>
      <c r="K180" s="123">
        <v>4521</v>
      </c>
      <c r="L180" s="123">
        <v>2000</v>
      </c>
      <c r="M180" s="123" t="s">
        <v>31</v>
      </c>
      <c r="N180" s="133">
        <v>11.8</v>
      </c>
      <c r="O180" s="23">
        <f>IF(N180&gt;0,1/N180*37.7*68.6,"")</f>
        <v>219.17118644067796</v>
      </c>
      <c r="P180" s="125">
        <v>10.35</v>
      </c>
      <c r="Q180" s="124" t="s">
        <v>63</v>
      </c>
      <c r="R180" s="123" t="s">
        <v>33</v>
      </c>
      <c r="S180" s="123" t="s">
        <v>34</v>
      </c>
      <c r="T180" s="123"/>
      <c r="U180" s="142"/>
      <c r="V180" s="28">
        <f>IFERROR(IF(N180&lt;P180,"",(ROUNDDOWN(N180/P180*100,0))),"")</f>
        <v>114</v>
      </c>
      <c r="W180" s="121"/>
    </row>
    <row r="181" spans="1:23" s="137" customFormat="1" ht="21" customHeight="1">
      <c r="A181" s="136"/>
      <c r="B181" s="135"/>
      <c r="C181" s="134"/>
      <c r="D181" s="129" t="s">
        <v>524</v>
      </c>
      <c r="E181" s="128" t="s">
        <v>41</v>
      </c>
      <c r="F181" s="127">
        <v>2.9990000000000001</v>
      </c>
      <c r="G181" s="128" t="s">
        <v>467</v>
      </c>
      <c r="H181" s="127" t="s">
        <v>466</v>
      </c>
      <c r="I181" s="128" t="s">
        <v>71</v>
      </c>
      <c r="J181" s="127">
        <v>2356</v>
      </c>
      <c r="K181" s="123">
        <v>4521</v>
      </c>
      <c r="L181" s="123">
        <v>2000</v>
      </c>
      <c r="M181" s="123" t="s">
        <v>31</v>
      </c>
      <c r="N181" s="133">
        <v>11.4</v>
      </c>
      <c r="O181" s="23">
        <f>IF(N181&gt;0,1/N181*37.7*68.6,"")</f>
        <v>226.8614035087719</v>
      </c>
      <c r="P181" s="125">
        <v>10.35</v>
      </c>
      <c r="Q181" s="124" t="s">
        <v>63</v>
      </c>
      <c r="R181" s="123" t="s">
        <v>33</v>
      </c>
      <c r="S181" s="123" t="s">
        <v>34</v>
      </c>
      <c r="T181" s="123"/>
      <c r="U181" s="142"/>
      <c r="V181" s="28">
        <f>IFERROR(IF(N181&lt;P181,"",(ROUNDDOWN(N181/P181*100,0))),"")</f>
        <v>110</v>
      </c>
      <c r="W181" s="121"/>
    </row>
    <row r="182" spans="1:23" s="137" customFormat="1" ht="21" customHeight="1">
      <c r="A182" s="136"/>
      <c r="B182" s="135"/>
      <c r="C182" s="134"/>
      <c r="D182" s="129" t="s">
        <v>524</v>
      </c>
      <c r="E182" s="128" t="s">
        <v>41</v>
      </c>
      <c r="F182" s="127">
        <v>2.9990000000000001</v>
      </c>
      <c r="G182" s="128" t="s">
        <v>467</v>
      </c>
      <c r="H182" s="127" t="s">
        <v>466</v>
      </c>
      <c r="I182" s="128" t="s">
        <v>71</v>
      </c>
      <c r="J182" s="127">
        <v>2652</v>
      </c>
      <c r="K182" s="123">
        <v>5812</v>
      </c>
      <c r="L182" s="123">
        <v>2995</v>
      </c>
      <c r="M182" s="123" t="s">
        <v>31</v>
      </c>
      <c r="N182" s="133">
        <v>10.8</v>
      </c>
      <c r="O182" s="23">
        <f>IF(N182&gt;0,1/N182*37.7*68.6,"")</f>
        <v>239.46481481481482</v>
      </c>
      <c r="P182" s="125">
        <v>9.51</v>
      </c>
      <c r="Q182" s="124" t="s">
        <v>43</v>
      </c>
      <c r="R182" s="123" t="s">
        <v>33</v>
      </c>
      <c r="S182" s="123" t="s">
        <v>34</v>
      </c>
      <c r="T182" s="123"/>
      <c r="U182" s="142"/>
      <c r="V182" s="28">
        <f>IFERROR(IF(N182&lt;P182,"",(ROUNDDOWN(N182/P182*100,0))),"")</f>
        <v>113</v>
      </c>
      <c r="W182" s="121"/>
    </row>
    <row r="183" spans="1:23" s="137" customFormat="1" ht="21" customHeight="1">
      <c r="A183" s="136"/>
      <c r="B183" s="135"/>
      <c r="C183" s="134"/>
      <c r="D183" s="129" t="s">
        <v>524</v>
      </c>
      <c r="E183" s="128" t="s">
        <v>41</v>
      </c>
      <c r="F183" s="127">
        <v>2.9990000000000001</v>
      </c>
      <c r="G183" s="128" t="s">
        <v>467</v>
      </c>
      <c r="H183" s="127" t="s">
        <v>466</v>
      </c>
      <c r="I183" s="128" t="s">
        <v>42</v>
      </c>
      <c r="J183" s="127">
        <v>2652</v>
      </c>
      <c r="K183" s="123">
        <v>5812</v>
      </c>
      <c r="L183" s="123">
        <v>2995</v>
      </c>
      <c r="M183" s="123" t="s">
        <v>31</v>
      </c>
      <c r="N183" s="133">
        <v>10.8</v>
      </c>
      <c r="O183" s="23">
        <f>IF(N183&gt;0,1/N183*37.7*68.6,"")</f>
        <v>239.46481481481482</v>
      </c>
      <c r="P183" s="125">
        <v>9.51</v>
      </c>
      <c r="Q183" s="124" t="s">
        <v>63</v>
      </c>
      <c r="R183" s="123" t="s">
        <v>33</v>
      </c>
      <c r="S183" s="123" t="s">
        <v>34</v>
      </c>
      <c r="T183" s="123"/>
      <c r="U183" s="142"/>
      <c r="V183" s="28">
        <f>IFERROR(IF(N183&lt;P183,"",(ROUNDDOWN(N183/P183*100,0))),"")</f>
        <v>113</v>
      </c>
      <c r="W183" s="121"/>
    </row>
    <row r="184" spans="1:23" s="137" customFormat="1" ht="21" customHeight="1">
      <c r="A184" s="136"/>
      <c r="B184" s="135"/>
      <c r="C184" s="134"/>
      <c r="D184" s="129" t="s">
        <v>524</v>
      </c>
      <c r="E184" s="128" t="s">
        <v>41</v>
      </c>
      <c r="F184" s="127">
        <v>2.9990000000000001</v>
      </c>
      <c r="G184" s="128" t="s">
        <v>467</v>
      </c>
      <c r="H184" s="127" t="s">
        <v>466</v>
      </c>
      <c r="I184" s="128" t="s">
        <v>71</v>
      </c>
      <c r="J184" s="127">
        <v>2652</v>
      </c>
      <c r="K184" s="123">
        <v>5812</v>
      </c>
      <c r="L184" s="123">
        <v>2995</v>
      </c>
      <c r="M184" s="123" t="s">
        <v>31</v>
      </c>
      <c r="N184" s="133">
        <v>10.6</v>
      </c>
      <c r="O184" s="23">
        <f>IF(N184&gt;0,1/N184*37.7*68.6,"")</f>
        <v>243.98301886792456</v>
      </c>
      <c r="P184" s="125">
        <v>9.51</v>
      </c>
      <c r="Q184" s="124" t="s">
        <v>63</v>
      </c>
      <c r="R184" s="123" t="s">
        <v>33</v>
      </c>
      <c r="S184" s="123" t="s">
        <v>34</v>
      </c>
      <c r="T184" s="123"/>
      <c r="U184" s="142"/>
      <c r="V184" s="28">
        <f>IFERROR(IF(N184&lt;P184,"",(ROUNDDOWN(N184/P184*100,0))),"")</f>
        <v>111</v>
      </c>
      <c r="W184" s="121"/>
    </row>
    <row r="185" spans="1:23" s="137" customFormat="1" ht="21" customHeight="1">
      <c r="A185" s="136"/>
      <c r="B185" s="135"/>
      <c r="C185" s="134"/>
      <c r="D185" s="129" t="s">
        <v>524</v>
      </c>
      <c r="E185" s="128" t="s">
        <v>41</v>
      </c>
      <c r="F185" s="127">
        <v>2.9990000000000001</v>
      </c>
      <c r="G185" s="128" t="s">
        <v>467</v>
      </c>
      <c r="H185" s="127" t="s">
        <v>466</v>
      </c>
      <c r="I185" s="128" t="s">
        <v>42</v>
      </c>
      <c r="J185" s="127">
        <v>2979</v>
      </c>
      <c r="K185" s="123">
        <v>6893</v>
      </c>
      <c r="L185" s="123">
        <v>3749</v>
      </c>
      <c r="M185" s="123" t="s">
        <v>31</v>
      </c>
      <c r="N185" s="133">
        <v>9.1999999999999993</v>
      </c>
      <c r="O185" s="23">
        <f>IF(N185&gt;0,1/N185*37.7*68.6,"")</f>
        <v>281.1108695652174</v>
      </c>
      <c r="P185" s="125">
        <v>8.1199999999999992</v>
      </c>
      <c r="Q185" s="124" t="s">
        <v>43</v>
      </c>
      <c r="R185" s="123" t="s">
        <v>33</v>
      </c>
      <c r="S185" s="123" t="s">
        <v>34</v>
      </c>
      <c r="T185" s="123"/>
      <c r="U185" s="142"/>
      <c r="V185" s="28">
        <f>IFERROR(IF(N185&lt;P185,"",(ROUNDDOWN(N185/P185*100,0))),"")</f>
        <v>113</v>
      </c>
      <c r="W185" s="121"/>
    </row>
    <row r="186" spans="1:23" s="137" customFormat="1" ht="21" customHeight="1">
      <c r="A186" s="136"/>
      <c r="B186" s="135"/>
      <c r="C186" s="134"/>
      <c r="D186" s="129" t="s">
        <v>524</v>
      </c>
      <c r="E186" s="128" t="s">
        <v>41</v>
      </c>
      <c r="F186" s="127">
        <v>2.9990000000000001</v>
      </c>
      <c r="G186" s="128" t="s">
        <v>467</v>
      </c>
      <c r="H186" s="127" t="s">
        <v>466</v>
      </c>
      <c r="I186" s="128" t="s">
        <v>71</v>
      </c>
      <c r="J186" s="127">
        <v>2979</v>
      </c>
      <c r="K186" s="123">
        <v>6893</v>
      </c>
      <c r="L186" s="123">
        <v>3749</v>
      </c>
      <c r="M186" s="123" t="s">
        <v>31</v>
      </c>
      <c r="N186" s="133">
        <v>9</v>
      </c>
      <c r="O186" s="23">
        <f>IF(N186&gt;0,1/N186*37.7*68.6,"")</f>
        <v>287.35777777777776</v>
      </c>
      <c r="P186" s="125">
        <v>8.1199999999999992</v>
      </c>
      <c r="Q186" s="124" t="s">
        <v>43</v>
      </c>
      <c r="R186" s="123" t="s">
        <v>33</v>
      </c>
      <c r="S186" s="123" t="s">
        <v>34</v>
      </c>
      <c r="T186" s="123"/>
      <c r="U186" s="142"/>
      <c r="V186" s="28">
        <f>IFERROR(IF(N186&lt;P186,"",(ROUNDDOWN(N186/P186*100,0))),"")</f>
        <v>110</v>
      </c>
      <c r="W186" s="121"/>
    </row>
    <row r="187" spans="1:23" s="137" customFormat="1" ht="21" customHeight="1">
      <c r="A187" s="136"/>
      <c r="B187" s="135"/>
      <c r="C187" s="134"/>
      <c r="D187" s="129" t="s">
        <v>524</v>
      </c>
      <c r="E187" s="128" t="s">
        <v>41</v>
      </c>
      <c r="F187" s="127">
        <v>2.9990000000000001</v>
      </c>
      <c r="G187" s="128" t="s">
        <v>467</v>
      </c>
      <c r="H187" s="127" t="s">
        <v>466</v>
      </c>
      <c r="I187" s="128" t="s">
        <v>42</v>
      </c>
      <c r="J187" s="127">
        <v>2979</v>
      </c>
      <c r="K187" s="123">
        <v>6893</v>
      </c>
      <c r="L187" s="123">
        <v>3749</v>
      </c>
      <c r="M187" s="123" t="s">
        <v>31</v>
      </c>
      <c r="N187" s="133">
        <v>9</v>
      </c>
      <c r="O187" s="23">
        <f>IF(N187&gt;0,1/N187*37.7*68.6,"")</f>
        <v>287.35777777777776</v>
      </c>
      <c r="P187" s="125">
        <v>8.1199999999999992</v>
      </c>
      <c r="Q187" s="124" t="s">
        <v>63</v>
      </c>
      <c r="R187" s="123" t="s">
        <v>33</v>
      </c>
      <c r="S187" s="123" t="s">
        <v>34</v>
      </c>
      <c r="T187" s="123"/>
      <c r="U187" s="142"/>
      <c r="V187" s="28">
        <f>IFERROR(IF(N187&lt;P187,"",(ROUNDDOWN(N187/P187*100,0))),"")</f>
        <v>110</v>
      </c>
      <c r="W187" s="121"/>
    </row>
    <row r="188" spans="1:23" s="137" customFormat="1" ht="21" customHeight="1">
      <c r="A188" s="136"/>
      <c r="B188" s="135"/>
      <c r="C188" s="134"/>
      <c r="D188" s="129" t="s">
        <v>523</v>
      </c>
      <c r="E188" s="128" t="s">
        <v>41</v>
      </c>
      <c r="F188" s="127">
        <v>2.9990000000000001</v>
      </c>
      <c r="G188" s="128" t="s">
        <v>467</v>
      </c>
      <c r="H188" s="127" t="s">
        <v>466</v>
      </c>
      <c r="I188" s="128" t="s">
        <v>71</v>
      </c>
      <c r="J188" s="127">
        <v>2356</v>
      </c>
      <c r="K188" s="123">
        <v>4521</v>
      </c>
      <c r="L188" s="123">
        <v>2000</v>
      </c>
      <c r="M188" s="123" t="s">
        <v>31</v>
      </c>
      <c r="N188" s="133">
        <v>11.8</v>
      </c>
      <c r="O188" s="23">
        <f>IF(N188&gt;0,1/N188*37.7*68.6,"")</f>
        <v>219.17118644067796</v>
      </c>
      <c r="P188" s="125">
        <v>10.35</v>
      </c>
      <c r="Q188" s="124" t="s">
        <v>43</v>
      </c>
      <c r="R188" s="123" t="s">
        <v>33</v>
      </c>
      <c r="S188" s="123" t="s">
        <v>34</v>
      </c>
      <c r="T188" s="123"/>
      <c r="U188" s="142"/>
      <c r="V188" s="28">
        <f>IFERROR(IF(N188&lt;P188,"",(ROUNDDOWN(N188/P188*100,0))),"")</f>
        <v>114</v>
      </c>
      <c r="W188" s="121"/>
    </row>
    <row r="189" spans="1:23" s="137" customFormat="1" ht="21" customHeight="1">
      <c r="A189" s="136"/>
      <c r="B189" s="135"/>
      <c r="C189" s="134"/>
      <c r="D189" s="129" t="s">
        <v>523</v>
      </c>
      <c r="E189" s="128" t="s">
        <v>41</v>
      </c>
      <c r="F189" s="127">
        <v>2.9990000000000001</v>
      </c>
      <c r="G189" s="128" t="s">
        <v>467</v>
      </c>
      <c r="H189" s="127" t="s">
        <v>466</v>
      </c>
      <c r="I189" s="128" t="s">
        <v>42</v>
      </c>
      <c r="J189" s="127">
        <v>2356</v>
      </c>
      <c r="K189" s="123">
        <v>4521</v>
      </c>
      <c r="L189" s="123">
        <v>2000</v>
      </c>
      <c r="M189" s="123" t="s">
        <v>31</v>
      </c>
      <c r="N189" s="133">
        <v>11.8</v>
      </c>
      <c r="O189" s="23">
        <f>IF(N189&gt;0,1/N189*37.7*68.6,"")</f>
        <v>219.17118644067796</v>
      </c>
      <c r="P189" s="125">
        <v>10.35</v>
      </c>
      <c r="Q189" s="124" t="s">
        <v>63</v>
      </c>
      <c r="R189" s="123" t="s">
        <v>33</v>
      </c>
      <c r="S189" s="123" t="s">
        <v>34</v>
      </c>
      <c r="T189" s="123"/>
      <c r="U189" s="142"/>
      <c r="V189" s="28">
        <f>IFERROR(IF(N189&lt;P189,"",(ROUNDDOWN(N189/P189*100,0))),"")</f>
        <v>114</v>
      </c>
      <c r="W189" s="121"/>
    </row>
    <row r="190" spans="1:23" s="137" customFormat="1" ht="21" customHeight="1">
      <c r="A190" s="136"/>
      <c r="B190" s="135"/>
      <c r="C190" s="134"/>
      <c r="D190" s="129" t="s">
        <v>523</v>
      </c>
      <c r="E190" s="128" t="s">
        <v>41</v>
      </c>
      <c r="F190" s="127">
        <v>2.9990000000000001</v>
      </c>
      <c r="G190" s="128" t="s">
        <v>467</v>
      </c>
      <c r="H190" s="127" t="s">
        <v>466</v>
      </c>
      <c r="I190" s="128" t="s">
        <v>71</v>
      </c>
      <c r="J190" s="127">
        <v>2356</v>
      </c>
      <c r="K190" s="123">
        <v>4521</v>
      </c>
      <c r="L190" s="123">
        <v>2000</v>
      </c>
      <c r="M190" s="123" t="s">
        <v>31</v>
      </c>
      <c r="N190" s="133">
        <v>11.4</v>
      </c>
      <c r="O190" s="23">
        <f>IF(N190&gt;0,1/N190*37.7*68.6,"")</f>
        <v>226.8614035087719</v>
      </c>
      <c r="P190" s="125">
        <v>10.35</v>
      </c>
      <c r="Q190" s="124" t="s">
        <v>63</v>
      </c>
      <c r="R190" s="123" t="s">
        <v>33</v>
      </c>
      <c r="S190" s="123" t="s">
        <v>34</v>
      </c>
      <c r="T190" s="123"/>
      <c r="U190" s="142"/>
      <c r="V190" s="28">
        <f>IFERROR(IF(N190&lt;P190,"",(ROUNDDOWN(N190/P190*100,0))),"")</f>
        <v>110</v>
      </c>
      <c r="W190" s="143"/>
    </row>
    <row r="191" spans="1:23" s="137" customFormat="1" ht="21" customHeight="1">
      <c r="A191" s="136"/>
      <c r="B191" s="135"/>
      <c r="C191" s="134"/>
      <c r="D191" s="129" t="s">
        <v>523</v>
      </c>
      <c r="E191" s="128" t="s">
        <v>41</v>
      </c>
      <c r="F191" s="127">
        <v>2.9990000000000001</v>
      </c>
      <c r="G191" s="128" t="s">
        <v>467</v>
      </c>
      <c r="H191" s="127" t="s">
        <v>466</v>
      </c>
      <c r="I191" s="128" t="s">
        <v>71</v>
      </c>
      <c r="J191" s="127">
        <v>2652</v>
      </c>
      <c r="K191" s="123">
        <v>5812</v>
      </c>
      <c r="L191" s="123">
        <v>2995</v>
      </c>
      <c r="M191" s="123" t="s">
        <v>31</v>
      </c>
      <c r="N191" s="133">
        <v>10.8</v>
      </c>
      <c r="O191" s="23">
        <f>IF(N191&gt;0,1/N191*37.7*68.6,"")</f>
        <v>239.46481481481482</v>
      </c>
      <c r="P191" s="125">
        <v>9.51</v>
      </c>
      <c r="Q191" s="124" t="s">
        <v>43</v>
      </c>
      <c r="R191" s="123" t="s">
        <v>33</v>
      </c>
      <c r="S191" s="123" t="s">
        <v>34</v>
      </c>
      <c r="T191" s="123"/>
      <c r="U191" s="142"/>
      <c r="V191" s="28">
        <f>IFERROR(IF(N191&lt;P191,"",(ROUNDDOWN(N191/P191*100,0))),"")</f>
        <v>113</v>
      </c>
      <c r="W191" s="143"/>
    </row>
    <row r="192" spans="1:23" s="137" customFormat="1" ht="21" customHeight="1">
      <c r="A192" s="136"/>
      <c r="B192" s="135"/>
      <c r="C192" s="134"/>
      <c r="D192" s="129" t="s">
        <v>523</v>
      </c>
      <c r="E192" s="128" t="s">
        <v>41</v>
      </c>
      <c r="F192" s="127">
        <v>2.9990000000000001</v>
      </c>
      <c r="G192" s="128" t="s">
        <v>467</v>
      </c>
      <c r="H192" s="127" t="s">
        <v>466</v>
      </c>
      <c r="I192" s="128" t="s">
        <v>42</v>
      </c>
      <c r="J192" s="127">
        <v>2652</v>
      </c>
      <c r="K192" s="123">
        <v>5812</v>
      </c>
      <c r="L192" s="123">
        <v>2995</v>
      </c>
      <c r="M192" s="123" t="s">
        <v>31</v>
      </c>
      <c r="N192" s="133">
        <v>10.8</v>
      </c>
      <c r="O192" s="23">
        <f>IF(N192&gt;0,1/N192*37.7*68.6,"")</f>
        <v>239.46481481481482</v>
      </c>
      <c r="P192" s="125">
        <v>9.51</v>
      </c>
      <c r="Q192" s="124" t="s">
        <v>63</v>
      </c>
      <c r="R192" s="123" t="s">
        <v>33</v>
      </c>
      <c r="S192" s="123" t="s">
        <v>34</v>
      </c>
      <c r="T192" s="123"/>
      <c r="U192" s="142"/>
      <c r="V192" s="28">
        <f>IFERROR(IF(N192&lt;P192,"",(ROUNDDOWN(N192/P192*100,0))),"")</f>
        <v>113</v>
      </c>
      <c r="W192" s="143"/>
    </row>
    <row r="193" spans="1:23" s="137" customFormat="1" ht="21" customHeight="1">
      <c r="A193" s="136"/>
      <c r="B193" s="135"/>
      <c r="C193" s="134"/>
      <c r="D193" s="129" t="s">
        <v>523</v>
      </c>
      <c r="E193" s="128" t="s">
        <v>41</v>
      </c>
      <c r="F193" s="127">
        <v>2.9990000000000001</v>
      </c>
      <c r="G193" s="128" t="s">
        <v>467</v>
      </c>
      <c r="H193" s="127" t="s">
        <v>466</v>
      </c>
      <c r="I193" s="128" t="s">
        <v>71</v>
      </c>
      <c r="J193" s="127">
        <v>2652</v>
      </c>
      <c r="K193" s="123">
        <v>5812</v>
      </c>
      <c r="L193" s="123">
        <v>2995</v>
      </c>
      <c r="M193" s="123" t="s">
        <v>31</v>
      </c>
      <c r="N193" s="133">
        <v>10.6</v>
      </c>
      <c r="O193" s="23">
        <f>IF(N193&gt;0,1/N193*37.7*68.6,"")</f>
        <v>243.98301886792456</v>
      </c>
      <c r="P193" s="125">
        <v>9.51</v>
      </c>
      <c r="Q193" s="124" t="s">
        <v>63</v>
      </c>
      <c r="R193" s="123" t="s">
        <v>33</v>
      </c>
      <c r="S193" s="123" t="s">
        <v>34</v>
      </c>
      <c r="T193" s="123"/>
      <c r="U193" s="142"/>
      <c r="V193" s="28">
        <f>IFERROR(IF(N193&lt;P193,"",(ROUNDDOWN(N193/P193*100,0))),"")</f>
        <v>111</v>
      </c>
      <c r="W193" s="121"/>
    </row>
    <row r="194" spans="1:23" s="137" customFormat="1" ht="21" customHeight="1">
      <c r="A194" s="136"/>
      <c r="B194" s="135"/>
      <c r="C194" s="134"/>
      <c r="D194" s="129" t="s">
        <v>523</v>
      </c>
      <c r="E194" s="128" t="s">
        <v>41</v>
      </c>
      <c r="F194" s="127">
        <v>2.9990000000000001</v>
      </c>
      <c r="G194" s="128" t="s">
        <v>467</v>
      </c>
      <c r="H194" s="127" t="s">
        <v>466</v>
      </c>
      <c r="I194" s="128" t="s">
        <v>42</v>
      </c>
      <c r="J194" s="127">
        <v>2979</v>
      </c>
      <c r="K194" s="123">
        <v>6893</v>
      </c>
      <c r="L194" s="123">
        <v>3749</v>
      </c>
      <c r="M194" s="123" t="s">
        <v>31</v>
      </c>
      <c r="N194" s="133">
        <v>9.1999999999999993</v>
      </c>
      <c r="O194" s="23">
        <f>IF(N194&gt;0,1/N194*37.7*68.6,"")</f>
        <v>281.1108695652174</v>
      </c>
      <c r="P194" s="125">
        <v>8.1199999999999992</v>
      </c>
      <c r="Q194" s="124" t="s">
        <v>43</v>
      </c>
      <c r="R194" s="123" t="s">
        <v>33</v>
      </c>
      <c r="S194" s="123" t="s">
        <v>34</v>
      </c>
      <c r="T194" s="123"/>
      <c r="U194" s="142"/>
      <c r="V194" s="28">
        <f>IFERROR(IF(N194&lt;P194,"",(ROUNDDOWN(N194/P194*100,0))),"")</f>
        <v>113</v>
      </c>
      <c r="W194" s="121"/>
    </row>
    <row r="195" spans="1:23" s="137" customFormat="1" ht="21" customHeight="1">
      <c r="A195" s="136"/>
      <c r="B195" s="135"/>
      <c r="C195" s="134"/>
      <c r="D195" s="129" t="s">
        <v>523</v>
      </c>
      <c r="E195" s="128" t="s">
        <v>41</v>
      </c>
      <c r="F195" s="127">
        <v>2.9990000000000001</v>
      </c>
      <c r="G195" s="128" t="s">
        <v>467</v>
      </c>
      <c r="H195" s="127" t="s">
        <v>466</v>
      </c>
      <c r="I195" s="128" t="s">
        <v>71</v>
      </c>
      <c r="J195" s="127">
        <v>2979</v>
      </c>
      <c r="K195" s="123">
        <v>6893</v>
      </c>
      <c r="L195" s="123">
        <v>3749</v>
      </c>
      <c r="M195" s="123" t="s">
        <v>31</v>
      </c>
      <c r="N195" s="133">
        <v>9</v>
      </c>
      <c r="O195" s="23">
        <f>IF(N195&gt;0,1/N195*37.7*68.6,"")</f>
        <v>287.35777777777776</v>
      </c>
      <c r="P195" s="125">
        <v>8.1199999999999992</v>
      </c>
      <c r="Q195" s="124" t="s">
        <v>43</v>
      </c>
      <c r="R195" s="123" t="s">
        <v>33</v>
      </c>
      <c r="S195" s="123" t="s">
        <v>34</v>
      </c>
      <c r="T195" s="123"/>
      <c r="U195" s="142"/>
      <c r="V195" s="28">
        <f>IFERROR(IF(N195&lt;P195,"",(ROUNDDOWN(N195/P195*100,0))),"")</f>
        <v>110</v>
      </c>
      <c r="W195" s="121"/>
    </row>
    <row r="196" spans="1:23" s="137" customFormat="1" ht="21" customHeight="1">
      <c r="A196" s="136"/>
      <c r="B196" s="135"/>
      <c r="C196" s="134"/>
      <c r="D196" s="129" t="s">
        <v>523</v>
      </c>
      <c r="E196" s="128" t="s">
        <v>41</v>
      </c>
      <c r="F196" s="127">
        <v>2.9990000000000001</v>
      </c>
      <c r="G196" s="128" t="s">
        <v>467</v>
      </c>
      <c r="H196" s="127" t="s">
        <v>466</v>
      </c>
      <c r="I196" s="128" t="s">
        <v>42</v>
      </c>
      <c r="J196" s="127">
        <v>2979</v>
      </c>
      <c r="K196" s="123">
        <v>6893</v>
      </c>
      <c r="L196" s="123">
        <v>3749</v>
      </c>
      <c r="M196" s="123" t="s">
        <v>31</v>
      </c>
      <c r="N196" s="133">
        <v>9</v>
      </c>
      <c r="O196" s="23">
        <f>IF(N196&gt;0,1/N196*37.7*68.6,"")</f>
        <v>287.35777777777776</v>
      </c>
      <c r="P196" s="125">
        <v>8.1199999999999992</v>
      </c>
      <c r="Q196" s="124" t="s">
        <v>63</v>
      </c>
      <c r="R196" s="123" t="s">
        <v>33</v>
      </c>
      <c r="S196" s="123" t="s">
        <v>34</v>
      </c>
      <c r="T196" s="123"/>
      <c r="U196" s="142"/>
      <c r="V196" s="28">
        <f>IFERROR(IF(N196&lt;P196,"",(ROUNDDOWN(N196/P196*100,0))),"")</f>
        <v>110</v>
      </c>
      <c r="W196" s="121"/>
    </row>
    <row r="197" spans="1:23" s="137" customFormat="1" ht="21" customHeight="1">
      <c r="A197" s="136"/>
      <c r="B197" s="135"/>
      <c r="C197" s="134"/>
      <c r="D197" s="129" t="s">
        <v>522</v>
      </c>
      <c r="E197" s="128" t="s">
        <v>41</v>
      </c>
      <c r="F197" s="127">
        <v>2.9990000000000001</v>
      </c>
      <c r="G197" s="128">
        <v>375</v>
      </c>
      <c r="H197" s="127">
        <v>110</v>
      </c>
      <c r="I197" s="128" t="s">
        <v>71</v>
      </c>
      <c r="J197" s="127">
        <v>2356</v>
      </c>
      <c r="K197" s="123">
        <v>4521</v>
      </c>
      <c r="L197" s="123">
        <v>2000</v>
      </c>
      <c r="M197" s="123" t="s">
        <v>31</v>
      </c>
      <c r="N197" s="133">
        <v>11.8</v>
      </c>
      <c r="O197" s="23">
        <f>IF(N197&gt;0,1/N197*37.7*68.6,"")</f>
        <v>219.17118644067796</v>
      </c>
      <c r="P197" s="125">
        <v>10.35</v>
      </c>
      <c r="Q197" s="124" t="s">
        <v>43</v>
      </c>
      <c r="R197" s="123" t="s">
        <v>33</v>
      </c>
      <c r="S197" s="123" t="s">
        <v>34</v>
      </c>
      <c r="T197" s="123"/>
      <c r="U197" s="142"/>
      <c r="V197" s="28">
        <f>IFERROR(IF(N197&lt;P197,"",(ROUNDDOWN(N197/P197*100,0))),"")</f>
        <v>114</v>
      </c>
      <c r="W197" s="121"/>
    </row>
    <row r="198" spans="1:23" s="137" customFormat="1" ht="21" customHeight="1">
      <c r="A198" s="136"/>
      <c r="B198" s="135"/>
      <c r="C198" s="134"/>
      <c r="D198" s="129" t="s">
        <v>522</v>
      </c>
      <c r="E198" s="128" t="s">
        <v>41</v>
      </c>
      <c r="F198" s="127">
        <v>2.9990000000000001</v>
      </c>
      <c r="G198" s="128">
        <v>375</v>
      </c>
      <c r="H198" s="127">
        <v>110</v>
      </c>
      <c r="I198" s="128" t="s">
        <v>71</v>
      </c>
      <c r="J198" s="127">
        <v>2356</v>
      </c>
      <c r="K198" s="123">
        <v>4521</v>
      </c>
      <c r="L198" s="123">
        <v>2000</v>
      </c>
      <c r="M198" s="123" t="s">
        <v>31</v>
      </c>
      <c r="N198" s="133">
        <v>11.4</v>
      </c>
      <c r="O198" s="23">
        <f>IF(N198&gt;0,1/N198*37.7*68.6,"")</f>
        <v>226.8614035087719</v>
      </c>
      <c r="P198" s="125">
        <v>10.35</v>
      </c>
      <c r="Q198" s="124" t="s">
        <v>63</v>
      </c>
      <c r="R198" s="123" t="s">
        <v>33</v>
      </c>
      <c r="S198" s="123" t="s">
        <v>34</v>
      </c>
      <c r="T198" s="123"/>
      <c r="U198" s="142"/>
      <c r="V198" s="28">
        <f>IFERROR(IF(N198&lt;P198,"",(ROUNDDOWN(N198/P198*100,0))),"")</f>
        <v>110</v>
      </c>
      <c r="W198" s="121"/>
    </row>
    <row r="199" spans="1:23" s="137" customFormat="1" ht="21" customHeight="1">
      <c r="A199" s="136"/>
      <c r="B199" s="135"/>
      <c r="C199" s="134"/>
      <c r="D199" s="129" t="s">
        <v>522</v>
      </c>
      <c r="E199" s="128" t="s">
        <v>41</v>
      </c>
      <c r="F199" s="127">
        <v>2.9990000000000001</v>
      </c>
      <c r="G199" s="128">
        <v>375</v>
      </c>
      <c r="H199" s="127">
        <v>110</v>
      </c>
      <c r="I199" s="128" t="s">
        <v>71</v>
      </c>
      <c r="J199" s="127">
        <v>2652</v>
      </c>
      <c r="K199" s="123">
        <v>5812</v>
      </c>
      <c r="L199" s="123">
        <v>2995</v>
      </c>
      <c r="M199" s="123" t="s">
        <v>31</v>
      </c>
      <c r="N199" s="133">
        <v>10.8</v>
      </c>
      <c r="O199" s="23">
        <f>IF(N199&gt;0,1/N199*37.7*68.6,"")</f>
        <v>239.46481481481482</v>
      </c>
      <c r="P199" s="125">
        <v>9.51</v>
      </c>
      <c r="Q199" s="124" t="s">
        <v>43</v>
      </c>
      <c r="R199" s="123" t="s">
        <v>33</v>
      </c>
      <c r="S199" s="123" t="s">
        <v>34</v>
      </c>
      <c r="T199" s="123"/>
      <c r="U199" s="142"/>
      <c r="V199" s="28">
        <f>IFERROR(IF(N199&lt;P199,"",(ROUNDDOWN(N199/P199*100,0))),"")</f>
        <v>113</v>
      </c>
      <c r="W199" s="121"/>
    </row>
    <row r="200" spans="1:23" s="137" customFormat="1" ht="21" customHeight="1">
      <c r="A200" s="136"/>
      <c r="B200" s="135"/>
      <c r="C200" s="134"/>
      <c r="D200" s="129" t="s">
        <v>522</v>
      </c>
      <c r="E200" s="128" t="s">
        <v>41</v>
      </c>
      <c r="F200" s="127">
        <v>2.9990000000000001</v>
      </c>
      <c r="G200" s="128">
        <v>375</v>
      </c>
      <c r="H200" s="127">
        <v>110</v>
      </c>
      <c r="I200" s="128" t="s">
        <v>71</v>
      </c>
      <c r="J200" s="127">
        <v>2652</v>
      </c>
      <c r="K200" s="123">
        <v>5812</v>
      </c>
      <c r="L200" s="123">
        <v>2995</v>
      </c>
      <c r="M200" s="123" t="s">
        <v>31</v>
      </c>
      <c r="N200" s="133">
        <v>10.6</v>
      </c>
      <c r="O200" s="23">
        <f>IF(N200&gt;0,1/N200*37.7*68.6,"")</f>
        <v>243.98301886792456</v>
      </c>
      <c r="P200" s="125">
        <v>9.51</v>
      </c>
      <c r="Q200" s="124" t="s">
        <v>63</v>
      </c>
      <c r="R200" s="123" t="s">
        <v>33</v>
      </c>
      <c r="S200" s="123" t="s">
        <v>34</v>
      </c>
      <c r="T200" s="123"/>
      <c r="U200" s="142"/>
      <c r="V200" s="28">
        <f>IFERROR(IF(N200&lt;P200,"",(ROUNDDOWN(N200/P200*100,0))),"")</f>
        <v>111</v>
      </c>
      <c r="W200" s="121"/>
    </row>
    <row r="201" spans="1:23" s="137" customFormat="1" ht="21" customHeight="1">
      <c r="A201" s="136"/>
      <c r="B201" s="135"/>
      <c r="C201" s="134"/>
      <c r="D201" s="129" t="s">
        <v>522</v>
      </c>
      <c r="E201" s="128" t="s">
        <v>41</v>
      </c>
      <c r="F201" s="127">
        <v>2.9990000000000001</v>
      </c>
      <c r="G201" s="128">
        <v>375</v>
      </c>
      <c r="H201" s="127">
        <v>110</v>
      </c>
      <c r="I201" s="128" t="s">
        <v>71</v>
      </c>
      <c r="J201" s="127">
        <v>2979</v>
      </c>
      <c r="K201" s="123">
        <v>6893</v>
      </c>
      <c r="L201" s="123">
        <v>3749</v>
      </c>
      <c r="M201" s="123" t="s">
        <v>31</v>
      </c>
      <c r="N201" s="133">
        <v>9.1</v>
      </c>
      <c r="O201" s="23">
        <f>IF(N201&gt;0,1/N201*37.7*68.6,"")</f>
        <v>284.2</v>
      </c>
      <c r="P201" s="125">
        <v>8.1199999999999992</v>
      </c>
      <c r="Q201" s="124" t="s">
        <v>43</v>
      </c>
      <c r="R201" s="123" t="s">
        <v>33</v>
      </c>
      <c r="S201" s="123" t="s">
        <v>34</v>
      </c>
      <c r="T201" s="123"/>
      <c r="U201" s="142"/>
      <c r="V201" s="28">
        <f>IFERROR(IF(N201&lt;P201,"",(ROUNDDOWN(N201/P201*100,0))),"")</f>
        <v>112</v>
      </c>
      <c r="W201" s="121"/>
    </row>
    <row r="202" spans="1:23" s="137" customFormat="1" ht="21" customHeight="1">
      <c r="A202" s="136"/>
      <c r="B202" s="135"/>
      <c r="C202" s="134"/>
      <c r="D202" s="129" t="s">
        <v>521</v>
      </c>
      <c r="E202" s="128" t="s">
        <v>41</v>
      </c>
      <c r="F202" s="127">
        <v>2.9990000000000001</v>
      </c>
      <c r="G202" s="128">
        <v>375</v>
      </c>
      <c r="H202" s="127">
        <v>110</v>
      </c>
      <c r="I202" s="128" t="s">
        <v>71</v>
      </c>
      <c r="J202" s="127">
        <v>2356</v>
      </c>
      <c r="K202" s="123">
        <v>4521</v>
      </c>
      <c r="L202" s="123">
        <v>2000</v>
      </c>
      <c r="M202" s="123" t="s">
        <v>31</v>
      </c>
      <c r="N202" s="133">
        <v>11.8</v>
      </c>
      <c r="O202" s="23">
        <f>IF(N202&gt;0,1/N202*37.7*68.6,"")</f>
        <v>219.17118644067796</v>
      </c>
      <c r="P202" s="125">
        <v>10.35</v>
      </c>
      <c r="Q202" s="124" t="s">
        <v>43</v>
      </c>
      <c r="R202" s="123" t="s">
        <v>33</v>
      </c>
      <c r="S202" s="123" t="s">
        <v>34</v>
      </c>
      <c r="T202" s="123"/>
      <c r="U202" s="142"/>
      <c r="V202" s="28">
        <f>IFERROR(IF(N202&lt;P202,"",(ROUNDDOWN(N202/P202*100,0))),"")</f>
        <v>114</v>
      </c>
      <c r="W202" s="121"/>
    </row>
    <row r="203" spans="1:23" s="137" customFormat="1" ht="21" customHeight="1">
      <c r="A203" s="136"/>
      <c r="B203" s="135"/>
      <c r="C203" s="134"/>
      <c r="D203" s="129" t="s">
        <v>521</v>
      </c>
      <c r="E203" s="128" t="s">
        <v>41</v>
      </c>
      <c r="F203" s="127">
        <v>2.9990000000000001</v>
      </c>
      <c r="G203" s="128">
        <v>375</v>
      </c>
      <c r="H203" s="127">
        <v>110</v>
      </c>
      <c r="I203" s="128" t="s">
        <v>71</v>
      </c>
      <c r="J203" s="127">
        <v>2356</v>
      </c>
      <c r="K203" s="123">
        <v>4521</v>
      </c>
      <c r="L203" s="123">
        <v>2000</v>
      </c>
      <c r="M203" s="123" t="s">
        <v>31</v>
      </c>
      <c r="N203" s="133">
        <v>11.4</v>
      </c>
      <c r="O203" s="23">
        <f>IF(N203&gt;0,1/N203*37.7*68.6,"")</f>
        <v>226.8614035087719</v>
      </c>
      <c r="P203" s="125">
        <v>10.35</v>
      </c>
      <c r="Q203" s="124" t="s">
        <v>63</v>
      </c>
      <c r="R203" s="123" t="s">
        <v>33</v>
      </c>
      <c r="S203" s="123" t="s">
        <v>34</v>
      </c>
      <c r="T203" s="123"/>
      <c r="U203" s="142"/>
      <c r="V203" s="28">
        <f>IFERROR(IF(N203&lt;P203,"",(ROUNDDOWN(N203/P203*100,0))),"")</f>
        <v>110</v>
      </c>
      <c r="W203" s="121"/>
    </row>
    <row r="204" spans="1:23" s="137" customFormat="1" ht="21" customHeight="1">
      <c r="A204" s="136"/>
      <c r="B204" s="135"/>
      <c r="C204" s="134"/>
      <c r="D204" s="129" t="s">
        <v>521</v>
      </c>
      <c r="E204" s="128" t="s">
        <v>41</v>
      </c>
      <c r="F204" s="127">
        <v>2.9990000000000001</v>
      </c>
      <c r="G204" s="128">
        <v>375</v>
      </c>
      <c r="H204" s="127">
        <v>110</v>
      </c>
      <c r="I204" s="128" t="s">
        <v>71</v>
      </c>
      <c r="J204" s="127">
        <v>2652</v>
      </c>
      <c r="K204" s="123">
        <v>5812</v>
      </c>
      <c r="L204" s="123">
        <v>2995</v>
      </c>
      <c r="M204" s="123" t="s">
        <v>31</v>
      </c>
      <c r="N204" s="133">
        <v>10.8</v>
      </c>
      <c r="O204" s="23">
        <f>IF(N204&gt;0,1/N204*37.7*68.6,"")</f>
        <v>239.46481481481482</v>
      </c>
      <c r="P204" s="125">
        <v>9.51</v>
      </c>
      <c r="Q204" s="124" t="s">
        <v>43</v>
      </c>
      <c r="R204" s="123" t="s">
        <v>33</v>
      </c>
      <c r="S204" s="123" t="s">
        <v>34</v>
      </c>
      <c r="T204" s="123"/>
      <c r="U204" s="142"/>
      <c r="V204" s="28">
        <f>IFERROR(IF(N204&lt;P204,"",(ROUNDDOWN(N204/P204*100,0))),"")</f>
        <v>113</v>
      </c>
      <c r="W204" s="121"/>
    </row>
    <row r="205" spans="1:23" s="137" customFormat="1" ht="21" customHeight="1">
      <c r="A205" s="136"/>
      <c r="B205" s="135"/>
      <c r="C205" s="134"/>
      <c r="D205" s="129" t="s">
        <v>521</v>
      </c>
      <c r="E205" s="128" t="s">
        <v>41</v>
      </c>
      <c r="F205" s="127">
        <v>2.9990000000000001</v>
      </c>
      <c r="G205" s="128">
        <v>375</v>
      </c>
      <c r="H205" s="127">
        <v>110</v>
      </c>
      <c r="I205" s="128" t="s">
        <v>71</v>
      </c>
      <c r="J205" s="127">
        <v>2652</v>
      </c>
      <c r="K205" s="123">
        <v>5812</v>
      </c>
      <c r="L205" s="123">
        <v>2995</v>
      </c>
      <c r="M205" s="123" t="s">
        <v>31</v>
      </c>
      <c r="N205" s="133">
        <v>10.6</v>
      </c>
      <c r="O205" s="23">
        <f>IF(N205&gt;0,1/N205*37.7*68.6,"")</f>
        <v>243.98301886792456</v>
      </c>
      <c r="P205" s="125">
        <v>9.51</v>
      </c>
      <c r="Q205" s="124" t="s">
        <v>63</v>
      </c>
      <c r="R205" s="123" t="s">
        <v>33</v>
      </c>
      <c r="S205" s="123" t="s">
        <v>34</v>
      </c>
      <c r="T205" s="123"/>
      <c r="U205" s="142"/>
      <c r="V205" s="28">
        <f>IFERROR(IF(N205&lt;P205,"",(ROUNDDOWN(N205/P205*100,0))),"")</f>
        <v>111</v>
      </c>
      <c r="W205" s="121"/>
    </row>
    <row r="206" spans="1:23" s="137" customFormat="1" ht="21" customHeight="1">
      <c r="A206" s="136"/>
      <c r="B206" s="135"/>
      <c r="C206" s="134"/>
      <c r="D206" s="129" t="s">
        <v>521</v>
      </c>
      <c r="E206" s="128" t="s">
        <v>41</v>
      </c>
      <c r="F206" s="127">
        <v>2.9990000000000001</v>
      </c>
      <c r="G206" s="128">
        <v>375</v>
      </c>
      <c r="H206" s="127">
        <v>110</v>
      </c>
      <c r="I206" s="128" t="s">
        <v>71</v>
      </c>
      <c r="J206" s="127">
        <v>2979</v>
      </c>
      <c r="K206" s="123">
        <v>6893</v>
      </c>
      <c r="L206" s="123">
        <v>3749</v>
      </c>
      <c r="M206" s="123" t="s">
        <v>31</v>
      </c>
      <c r="N206" s="133">
        <v>9.1</v>
      </c>
      <c r="O206" s="23">
        <f>IF(N206&gt;0,1/N206*37.7*68.6,"")</f>
        <v>284.2</v>
      </c>
      <c r="P206" s="125">
        <v>8.1199999999999992</v>
      </c>
      <c r="Q206" s="124" t="s">
        <v>43</v>
      </c>
      <c r="R206" s="123" t="s">
        <v>33</v>
      </c>
      <c r="S206" s="123" t="s">
        <v>34</v>
      </c>
      <c r="T206" s="123"/>
      <c r="U206" s="142"/>
      <c r="V206" s="28">
        <f>IFERROR(IF(N206&lt;P206,"",(ROUNDDOWN(N206/P206*100,0))),"")</f>
        <v>112</v>
      </c>
      <c r="W206" s="121"/>
    </row>
    <row r="207" spans="1:23" s="137" customFormat="1" ht="21" customHeight="1">
      <c r="A207" s="136"/>
      <c r="B207" s="135"/>
      <c r="C207" s="134"/>
      <c r="D207" s="129" t="s">
        <v>520</v>
      </c>
      <c r="E207" s="128" t="s">
        <v>41</v>
      </c>
      <c r="F207" s="127">
        <v>2.9990000000000001</v>
      </c>
      <c r="G207" s="128" t="s">
        <v>467</v>
      </c>
      <c r="H207" s="127" t="s">
        <v>466</v>
      </c>
      <c r="I207" s="128" t="s">
        <v>70</v>
      </c>
      <c r="J207" s="127">
        <v>2356</v>
      </c>
      <c r="K207" s="123">
        <v>4521</v>
      </c>
      <c r="L207" s="123">
        <v>2000</v>
      </c>
      <c r="M207" s="123" t="s">
        <v>31</v>
      </c>
      <c r="N207" s="133">
        <v>11.8</v>
      </c>
      <c r="O207" s="23">
        <f>IF(N207&gt;0,1/N207*37.7*68.6,"")</f>
        <v>219.17118644067796</v>
      </c>
      <c r="P207" s="125">
        <v>10.35</v>
      </c>
      <c r="Q207" s="124" t="s">
        <v>43</v>
      </c>
      <c r="R207" s="123" t="s">
        <v>33</v>
      </c>
      <c r="S207" s="123" t="s">
        <v>34</v>
      </c>
      <c r="T207" s="123"/>
      <c r="U207" s="142"/>
      <c r="V207" s="28">
        <f>IFERROR(IF(N207&lt;P207,"",(ROUNDDOWN(N207/P207*100,0))),"")</f>
        <v>114</v>
      </c>
      <c r="W207" s="121"/>
    </row>
    <row r="208" spans="1:23" s="137" customFormat="1" ht="21" customHeight="1">
      <c r="A208" s="136"/>
      <c r="B208" s="135"/>
      <c r="C208" s="134"/>
      <c r="D208" s="129" t="s">
        <v>520</v>
      </c>
      <c r="E208" s="128" t="s">
        <v>41</v>
      </c>
      <c r="F208" s="127">
        <v>2.9990000000000001</v>
      </c>
      <c r="G208" s="128" t="s">
        <v>467</v>
      </c>
      <c r="H208" s="127" t="s">
        <v>466</v>
      </c>
      <c r="I208" s="128" t="s">
        <v>42</v>
      </c>
      <c r="J208" s="127">
        <v>2356</v>
      </c>
      <c r="K208" s="123">
        <v>4521</v>
      </c>
      <c r="L208" s="123">
        <v>2000</v>
      </c>
      <c r="M208" s="123" t="s">
        <v>31</v>
      </c>
      <c r="N208" s="133">
        <v>11.8</v>
      </c>
      <c r="O208" s="23">
        <f>IF(N208&gt;0,1/N208*37.7*68.6,"")</f>
        <v>219.17118644067796</v>
      </c>
      <c r="P208" s="125">
        <v>10.35</v>
      </c>
      <c r="Q208" s="124" t="s">
        <v>63</v>
      </c>
      <c r="R208" s="123" t="s">
        <v>33</v>
      </c>
      <c r="S208" s="123" t="s">
        <v>34</v>
      </c>
      <c r="T208" s="123"/>
      <c r="U208" s="142"/>
      <c r="V208" s="28">
        <f>IFERROR(IF(N208&lt;P208,"",(ROUNDDOWN(N208/P208*100,0))),"")</f>
        <v>114</v>
      </c>
      <c r="W208" s="121"/>
    </row>
    <row r="209" spans="1:23" s="137" customFormat="1" ht="21" customHeight="1">
      <c r="A209" s="136"/>
      <c r="B209" s="135"/>
      <c r="C209" s="134"/>
      <c r="D209" s="129" t="s">
        <v>520</v>
      </c>
      <c r="E209" s="128" t="s">
        <v>41</v>
      </c>
      <c r="F209" s="127">
        <v>2.9990000000000001</v>
      </c>
      <c r="G209" s="128" t="s">
        <v>467</v>
      </c>
      <c r="H209" s="127" t="s">
        <v>466</v>
      </c>
      <c r="I209" s="128" t="s">
        <v>70</v>
      </c>
      <c r="J209" s="127">
        <v>2356</v>
      </c>
      <c r="K209" s="123">
        <v>4521</v>
      </c>
      <c r="L209" s="123">
        <v>2000</v>
      </c>
      <c r="M209" s="123" t="s">
        <v>31</v>
      </c>
      <c r="N209" s="133">
        <v>11.4</v>
      </c>
      <c r="O209" s="23">
        <f>IF(N209&gt;0,1/N209*37.7*68.6,"")</f>
        <v>226.8614035087719</v>
      </c>
      <c r="P209" s="125">
        <v>10.35</v>
      </c>
      <c r="Q209" s="124" t="s">
        <v>63</v>
      </c>
      <c r="R209" s="123" t="s">
        <v>33</v>
      </c>
      <c r="S209" s="123" t="s">
        <v>34</v>
      </c>
      <c r="T209" s="123"/>
      <c r="U209" s="142"/>
      <c r="V209" s="28">
        <f>IFERROR(IF(N209&lt;P209,"",(ROUNDDOWN(N209/P209*100,0))),"")</f>
        <v>110</v>
      </c>
      <c r="W209" s="121"/>
    </row>
    <row r="210" spans="1:23" s="137" customFormat="1" ht="21" customHeight="1">
      <c r="A210" s="136"/>
      <c r="B210" s="135"/>
      <c r="C210" s="134"/>
      <c r="D210" s="129" t="s">
        <v>519</v>
      </c>
      <c r="E210" s="128" t="s">
        <v>41</v>
      </c>
      <c r="F210" s="127">
        <v>2.9990000000000001</v>
      </c>
      <c r="G210" s="128" t="s">
        <v>467</v>
      </c>
      <c r="H210" s="127" t="s">
        <v>466</v>
      </c>
      <c r="I210" s="128" t="s">
        <v>70</v>
      </c>
      <c r="J210" s="127">
        <v>2356</v>
      </c>
      <c r="K210" s="123">
        <v>4521</v>
      </c>
      <c r="L210" s="123">
        <v>2000</v>
      </c>
      <c r="M210" s="123" t="s">
        <v>31</v>
      </c>
      <c r="N210" s="133">
        <v>11.8</v>
      </c>
      <c r="O210" s="23">
        <f>IF(N210&gt;0,1/N210*37.7*68.6,"")</f>
        <v>219.17118644067796</v>
      </c>
      <c r="P210" s="125">
        <v>10.35</v>
      </c>
      <c r="Q210" s="124" t="s">
        <v>43</v>
      </c>
      <c r="R210" s="123" t="s">
        <v>33</v>
      </c>
      <c r="S210" s="123" t="s">
        <v>34</v>
      </c>
      <c r="T210" s="123"/>
      <c r="U210" s="142"/>
      <c r="V210" s="28">
        <f>IFERROR(IF(N210&lt;P210,"",(ROUNDDOWN(N210/P210*100,0))),"")</f>
        <v>114</v>
      </c>
      <c r="W210" s="121"/>
    </row>
    <row r="211" spans="1:23" s="137" customFormat="1" ht="21" customHeight="1">
      <c r="A211" s="136"/>
      <c r="B211" s="135"/>
      <c r="C211" s="134"/>
      <c r="D211" s="129" t="s">
        <v>519</v>
      </c>
      <c r="E211" s="128" t="s">
        <v>41</v>
      </c>
      <c r="F211" s="127">
        <v>2.9990000000000001</v>
      </c>
      <c r="G211" s="128" t="s">
        <v>467</v>
      </c>
      <c r="H211" s="127" t="s">
        <v>466</v>
      </c>
      <c r="I211" s="128" t="s">
        <v>42</v>
      </c>
      <c r="J211" s="127">
        <v>2356</v>
      </c>
      <c r="K211" s="123">
        <v>4521</v>
      </c>
      <c r="L211" s="123">
        <v>2000</v>
      </c>
      <c r="M211" s="123" t="s">
        <v>31</v>
      </c>
      <c r="N211" s="133">
        <v>11.8</v>
      </c>
      <c r="O211" s="23">
        <f>IF(N211&gt;0,1/N211*37.7*68.6,"")</f>
        <v>219.17118644067796</v>
      </c>
      <c r="P211" s="125">
        <v>10.35</v>
      </c>
      <c r="Q211" s="124" t="s">
        <v>63</v>
      </c>
      <c r="R211" s="123" t="s">
        <v>33</v>
      </c>
      <c r="S211" s="123" t="s">
        <v>34</v>
      </c>
      <c r="T211" s="123"/>
      <c r="U211" s="142"/>
      <c r="V211" s="28">
        <f>IFERROR(IF(N211&lt;P211,"",(ROUNDDOWN(N211/P211*100,0))),"")</f>
        <v>114</v>
      </c>
      <c r="W211" s="143"/>
    </row>
    <row r="212" spans="1:23" s="137" customFormat="1" ht="21" customHeight="1">
      <c r="A212" s="136"/>
      <c r="B212" s="135"/>
      <c r="C212" s="134"/>
      <c r="D212" s="129" t="s">
        <v>519</v>
      </c>
      <c r="E212" s="128" t="s">
        <v>41</v>
      </c>
      <c r="F212" s="127">
        <v>2.9990000000000001</v>
      </c>
      <c r="G212" s="128" t="s">
        <v>467</v>
      </c>
      <c r="H212" s="127" t="s">
        <v>466</v>
      </c>
      <c r="I212" s="128" t="s">
        <v>70</v>
      </c>
      <c r="J212" s="127">
        <v>2356</v>
      </c>
      <c r="K212" s="123">
        <v>4521</v>
      </c>
      <c r="L212" s="123">
        <v>2000</v>
      </c>
      <c r="M212" s="123" t="s">
        <v>31</v>
      </c>
      <c r="N212" s="133">
        <v>11.4</v>
      </c>
      <c r="O212" s="23">
        <f>IF(N212&gt;0,1/N212*37.7*68.6,"")</f>
        <v>226.8614035087719</v>
      </c>
      <c r="P212" s="125">
        <v>10.35</v>
      </c>
      <c r="Q212" s="124" t="s">
        <v>63</v>
      </c>
      <c r="R212" s="123" t="s">
        <v>33</v>
      </c>
      <c r="S212" s="123" t="s">
        <v>34</v>
      </c>
      <c r="T212" s="123"/>
      <c r="U212" s="142"/>
      <c r="V212" s="28">
        <f>IFERROR(IF(N212&lt;P212,"",(ROUNDDOWN(N212/P212*100,0))),"")</f>
        <v>110</v>
      </c>
      <c r="W212" s="143"/>
    </row>
    <row r="213" spans="1:23" s="137" customFormat="1" ht="21" customHeight="1">
      <c r="A213" s="136"/>
      <c r="B213" s="135"/>
      <c r="C213" s="134"/>
      <c r="D213" s="129" t="s">
        <v>518</v>
      </c>
      <c r="E213" s="128" t="s">
        <v>41</v>
      </c>
      <c r="F213" s="127">
        <v>2.9990000000000001</v>
      </c>
      <c r="G213" s="128">
        <v>375</v>
      </c>
      <c r="H213" s="127">
        <v>110</v>
      </c>
      <c r="I213" s="128" t="s">
        <v>70</v>
      </c>
      <c r="J213" s="127">
        <v>2356</v>
      </c>
      <c r="K213" s="123">
        <v>4521</v>
      </c>
      <c r="L213" s="123">
        <v>2000</v>
      </c>
      <c r="M213" s="123" t="s">
        <v>31</v>
      </c>
      <c r="N213" s="133">
        <v>11.8</v>
      </c>
      <c r="O213" s="23">
        <f>IF(N213&gt;0,1/N213*37.7*68.6,"")</f>
        <v>219.17118644067796</v>
      </c>
      <c r="P213" s="125">
        <v>10.35</v>
      </c>
      <c r="Q213" s="124" t="s">
        <v>43</v>
      </c>
      <c r="R213" s="123" t="s">
        <v>33</v>
      </c>
      <c r="S213" s="123" t="s">
        <v>34</v>
      </c>
      <c r="T213" s="123"/>
      <c r="U213" s="142"/>
      <c r="V213" s="28">
        <f>IFERROR(IF(N213&lt;P213,"",(ROUNDDOWN(N213/P213*100,0))),"")</f>
        <v>114</v>
      </c>
      <c r="W213" s="143"/>
    </row>
    <row r="214" spans="1:23" s="137" customFormat="1" ht="21" customHeight="1">
      <c r="A214" s="136"/>
      <c r="B214" s="135"/>
      <c r="C214" s="134"/>
      <c r="D214" s="129" t="s">
        <v>518</v>
      </c>
      <c r="E214" s="128" t="s">
        <v>41</v>
      </c>
      <c r="F214" s="127">
        <v>2.9990000000000001</v>
      </c>
      <c r="G214" s="128">
        <v>375</v>
      </c>
      <c r="H214" s="127">
        <v>110</v>
      </c>
      <c r="I214" s="128" t="s">
        <v>71</v>
      </c>
      <c r="J214" s="127">
        <v>2356</v>
      </c>
      <c r="K214" s="123">
        <v>4521</v>
      </c>
      <c r="L214" s="123">
        <v>2000</v>
      </c>
      <c r="M214" s="123" t="s">
        <v>31</v>
      </c>
      <c r="N214" s="133">
        <v>11.8</v>
      </c>
      <c r="O214" s="23">
        <f>IF(N214&gt;0,1/N214*37.7*68.6,"")</f>
        <v>219.17118644067796</v>
      </c>
      <c r="P214" s="125">
        <v>10.35</v>
      </c>
      <c r="Q214" s="124" t="s">
        <v>43</v>
      </c>
      <c r="R214" s="123" t="s">
        <v>33</v>
      </c>
      <c r="S214" s="123" t="s">
        <v>34</v>
      </c>
      <c r="T214" s="123"/>
      <c r="U214" s="142"/>
      <c r="V214" s="28">
        <f>IFERROR(IF(N214&lt;P214,"",(ROUNDDOWN(N214/P214*100,0))),"")</f>
        <v>114</v>
      </c>
      <c r="W214" s="143"/>
    </row>
    <row r="215" spans="1:23" s="137" customFormat="1" ht="21" customHeight="1">
      <c r="A215" s="136"/>
      <c r="B215" s="135"/>
      <c r="C215" s="134"/>
      <c r="D215" s="129" t="s">
        <v>518</v>
      </c>
      <c r="E215" s="128" t="s">
        <v>41</v>
      </c>
      <c r="F215" s="127">
        <v>2.9990000000000001</v>
      </c>
      <c r="G215" s="128">
        <v>375</v>
      </c>
      <c r="H215" s="127">
        <v>110</v>
      </c>
      <c r="I215" s="128" t="s">
        <v>70</v>
      </c>
      <c r="J215" s="127">
        <v>2356</v>
      </c>
      <c r="K215" s="123">
        <v>4521</v>
      </c>
      <c r="L215" s="123">
        <v>2000</v>
      </c>
      <c r="M215" s="123" t="s">
        <v>31</v>
      </c>
      <c r="N215" s="133">
        <v>11.4</v>
      </c>
      <c r="O215" s="23">
        <f>IF(N215&gt;0,1/N215*37.7*68.6,"")</f>
        <v>226.8614035087719</v>
      </c>
      <c r="P215" s="125">
        <v>10.35</v>
      </c>
      <c r="Q215" s="124" t="s">
        <v>63</v>
      </c>
      <c r="R215" s="123" t="s">
        <v>33</v>
      </c>
      <c r="S215" s="123" t="s">
        <v>34</v>
      </c>
      <c r="T215" s="123"/>
      <c r="U215" s="142"/>
      <c r="V215" s="28">
        <f>IFERROR(IF(N215&lt;P215,"",(ROUNDDOWN(N215/P215*100,0))),"")</f>
        <v>110</v>
      </c>
      <c r="W215" s="143"/>
    </row>
    <row r="216" spans="1:23" s="137" customFormat="1" ht="21" customHeight="1">
      <c r="A216" s="136"/>
      <c r="B216" s="135"/>
      <c r="C216" s="134"/>
      <c r="D216" s="129" t="s">
        <v>518</v>
      </c>
      <c r="E216" s="128" t="s">
        <v>41</v>
      </c>
      <c r="F216" s="127">
        <v>2.9990000000000001</v>
      </c>
      <c r="G216" s="128">
        <v>375</v>
      </c>
      <c r="H216" s="127">
        <v>110</v>
      </c>
      <c r="I216" s="128" t="s">
        <v>71</v>
      </c>
      <c r="J216" s="127">
        <v>2356</v>
      </c>
      <c r="K216" s="123">
        <v>4521</v>
      </c>
      <c r="L216" s="123">
        <v>2000</v>
      </c>
      <c r="M216" s="123" t="s">
        <v>31</v>
      </c>
      <c r="N216" s="133">
        <v>11.4</v>
      </c>
      <c r="O216" s="23">
        <f>IF(N216&gt;0,1/N216*37.7*68.6,"")</f>
        <v>226.8614035087719</v>
      </c>
      <c r="P216" s="125">
        <v>10.35</v>
      </c>
      <c r="Q216" s="124" t="s">
        <v>63</v>
      </c>
      <c r="R216" s="123" t="s">
        <v>33</v>
      </c>
      <c r="S216" s="123" t="s">
        <v>34</v>
      </c>
      <c r="T216" s="123"/>
      <c r="U216" s="142"/>
      <c r="V216" s="28">
        <f>IFERROR(IF(N216&lt;P216,"",(ROUNDDOWN(N216/P216*100,0))),"")</f>
        <v>110</v>
      </c>
      <c r="W216" s="121"/>
    </row>
    <row r="217" spans="1:23" s="137" customFormat="1" ht="21" customHeight="1">
      <c r="A217" s="136"/>
      <c r="B217" s="135"/>
      <c r="C217" s="134"/>
      <c r="D217" s="129" t="s">
        <v>517</v>
      </c>
      <c r="E217" s="128" t="s">
        <v>41</v>
      </c>
      <c r="F217" s="127">
        <v>2.9990000000000001</v>
      </c>
      <c r="G217" s="128">
        <v>375</v>
      </c>
      <c r="H217" s="127">
        <v>110</v>
      </c>
      <c r="I217" s="128" t="s">
        <v>70</v>
      </c>
      <c r="J217" s="127">
        <v>2356</v>
      </c>
      <c r="K217" s="123">
        <v>4521</v>
      </c>
      <c r="L217" s="123">
        <v>2000</v>
      </c>
      <c r="M217" s="123" t="s">
        <v>31</v>
      </c>
      <c r="N217" s="133">
        <v>11.8</v>
      </c>
      <c r="O217" s="23">
        <f>IF(N217&gt;0,1/N217*37.7*68.6,"")</f>
        <v>219.17118644067796</v>
      </c>
      <c r="P217" s="125">
        <v>10.35</v>
      </c>
      <c r="Q217" s="124" t="s">
        <v>43</v>
      </c>
      <c r="R217" s="123" t="s">
        <v>33</v>
      </c>
      <c r="S217" s="123" t="s">
        <v>34</v>
      </c>
      <c r="T217" s="123"/>
      <c r="U217" s="142"/>
      <c r="V217" s="28">
        <f>IFERROR(IF(N217&lt;P217,"",(ROUNDDOWN(N217/P217*100,0))),"")</f>
        <v>114</v>
      </c>
      <c r="W217" s="143"/>
    </row>
    <row r="218" spans="1:23" s="137" customFormat="1" ht="21" customHeight="1">
      <c r="A218" s="136"/>
      <c r="B218" s="135"/>
      <c r="C218" s="134"/>
      <c r="D218" s="129" t="s">
        <v>517</v>
      </c>
      <c r="E218" s="128" t="s">
        <v>41</v>
      </c>
      <c r="F218" s="127">
        <v>2.9990000000000001</v>
      </c>
      <c r="G218" s="128">
        <v>375</v>
      </c>
      <c r="H218" s="127">
        <v>110</v>
      </c>
      <c r="I218" s="128" t="s">
        <v>71</v>
      </c>
      <c r="J218" s="127">
        <v>2356</v>
      </c>
      <c r="K218" s="123">
        <v>4521</v>
      </c>
      <c r="L218" s="123">
        <v>2000</v>
      </c>
      <c r="M218" s="123" t="s">
        <v>31</v>
      </c>
      <c r="N218" s="133">
        <v>11.8</v>
      </c>
      <c r="O218" s="23">
        <f>IF(N218&gt;0,1/N218*37.7*68.6,"")</f>
        <v>219.17118644067796</v>
      </c>
      <c r="P218" s="125">
        <v>10.35</v>
      </c>
      <c r="Q218" s="124" t="s">
        <v>43</v>
      </c>
      <c r="R218" s="123" t="s">
        <v>33</v>
      </c>
      <c r="S218" s="123" t="s">
        <v>34</v>
      </c>
      <c r="T218" s="123"/>
      <c r="U218" s="142"/>
      <c r="V218" s="28">
        <f>IFERROR(IF(N218&lt;P218,"",(ROUNDDOWN(N218/P218*100,0))),"")</f>
        <v>114</v>
      </c>
      <c r="W218" s="143"/>
    </row>
    <row r="219" spans="1:23" s="137" customFormat="1" ht="21" customHeight="1">
      <c r="A219" s="136"/>
      <c r="B219" s="135"/>
      <c r="C219" s="134"/>
      <c r="D219" s="129" t="s">
        <v>517</v>
      </c>
      <c r="E219" s="128" t="s">
        <v>41</v>
      </c>
      <c r="F219" s="127">
        <v>2.9990000000000001</v>
      </c>
      <c r="G219" s="128">
        <v>375</v>
      </c>
      <c r="H219" s="127">
        <v>110</v>
      </c>
      <c r="I219" s="128" t="s">
        <v>70</v>
      </c>
      <c r="J219" s="127">
        <v>2356</v>
      </c>
      <c r="K219" s="123">
        <v>4521</v>
      </c>
      <c r="L219" s="123">
        <v>2000</v>
      </c>
      <c r="M219" s="123" t="s">
        <v>31</v>
      </c>
      <c r="N219" s="133">
        <v>11.4</v>
      </c>
      <c r="O219" s="23">
        <f>IF(N219&gt;0,1/N219*37.7*68.6,"")</f>
        <v>226.8614035087719</v>
      </c>
      <c r="P219" s="125">
        <v>10.35</v>
      </c>
      <c r="Q219" s="124" t="s">
        <v>63</v>
      </c>
      <c r="R219" s="123" t="s">
        <v>33</v>
      </c>
      <c r="S219" s="123" t="s">
        <v>34</v>
      </c>
      <c r="T219" s="123"/>
      <c r="U219" s="142"/>
      <c r="V219" s="28">
        <f>IFERROR(IF(N219&lt;P219,"",(ROUNDDOWN(N219/P219*100,0))),"")</f>
        <v>110</v>
      </c>
      <c r="W219" s="143"/>
    </row>
    <row r="220" spans="1:23" s="137" customFormat="1" ht="21" customHeight="1">
      <c r="A220" s="136"/>
      <c r="B220" s="135"/>
      <c r="C220" s="134"/>
      <c r="D220" s="129" t="s">
        <v>517</v>
      </c>
      <c r="E220" s="128" t="s">
        <v>41</v>
      </c>
      <c r="F220" s="127">
        <v>2.9990000000000001</v>
      </c>
      <c r="G220" s="128">
        <v>375</v>
      </c>
      <c r="H220" s="127">
        <v>110</v>
      </c>
      <c r="I220" s="128" t="s">
        <v>71</v>
      </c>
      <c r="J220" s="127">
        <v>2356</v>
      </c>
      <c r="K220" s="123">
        <v>4521</v>
      </c>
      <c r="L220" s="123">
        <v>2000</v>
      </c>
      <c r="M220" s="123" t="s">
        <v>31</v>
      </c>
      <c r="N220" s="133">
        <v>11.4</v>
      </c>
      <c r="O220" s="23">
        <f>IF(N220&gt;0,1/N220*37.7*68.6,"")</f>
        <v>226.8614035087719</v>
      </c>
      <c r="P220" s="125">
        <v>10.35</v>
      </c>
      <c r="Q220" s="124" t="s">
        <v>63</v>
      </c>
      <c r="R220" s="123" t="s">
        <v>33</v>
      </c>
      <c r="S220" s="123" t="s">
        <v>34</v>
      </c>
      <c r="T220" s="123"/>
      <c r="U220" s="142"/>
      <c r="V220" s="28">
        <f>IFERROR(IF(N220&lt;P220,"",(ROUNDDOWN(N220/P220*100,0))),"")</f>
        <v>110</v>
      </c>
      <c r="W220" s="121"/>
    </row>
    <row r="221" spans="1:23" s="137" customFormat="1" ht="21" customHeight="1">
      <c r="A221" s="136"/>
      <c r="B221" s="135"/>
      <c r="C221" s="134"/>
      <c r="D221" s="129" t="s">
        <v>516</v>
      </c>
      <c r="E221" s="128" t="s">
        <v>41</v>
      </c>
      <c r="F221" s="127">
        <v>2.9990000000000001</v>
      </c>
      <c r="G221" s="128">
        <v>375</v>
      </c>
      <c r="H221" s="127">
        <v>110</v>
      </c>
      <c r="I221" s="128" t="s">
        <v>70</v>
      </c>
      <c r="J221" s="127">
        <v>2356</v>
      </c>
      <c r="K221" s="123">
        <v>4521</v>
      </c>
      <c r="L221" s="123">
        <v>2000</v>
      </c>
      <c r="M221" s="123" t="s">
        <v>31</v>
      </c>
      <c r="N221" s="133">
        <v>11.8</v>
      </c>
      <c r="O221" s="23">
        <f>IF(N221&gt;0,1/N221*37.7*68.6,"")</f>
        <v>219.17118644067796</v>
      </c>
      <c r="P221" s="125">
        <v>10.35</v>
      </c>
      <c r="Q221" s="124" t="s">
        <v>43</v>
      </c>
      <c r="R221" s="123" t="s">
        <v>33</v>
      </c>
      <c r="S221" s="123" t="s">
        <v>34</v>
      </c>
      <c r="T221" s="123"/>
      <c r="U221" s="142"/>
      <c r="V221" s="28">
        <f>IFERROR(IF(N221&lt;P221,"",(ROUNDDOWN(N221/P221*100,0))),"")</f>
        <v>114</v>
      </c>
      <c r="W221" s="121"/>
    </row>
    <row r="222" spans="1:23" s="137" customFormat="1" ht="21" customHeight="1">
      <c r="A222" s="136"/>
      <c r="B222" s="135"/>
      <c r="C222" s="134"/>
      <c r="D222" s="129" t="s">
        <v>516</v>
      </c>
      <c r="E222" s="128" t="s">
        <v>41</v>
      </c>
      <c r="F222" s="127">
        <v>2.9990000000000001</v>
      </c>
      <c r="G222" s="128">
        <v>375</v>
      </c>
      <c r="H222" s="127">
        <v>110</v>
      </c>
      <c r="I222" s="128" t="s">
        <v>71</v>
      </c>
      <c r="J222" s="127">
        <v>2356</v>
      </c>
      <c r="K222" s="123">
        <v>4521</v>
      </c>
      <c r="L222" s="123">
        <v>2000</v>
      </c>
      <c r="M222" s="123" t="s">
        <v>31</v>
      </c>
      <c r="N222" s="133">
        <v>11.8</v>
      </c>
      <c r="O222" s="23">
        <f>IF(N222&gt;0,1/N222*37.7*68.6,"")</f>
        <v>219.17118644067796</v>
      </c>
      <c r="P222" s="125">
        <v>10.35</v>
      </c>
      <c r="Q222" s="124" t="s">
        <v>43</v>
      </c>
      <c r="R222" s="123" t="s">
        <v>33</v>
      </c>
      <c r="S222" s="123" t="s">
        <v>34</v>
      </c>
      <c r="T222" s="123"/>
      <c r="U222" s="142"/>
      <c r="V222" s="28">
        <f>IFERROR(IF(N222&lt;P222,"",(ROUNDDOWN(N222/P222*100,0))),"")</f>
        <v>114</v>
      </c>
      <c r="W222" s="121"/>
    </row>
    <row r="223" spans="1:23" s="137" customFormat="1" ht="21" customHeight="1">
      <c r="A223" s="136"/>
      <c r="B223" s="135"/>
      <c r="C223" s="134"/>
      <c r="D223" s="129" t="s">
        <v>516</v>
      </c>
      <c r="E223" s="128" t="s">
        <v>41</v>
      </c>
      <c r="F223" s="127">
        <v>2.9990000000000001</v>
      </c>
      <c r="G223" s="128">
        <v>375</v>
      </c>
      <c r="H223" s="127">
        <v>110</v>
      </c>
      <c r="I223" s="128" t="s">
        <v>70</v>
      </c>
      <c r="J223" s="127">
        <v>2356</v>
      </c>
      <c r="K223" s="123">
        <v>4521</v>
      </c>
      <c r="L223" s="123">
        <v>2000</v>
      </c>
      <c r="M223" s="123" t="s">
        <v>31</v>
      </c>
      <c r="N223" s="133">
        <v>11.4</v>
      </c>
      <c r="O223" s="23">
        <f>IF(N223&gt;0,1/N223*37.7*68.6,"")</f>
        <v>226.8614035087719</v>
      </c>
      <c r="P223" s="125">
        <v>10.35</v>
      </c>
      <c r="Q223" s="124" t="s">
        <v>63</v>
      </c>
      <c r="R223" s="123" t="s">
        <v>33</v>
      </c>
      <c r="S223" s="123" t="s">
        <v>34</v>
      </c>
      <c r="T223" s="123"/>
      <c r="U223" s="142"/>
      <c r="V223" s="28">
        <f>IFERROR(IF(N223&lt;P223,"",(ROUNDDOWN(N223/P223*100,0))),"")</f>
        <v>110</v>
      </c>
      <c r="W223" s="121"/>
    </row>
    <row r="224" spans="1:23" s="137" customFormat="1" ht="21" customHeight="1">
      <c r="A224" s="136"/>
      <c r="B224" s="135"/>
      <c r="C224" s="134"/>
      <c r="D224" s="129" t="s">
        <v>516</v>
      </c>
      <c r="E224" s="128" t="s">
        <v>41</v>
      </c>
      <c r="F224" s="127">
        <v>2.9990000000000001</v>
      </c>
      <c r="G224" s="128">
        <v>375</v>
      </c>
      <c r="H224" s="127">
        <v>110</v>
      </c>
      <c r="I224" s="128" t="s">
        <v>71</v>
      </c>
      <c r="J224" s="127">
        <v>2356</v>
      </c>
      <c r="K224" s="123">
        <v>4521</v>
      </c>
      <c r="L224" s="123">
        <v>2000</v>
      </c>
      <c r="M224" s="123" t="s">
        <v>31</v>
      </c>
      <c r="N224" s="133">
        <v>11.4</v>
      </c>
      <c r="O224" s="23">
        <f>IF(N224&gt;0,1/N224*37.7*68.6,"")</f>
        <v>226.8614035087719</v>
      </c>
      <c r="P224" s="125">
        <v>10.35</v>
      </c>
      <c r="Q224" s="124" t="s">
        <v>63</v>
      </c>
      <c r="R224" s="123" t="s">
        <v>33</v>
      </c>
      <c r="S224" s="123" t="s">
        <v>34</v>
      </c>
      <c r="T224" s="123"/>
      <c r="U224" s="142"/>
      <c r="V224" s="28">
        <f>IFERROR(IF(N224&lt;P224,"",(ROUNDDOWN(N224/P224*100,0))),"")</f>
        <v>110</v>
      </c>
      <c r="W224" s="121"/>
    </row>
    <row r="225" spans="1:23" s="137" customFormat="1" ht="21" customHeight="1">
      <c r="A225" s="136"/>
      <c r="B225" s="135"/>
      <c r="C225" s="134"/>
      <c r="D225" s="129" t="s">
        <v>515</v>
      </c>
      <c r="E225" s="128" t="s">
        <v>41</v>
      </c>
      <c r="F225" s="127">
        <v>2.9990000000000001</v>
      </c>
      <c r="G225" s="128">
        <v>375</v>
      </c>
      <c r="H225" s="127">
        <v>110</v>
      </c>
      <c r="I225" s="128" t="s">
        <v>70</v>
      </c>
      <c r="J225" s="127">
        <v>2356</v>
      </c>
      <c r="K225" s="123">
        <v>4521</v>
      </c>
      <c r="L225" s="123">
        <v>2000</v>
      </c>
      <c r="M225" s="123" t="s">
        <v>31</v>
      </c>
      <c r="N225" s="133">
        <v>11.8</v>
      </c>
      <c r="O225" s="23">
        <f>IF(N225&gt;0,1/N225*37.7*68.6,"")</f>
        <v>219.17118644067796</v>
      </c>
      <c r="P225" s="125">
        <v>10.35</v>
      </c>
      <c r="Q225" s="124" t="s">
        <v>43</v>
      </c>
      <c r="R225" s="123" t="s">
        <v>33</v>
      </c>
      <c r="S225" s="123" t="s">
        <v>110</v>
      </c>
      <c r="T225" s="123"/>
      <c r="U225" s="142"/>
      <c r="V225" s="28">
        <f>IFERROR(IF(N225&lt;P225,"",(ROUNDDOWN(N225/P225*100,0))),"")</f>
        <v>114</v>
      </c>
      <c r="W225" s="121"/>
    </row>
    <row r="226" spans="1:23" s="137" customFormat="1" ht="21" customHeight="1">
      <c r="A226" s="136"/>
      <c r="B226" s="135"/>
      <c r="C226" s="134"/>
      <c r="D226" s="129" t="s">
        <v>515</v>
      </c>
      <c r="E226" s="128" t="s">
        <v>41</v>
      </c>
      <c r="F226" s="127">
        <v>2.9990000000000001</v>
      </c>
      <c r="G226" s="128">
        <v>375</v>
      </c>
      <c r="H226" s="127">
        <v>110</v>
      </c>
      <c r="I226" s="128" t="s">
        <v>70</v>
      </c>
      <c r="J226" s="127">
        <v>2356</v>
      </c>
      <c r="K226" s="123">
        <v>4521</v>
      </c>
      <c r="L226" s="123">
        <v>2000</v>
      </c>
      <c r="M226" s="123" t="s">
        <v>31</v>
      </c>
      <c r="N226" s="133">
        <v>11.4</v>
      </c>
      <c r="O226" s="23">
        <f>IF(N226&gt;0,1/N226*37.7*68.6,"")</f>
        <v>226.8614035087719</v>
      </c>
      <c r="P226" s="125">
        <v>10.35</v>
      </c>
      <c r="Q226" s="124" t="s">
        <v>63</v>
      </c>
      <c r="R226" s="123" t="s">
        <v>33</v>
      </c>
      <c r="S226" s="123" t="s">
        <v>110</v>
      </c>
      <c r="T226" s="123"/>
      <c r="U226" s="142"/>
      <c r="V226" s="28">
        <f>IFERROR(IF(N226&lt;P226,"",(ROUNDDOWN(N226/P226*100,0))),"")</f>
        <v>110</v>
      </c>
      <c r="W226" s="121"/>
    </row>
    <row r="227" spans="1:23" s="137" customFormat="1" ht="21" customHeight="1">
      <c r="A227" s="136"/>
      <c r="B227" s="135"/>
      <c r="C227" s="134"/>
      <c r="D227" s="129" t="s">
        <v>514</v>
      </c>
      <c r="E227" s="128" t="s">
        <v>41</v>
      </c>
      <c r="F227" s="127">
        <v>2.9990000000000001</v>
      </c>
      <c r="G227" s="128" t="s">
        <v>467</v>
      </c>
      <c r="H227" s="127" t="s">
        <v>466</v>
      </c>
      <c r="I227" s="128" t="s">
        <v>71</v>
      </c>
      <c r="J227" s="127">
        <v>2356</v>
      </c>
      <c r="K227" s="123">
        <v>4521</v>
      </c>
      <c r="L227" s="123">
        <v>2000</v>
      </c>
      <c r="M227" s="123" t="s">
        <v>31</v>
      </c>
      <c r="N227" s="133">
        <v>11.8</v>
      </c>
      <c r="O227" s="23">
        <f>IF(N227&gt;0,1/N227*37.7*68.6,"")</f>
        <v>219.17118644067796</v>
      </c>
      <c r="P227" s="125">
        <v>10.35</v>
      </c>
      <c r="Q227" s="124" t="s">
        <v>43</v>
      </c>
      <c r="R227" s="123" t="s">
        <v>33</v>
      </c>
      <c r="S227" s="123" t="s">
        <v>34</v>
      </c>
      <c r="T227" s="123"/>
      <c r="U227" s="142"/>
      <c r="V227" s="28">
        <f>IFERROR(IF(N227&lt;P227,"",(ROUNDDOWN(N227/P227*100,0))),"")</f>
        <v>114</v>
      </c>
      <c r="W227" s="121"/>
    </row>
    <row r="228" spans="1:23" s="137" customFormat="1" ht="21" customHeight="1">
      <c r="A228" s="136"/>
      <c r="B228" s="135"/>
      <c r="C228" s="134"/>
      <c r="D228" s="129" t="s">
        <v>514</v>
      </c>
      <c r="E228" s="128" t="s">
        <v>41</v>
      </c>
      <c r="F228" s="127">
        <v>2.9990000000000001</v>
      </c>
      <c r="G228" s="128" t="s">
        <v>467</v>
      </c>
      <c r="H228" s="127" t="s">
        <v>466</v>
      </c>
      <c r="I228" s="128" t="s">
        <v>42</v>
      </c>
      <c r="J228" s="127">
        <v>2356</v>
      </c>
      <c r="K228" s="123">
        <v>4521</v>
      </c>
      <c r="L228" s="123">
        <v>2000</v>
      </c>
      <c r="M228" s="123" t="s">
        <v>31</v>
      </c>
      <c r="N228" s="133">
        <v>11.8</v>
      </c>
      <c r="O228" s="23">
        <f>IF(N228&gt;0,1/N228*37.7*68.6,"")</f>
        <v>219.17118644067796</v>
      </c>
      <c r="P228" s="125">
        <v>10.35</v>
      </c>
      <c r="Q228" s="124" t="s">
        <v>63</v>
      </c>
      <c r="R228" s="123" t="s">
        <v>33</v>
      </c>
      <c r="S228" s="123" t="s">
        <v>34</v>
      </c>
      <c r="T228" s="123"/>
      <c r="U228" s="142"/>
      <c r="V228" s="28">
        <f>IFERROR(IF(N228&lt;P228,"",(ROUNDDOWN(N228/P228*100,0))),"")</f>
        <v>114</v>
      </c>
      <c r="W228" s="121"/>
    </row>
    <row r="229" spans="1:23" s="137" customFormat="1" ht="21" customHeight="1">
      <c r="A229" s="136"/>
      <c r="B229" s="135"/>
      <c r="C229" s="134"/>
      <c r="D229" s="129" t="s">
        <v>514</v>
      </c>
      <c r="E229" s="128" t="s">
        <v>41</v>
      </c>
      <c r="F229" s="127">
        <v>2.9990000000000001</v>
      </c>
      <c r="G229" s="128" t="s">
        <v>467</v>
      </c>
      <c r="H229" s="127" t="s">
        <v>466</v>
      </c>
      <c r="I229" s="128" t="s">
        <v>71</v>
      </c>
      <c r="J229" s="127">
        <v>2356</v>
      </c>
      <c r="K229" s="123">
        <v>4521</v>
      </c>
      <c r="L229" s="123">
        <v>2000</v>
      </c>
      <c r="M229" s="123" t="s">
        <v>31</v>
      </c>
      <c r="N229" s="133">
        <v>11.4</v>
      </c>
      <c r="O229" s="23">
        <f>IF(N229&gt;0,1/N229*37.7*68.6,"")</f>
        <v>226.8614035087719</v>
      </c>
      <c r="P229" s="125">
        <v>10.35</v>
      </c>
      <c r="Q229" s="124" t="s">
        <v>63</v>
      </c>
      <c r="R229" s="123" t="s">
        <v>33</v>
      </c>
      <c r="S229" s="123" t="s">
        <v>34</v>
      </c>
      <c r="T229" s="123"/>
      <c r="U229" s="142"/>
      <c r="V229" s="28">
        <f>IFERROR(IF(N229&lt;P229,"",(ROUNDDOWN(N229/P229*100,0))),"")</f>
        <v>110</v>
      </c>
      <c r="W229" s="121"/>
    </row>
    <row r="230" spans="1:23" s="137" customFormat="1" ht="21" customHeight="1">
      <c r="A230" s="136"/>
      <c r="B230" s="135"/>
      <c r="C230" s="134"/>
      <c r="D230" s="129" t="s">
        <v>514</v>
      </c>
      <c r="E230" s="128" t="s">
        <v>41</v>
      </c>
      <c r="F230" s="127">
        <v>2.9990000000000001</v>
      </c>
      <c r="G230" s="128" t="s">
        <v>467</v>
      </c>
      <c r="H230" s="127" t="s">
        <v>466</v>
      </c>
      <c r="I230" s="128" t="s">
        <v>71</v>
      </c>
      <c r="J230" s="127">
        <v>2652</v>
      </c>
      <c r="K230" s="123">
        <v>5812</v>
      </c>
      <c r="L230" s="123">
        <v>2995</v>
      </c>
      <c r="M230" s="123" t="s">
        <v>31</v>
      </c>
      <c r="N230" s="133">
        <v>10.8</v>
      </c>
      <c r="O230" s="23">
        <f>IF(N230&gt;0,1/N230*37.7*68.6,"")</f>
        <v>239.46481481481482</v>
      </c>
      <c r="P230" s="125">
        <v>9.51</v>
      </c>
      <c r="Q230" s="124" t="s">
        <v>43</v>
      </c>
      <c r="R230" s="123" t="s">
        <v>33</v>
      </c>
      <c r="S230" s="123" t="s">
        <v>34</v>
      </c>
      <c r="T230" s="123"/>
      <c r="U230" s="142"/>
      <c r="V230" s="28">
        <f>IFERROR(IF(N230&lt;P230,"",(ROUNDDOWN(N230/P230*100,0))),"")</f>
        <v>113</v>
      </c>
      <c r="W230" s="121"/>
    </row>
    <row r="231" spans="1:23" s="137" customFormat="1" ht="21" customHeight="1">
      <c r="A231" s="136"/>
      <c r="B231" s="135"/>
      <c r="C231" s="134"/>
      <c r="D231" s="129" t="s">
        <v>514</v>
      </c>
      <c r="E231" s="128" t="s">
        <v>41</v>
      </c>
      <c r="F231" s="127">
        <v>2.9990000000000001</v>
      </c>
      <c r="G231" s="128" t="s">
        <v>464</v>
      </c>
      <c r="H231" s="127" t="s">
        <v>463</v>
      </c>
      <c r="I231" s="128" t="s">
        <v>71</v>
      </c>
      <c r="J231" s="127">
        <v>2652</v>
      </c>
      <c r="K231" s="123">
        <v>5812</v>
      </c>
      <c r="L231" s="123">
        <v>2995</v>
      </c>
      <c r="M231" s="123" t="s">
        <v>31</v>
      </c>
      <c r="N231" s="133">
        <v>10.8</v>
      </c>
      <c r="O231" s="23">
        <f>IF(N231&gt;0,1/N231*37.7*68.6,"")</f>
        <v>239.46481481481482</v>
      </c>
      <c r="P231" s="125">
        <v>9.51</v>
      </c>
      <c r="Q231" s="124" t="s">
        <v>43</v>
      </c>
      <c r="R231" s="123" t="s">
        <v>33</v>
      </c>
      <c r="S231" s="123" t="s">
        <v>34</v>
      </c>
      <c r="T231" s="123"/>
      <c r="U231" s="142"/>
      <c r="V231" s="28">
        <f>IFERROR(IF(N231&lt;P231,"",(ROUNDDOWN(N231/P231*100,0))),"")</f>
        <v>113</v>
      </c>
      <c r="W231" s="121"/>
    </row>
    <row r="232" spans="1:23" s="137" customFormat="1" ht="21" customHeight="1">
      <c r="A232" s="136"/>
      <c r="B232" s="135"/>
      <c r="C232" s="134"/>
      <c r="D232" s="129" t="s">
        <v>514</v>
      </c>
      <c r="E232" s="128" t="s">
        <v>41</v>
      </c>
      <c r="F232" s="127">
        <v>2.9990000000000001</v>
      </c>
      <c r="G232" s="128" t="s">
        <v>467</v>
      </c>
      <c r="H232" s="127" t="s">
        <v>466</v>
      </c>
      <c r="I232" s="128" t="s">
        <v>42</v>
      </c>
      <c r="J232" s="127">
        <v>2652</v>
      </c>
      <c r="K232" s="123">
        <v>5812</v>
      </c>
      <c r="L232" s="123">
        <v>2995</v>
      </c>
      <c r="M232" s="123" t="s">
        <v>31</v>
      </c>
      <c r="N232" s="133">
        <v>10.8</v>
      </c>
      <c r="O232" s="23">
        <f>IF(N232&gt;0,1/N232*37.7*68.6,"")</f>
        <v>239.46481481481482</v>
      </c>
      <c r="P232" s="125">
        <v>9.51</v>
      </c>
      <c r="Q232" s="124" t="s">
        <v>63</v>
      </c>
      <c r="R232" s="123" t="s">
        <v>33</v>
      </c>
      <c r="S232" s="123" t="s">
        <v>34</v>
      </c>
      <c r="T232" s="123"/>
      <c r="U232" s="142"/>
      <c r="V232" s="28">
        <f>IFERROR(IF(N232&lt;P232,"",(ROUNDDOWN(N232/P232*100,0))),"")</f>
        <v>113</v>
      </c>
      <c r="W232" s="121"/>
    </row>
    <row r="233" spans="1:23" s="137" customFormat="1" ht="21" customHeight="1">
      <c r="A233" s="136"/>
      <c r="B233" s="135"/>
      <c r="C233" s="134"/>
      <c r="D233" s="129" t="s">
        <v>514</v>
      </c>
      <c r="E233" s="128" t="s">
        <v>41</v>
      </c>
      <c r="F233" s="127">
        <v>2.9990000000000001</v>
      </c>
      <c r="G233" s="128" t="s">
        <v>464</v>
      </c>
      <c r="H233" s="127" t="s">
        <v>463</v>
      </c>
      <c r="I233" s="128" t="s">
        <v>42</v>
      </c>
      <c r="J233" s="127">
        <v>2652</v>
      </c>
      <c r="K233" s="123">
        <v>5812</v>
      </c>
      <c r="L233" s="123">
        <v>2995</v>
      </c>
      <c r="M233" s="123" t="s">
        <v>31</v>
      </c>
      <c r="N233" s="133">
        <v>10.8</v>
      </c>
      <c r="O233" s="23">
        <f>IF(N233&gt;0,1/N233*37.7*68.6,"")</f>
        <v>239.46481481481482</v>
      </c>
      <c r="P233" s="125">
        <v>9.51</v>
      </c>
      <c r="Q233" s="124" t="s">
        <v>63</v>
      </c>
      <c r="R233" s="123" t="s">
        <v>33</v>
      </c>
      <c r="S233" s="123" t="s">
        <v>34</v>
      </c>
      <c r="T233" s="123"/>
      <c r="U233" s="142"/>
      <c r="V233" s="28">
        <f>IFERROR(IF(N233&lt;P233,"",(ROUNDDOWN(N233/P233*100,0))),"")</f>
        <v>113</v>
      </c>
      <c r="W233" s="121"/>
    </row>
    <row r="234" spans="1:23" s="137" customFormat="1" ht="21" customHeight="1">
      <c r="A234" s="136"/>
      <c r="B234" s="135"/>
      <c r="C234" s="134"/>
      <c r="D234" s="129" t="s">
        <v>514</v>
      </c>
      <c r="E234" s="128" t="s">
        <v>41</v>
      </c>
      <c r="F234" s="127">
        <v>2.9990000000000001</v>
      </c>
      <c r="G234" s="128" t="s">
        <v>467</v>
      </c>
      <c r="H234" s="127" t="s">
        <v>466</v>
      </c>
      <c r="I234" s="128" t="s">
        <v>71</v>
      </c>
      <c r="J234" s="127">
        <v>2652</v>
      </c>
      <c r="K234" s="123">
        <v>5812</v>
      </c>
      <c r="L234" s="123">
        <v>2995</v>
      </c>
      <c r="M234" s="123" t="s">
        <v>31</v>
      </c>
      <c r="N234" s="133">
        <v>10.6</v>
      </c>
      <c r="O234" s="23">
        <f>IF(N234&gt;0,1/N234*37.7*68.6,"")</f>
        <v>243.98301886792456</v>
      </c>
      <c r="P234" s="125">
        <v>9.51</v>
      </c>
      <c r="Q234" s="124" t="s">
        <v>63</v>
      </c>
      <c r="R234" s="123" t="s">
        <v>33</v>
      </c>
      <c r="S234" s="123" t="s">
        <v>34</v>
      </c>
      <c r="T234" s="123"/>
      <c r="U234" s="142"/>
      <c r="V234" s="28">
        <f>IFERROR(IF(N234&lt;P234,"",(ROUNDDOWN(N234/P234*100,0))),"")</f>
        <v>111</v>
      </c>
      <c r="W234" s="121"/>
    </row>
    <row r="235" spans="1:23" s="137" customFormat="1" ht="21" customHeight="1">
      <c r="A235" s="136"/>
      <c r="B235" s="135"/>
      <c r="C235" s="134"/>
      <c r="D235" s="129" t="s">
        <v>514</v>
      </c>
      <c r="E235" s="128" t="s">
        <v>41</v>
      </c>
      <c r="F235" s="127">
        <v>2.9990000000000001</v>
      </c>
      <c r="G235" s="128" t="s">
        <v>467</v>
      </c>
      <c r="H235" s="127" t="s">
        <v>466</v>
      </c>
      <c r="I235" s="128" t="s">
        <v>42</v>
      </c>
      <c r="J235" s="127">
        <v>2979</v>
      </c>
      <c r="K235" s="123">
        <v>6893</v>
      </c>
      <c r="L235" s="123">
        <v>3749</v>
      </c>
      <c r="M235" s="123" t="s">
        <v>31</v>
      </c>
      <c r="N235" s="133">
        <v>9.1999999999999993</v>
      </c>
      <c r="O235" s="23">
        <f>IF(N235&gt;0,1/N235*37.7*68.6,"")</f>
        <v>281.1108695652174</v>
      </c>
      <c r="P235" s="125">
        <v>8.1199999999999992</v>
      </c>
      <c r="Q235" s="124" t="s">
        <v>43</v>
      </c>
      <c r="R235" s="123" t="s">
        <v>33</v>
      </c>
      <c r="S235" s="123" t="s">
        <v>34</v>
      </c>
      <c r="T235" s="123"/>
      <c r="U235" s="142"/>
      <c r="V235" s="28">
        <f>IFERROR(IF(N235&lt;P235,"",(ROUNDDOWN(N235/P235*100,0))),"")</f>
        <v>113</v>
      </c>
      <c r="W235" s="121"/>
    </row>
    <row r="236" spans="1:23" s="137" customFormat="1" ht="21" customHeight="1">
      <c r="A236" s="136"/>
      <c r="B236" s="135"/>
      <c r="C236" s="134"/>
      <c r="D236" s="129" t="s">
        <v>514</v>
      </c>
      <c r="E236" s="128" t="s">
        <v>41</v>
      </c>
      <c r="F236" s="127">
        <v>2.9990000000000001</v>
      </c>
      <c r="G236" s="128" t="s">
        <v>464</v>
      </c>
      <c r="H236" s="127" t="s">
        <v>463</v>
      </c>
      <c r="I236" s="128" t="s">
        <v>42</v>
      </c>
      <c r="J236" s="127">
        <v>2979</v>
      </c>
      <c r="K236" s="123">
        <v>6893</v>
      </c>
      <c r="L236" s="123">
        <v>3749</v>
      </c>
      <c r="M236" s="123" t="s">
        <v>31</v>
      </c>
      <c r="N236" s="133">
        <v>9.1999999999999993</v>
      </c>
      <c r="O236" s="23">
        <f>IF(N236&gt;0,1/N236*37.7*68.6,"")</f>
        <v>281.1108695652174</v>
      </c>
      <c r="P236" s="125">
        <v>8.1199999999999992</v>
      </c>
      <c r="Q236" s="124" t="s">
        <v>43</v>
      </c>
      <c r="R236" s="123" t="s">
        <v>33</v>
      </c>
      <c r="S236" s="123" t="s">
        <v>34</v>
      </c>
      <c r="T236" s="123"/>
      <c r="U236" s="142"/>
      <c r="V236" s="28">
        <f>IFERROR(IF(N236&lt;P236,"",(ROUNDDOWN(N236/P236*100,0))),"")</f>
        <v>113</v>
      </c>
      <c r="W236" s="121"/>
    </row>
    <row r="237" spans="1:23" s="137" customFormat="1" ht="21" customHeight="1">
      <c r="A237" s="136"/>
      <c r="B237" s="135"/>
      <c r="C237" s="134"/>
      <c r="D237" s="129" t="s">
        <v>514</v>
      </c>
      <c r="E237" s="128" t="s">
        <v>41</v>
      </c>
      <c r="F237" s="127">
        <v>2.9990000000000001</v>
      </c>
      <c r="G237" s="128" t="s">
        <v>467</v>
      </c>
      <c r="H237" s="127" t="s">
        <v>466</v>
      </c>
      <c r="I237" s="128" t="s">
        <v>71</v>
      </c>
      <c r="J237" s="127">
        <v>2979</v>
      </c>
      <c r="K237" s="123">
        <v>6893</v>
      </c>
      <c r="L237" s="123">
        <v>3749</v>
      </c>
      <c r="M237" s="123" t="s">
        <v>31</v>
      </c>
      <c r="N237" s="133">
        <v>9</v>
      </c>
      <c r="O237" s="23">
        <f>IF(N237&gt;0,1/N237*37.7*68.6,"")</f>
        <v>287.35777777777776</v>
      </c>
      <c r="P237" s="125">
        <v>8.1199999999999992</v>
      </c>
      <c r="Q237" s="124" t="s">
        <v>43</v>
      </c>
      <c r="R237" s="123" t="s">
        <v>33</v>
      </c>
      <c r="S237" s="123" t="s">
        <v>34</v>
      </c>
      <c r="T237" s="123"/>
      <c r="U237" s="142"/>
      <c r="V237" s="28">
        <f>IFERROR(IF(N237&lt;P237,"",(ROUNDDOWN(N237/P237*100,0))),"")</f>
        <v>110</v>
      </c>
      <c r="W237" s="143"/>
    </row>
    <row r="238" spans="1:23" s="137" customFormat="1" ht="21" customHeight="1">
      <c r="A238" s="136"/>
      <c r="B238" s="135"/>
      <c r="C238" s="134"/>
      <c r="D238" s="129" t="s">
        <v>514</v>
      </c>
      <c r="E238" s="128" t="s">
        <v>41</v>
      </c>
      <c r="F238" s="127">
        <v>2.9990000000000001</v>
      </c>
      <c r="G238" s="128" t="s">
        <v>464</v>
      </c>
      <c r="H238" s="127" t="s">
        <v>463</v>
      </c>
      <c r="I238" s="128" t="s">
        <v>71</v>
      </c>
      <c r="J238" s="127">
        <v>2979</v>
      </c>
      <c r="K238" s="123">
        <v>6893</v>
      </c>
      <c r="L238" s="123">
        <v>3749</v>
      </c>
      <c r="M238" s="123" t="s">
        <v>31</v>
      </c>
      <c r="N238" s="133">
        <v>9</v>
      </c>
      <c r="O238" s="23">
        <f>IF(N238&gt;0,1/N238*37.7*68.6,"")</f>
        <v>287.35777777777776</v>
      </c>
      <c r="P238" s="125">
        <v>8.1199999999999992</v>
      </c>
      <c r="Q238" s="124" t="s">
        <v>43</v>
      </c>
      <c r="R238" s="123" t="s">
        <v>33</v>
      </c>
      <c r="S238" s="123" t="s">
        <v>34</v>
      </c>
      <c r="T238" s="123"/>
      <c r="U238" s="142"/>
      <c r="V238" s="28">
        <f>IFERROR(IF(N238&lt;P238,"",(ROUNDDOWN(N238/P238*100,0))),"")</f>
        <v>110</v>
      </c>
      <c r="W238" s="143"/>
    </row>
    <row r="239" spans="1:23" s="137" customFormat="1" ht="21" customHeight="1">
      <c r="A239" s="136"/>
      <c r="B239" s="135"/>
      <c r="C239" s="134"/>
      <c r="D239" s="129" t="s">
        <v>514</v>
      </c>
      <c r="E239" s="128" t="s">
        <v>41</v>
      </c>
      <c r="F239" s="127">
        <v>2.9990000000000001</v>
      </c>
      <c r="G239" s="128" t="s">
        <v>467</v>
      </c>
      <c r="H239" s="127" t="s">
        <v>466</v>
      </c>
      <c r="I239" s="128" t="s">
        <v>42</v>
      </c>
      <c r="J239" s="127">
        <v>2979</v>
      </c>
      <c r="K239" s="123">
        <v>6893</v>
      </c>
      <c r="L239" s="123">
        <v>3749</v>
      </c>
      <c r="M239" s="123" t="s">
        <v>31</v>
      </c>
      <c r="N239" s="133">
        <v>9</v>
      </c>
      <c r="O239" s="23">
        <f>IF(N239&gt;0,1/N239*37.7*68.6,"")</f>
        <v>287.35777777777776</v>
      </c>
      <c r="P239" s="125">
        <v>8.1199999999999992</v>
      </c>
      <c r="Q239" s="124" t="s">
        <v>63</v>
      </c>
      <c r="R239" s="123" t="s">
        <v>33</v>
      </c>
      <c r="S239" s="123" t="s">
        <v>34</v>
      </c>
      <c r="T239" s="123"/>
      <c r="U239" s="142"/>
      <c r="V239" s="28">
        <f>IFERROR(IF(N239&lt;P239,"",(ROUNDDOWN(N239/P239*100,0))),"")</f>
        <v>110</v>
      </c>
      <c r="W239" s="121"/>
    </row>
    <row r="240" spans="1:23" s="137" customFormat="1" ht="21" customHeight="1">
      <c r="A240" s="136"/>
      <c r="B240" s="135"/>
      <c r="C240" s="134"/>
      <c r="D240" s="129" t="s">
        <v>514</v>
      </c>
      <c r="E240" s="128" t="s">
        <v>41</v>
      </c>
      <c r="F240" s="127">
        <v>2.9990000000000001</v>
      </c>
      <c r="G240" s="128" t="s">
        <v>464</v>
      </c>
      <c r="H240" s="127" t="s">
        <v>463</v>
      </c>
      <c r="I240" s="128" t="s">
        <v>42</v>
      </c>
      <c r="J240" s="127">
        <v>2979</v>
      </c>
      <c r="K240" s="123">
        <v>6893</v>
      </c>
      <c r="L240" s="123">
        <v>3749</v>
      </c>
      <c r="M240" s="123" t="s">
        <v>31</v>
      </c>
      <c r="N240" s="133">
        <v>9</v>
      </c>
      <c r="O240" s="23">
        <f>IF(N240&gt;0,1/N240*37.7*68.6,"")</f>
        <v>287.35777777777776</v>
      </c>
      <c r="P240" s="125">
        <v>8.1199999999999992</v>
      </c>
      <c r="Q240" s="124" t="s">
        <v>63</v>
      </c>
      <c r="R240" s="123" t="s">
        <v>33</v>
      </c>
      <c r="S240" s="123" t="s">
        <v>34</v>
      </c>
      <c r="T240" s="123"/>
      <c r="U240" s="142"/>
      <c r="V240" s="28">
        <f>IFERROR(IF(N240&lt;P240,"",(ROUNDDOWN(N240/P240*100,0))),"")</f>
        <v>110</v>
      </c>
      <c r="W240" s="121"/>
    </row>
    <row r="241" spans="1:23" s="137" customFormat="1" ht="21" customHeight="1">
      <c r="A241" s="136"/>
      <c r="B241" s="139"/>
      <c r="C241" s="134"/>
      <c r="D241" s="129" t="s">
        <v>513</v>
      </c>
      <c r="E241" s="128" t="s">
        <v>41</v>
      </c>
      <c r="F241" s="127">
        <v>2.9990000000000001</v>
      </c>
      <c r="G241" s="128" t="s">
        <v>467</v>
      </c>
      <c r="H241" s="127" t="s">
        <v>466</v>
      </c>
      <c r="I241" s="128" t="s">
        <v>71</v>
      </c>
      <c r="J241" s="127">
        <v>2356</v>
      </c>
      <c r="K241" s="123">
        <v>4521</v>
      </c>
      <c r="L241" s="123">
        <v>2000</v>
      </c>
      <c r="M241" s="123" t="s">
        <v>31</v>
      </c>
      <c r="N241" s="133">
        <v>11.8</v>
      </c>
      <c r="O241" s="23">
        <f>IF(N241&gt;0,1/N241*37.7*68.6,"")</f>
        <v>219.17118644067796</v>
      </c>
      <c r="P241" s="125">
        <v>10.35</v>
      </c>
      <c r="Q241" s="124" t="s">
        <v>43</v>
      </c>
      <c r="R241" s="123" t="s">
        <v>33</v>
      </c>
      <c r="S241" s="123" t="s">
        <v>34</v>
      </c>
      <c r="T241" s="123"/>
      <c r="U241" s="142"/>
      <c r="V241" s="28">
        <f>IFERROR(IF(N241&lt;P241,"",(ROUNDDOWN(N241/P241*100,0))),"")</f>
        <v>114</v>
      </c>
      <c r="W241" s="121"/>
    </row>
    <row r="242" spans="1:23" s="137" customFormat="1" ht="21" customHeight="1">
      <c r="A242" s="136"/>
      <c r="B242" s="139"/>
      <c r="C242" s="134"/>
      <c r="D242" s="129" t="s">
        <v>513</v>
      </c>
      <c r="E242" s="128" t="s">
        <v>41</v>
      </c>
      <c r="F242" s="127">
        <v>2.9990000000000001</v>
      </c>
      <c r="G242" s="128" t="s">
        <v>467</v>
      </c>
      <c r="H242" s="127" t="s">
        <v>466</v>
      </c>
      <c r="I242" s="128" t="s">
        <v>42</v>
      </c>
      <c r="J242" s="127">
        <v>2356</v>
      </c>
      <c r="K242" s="123">
        <v>4521</v>
      </c>
      <c r="L242" s="123">
        <v>2000</v>
      </c>
      <c r="M242" s="123" t="s">
        <v>31</v>
      </c>
      <c r="N242" s="133">
        <v>11.8</v>
      </c>
      <c r="O242" s="23">
        <f>IF(N242&gt;0,1/N242*37.7*68.6,"")</f>
        <v>219.17118644067796</v>
      </c>
      <c r="P242" s="125">
        <v>10.35</v>
      </c>
      <c r="Q242" s="124" t="s">
        <v>63</v>
      </c>
      <c r="R242" s="123" t="s">
        <v>33</v>
      </c>
      <c r="S242" s="123" t="s">
        <v>34</v>
      </c>
      <c r="T242" s="123"/>
      <c r="U242" s="142"/>
      <c r="V242" s="28">
        <f>IFERROR(IF(N242&lt;P242,"",(ROUNDDOWN(N242/P242*100,0))),"")</f>
        <v>114</v>
      </c>
      <c r="W242" s="121"/>
    </row>
    <row r="243" spans="1:23" s="137" customFormat="1" ht="21" customHeight="1">
      <c r="A243" s="136"/>
      <c r="B243" s="135"/>
      <c r="C243" s="134"/>
      <c r="D243" s="129" t="s">
        <v>513</v>
      </c>
      <c r="E243" s="128" t="s">
        <v>41</v>
      </c>
      <c r="F243" s="127">
        <v>2.9990000000000001</v>
      </c>
      <c r="G243" s="128" t="s">
        <v>467</v>
      </c>
      <c r="H243" s="127" t="s">
        <v>466</v>
      </c>
      <c r="I243" s="128" t="s">
        <v>71</v>
      </c>
      <c r="J243" s="127">
        <v>2356</v>
      </c>
      <c r="K243" s="123">
        <v>4521</v>
      </c>
      <c r="L243" s="123">
        <v>2000</v>
      </c>
      <c r="M243" s="123" t="s">
        <v>31</v>
      </c>
      <c r="N243" s="133">
        <v>11.4</v>
      </c>
      <c r="O243" s="23">
        <f>IF(N243&gt;0,1/N243*37.7*68.6,"")</f>
        <v>226.8614035087719</v>
      </c>
      <c r="P243" s="125">
        <v>10.35</v>
      </c>
      <c r="Q243" s="124" t="s">
        <v>63</v>
      </c>
      <c r="R243" s="123" t="s">
        <v>33</v>
      </c>
      <c r="S243" s="123" t="s">
        <v>34</v>
      </c>
      <c r="T243" s="123"/>
      <c r="U243" s="142"/>
      <c r="V243" s="28">
        <f>IFERROR(IF(N243&lt;P243,"",(ROUNDDOWN(N243/P243*100,0))),"")</f>
        <v>110</v>
      </c>
      <c r="W243" s="121"/>
    </row>
    <row r="244" spans="1:23" s="137" customFormat="1" ht="21" customHeight="1">
      <c r="A244" s="136"/>
      <c r="B244" s="135"/>
      <c r="C244" s="134"/>
      <c r="D244" s="129" t="s">
        <v>513</v>
      </c>
      <c r="E244" s="128" t="s">
        <v>41</v>
      </c>
      <c r="F244" s="127">
        <v>2.9990000000000001</v>
      </c>
      <c r="G244" s="128" t="s">
        <v>467</v>
      </c>
      <c r="H244" s="127" t="s">
        <v>466</v>
      </c>
      <c r="I244" s="128" t="s">
        <v>71</v>
      </c>
      <c r="J244" s="127">
        <v>2652</v>
      </c>
      <c r="K244" s="123">
        <v>5812</v>
      </c>
      <c r="L244" s="123">
        <v>2995</v>
      </c>
      <c r="M244" s="123" t="s">
        <v>31</v>
      </c>
      <c r="N244" s="133">
        <v>10.8</v>
      </c>
      <c r="O244" s="23">
        <f>IF(N244&gt;0,1/N244*37.7*68.6,"")</f>
        <v>239.46481481481482</v>
      </c>
      <c r="P244" s="125">
        <v>9.51</v>
      </c>
      <c r="Q244" s="124" t="s">
        <v>43</v>
      </c>
      <c r="R244" s="123" t="s">
        <v>33</v>
      </c>
      <c r="S244" s="123" t="s">
        <v>34</v>
      </c>
      <c r="T244" s="123"/>
      <c r="U244" s="142"/>
      <c r="V244" s="28">
        <f>IFERROR(IF(N244&lt;P244,"",(ROUNDDOWN(N244/P244*100,0))),"")</f>
        <v>113</v>
      </c>
      <c r="W244" s="121"/>
    </row>
    <row r="245" spans="1:23" s="137" customFormat="1" ht="21" customHeight="1">
      <c r="A245" s="136"/>
      <c r="B245" s="135"/>
      <c r="C245" s="134"/>
      <c r="D245" s="129" t="s">
        <v>513</v>
      </c>
      <c r="E245" s="128" t="s">
        <v>41</v>
      </c>
      <c r="F245" s="127">
        <v>2.9990000000000001</v>
      </c>
      <c r="G245" s="128" t="s">
        <v>464</v>
      </c>
      <c r="H245" s="127" t="s">
        <v>463</v>
      </c>
      <c r="I245" s="128" t="s">
        <v>71</v>
      </c>
      <c r="J245" s="127">
        <v>2652</v>
      </c>
      <c r="K245" s="123">
        <v>5812</v>
      </c>
      <c r="L245" s="123">
        <v>2995</v>
      </c>
      <c r="M245" s="123" t="s">
        <v>31</v>
      </c>
      <c r="N245" s="133">
        <v>10.8</v>
      </c>
      <c r="O245" s="23">
        <f>IF(N245&gt;0,1/N245*37.7*68.6,"")</f>
        <v>239.46481481481482</v>
      </c>
      <c r="P245" s="125">
        <v>9.51</v>
      </c>
      <c r="Q245" s="124" t="s">
        <v>43</v>
      </c>
      <c r="R245" s="123" t="s">
        <v>33</v>
      </c>
      <c r="S245" s="123" t="s">
        <v>34</v>
      </c>
      <c r="T245" s="123"/>
      <c r="U245" s="142"/>
      <c r="V245" s="28">
        <f>IFERROR(IF(N245&lt;P245,"",(ROUNDDOWN(N245/P245*100,0))),"")</f>
        <v>113</v>
      </c>
      <c r="W245" s="121"/>
    </row>
    <row r="246" spans="1:23" s="137" customFormat="1" ht="21" customHeight="1">
      <c r="A246" s="136"/>
      <c r="B246" s="135"/>
      <c r="C246" s="134"/>
      <c r="D246" s="129" t="s">
        <v>513</v>
      </c>
      <c r="E246" s="128" t="s">
        <v>41</v>
      </c>
      <c r="F246" s="127">
        <v>2.9990000000000001</v>
      </c>
      <c r="G246" s="128" t="s">
        <v>467</v>
      </c>
      <c r="H246" s="127" t="s">
        <v>466</v>
      </c>
      <c r="I246" s="128" t="s">
        <v>42</v>
      </c>
      <c r="J246" s="127">
        <v>2652</v>
      </c>
      <c r="K246" s="123">
        <v>5812</v>
      </c>
      <c r="L246" s="123">
        <v>2995</v>
      </c>
      <c r="M246" s="123" t="s">
        <v>31</v>
      </c>
      <c r="N246" s="133">
        <v>10.8</v>
      </c>
      <c r="O246" s="23">
        <f>IF(N246&gt;0,1/N246*37.7*68.6,"")</f>
        <v>239.46481481481482</v>
      </c>
      <c r="P246" s="125">
        <v>9.51</v>
      </c>
      <c r="Q246" s="124" t="s">
        <v>63</v>
      </c>
      <c r="R246" s="123" t="s">
        <v>33</v>
      </c>
      <c r="S246" s="123" t="s">
        <v>34</v>
      </c>
      <c r="T246" s="123"/>
      <c r="U246" s="142"/>
      <c r="V246" s="28">
        <f>IFERROR(IF(N246&lt;P246,"",(ROUNDDOWN(N246/P246*100,0))),"")</f>
        <v>113</v>
      </c>
      <c r="W246" s="121"/>
    </row>
    <row r="247" spans="1:23" s="137" customFormat="1" ht="21" customHeight="1">
      <c r="A247" s="136"/>
      <c r="B247" s="135"/>
      <c r="C247" s="134"/>
      <c r="D247" s="129" t="s">
        <v>513</v>
      </c>
      <c r="E247" s="128" t="s">
        <v>41</v>
      </c>
      <c r="F247" s="127">
        <v>2.9990000000000001</v>
      </c>
      <c r="G247" s="128" t="s">
        <v>464</v>
      </c>
      <c r="H247" s="127" t="s">
        <v>463</v>
      </c>
      <c r="I247" s="128" t="s">
        <v>42</v>
      </c>
      <c r="J247" s="127">
        <v>2652</v>
      </c>
      <c r="K247" s="123">
        <v>5812</v>
      </c>
      <c r="L247" s="123">
        <v>2995</v>
      </c>
      <c r="M247" s="123" t="s">
        <v>31</v>
      </c>
      <c r="N247" s="133">
        <v>10.8</v>
      </c>
      <c r="O247" s="23">
        <f>IF(N247&gt;0,1/N247*37.7*68.6,"")</f>
        <v>239.46481481481482</v>
      </c>
      <c r="P247" s="125">
        <v>9.51</v>
      </c>
      <c r="Q247" s="124" t="s">
        <v>63</v>
      </c>
      <c r="R247" s="123" t="s">
        <v>33</v>
      </c>
      <c r="S247" s="123" t="s">
        <v>34</v>
      </c>
      <c r="T247" s="123"/>
      <c r="U247" s="142"/>
      <c r="V247" s="28">
        <f>IFERROR(IF(N247&lt;P247,"",(ROUNDDOWN(N247/P247*100,0))),"")</f>
        <v>113</v>
      </c>
      <c r="W247" s="121"/>
    </row>
    <row r="248" spans="1:23" s="137" customFormat="1" ht="21" customHeight="1">
      <c r="A248" s="136"/>
      <c r="B248" s="135"/>
      <c r="C248" s="134"/>
      <c r="D248" s="129" t="s">
        <v>513</v>
      </c>
      <c r="E248" s="128" t="s">
        <v>41</v>
      </c>
      <c r="F248" s="127">
        <v>2.9990000000000001</v>
      </c>
      <c r="G248" s="128" t="s">
        <v>467</v>
      </c>
      <c r="H248" s="127" t="s">
        <v>466</v>
      </c>
      <c r="I248" s="128" t="s">
        <v>71</v>
      </c>
      <c r="J248" s="127">
        <v>2652</v>
      </c>
      <c r="K248" s="123">
        <v>5812</v>
      </c>
      <c r="L248" s="123">
        <v>2995</v>
      </c>
      <c r="M248" s="123" t="s">
        <v>31</v>
      </c>
      <c r="N248" s="133">
        <v>10.6</v>
      </c>
      <c r="O248" s="23">
        <f>IF(N248&gt;0,1/N248*37.7*68.6,"")</f>
        <v>243.98301886792456</v>
      </c>
      <c r="P248" s="125">
        <v>9.51</v>
      </c>
      <c r="Q248" s="124" t="s">
        <v>63</v>
      </c>
      <c r="R248" s="123" t="s">
        <v>33</v>
      </c>
      <c r="S248" s="123" t="s">
        <v>34</v>
      </c>
      <c r="T248" s="123"/>
      <c r="U248" s="142"/>
      <c r="V248" s="28">
        <f>IFERROR(IF(N248&lt;P248,"",(ROUNDDOWN(N248/P248*100,0))),"")</f>
        <v>111</v>
      </c>
      <c r="W248" s="121"/>
    </row>
    <row r="249" spans="1:23" s="137" customFormat="1" ht="21" customHeight="1">
      <c r="A249" s="136"/>
      <c r="B249" s="135"/>
      <c r="C249" s="134"/>
      <c r="D249" s="129" t="s">
        <v>513</v>
      </c>
      <c r="E249" s="128" t="s">
        <v>41</v>
      </c>
      <c r="F249" s="127">
        <v>2.9990000000000001</v>
      </c>
      <c r="G249" s="128" t="s">
        <v>467</v>
      </c>
      <c r="H249" s="127" t="s">
        <v>466</v>
      </c>
      <c r="I249" s="128" t="s">
        <v>42</v>
      </c>
      <c r="J249" s="127">
        <v>2979</v>
      </c>
      <c r="K249" s="123">
        <v>6893</v>
      </c>
      <c r="L249" s="123">
        <v>3749</v>
      </c>
      <c r="M249" s="123" t="s">
        <v>31</v>
      </c>
      <c r="N249" s="133">
        <v>9.1999999999999993</v>
      </c>
      <c r="O249" s="23">
        <f>IF(N249&gt;0,1/N249*37.7*68.6,"")</f>
        <v>281.1108695652174</v>
      </c>
      <c r="P249" s="125">
        <v>8.1199999999999992</v>
      </c>
      <c r="Q249" s="124" t="s">
        <v>43</v>
      </c>
      <c r="R249" s="123" t="s">
        <v>33</v>
      </c>
      <c r="S249" s="123" t="s">
        <v>34</v>
      </c>
      <c r="T249" s="123"/>
      <c r="U249" s="142"/>
      <c r="V249" s="28">
        <f>IFERROR(IF(N249&lt;P249,"",(ROUNDDOWN(N249/P249*100,0))),"")</f>
        <v>113</v>
      </c>
      <c r="W249" s="121"/>
    </row>
    <row r="250" spans="1:23" s="137" customFormat="1" ht="21" customHeight="1">
      <c r="A250" s="136"/>
      <c r="B250" s="135"/>
      <c r="C250" s="134"/>
      <c r="D250" s="129" t="s">
        <v>513</v>
      </c>
      <c r="E250" s="128" t="s">
        <v>41</v>
      </c>
      <c r="F250" s="127">
        <v>2.9990000000000001</v>
      </c>
      <c r="G250" s="128" t="s">
        <v>464</v>
      </c>
      <c r="H250" s="127" t="s">
        <v>463</v>
      </c>
      <c r="I250" s="128" t="s">
        <v>42</v>
      </c>
      <c r="J250" s="127">
        <v>2979</v>
      </c>
      <c r="K250" s="123">
        <v>6893</v>
      </c>
      <c r="L250" s="123">
        <v>3749</v>
      </c>
      <c r="M250" s="123" t="s">
        <v>31</v>
      </c>
      <c r="N250" s="133">
        <v>9.1999999999999993</v>
      </c>
      <c r="O250" s="23">
        <f>IF(N250&gt;0,1/N250*37.7*68.6,"")</f>
        <v>281.1108695652174</v>
      </c>
      <c r="P250" s="125">
        <v>8.1199999999999992</v>
      </c>
      <c r="Q250" s="124" t="s">
        <v>43</v>
      </c>
      <c r="R250" s="123" t="s">
        <v>33</v>
      </c>
      <c r="S250" s="123" t="s">
        <v>34</v>
      </c>
      <c r="T250" s="123"/>
      <c r="U250" s="142"/>
      <c r="V250" s="28">
        <f>IFERROR(IF(N250&lt;P250,"",(ROUNDDOWN(N250/P250*100,0))),"")</f>
        <v>113</v>
      </c>
      <c r="W250" s="121"/>
    </row>
    <row r="251" spans="1:23" s="137" customFormat="1" ht="21" customHeight="1">
      <c r="A251" s="136"/>
      <c r="B251" s="135"/>
      <c r="C251" s="134"/>
      <c r="D251" s="129" t="s">
        <v>513</v>
      </c>
      <c r="E251" s="128" t="s">
        <v>41</v>
      </c>
      <c r="F251" s="127">
        <v>2.9990000000000001</v>
      </c>
      <c r="G251" s="128" t="s">
        <v>467</v>
      </c>
      <c r="H251" s="127" t="s">
        <v>466</v>
      </c>
      <c r="I251" s="128" t="s">
        <v>71</v>
      </c>
      <c r="J251" s="127">
        <v>2979</v>
      </c>
      <c r="K251" s="123">
        <v>6893</v>
      </c>
      <c r="L251" s="123">
        <v>3749</v>
      </c>
      <c r="M251" s="123" t="s">
        <v>31</v>
      </c>
      <c r="N251" s="133">
        <v>9</v>
      </c>
      <c r="O251" s="23">
        <f>IF(N251&gt;0,1/N251*37.7*68.6,"")</f>
        <v>287.35777777777776</v>
      </c>
      <c r="P251" s="125">
        <v>8.1199999999999992</v>
      </c>
      <c r="Q251" s="124" t="s">
        <v>43</v>
      </c>
      <c r="R251" s="123" t="s">
        <v>33</v>
      </c>
      <c r="S251" s="123" t="s">
        <v>34</v>
      </c>
      <c r="T251" s="123"/>
      <c r="U251" s="142"/>
      <c r="V251" s="28">
        <f>IFERROR(IF(N251&lt;P251,"",(ROUNDDOWN(N251/P251*100,0))),"")</f>
        <v>110</v>
      </c>
      <c r="W251" s="121"/>
    </row>
    <row r="252" spans="1:23" s="137" customFormat="1" ht="21" customHeight="1">
      <c r="A252" s="136"/>
      <c r="B252" s="135"/>
      <c r="C252" s="134"/>
      <c r="D252" s="129" t="s">
        <v>513</v>
      </c>
      <c r="E252" s="128" t="s">
        <v>41</v>
      </c>
      <c r="F252" s="127">
        <v>2.9990000000000001</v>
      </c>
      <c r="G252" s="128" t="s">
        <v>464</v>
      </c>
      <c r="H252" s="127" t="s">
        <v>463</v>
      </c>
      <c r="I252" s="128" t="s">
        <v>71</v>
      </c>
      <c r="J252" s="127">
        <v>2979</v>
      </c>
      <c r="K252" s="123">
        <v>6893</v>
      </c>
      <c r="L252" s="123">
        <v>3749</v>
      </c>
      <c r="M252" s="123" t="s">
        <v>31</v>
      </c>
      <c r="N252" s="133">
        <v>9</v>
      </c>
      <c r="O252" s="23">
        <f>IF(N252&gt;0,1/N252*37.7*68.6,"")</f>
        <v>287.35777777777776</v>
      </c>
      <c r="P252" s="125">
        <v>8.1199999999999992</v>
      </c>
      <c r="Q252" s="124" t="s">
        <v>43</v>
      </c>
      <c r="R252" s="123" t="s">
        <v>33</v>
      </c>
      <c r="S252" s="123" t="s">
        <v>34</v>
      </c>
      <c r="T252" s="123"/>
      <c r="U252" s="142"/>
      <c r="V252" s="28">
        <f>IFERROR(IF(N252&lt;P252,"",(ROUNDDOWN(N252/P252*100,0))),"")</f>
        <v>110</v>
      </c>
      <c r="W252" s="121"/>
    </row>
    <row r="253" spans="1:23" s="137" customFormat="1" ht="21" customHeight="1">
      <c r="A253" s="136"/>
      <c r="B253" s="135"/>
      <c r="C253" s="134"/>
      <c r="D253" s="129" t="s">
        <v>513</v>
      </c>
      <c r="E253" s="128" t="s">
        <v>41</v>
      </c>
      <c r="F253" s="127">
        <v>2.9990000000000001</v>
      </c>
      <c r="G253" s="128" t="s">
        <v>467</v>
      </c>
      <c r="H253" s="127" t="s">
        <v>466</v>
      </c>
      <c r="I253" s="128" t="s">
        <v>42</v>
      </c>
      <c r="J253" s="127">
        <v>2979</v>
      </c>
      <c r="K253" s="123">
        <v>6893</v>
      </c>
      <c r="L253" s="123">
        <v>3749</v>
      </c>
      <c r="M253" s="123" t="s">
        <v>31</v>
      </c>
      <c r="N253" s="133">
        <v>9</v>
      </c>
      <c r="O253" s="23">
        <f>IF(N253&gt;0,1/N253*37.7*68.6,"")</f>
        <v>287.35777777777776</v>
      </c>
      <c r="P253" s="125">
        <v>8.1199999999999992</v>
      </c>
      <c r="Q253" s="124" t="s">
        <v>63</v>
      </c>
      <c r="R253" s="123" t="s">
        <v>33</v>
      </c>
      <c r="S253" s="123" t="s">
        <v>34</v>
      </c>
      <c r="T253" s="123"/>
      <c r="U253" s="142"/>
      <c r="V253" s="28">
        <f>IFERROR(IF(N253&lt;P253,"",(ROUNDDOWN(N253/P253*100,0))),"")</f>
        <v>110</v>
      </c>
      <c r="W253" s="121"/>
    </row>
    <row r="254" spans="1:23" s="137" customFormat="1" ht="21" customHeight="1">
      <c r="A254" s="136"/>
      <c r="B254" s="135"/>
      <c r="C254" s="134"/>
      <c r="D254" s="129" t="s">
        <v>513</v>
      </c>
      <c r="E254" s="128" t="s">
        <v>41</v>
      </c>
      <c r="F254" s="127">
        <v>2.9990000000000001</v>
      </c>
      <c r="G254" s="128" t="s">
        <v>464</v>
      </c>
      <c r="H254" s="127" t="s">
        <v>463</v>
      </c>
      <c r="I254" s="128" t="s">
        <v>42</v>
      </c>
      <c r="J254" s="127">
        <v>2979</v>
      </c>
      <c r="K254" s="123">
        <v>6893</v>
      </c>
      <c r="L254" s="123">
        <v>3749</v>
      </c>
      <c r="M254" s="123" t="s">
        <v>31</v>
      </c>
      <c r="N254" s="133">
        <v>9</v>
      </c>
      <c r="O254" s="23">
        <f>IF(N254&gt;0,1/N254*37.7*68.6,"")</f>
        <v>287.35777777777776</v>
      </c>
      <c r="P254" s="125">
        <v>8.1199999999999992</v>
      </c>
      <c r="Q254" s="124" t="s">
        <v>63</v>
      </c>
      <c r="R254" s="123" t="s">
        <v>33</v>
      </c>
      <c r="S254" s="123" t="s">
        <v>34</v>
      </c>
      <c r="T254" s="123"/>
      <c r="U254" s="142"/>
      <c r="V254" s="28">
        <f>IFERROR(IF(N254&lt;P254,"",(ROUNDDOWN(N254/P254*100,0))),"")</f>
        <v>110</v>
      </c>
      <c r="W254" s="121"/>
    </row>
    <row r="255" spans="1:23" s="137" customFormat="1" ht="21" customHeight="1">
      <c r="A255" s="136"/>
      <c r="B255" s="135"/>
      <c r="C255" s="134"/>
      <c r="D255" s="129" t="s">
        <v>512</v>
      </c>
      <c r="E255" s="128" t="s">
        <v>41</v>
      </c>
      <c r="F255" s="127">
        <v>2.9990000000000001</v>
      </c>
      <c r="G255" s="128">
        <v>375</v>
      </c>
      <c r="H255" s="127">
        <v>110</v>
      </c>
      <c r="I255" s="128" t="s">
        <v>71</v>
      </c>
      <c r="J255" s="127">
        <v>2356</v>
      </c>
      <c r="K255" s="123">
        <v>4521</v>
      </c>
      <c r="L255" s="123">
        <v>2000</v>
      </c>
      <c r="M255" s="123" t="s">
        <v>31</v>
      </c>
      <c r="N255" s="133">
        <v>11.8</v>
      </c>
      <c r="O255" s="23">
        <f>IF(N255&gt;0,1/N255*37.7*68.6,"")</f>
        <v>219.17118644067796</v>
      </c>
      <c r="P255" s="125">
        <v>10.35</v>
      </c>
      <c r="Q255" s="124" t="s">
        <v>43</v>
      </c>
      <c r="R255" s="123" t="s">
        <v>33</v>
      </c>
      <c r="S255" s="123" t="s">
        <v>34</v>
      </c>
      <c r="T255" s="123"/>
      <c r="U255" s="142"/>
      <c r="V255" s="28">
        <f>IFERROR(IF(N255&lt;P255,"",(ROUNDDOWN(N255/P255*100,0))),"")</f>
        <v>114</v>
      </c>
      <c r="W255" s="121"/>
    </row>
    <row r="256" spans="1:23" s="137" customFormat="1" ht="21" customHeight="1">
      <c r="A256" s="136"/>
      <c r="B256" s="135"/>
      <c r="C256" s="134"/>
      <c r="D256" s="129" t="s">
        <v>512</v>
      </c>
      <c r="E256" s="128" t="s">
        <v>41</v>
      </c>
      <c r="F256" s="127">
        <v>2.9990000000000001</v>
      </c>
      <c r="G256" s="128">
        <v>375</v>
      </c>
      <c r="H256" s="127">
        <v>110</v>
      </c>
      <c r="I256" s="128" t="s">
        <v>71</v>
      </c>
      <c r="J256" s="127">
        <v>2356</v>
      </c>
      <c r="K256" s="123">
        <v>4521</v>
      </c>
      <c r="L256" s="123">
        <v>2000</v>
      </c>
      <c r="M256" s="123" t="s">
        <v>31</v>
      </c>
      <c r="N256" s="133">
        <v>11.4</v>
      </c>
      <c r="O256" s="23">
        <f>IF(N256&gt;0,1/N256*37.7*68.6,"")</f>
        <v>226.8614035087719</v>
      </c>
      <c r="P256" s="125">
        <v>10.35</v>
      </c>
      <c r="Q256" s="124" t="s">
        <v>63</v>
      </c>
      <c r="R256" s="123" t="s">
        <v>33</v>
      </c>
      <c r="S256" s="123" t="s">
        <v>34</v>
      </c>
      <c r="T256" s="123"/>
      <c r="U256" s="142"/>
      <c r="V256" s="28">
        <f>IFERROR(IF(N256&lt;P256,"",(ROUNDDOWN(N256/P256*100,0))),"")</f>
        <v>110</v>
      </c>
      <c r="W256" s="121"/>
    </row>
    <row r="257" spans="1:23" s="137" customFormat="1" ht="21" customHeight="1">
      <c r="A257" s="136"/>
      <c r="B257" s="135"/>
      <c r="C257" s="134"/>
      <c r="D257" s="129" t="s">
        <v>512</v>
      </c>
      <c r="E257" s="128" t="s">
        <v>41</v>
      </c>
      <c r="F257" s="127">
        <v>2.9990000000000001</v>
      </c>
      <c r="G257" s="128">
        <v>375</v>
      </c>
      <c r="H257" s="127">
        <v>110</v>
      </c>
      <c r="I257" s="128" t="s">
        <v>71</v>
      </c>
      <c r="J257" s="127">
        <v>2652</v>
      </c>
      <c r="K257" s="123">
        <v>5812</v>
      </c>
      <c r="L257" s="123">
        <v>2995</v>
      </c>
      <c r="M257" s="123" t="s">
        <v>31</v>
      </c>
      <c r="N257" s="133">
        <v>10.8</v>
      </c>
      <c r="O257" s="23">
        <f>IF(N257&gt;0,1/N257*37.7*68.6,"")</f>
        <v>239.46481481481482</v>
      </c>
      <c r="P257" s="125">
        <v>9.51</v>
      </c>
      <c r="Q257" s="124" t="s">
        <v>43</v>
      </c>
      <c r="R257" s="123" t="s">
        <v>33</v>
      </c>
      <c r="S257" s="123" t="s">
        <v>34</v>
      </c>
      <c r="T257" s="123"/>
      <c r="U257" s="142"/>
      <c r="V257" s="28">
        <f>IFERROR(IF(N257&lt;P257,"",(ROUNDDOWN(N257/P257*100,0))),"")</f>
        <v>113</v>
      </c>
      <c r="W257" s="121"/>
    </row>
    <row r="258" spans="1:23" s="137" customFormat="1" ht="21" customHeight="1">
      <c r="A258" s="136"/>
      <c r="B258" s="135"/>
      <c r="C258" s="134"/>
      <c r="D258" s="129" t="s">
        <v>512</v>
      </c>
      <c r="E258" s="128" t="s">
        <v>41</v>
      </c>
      <c r="F258" s="127">
        <v>2.9990000000000001</v>
      </c>
      <c r="G258" s="128" t="s">
        <v>464</v>
      </c>
      <c r="H258" s="127" t="s">
        <v>463</v>
      </c>
      <c r="I258" s="128" t="s">
        <v>71</v>
      </c>
      <c r="J258" s="127">
        <v>2652</v>
      </c>
      <c r="K258" s="123">
        <v>5812</v>
      </c>
      <c r="L258" s="123">
        <v>2995</v>
      </c>
      <c r="M258" s="123" t="s">
        <v>31</v>
      </c>
      <c r="N258" s="133">
        <v>10.8</v>
      </c>
      <c r="O258" s="23">
        <f>IF(N258&gt;0,1/N258*37.7*68.6,"")</f>
        <v>239.46481481481482</v>
      </c>
      <c r="P258" s="125">
        <v>9.51</v>
      </c>
      <c r="Q258" s="124" t="s">
        <v>43</v>
      </c>
      <c r="R258" s="123" t="s">
        <v>33</v>
      </c>
      <c r="S258" s="123" t="s">
        <v>34</v>
      </c>
      <c r="T258" s="123"/>
      <c r="U258" s="142"/>
      <c r="V258" s="28">
        <f>IFERROR(IF(N258&lt;P258,"",(ROUNDDOWN(N258/P258*100,0))),"")</f>
        <v>113</v>
      </c>
      <c r="W258" s="121"/>
    </row>
    <row r="259" spans="1:23" s="137" customFormat="1" ht="21" customHeight="1">
      <c r="A259" s="136"/>
      <c r="B259" s="135"/>
      <c r="C259" s="134"/>
      <c r="D259" s="129" t="s">
        <v>512</v>
      </c>
      <c r="E259" s="128" t="s">
        <v>41</v>
      </c>
      <c r="F259" s="127">
        <v>2.9990000000000001</v>
      </c>
      <c r="G259" s="128">
        <v>375</v>
      </c>
      <c r="H259" s="127">
        <v>110</v>
      </c>
      <c r="I259" s="128" t="s">
        <v>71</v>
      </c>
      <c r="J259" s="127">
        <v>2652</v>
      </c>
      <c r="K259" s="123">
        <v>5812</v>
      </c>
      <c r="L259" s="123">
        <v>2995</v>
      </c>
      <c r="M259" s="123" t="s">
        <v>31</v>
      </c>
      <c r="N259" s="133">
        <v>10.6</v>
      </c>
      <c r="O259" s="23">
        <f>IF(N259&gt;0,1/N259*37.7*68.6,"")</f>
        <v>243.98301886792456</v>
      </c>
      <c r="P259" s="125">
        <v>9.51</v>
      </c>
      <c r="Q259" s="124" t="s">
        <v>63</v>
      </c>
      <c r="R259" s="123" t="s">
        <v>33</v>
      </c>
      <c r="S259" s="123" t="s">
        <v>34</v>
      </c>
      <c r="T259" s="123"/>
      <c r="U259" s="142"/>
      <c r="V259" s="28">
        <f>IFERROR(IF(N259&lt;P259,"",(ROUNDDOWN(N259/P259*100,0))),"")</f>
        <v>111</v>
      </c>
      <c r="W259" s="121"/>
    </row>
    <row r="260" spans="1:23" s="137" customFormat="1" ht="21" customHeight="1">
      <c r="A260" s="136"/>
      <c r="B260" s="135"/>
      <c r="C260" s="134"/>
      <c r="D260" s="129" t="s">
        <v>512</v>
      </c>
      <c r="E260" s="128" t="s">
        <v>41</v>
      </c>
      <c r="F260" s="127">
        <v>2.9990000000000001</v>
      </c>
      <c r="G260" s="128" t="s">
        <v>464</v>
      </c>
      <c r="H260" s="127" t="s">
        <v>463</v>
      </c>
      <c r="I260" s="128" t="s">
        <v>71</v>
      </c>
      <c r="J260" s="127">
        <v>2652</v>
      </c>
      <c r="K260" s="123">
        <v>5812</v>
      </c>
      <c r="L260" s="123">
        <v>2995</v>
      </c>
      <c r="M260" s="123" t="s">
        <v>31</v>
      </c>
      <c r="N260" s="133">
        <v>10.6</v>
      </c>
      <c r="O260" s="23">
        <f>IF(N260&gt;0,1/N260*37.7*68.6,"")</f>
        <v>243.98301886792456</v>
      </c>
      <c r="P260" s="125">
        <v>9.51</v>
      </c>
      <c r="Q260" s="124" t="s">
        <v>63</v>
      </c>
      <c r="R260" s="123" t="s">
        <v>33</v>
      </c>
      <c r="S260" s="123" t="s">
        <v>34</v>
      </c>
      <c r="T260" s="123"/>
      <c r="U260" s="142"/>
      <c r="V260" s="28">
        <f>IFERROR(IF(N260&lt;P260,"",(ROUNDDOWN(N260/P260*100,0))),"")</f>
        <v>111</v>
      </c>
      <c r="W260" s="121"/>
    </row>
    <row r="261" spans="1:23" s="137" customFormat="1" ht="21" customHeight="1">
      <c r="A261" s="136"/>
      <c r="B261" s="135"/>
      <c r="C261" s="134"/>
      <c r="D261" s="129" t="s">
        <v>512</v>
      </c>
      <c r="E261" s="128" t="s">
        <v>41</v>
      </c>
      <c r="F261" s="127">
        <v>2.9990000000000001</v>
      </c>
      <c r="G261" s="128">
        <v>375</v>
      </c>
      <c r="H261" s="127">
        <v>110</v>
      </c>
      <c r="I261" s="128" t="s">
        <v>71</v>
      </c>
      <c r="J261" s="127">
        <v>2979</v>
      </c>
      <c r="K261" s="123">
        <v>6893</v>
      </c>
      <c r="L261" s="123">
        <v>3749</v>
      </c>
      <c r="M261" s="123" t="s">
        <v>31</v>
      </c>
      <c r="N261" s="133">
        <v>9.1</v>
      </c>
      <c r="O261" s="23">
        <f>IF(N261&gt;0,1/N261*37.7*68.6,"")</f>
        <v>284.2</v>
      </c>
      <c r="P261" s="125">
        <v>8.1199999999999992</v>
      </c>
      <c r="Q261" s="124" t="s">
        <v>43</v>
      </c>
      <c r="R261" s="123" t="s">
        <v>33</v>
      </c>
      <c r="S261" s="123" t="s">
        <v>34</v>
      </c>
      <c r="T261" s="123"/>
      <c r="U261" s="142"/>
      <c r="V261" s="28">
        <f>IFERROR(IF(N261&lt;P261,"",(ROUNDDOWN(N261/P261*100,0))),"")</f>
        <v>112</v>
      </c>
      <c r="W261" s="121"/>
    </row>
    <row r="262" spans="1:23" s="137" customFormat="1" ht="21" customHeight="1">
      <c r="A262" s="136"/>
      <c r="B262" s="135"/>
      <c r="C262" s="134"/>
      <c r="D262" s="129" t="s">
        <v>512</v>
      </c>
      <c r="E262" s="128" t="s">
        <v>41</v>
      </c>
      <c r="F262" s="127">
        <v>2.9990000000000001</v>
      </c>
      <c r="G262" s="128" t="s">
        <v>464</v>
      </c>
      <c r="H262" s="127" t="s">
        <v>463</v>
      </c>
      <c r="I262" s="128" t="s">
        <v>71</v>
      </c>
      <c r="J262" s="127">
        <v>2979</v>
      </c>
      <c r="K262" s="123">
        <v>6893</v>
      </c>
      <c r="L262" s="123">
        <v>3749</v>
      </c>
      <c r="M262" s="123" t="s">
        <v>31</v>
      </c>
      <c r="N262" s="133">
        <v>9.1</v>
      </c>
      <c r="O262" s="23">
        <f>IF(N262&gt;0,1/N262*37.7*68.6,"")</f>
        <v>284.2</v>
      </c>
      <c r="P262" s="125">
        <v>8.1199999999999992</v>
      </c>
      <c r="Q262" s="124" t="s">
        <v>43</v>
      </c>
      <c r="R262" s="123" t="s">
        <v>33</v>
      </c>
      <c r="S262" s="123" t="s">
        <v>34</v>
      </c>
      <c r="T262" s="123"/>
      <c r="U262" s="142"/>
      <c r="V262" s="28">
        <f>IFERROR(IF(N262&lt;P262,"",(ROUNDDOWN(N262/P262*100,0))),"")</f>
        <v>112</v>
      </c>
      <c r="W262" s="121"/>
    </row>
    <row r="263" spans="1:23" s="137" customFormat="1" ht="21" customHeight="1">
      <c r="A263" s="136"/>
      <c r="B263" s="135"/>
      <c r="C263" s="134"/>
      <c r="D263" s="129" t="s">
        <v>511</v>
      </c>
      <c r="E263" s="128" t="s">
        <v>41</v>
      </c>
      <c r="F263" s="127">
        <v>2.9990000000000001</v>
      </c>
      <c r="G263" s="128">
        <v>375</v>
      </c>
      <c r="H263" s="127">
        <v>110</v>
      </c>
      <c r="I263" s="128" t="s">
        <v>71</v>
      </c>
      <c r="J263" s="127">
        <v>2356</v>
      </c>
      <c r="K263" s="123">
        <v>4521</v>
      </c>
      <c r="L263" s="123">
        <v>2000</v>
      </c>
      <c r="M263" s="123" t="s">
        <v>31</v>
      </c>
      <c r="N263" s="133">
        <v>11.8</v>
      </c>
      <c r="O263" s="23">
        <f>IF(N263&gt;0,1/N263*37.7*68.6,"")</f>
        <v>219.17118644067796</v>
      </c>
      <c r="P263" s="125">
        <v>10.35</v>
      </c>
      <c r="Q263" s="124" t="s">
        <v>43</v>
      </c>
      <c r="R263" s="123" t="s">
        <v>33</v>
      </c>
      <c r="S263" s="123" t="s">
        <v>34</v>
      </c>
      <c r="T263" s="123"/>
      <c r="U263" s="142"/>
      <c r="V263" s="28">
        <f>IFERROR(IF(N263&lt;P263,"",(ROUNDDOWN(N263/P263*100,0))),"")</f>
        <v>114</v>
      </c>
      <c r="W263" s="121"/>
    </row>
    <row r="264" spans="1:23" s="137" customFormat="1" ht="21" customHeight="1">
      <c r="A264" s="136"/>
      <c r="B264" s="135"/>
      <c r="C264" s="134"/>
      <c r="D264" s="129" t="s">
        <v>511</v>
      </c>
      <c r="E264" s="128" t="s">
        <v>41</v>
      </c>
      <c r="F264" s="127">
        <v>2.9990000000000001</v>
      </c>
      <c r="G264" s="128">
        <v>375</v>
      </c>
      <c r="H264" s="127">
        <v>110</v>
      </c>
      <c r="I264" s="128" t="s">
        <v>71</v>
      </c>
      <c r="J264" s="127">
        <v>2356</v>
      </c>
      <c r="K264" s="123">
        <v>4521</v>
      </c>
      <c r="L264" s="123">
        <v>2000</v>
      </c>
      <c r="M264" s="123" t="s">
        <v>31</v>
      </c>
      <c r="N264" s="133">
        <v>11.4</v>
      </c>
      <c r="O264" s="23">
        <f>IF(N264&gt;0,1/N264*37.7*68.6,"")</f>
        <v>226.8614035087719</v>
      </c>
      <c r="P264" s="125">
        <v>10.35</v>
      </c>
      <c r="Q264" s="124" t="s">
        <v>63</v>
      </c>
      <c r="R264" s="123" t="s">
        <v>33</v>
      </c>
      <c r="S264" s="123" t="s">
        <v>34</v>
      </c>
      <c r="T264" s="123"/>
      <c r="U264" s="142"/>
      <c r="V264" s="28">
        <f>IFERROR(IF(N264&lt;P264,"",(ROUNDDOWN(N264/P264*100,0))),"")</f>
        <v>110</v>
      </c>
      <c r="W264" s="121"/>
    </row>
    <row r="265" spans="1:23" s="137" customFormat="1" ht="21" customHeight="1">
      <c r="A265" s="136"/>
      <c r="B265" s="135"/>
      <c r="C265" s="134"/>
      <c r="D265" s="129" t="s">
        <v>511</v>
      </c>
      <c r="E265" s="128" t="s">
        <v>41</v>
      </c>
      <c r="F265" s="127">
        <v>2.9990000000000001</v>
      </c>
      <c r="G265" s="128">
        <v>375</v>
      </c>
      <c r="H265" s="127">
        <v>110</v>
      </c>
      <c r="I265" s="128" t="s">
        <v>71</v>
      </c>
      <c r="J265" s="127">
        <v>2652</v>
      </c>
      <c r="K265" s="123">
        <v>5812</v>
      </c>
      <c r="L265" s="123">
        <v>2995</v>
      </c>
      <c r="M265" s="123" t="s">
        <v>31</v>
      </c>
      <c r="N265" s="133">
        <v>10.8</v>
      </c>
      <c r="O265" s="23">
        <f>IF(N265&gt;0,1/N265*37.7*68.6,"")</f>
        <v>239.46481481481482</v>
      </c>
      <c r="P265" s="125">
        <v>9.51</v>
      </c>
      <c r="Q265" s="124" t="s">
        <v>43</v>
      </c>
      <c r="R265" s="123" t="s">
        <v>33</v>
      </c>
      <c r="S265" s="123" t="s">
        <v>34</v>
      </c>
      <c r="T265" s="123"/>
      <c r="U265" s="142"/>
      <c r="V265" s="28">
        <f>IFERROR(IF(N265&lt;P265,"",(ROUNDDOWN(N265/P265*100,0))),"")</f>
        <v>113</v>
      </c>
      <c r="W265" s="121"/>
    </row>
    <row r="266" spans="1:23" s="121" customFormat="1" ht="21" customHeight="1">
      <c r="A266" s="136"/>
      <c r="B266" s="135"/>
      <c r="C266" s="134"/>
      <c r="D266" s="129" t="s">
        <v>511</v>
      </c>
      <c r="E266" s="128" t="s">
        <v>41</v>
      </c>
      <c r="F266" s="127">
        <v>2.9990000000000001</v>
      </c>
      <c r="G266" s="128" t="s">
        <v>464</v>
      </c>
      <c r="H266" s="127" t="s">
        <v>463</v>
      </c>
      <c r="I266" s="128" t="s">
        <v>71</v>
      </c>
      <c r="J266" s="127">
        <v>2652</v>
      </c>
      <c r="K266" s="123">
        <v>5812</v>
      </c>
      <c r="L266" s="123">
        <v>2995</v>
      </c>
      <c r="M266" s="123" t="s">
        <v>31</v>
      </c>
      <c r="N266" s="133">
        <v>10.8</v>
      </c>
      <c r="O266" s="23">
        <f>IF(N266&gt;0,1/N266*37.7*68.6,"")</f>
        <v>239.46481481481482</v>
      </c>
      <c r="P266" s="125">
        <v>9.51</v>
      </c>
      <c r="Q266" s="124" t="s">
        <v>43</v>
      </c>
      <c r="R266" s="123" t="s">
        <v>33</v>
      </c>
      <c r="S266" s="123" t="s">
        <v>34</v>
      </c>
      <c r="T266" s="123"/>
      <c r="U266" s="122"/>
      <c r="V266" s="28">
        <f>IFERROR(IF(N266&lt;P266,"",(ROUNDDOWN(N266/P266*100,0))),"")</f>
        <v>113</v>
      </c>
    </row>
    <row r="267" spans="1:23" s="121" customFormat="1" ht="21" customHeight="1">
      <c r="A267" s="136"/>
      <c r="B267" s="141"/>
      <c r="C267" s="134"/>
      <c r="D267" s="129" t="s">
        <v>511</v>
      </c>
      <c r="E267" s="128" t="s">
        <v>41</v>
      </c>
      <c r="F267" s="127">
        <v>2.9990000000000001</v>
      </c>
      <c r="G267" s="128">
        <v>375</v>
      </c>
      <c r="H267" s="127">
        <v>110</v>
      </c>
      <c r="I267" s="128" t="s">
        <v>71</v>
      </c>
      <c r="J267" s="127">
        <v>2652</v>
      </c>
      <c r="K267" s="123">
        <v>5812</v>
      </c>
      <c r="L267" s="123">
        <v>2995</v>
      </c>
      <c r="M267" s="123" t="s">
        <v>31</v>
      </c>
      <c r="N267" s="133">
        <v>10.6</v>
      </c>
      <c r="O267" s="23">
        <f>IF(N267&gt;0,1/N267*37.7*68.6,"")</f>
        <v>243.98301886792456</v>
      </c>
      <c r="P267" s="125">
        <v>9.51</v>
      </c>
      <c r="Q267" s="124" t="s">
        <v>63</v>
      </c>
      <c r="R267" s="123" t="s">
        <v>33</v>
      </c>
      <c r="S267" s="123" t="s">
        <v>34</v>
      </c>
      <c r="T267" s="123"/>
      <c r="U267" s="122"/>
      <c r="V267" s="28">
        <f>IFERROR(IF(N267&lt;P267,"",(ROUNDDOWN(N267/P267*100,0))),"")</f>
        <v>111</v>
      </c>
    </row>
    <row r="268" spans="1:23" s="121" customFormat="1" ht="21" customHeight="1">
      <c r="A268" s="136"/>
      <c r="B268" s="135"/>
      <c r="C268" s="134"/>
      <c r="D268" s="129" t="s">
        <v>511</v>
      </c>
      <c r="E268" s="128" t="s">
        <v>41</v>
      </c>
      <c r="F268" s="127">
        <v>2.9990000000000001</v>
      </c>
      <c r="G268" s="128" t="s">
        <v>464</v>
      </c>
      <c r="H268" s="127" t="s">
        <v>463</v>
      </c>
      <c r="I268" s="128" t="s">
        <v>71</v>
      </c>
      <c r="J268" s="127">
        <v>2652</v>
      </c>
      <c r="K268" s="123">
        <v>5812</v>
      </c>
      <c r="L268" s="123">
        <v>2995</v>
      </c>
      <c r="M268" s="123" t="s">
        <v>31</v>
      </c>
      <c r="N268" s="133">
        <v>10.6</v>
      </c>
      <c r="O268" s="23">
        <f>IF(N268&gt;0,1/N268*37.7*68.6,"")</f>
        <v>243.98301886792456</v>
      </c>
      <c r="P268" s="125">
        <v>9.51</v>
      </c>
      <c r="Q268" s="124" t="s">
        <v>63</v>
      </c>
      <c r="R268" s="123" t="s">
        <v>33</v>
      </c>
      <c r="S268" s="123" t="s">
        <v>34</v>
      </c>
      <c r="T268" s="123"/>
      <c r="U268" s="122"/>
      <c r="V268" s="28">
        <f>IFERROR(IF(N268&lt;P268,"",(ROUNDDOWN(N268/P268*100,0))),"")</f>
        <v>111</v>
      </c>
    </row>
    <row r="269" spans="1:23" s="121" customFormat="1" ht="21" customHeight="1">
      <c r="A269" s="136"/>
      <c r="B269" s="135"/>
      <c r="C269" s="134"/>
      <c r="D269" s="129" t="s">
        <v>511</v>
      </c>
      <c r="E269" s="128" t="s">
        <v>41</v>
      </c>
      <c r="F269" s="127">
        <v>2.9990000000000001</v>
      </c>
      <c r="G269" s="128">
        <v>375</v>
      </c>
      <c r="H269" s="127">
        <v>110</v>
      </c>
      <c r="I269" s="128" t="s">
        <v>71</v>
      </c>
      <c r="J269" s="127">
        <v>2979</v>
      </c>
      <c r="K269" s="123">
        <v>6893</v>
      </c>
      <c r="L269" s="123">
        <v>3749</v>
      </c>
      <c r="M269" s="123" t="s">
        <v>31</v>
      </c>
      <c r="N269" s="133">
        <v>9.1</v>
      </c>
      <c r="O269" s="23">
        <f>IF(N269&gt;0,1/N269*37.7*68.6,"")</f>
        <v>284.2</v>
      </c>
      <c r="P269" s="125">
        <v>8.1199999999999992</v>
      </c>
      <c r="Q269" s="124" t="s">
        <v>43</v>
      </c>
      <c r="R269" s="123" t="s">
        <v>33</v>
      </c>
      <c r="S269" s="123" t="s">
        <v>34</v>
      </c>
      <c r="T269" s="123"/>
      <c r="U269" s="122"/>
      <c r="V269" s="28">
        <f>IFERROR(IF(N269&lt;P269,"",(ROUNDDOWN(N269/P269*100,0))),"")</f>
        <v>112</v>
      </c>
    </row>
    <row r="270" spans="1:23" s="121" customFormat="1" ht="21" customHeight="1">
      <c r="A270" s="136"/>
      <c r="B270" s="135"/>
      <c r="C270" s="134"/>
      <c r="D270" s="129" t="s">
        <v>511</v>
      </c>
      <c r="E270" s="128" t="s">
        <v>41</v>
      </c>
      <c r="F270" s="127">
        <v>2.9990000000000001</v>
      </c>
      <c r="G270" s="128" t="s">
        <v>464</v>
      </c>
      <c r="H270" s="127" t="s">
        <v>463</v>
      </c>
      <c r="I270" s="128" t="s">
        <v>71</v>
      </c>
      <c r="J270" s="127">
        <v>2979</v>
      </c>
      <c r="K270" s="123">
        <v>6893</v>
      </c>
      <c r="L270" s="123">
        <v>3749</v>
      </c>
      <c r="M270" s="123" t="s">
        <v>31</v>
      </c>
      <c r="N270" s="133">
        <v>9.1</v>
      </c>
      <c r="O270" s="23">
        <f>IF(N270&gt;0,1/N270*37.7*68.6,"")</f>
        <v>284.2</v>
      </c>
      <c r="P270" s="125">
        <v>8.1199999999999992</v>
      </c>
      <c r="Q270" s="124" t="s">
        <v>43</v>
      </c>
      <c r="R270" s="123" t="s">
        <v>33</v>
      </c>
      <c r="S270" s="123" t="s">
        <v>34</v>
      </c>
      <c r="T270" s="123"/>
      <c r="U270" s="122"/>
      <c r="V270" s="28">
        <f>IFERROR(IF(N270&lt;P270,"",(ROUNDDOWN(N270/P270*100,0))),"")</f>
        <v>112</v>
      </c>
    </row>
    <row r="271" spans="1:23" s="121" customFormat="1" ht="21" customHeight="1">
      <c r="A271" s="136"/>
      <c r="B271" s="135"/>
      <c r="C271" s="134"/>
      <c r="D271" s="129" t="s">
        <v>510</v>
      </c>
      <c r="E271" s="128" t="s">
        <v>41</v>
      </c>
      <c r="F271" s="127">
        <v>2.9990000000000001</v>
      </c>
      <c r="G271" s="128">
        <v>375</v>
      </c>
      <c r="H271" s="127">
        <v>110</v>
      </c>
      <c r="I271" s="128" t="s">
        <v>70</v>
      </c>
      <c r="J271" s="127">
        <v>2356</v>
      </c>
      <c r="K271" s="123">
        <v>4521</v>
      </c>
      <c r="L271" s="123">
        <v>2000</v>
      </c>
      <c r="M271" s="123" t="s">
        <v>31</v>
      </c>
      <c r="N271" s="133">
        <v>11.4</v>
      </c>
      <c r="O271" s="23">
        <f>IF(N271&gt;0,1/N271*37.7*68.6,"")</f>
        <v>226.8614035087719</v>
      </c>
      <c r="P271" s="125">
        <v>10.35</v>
      </c>
      <c r="Q271" s="124" t="s">
        <v>63</v>
      </c>
      <c r="R271" s="123" t="s">
        <v>33</v>
      </c>
      <c r="S271" s="123" t="s">
        <v>34</v>
      </c>
      <c r="T271" s="123"/>
      <c r="U271" s="122"/>
      <c r="V271" s="28">
        <f>IFERROR(IF(N271&lt;P271,"",(ROUNDDOWN(N271/P271*100,0))),"")</f>
        <v>110</v>
      </c>
    </row>
    <row r="272" spans="1:23" s="121" customFormat="1" ht="21" customHeight="1">
      <c r="A272" s="136"/>
      <c r="B272" s="135"/>
      <c r="C272" s="134"/>
      <c r="D272" s="129" t="s">
        <v>510</v>
      </c>
      <c r="E272" s="128" t="s">
        <v>41</v>
      </c>
      <c r="F272" s="127">
        <v>2.9990000000000001</v>
      </c>
      <c r="G272" s="128">
        <v>375</v>
      </c>
      <c r="H272" s="127">
        <v>110</v>
      </c>
      <c r="I272" s="128" t="s">
        <v>71</v>
      </c>
      <c r="J272" s="127">
        <v>2356</v>
      </c>
      <c r="K272" s="123">
        <v>4521</v>
      </c>
      <c r="L272" s="123">
        <v>2000</v>
      </c>
      <c r="M272" s="123" t="s">
        <v>31</v>
      </c>
      <c r="N272" s="133">
        <v>11.4</v>
      </c>
      <c r="O272" s="23">
        <f>IF(N272&gt;0,1/N272*37.7*68.6,"")</f>
        <v>226.8614035087719</v>
      </c>
      <c r="P272" s="125">
        <v>10.35</v>
      </c>
      <c r="Q272" s="124" t="s">
        <v>63</v>
      </c>
      <c r="R272" s="123" t="s">
        <v>33</v>
      </c>
      <c r="S272" s="123" t="s">
        <v>34</v>
      </c>
      <c r="T272" s="123"/>
      <c r="U272" s="122"/>
      <c r="V272" s="28">
        <f>IFERROR(IF(N272&lt;P272,"",(ROUNDDOWN(N272/P272*100,0))),"")</f>
        <v>110</v>
      </c>
    </row>
    <row r="273" spans="1:23" s="121" customFormat="1" ht="21" customHeight="1">
      <c r="A273" s="136"/>
      <c r="B273" s="135"/>
      <c r="C273" s="134"/>
      <c r="D273" s="129" t="s">
        <v>509</v>
      </c>
      <c r="E273" s="128" t="s">
        <v>41</v>
      </c>
      <c r="F273" s="127">
        <v>2.9990000000000001</v>
      </c>
      <c r="G273" s="128">
        <v>375</v>
      </c>
      <c r="H273" s="127" t="s">
        <v>466</v>
      </c>
      <c r="I273" s="128" t="s">
        <v>70</v>
      </c>
      <c r="J273" s="127">
        <v>2356</v>
      </c>
      <c r="K273" s="123">
        <v>4521</v>
      </c>
      <c r="L273" s="123">
        <v>2000</v>
      </c>
      <c r="M273" s="123" t="s">
        <v>31</v>
      </c>
      <c r="N273" s="133">
        <v>11.4</v>
      </c>
      <c r="O273" s="23">
        <f>IF(N273&gt;0,1/N273*37.7*68.6,"")</f>
        <v>226.8614035087719</v>
      </c>
      <c r="P273" s="125">
        <v>10.35</v>
      </c>
      <c r="Q273" s="124" t="s">
        <v>63</v>
      </c>
      <c r="R273" s="123" t="s">
        <v>33</v>
      </c>
      <c r="S273" s="123" t="s">
        <v>34</v>
      </c>
      <c r="T273" s="123"/>
      <c r="U273" s="122"/>
      <c r="V273" s="28">
        <f>IFERROR(IF(N273&lt;P273,"",(ROUNDDOWN(N273/P273*100,0))),"")</f>
        <v>110</v>
      </c>
    </row>
    <row r="274" spans="1:23" s="121" customFormat="1" ht="21" customHeight="1">
      <c r="A274" s="136"/>
      <c r="B274" s="135"/>
      <c r="C274" s="134"/>
      <c r="D274" s="129" t="s">
        <v>508</v>
      </c>
      <c r="E274" s="128" t="s">
        <v>41</v>
      </c>
      <c r="F274" s="127">
        <v>2.9990000000000001</v>
      </c>
      <c r="G274" s="128">
        <v>375</v>
      </c>
      <c r="H274" s="127">
        <v>110</v>
      </c>
      <c r="I274" s="128" t="s">
        <v>71</v>
      </c>
      <c r="J274" s="127">
        <v>2356</v>
      </c>
      <c r="K274" s="123">
        <v>4521</v>
      </c>
      <c r="L274" s="123">
        <v>2000</v>
      </c>
      <c r="M274" s="123" t="s">
        <v>31</v>
      </c>
      <c r="N274" s="133">
        <v>11.4</v>
      </c>
      <c r="O274" s="23">
        <f>IF(N274&gt;0,1/N274*37.7*68.6,"")</f>
        <v>226.8614035087719</v>
      </c>
      <c r="P274" s="125">
        <v>10.35</v>
      </c>
      <c r="Q274" s="124" t="s">
        <v>63</v>
      </c>
      <c r="R274" s="123" t="s">
        <v>33</v>
      </c>
      <c r="S274" s="123" t="s">
        <v>34</v>
      </c>
      <c r="T274" s="123"/>
      <c r="U274" s="122"/>
      <c r="V274" s="28">
        <f>IFERROR(IF(N274&lt;P274,"",(ROUNDDOWN(N274/P274*100,0))),"")</f>
        <v>110</v>
      </c>
    </row>
    <row r="275" spans="1:23" s="121" customFormat="1" ht="21" customHeight="1">
      <c r="A275" s="136"/>
      <c r="B275" s="135"/>
      <c r="C275" s="134"/>
      <c r="D275" s="129" t="s">
        <v>508</v>
      </c>
      <c r="E275" s="128" t="s">
        <v>41</v>
      </c>
      <c r="F275" s="127">
        <v>2.9990000000000001</v>
      </c>
      <c r="G275" s="128">
        <v>375</v>
      </c>
      <c r="H275" s="127">
        <v>110</v>
      </c>
      <c r="I275" s="128" t="s">
        <v>71</v>
      </c>
      <c r="J275" s="127">
        <v>2652</v>
      </c>
      <c r="K275" s="123">
        <v>5812</v>
      </c>
      <c r="L275" s="123">
        <v>2995</v>
      </c>
      <c r="M275" s="123" t="s">
        <v>31</v>
      </c>
      <c r="N275" s="133">
        <v>10.6</v>
      </c>
      <c r="O275" s="23">
        <f>IF(N275&gt;0,1/N275*37.7*68.6,"")</f>
        <v>243.98301886792456</v>
      </c>
      <c r="P275" s="125">
        <v>9.51</v>
      </c>
      <c r="Q275" s="124" t="s">
        <v>63</v>
      </c>
      <c r="R275" s="123" t="s">
        <v>33</v>
      </c>
      <c r="S275" s="123" t="s">
        <v>34</v>
      </c>
      <c r="T275" s="123"/>
      <c r="U275" s="122"/>
      <c r="V275" s="28">
        <f>IFERROR(IF(N275&lt;P275,"",(ROUNDDOWN(N275/P275*100,0))),"")</f>
        <v>111</v>
      </c>
    </row>
    <row r="276" spans="1:23" s="121" customFormat="1" ht="21" customHeight="1">
      <c r="A276" s="136"/>
      <c r="B276" s="135"/>
      <c r="C276" s="134"/>
      <c r="D276" s="129" t="s">
        <v>507</v>
      </c>
      <c r="E276" s="128" t="s">
        <v>41</v>
      </c>
      <c r="F276" s="127">
        <v>2.9990000000000001</v>
      </c>
      <c r="G276" s="128">
        <v>375</v>
      </c>
      <c r="H276" s="127">
        <v>110</v>
      </c>
      <c r="I276" s="128" t="s">
        <v>71</v>
      </c>
      <c r="J276" s="127">
        <v>2356</v>
      </c>
      <c r="K276" s="123">
        <v>4521</v>
      </c>
      <c r="L276" s="123">
        <v>2000</v>
      </c>
      <c r="M276" s="123" t="s">
        <v>31</v>
      </c>
      <c r="N276" s="133">
        <v>11.4</v>
      </c>
      <c r="O276" s="23">
        <f>IF(N276&gt;0,1/N276*37.7*68.6,"")</f>
        <v>226.8614035087719</v>
      </c>
      <c r="P276" s="125">
        <v>10.35</v>
      </c>
      <c r="Q276" s="124" t="s">
        <v>63</v>
      </c>
      <c r="R276" s="123" t="s">
        <v>33</v>
      </c>
      <c r="S276" s="123" t="s">
        <v>34</v>
      </c>
      <c r="T276" s="123"/>
      <c r="U276" s="122"/>
      <c r="V276" s="28">
        <f>IFERROR(IF(N276&lt;P276,"",(ROUNDDOWN(N276/P276*100,0))),"")</f>
        <v>110</v>
      </c>
    </row>
    <row r="277" spans="1:23" s="121" customFormat="1" ht="21" customHeight="1">
      <c r="A277" s="136"/>
      <c r="B277" s="135"/>
      <c r="C277" s="134"/>
      <c r="D277" s="129" t="s">
        <v>507</v>
      </c>
      <c r="E277" s="128" t="s">
        <v>41</v>
      </c>
      <c r="F277" s="127">
        <v>2.9990000000000001</v>
      </c>
      <c r="G277" s="128">
        <v>375</v>
      </c>
      <c r="H277" s="127">
        <v>110</v>
      </c>
      <c r="I277" s="128" t="s">
        <v>71</v>
      </c>
      <c r="J277" s="127">
        <v>2652</v>
      </c>
      <c r="K277" s="123">
        <v>5812</v>
      </c>
      <c r="L277" s="123">
        <v>2995</v>
      </c>
      <c r="M277" s="123" t="s">
        <v>31</v>
      </c>
      <c r="N277" s="133">
        <v>10.8</v>
      </c>
      <c r="O277" s="23">
        <f>IF(N277&gt;0,1/N277*37.7*68.6,"")</f>
        <v>239.46481481481482</v>
      </c>
      <c r="P277" s="125">
        <v>9.51</v>
      </c>
      <c r="Q277" s="124" t="s">
        <v>43</v>
      </c>
      <c r="R277" s="123" t="s">
        <v>33</v>
      </c>
      <c r="S277" s="123" t="s">
        <v>34</v>
      </c>
      <c r="T277" s="123"/>
      <c r="U277" s="122"/>
      <c r="V277" s="28">
        <f>IFERROR(IF(N277&lt;P277,"",(ROUNDDOWN(N277/P277*100,0))),"")</f>
        <v>113</v>
      </c>
    </row>
    <row r="278" spans="1:23" s="121" customFormat="1" ht="21" customHeight="1">
      <c r="A278" s="136"/>
      <c r="B278" s="135"/>
      <c r="C278" s="134"/>
      <c r="D278" s="129" t="s">
        <v>507</v>
      </c>
      <c r="E278" s="128" t="s">
        <v>41</v>
      </c>
      <c r="F278" s="127">
        <v>2.9990000000000001</v>
      </c>
      <c r="G278" s="128">
        <v>375</v>
      </c>
      <c r="H278" s="127">
        <v>110</v>
      </c>
      <c r="I278" s="128" t="s">
        <v>71</v>
      </c>
      <c r="J278" s="127">
        <v>2652</v>
      </c>
      <c r="K278" s="123">
        <v>5812</v>
      </c>
      <c r="L278" s="123">
        <v>2995</v>
      </c>
      <c r="M278" s="123" t="s">
        <v>31</v>
      </c>
      <c r="N278" s="133">
        <v>10.6</v>
      </c>
      <c r="O278" s="23">
        <f>IF(N278&gt;0,1/N278*37.7*68.6,"")</f>
        <v>243.98301886792456</v>
      </c>
      <c r="P278" s="125">
        <v>9.51</v>
      </c>
      <c r="Q278" s="124" t="s">
        <v>63</v>
      </c>
      <c r="R278" s="123" t="s">
        <v>33</v>
      </c>
      <c r="S278" s="123" t="s">
        <v>34</v>
      </c>
      <c r="T278" s="123"/>
      <c r="U278" s="122"/>
      <c r="V278" s="28">
        <f>IFERROR(IF(N278&lt;P278,"",(ROUNDDOWN(N278/P278*100,0))),"")</f>
        <v>111</v>
      </c>
    </row>
    <row r="279" spans="1:23" s="121" customFormat="1" ht="21" customHeight="1">
      <c r="A279" s="136"/>
      <c r="B279" s="135"/>
      <c r="C279" s="134"/>
      <c r="D279" s="129" t="s">
        <v>507</v>
      </c>
      <c r="E279" s="128" t="s">
        <v>41</v>
      </c>
      <c r="F279" s="127">
        <v>2.9990000000000001</v>
      </c>
      <c r="G279" s="128">
        <v>375</v>
      </c>
      <c r="H279" s="127">
        <v>110</v>
      </c>
      <c r="I279" s="128" t="s">
        <v>71</v>
      </c>
      <c r="J279" s="127">
        <v>2979</v>
      </c>
      <c r="K279" s="123">
        <v>6893</v>
      </c>
      <c r="L279" s="123">
        <v>3749</v>
      </c>
      <c r="M279" s="123" t="s">
        <v>31</v>
      </c>
      <c r="N279" s="133">
        <v>9.1</v>
      </c>
      <c r="O279" s="23">
        <f>IF(N279&gt;0,1/N279*37.7*68.6,"")</f>
        <v>284.2</v>
      </c>
      <c r="P279" s="125">
        <v>8.1199999999999992</v>
      </c>
      <c r="Q279" s="124" t="s">
        <v>43</v>
      </c>
      <c r="R279" s="123" t="s">
        <v>33</v>
      </c>
      <c r="S279" s="123" t="s">
        <v>34</v>
      </c>
      <c r="T279" s="123"/>
      <c r="U279" s="122"/>
      <c r="V279" s="28">
        <f>IFERROR(IF(N279&lt;P279,"",(ROUNDDOWN(N279/P279*100,0))),"")</f>
        <v>112</v>
      </c>
    </row>
    <row r="280" spans="1:23" s="121" customFormat="1" ht="21" customHeight="1">
      <c r="A280" s="136"/>
      <c r="B280" s="135"/>
      <c r="C280" s="134"/>
      <c r="D280" s="129" t="s">
        <v>506</v>
      </c>
      <c r="E280" s="128" t="s">
        <v>41</v>
      </c>
      <c r="F280" s="127">
        <v>2.9990000000000001</v>
      </c>
      <c r="G280" s="128">
        <v>375</v>
      </c>
      <c r="H280" s="127">
        <v>110</v>
      </c>
      <c r="I280" s="128" t="s">
        <v>70</v>
      </c>
      <c r="J280" s="127">
        <v>2356</v>
      </c>
      <c r="K280" s="123">
        <v>4521</v>
      </c>
      <c r="L280" s="123">
        <v>2000</v>
      </c>
      <c r="M280" s="123" t="s">
        <v>31</v>
      </c>
      <c r="N280" s="133">
        <v>11.4</v>
      </c>
      <c r="O280" s="23">
        <f>IF(N280&gt;0,1/N280*37.7*68.6,"")</f>
        <v>226.8614035087719</v>
      </c>
      <c r="P280" s="125">
        <v>10.35</v>
      </c>
      <c r="Q280" s="124" t="s">
        <v>43</v>
      </c>
      <c r="R280" s="123" t="s">
        <v>33</v>
      </c>
      <c r="S280" s="123" t="s">
        <v>110</v>
      </c>
      <c r="T280" s="123"/>
      <c r="U280" s="122"/>
      <c r="V280" s="28">
        <f>IFERROR(IF(N280&lt;P280,"",(ROUNDDOWN(N280/P280*100,0))),"")</f>
        <v>110</v>
      </c>
    </row>
    <row r="281" spans="1:23" s="121" customFormat="1" ht="21" customHeight="1">
      <c r="A281" s="136"/>
      <c r="B281" s="135"/>
      <c r="C281" s="134"/>
      <c r="D281" s="129" t="s">
        <v>505</v>
      </c>
      <c r="E281" s="128" t="s">
        <v>41</v>
      </c>
      <c r="F281" s="127">
        <v>2.9990000000000001</v>
      </c>
      <c r="G281" s="128">
        <v>375</v>
      </c>
      <c r="H281" s="127">
        <v>110</v>
      </c>
      <c r="I281" s="128" t="s">
        <v>70</v>
      </c>
      <c r="J281" s="127">
        <v>2356</v>
      </c>
      <c r="K281" s="123">
        <v>4521</v>
      </c>
      <c r="L281" s="123">
        <v>2000</v>
      </c>
      <c r="M281" s="123" t="s">
        <v>31</v>
      </c>
      <c r="N281" s="133">
        <v>11.4</v>
      </c>
      <c r="O281" s="23">
        <f>IF(N281&gt;0,1/N281*37.7*68.6,"")</f>
        <v>226.8614035087719</v>
      </c>
      <c r="P281" s="125">
        <v>10.35</v>
      </c>
      <c r="Q281" s="124" t="s">
        <v>43</v>
      </c>
      <c r="R281" s="123" t="s">
        <v>33</v>
      </c>
      <c r="S281" s="123" t="s">
        <v>110</v>
      </c>
      <c r="T281" s="123"/>
      <c r="U281" s="122"/>
      <c r="V281" s="28">
        <f>IFERROR(IF(N281&lt;P281,"",(ROUNDDOWN(N281/P281*100,0))),"")</f>
        <v>110</v>
      </c>
    </row>
    <row r="282" spans="1:23" s="121" customFormat="1" ht="21" customHeight="1">
      <c r="A282" s="136"/>
      <c r="B282" s="135"/>
      <c r="C282" s="134"/>
      <c r="D282" s="129" t="s">
        <v>504</v>
      </c>
      <c r="E282" s="128" t="s">
        <v>41</v>
      </c>
      <c r="F282" s="127">
        <v>2.9990000000000001</v>
      </c>
      <c r="G282" s="128" t="s">
        <v>467</v>
      </c>
      <c r="H282" s="127" t="s">
        <v>466</v>
      </c>
      <c r="I282" s="128" t="s">
        <v>70</v>
      </c>
      <c r="J282" s="127">
        <v>2356</v>
      </c>
      <c r="K282" s="123">
        <v>4521</v>
      </c>
      <c r="L282" s="123">
        <v>2000</v>
      </c>
      <c r="M282" s="123" t="s">
        <v>31</v>
      </c>
      <c r="N282" s="133">
        <v>11.4</v>
      </c>
      <c r="O282" s="23">
        <f>IF(N282&gt;0,1/N282*37.7*68.6,"")</f>
        <v>226.8614035087719</v>
      </c>
      <c r="P282" s="125">
        <v>10.35</v>
      </c>
      <c r="Q282" s="124" t="s">
        <v>63</v>
      </c>
      <c r="R282" s="123" t="s">
        <v>33</v>
      </c>
      <c r="S282" s="123" t="s">
        <v>34</v>
      </c>
      <c r="T282" s="123"/>
      <c r="U282" s="122"/>
      <c r="V282" s="28">
        <f>IFERROR(IF(N282&lt;P282,"",(ROUNDDOWN(N282/P282*100,0))),"")</f>
        <v>110</v>
      </c>
      <c r="W282" s="140"/>
    </row>
    <row r="283" spans="1:23" s="121" customFormat="1" ht="21" customHeight="1">
      <c r="A283" s="136"/>
      <c r="B283" s="135"/>
      <c r="C283" s="134"/>
      <c r="D283" s="129" t="s">
        <v>503</v>
      </c>
      <c r="E283" s="128" t="s">
        <v>41</v>
      </c>
      <c r="F283" s="127">
        <v>2.9990000000000001</v>
      </c>
      <c r="G283" s="128">
        <v>375</v>
      </c>
      <c r="H283" s="127">
        <v>110</v>
      </c>
      <c r="I283" s="128" t="s">
        <v>70</v>
      </c>
      <c r="J283" s="127">
        <v>2356</v>
      </c>
      <c r="K283" s="123">
        <v>4521</v>
      </c>
      <c r="L283" s="123">
        <v>2000</v>
      </c>
      <c r="M283" s="123" t="s">
        <v>31</v>
      </c>
      <c r="N283" s="133">
        <v>11.4</v>
      </c>
      <c r="O283" s="23">
        <f>IF(N283&gt;0,1/N283*37.7*68.6,"")</f>
        <v>226.8614035087719</v>
      </c>
      <c r="P283" s="125">
        <v>10.35</v>
      </c>
      <c r="Q283" s="124" t="s">
        <v>43</v>
      </c>
      <c r="R283" s="123" t="s">
        <v>33</v>
      </c>
      <c r="S283" s="123" t="s">
        <v>110</v>
      </c>
      <c r="T283" s="123"/>
      <c r="U283" s="122"/>
      <c r="V283" s="28">
        <f>IFERROR(IF(N283&lt;P283,"",(ROUNDDOWN(N283/P283*100,0))),"")</f>
        <v>110</v>
      </c>
      <c r="W283" s="140"/>
    </row>
    <row r="284" spans="1:23" s="121" customFormat="1" ht="21" customHeight="1">
      <c r="A284" s="136"/>
      <c r="B284" s="135"/>
      <c r="C284" s="134"/>
      <c r="D284" s="129" t="s">
        <v>502</v>
      </c>
      <c r="E284" s="128" t="s">
        <v>41</v>
      </c>
      <c r="F284" s="127">
        <v>2.9990000000000001</v>
      </c>
      <c r="G284" s="128">
        <v>375</v>
      </c>
      <c r="H284" s="127">
        <v>110</v>
      </c>
      <c r="I284" s="128" t="s">
        <v>70</v>
      </c>
      <c r="J284" s="127">
        <v>2356</v>
      </c>
      <c r="K284" s="123">
        <v>4521</v>
      </c>
      <c r="L284" s="123">
        <v>2000</v>
      </c>
      <c r="M284" s="123" t="s">
        <v>31</v>
      </c>
      <c r="N284" s="133">
        <v>11.4</v>
      </c>
      <c r="O284" s="23">
        <f>IF(N284&gt;0,1/N284*37.7*68.6,"")</f>
        <v>226.8614035087719</v>
      </c>
      <c r="P284" s="125">
        <v>10.35</v>
      </c>
      <c r="Q284" s="124" t="s">
        <v>43</v>
      </c>
      <c r="R284" s="123" t="s">
        <v>33</v>
      </c>
      <c r="S284" s="123" t="s">
        <v>110</v>
      </c>
      <c r="T284" s="123"/>
      <c r="U284" s="122"/>
      <c r="V284" s="28">
        <f>IFERROR(IF(N284&lt;P284,"",(ROUNDDOWN(N284/P284*100,0))),"")</f>
        <v>110</v>
      </c>
      <c r="W284" s="140"/>
    </row>
    <row r="285" spans="1:23" s="121" customFormat="1" ht="21" customHeight="1">
      <c r="A285" s="136"/>
      <c r="B285" s="135"/>
      <c r="C285" s="134"/>
      <c r="D285" s="129" t="s">
        <v>501</v>
      </c>
      <c r="E285" s="128" t="s">
        <v>41</v>
      </c>
      <c r="F285" s="127">
        <v>2.9990000000000001</v>
      </c>
      <c r="G285" s="128">
        <v>375</v>
      </c>
      <c r="H285" s="127">
        <v>110</v>
      </c>
      <c r="I285" s="128" t="s">
        <v>70</v>
      </c>
      <c r="J285" s="127">
        <v>2356</v>
      </c>
      <c r="K285" s="123">
        <v>4521</v>
      </c>
      <c r="L285" s="123">
        <v>2000</v>
      </c>
      <c r="M285" s="123" t="s">
        <v>31</v>
      </c>
      <c r="N285" s="133">
        <v>11.4</v>
      </c>
      <c r="O285" s="23">
        <f>IF(N285&gt;0,1/N285*37.7*68.6,"")</f>
        <v>226.8614035087719</v>
      </c>
      <c r="P285" s="125">
        <v>10.35</v>
      </c>
      <c r="Q285" s="124" t="s">
        <v>43</v>
      </c>
      <c r="R285" s="123" t="s">
        <v>33</v>
      </c>
      <c r="S285" s="123" t="s">
        <v>110</v>
      </c>
      <c r="T285" s="123"/>
      <c r="U285" s="122"/>
      <c r="V285" s="28">
        <f>IFERROR(IF(N285&lt;P285,"",(ROUNDDOWN(N285/P285*100,0))),"")</f>
        <v>110</v>
      </c>
      <c r="W285" s="140"/>
    </row>
    <row r="286" spans="1:23" s="121" customFormat="1" ht="21" customHeight="1">
      <c r="A286" s="136"/>
      <c r="B286" s="135"/>
      <c r="C286" s="134"/>
      <c r="D286" s="129" t="s">
        <v>500</v>
      </c>
      <c r="E286" s="128" t="s">
        <v>41</v>
      </c>
      <c r="F286" s="127">
        <v>2.9990000000000001</v>
      </c>
      <c r="G286" s="128">
        <v>375</v>
      </c>
      <c r="H286" s="127">
        <v>110</v>
      </c>
      <c r="I286" s="128" t="s">
        <v>70</v>
      </c>
      <c r="J286" s="127">
        <v>2356</v>
      </c>
      <c r="K286" s="123">
        <v>4521</v>
      </c>
      <c r="L286" s="123">
        <v>2000</v>
      </c>
      <c r="M286" s="123" t="s">
        <v>31</v>
      </c>
      <c r="N286" s="133">
        <v>11.4</v>
      </c>
      <c r="O286" s="23">
        <f>IF(N286&gt;0,1/N286*37.7*68.6,"")</f>
        <v>226.8614035087719</v>
      </c>
      <c r="P286" s="125">
        <v>10.35</v>
      </c>
      <c r="Q286" s="124" t="s">
        <v>43</v>
      </c>
      <c r="R286" s="123" t="s">
        <v>33</v>
      </c>
      <c r="S286" s="123" t="s">
        <v>110</v>
      </c>
      <c r="T286" s="123"/>
      <c r="U286" s="122"/>
      <c r="V286" s="28">
        <f>IFERROR(IF(N286&lt;P286,"",(ROUNDDOWN(N286/P286*100,0))),"")</f>
        <v>110</v>
      </c>
      <c r="W286" s="140"/>
    </row>
    <row r="287" spans="1:23" s="121" customFormat="1" ht="21" customHeight="1">
      <c r="A287" s="136"/>
      <c r="B287" s="135"/>
      <c r="C287" s="134"/>
      <c r="D287" s="129" t="s">
        <v>499</v>
      </c>
      <c r="E287" s="128" t="s">
        <v>41</v>
      </c>
      <c r="F287" s="127">
        <v>2.9990000000000001</v>
      </c>
      <c r="G287" s="128">
        <v>375</v>
      </c>
      <c r="H287" s="127">
        <v>110</v>
      </c>
      <c r="I287" s="128" t="s">
        <v>70</v>
      </c>
      <c r="J287" s="127">
        <v>2356</v>
      </c>
      <c r="K287" s="123">
        <v>4521</v>
      </c>
      <c r="L287" s="123">
        <v>2000</v>
      </c>
      <c r="M287" s="123" t="s">
        <v>31</v>
      </c>
      <c r="N287" s="133">
        <v>11</v>
      </c>
      <c r="O287" s="23">
        <f>IF(N287&gt;0,1/N287*37.7*68.6,"")</f>
        <v>235.1109090909091</v>
      </c>
      <c r="P287" s="125">
        <v>10.35</v>
      </c>
      <c r="Q287" s="124" t="s">
        <v>63</v>
      </c>
      <c r="R287" s="123" t="s">
        <v>33</v>
      </c>
      <c r="S287" s="123" t="s">
        <v>110</v>
      </c>
      <c r="T287" s="123"/>
      <c r="U287" s="122"/>
      <c r="V287" s="28">
        <f>IFERROR(IF(N287&lt;P287,"",(ROUNDDOWN(N287/P287*100,0))),"")</f>
        <v>106</v>
      </c>
      <c r="W287" s="140"/>
    </row>
    <row r="288" spans="1:23" s="121" customFormat="1" ht="21" customHeight="1">
      <c r="A288" s="136"/>
      <c r="B288" s="135"/>
      <c r="C288" s="134"/>
      <c r="D288" s="129" t="s">
        <v>498</v>
      </c>
      <c r="E288" s="128" t="s">
        <v>41</v>
      </c>
      <c r="F288" s="127">
        <v>2.9990000000000001</v>
      </c>
      <c r="G288" s="128">
        <v>375</v>
      </c>
      <c r="H288" s="127">
        <v>110</v>
      </c>
      <c r="I288" s="128" t="s">
        <v>70</v>
      </c>
      <c r="J288" s="127">
        <v>2356</v>
      </c>
      <c r="K288" s="123">
        <v>4521</v>
      </c>
      <c r="L288" s="123">
        <v>2000</v>
      </c>
      <c r="M288" s="123" t="s">
        <v>31</v>
      </c>
      <c r="N288" s="133">
        <v>11</v>
      </c>
      <c r="O288" s="23">
        <f>IF(N288&gt;0,1/N288*37.7*68.6,"")</f>
        <v>235.1109090909091</v>
      </c>
      <c r="P288" s="125">
        <v>10.35</v>
      </c>
      <c r="Q288" s="124" t="s">
        <v>63</v>
      </c>
      <c r="R288" s="123" t="s">
        <v>33</v>
      </c>
      <c r="S288" s="123" t="s">
        <v>110</v>
      </c>
      <c r="T288" s="123"/>
      <c r="U288" s="122"/>
      <c r="V288" s="28">
        <f>IFERROR(IF(N288&lt;P288,"",(ROUNDDOWN(N288/P288*100,0))),"")</f>
        <v>106</v>
      </c>
    </row>
    <row r="289" spans="1:23" s="121" customFormat="1" ht="21" customHeight="1">
      <c r="A289" s="136"/>
      <c r="B289" s="135"/>
      <c r="C289" s="134"/>
      <c r="D289" s="129" t="s">
        <v>497</v>
      </c>
      <c r="E289" s="128" t="s">
        <v>41</v>
      </c>
      <c r="F289" s="127">
        <v>2.9990000000000001</v>
      </c>
      <c r="G289" s="128">
        <v>375</v>
      </c>
      <c r="H289" s="127">
        <v>110</v>
      </c>
      <c r="I289" s="128" t="s">
        <v>70</v>
      </c>
      <c r="J289" s="127">
        <v>2356</v>
      </c>
      <c r="K289" s="123">
        <v>4521</v>
      </c>
      <c r="L289" s="123">
        <v>2000</v>
      </c>
      <c r="M289" s="123" t="s">
        <v>31</v>
      </c>
      <c r="N289" s="133">
        <v>11</v>
      </c>
      <c r="O289" s="23">
        <f>IF(N289&gt;0,1/N289*37.7*68.6,"")</f>
        <v>235.1109090909091</v>
      </c>
      <c r="P289" s="125">
        <v>10.35</v>
      </c>
      <c r="Q289" s="124" t="s">
        <v>63</v>
      </c>
      <c r="R289" s="123" t="s">
        <v>33</v>
      </c>
      <c r="S289" s="123" t="s">
        <v>110</v>
      </c>
      <c r="T289" s="123"/>
      <c r="U289" s="122"/>
      <c r="V289" s="28">
        <f>IFERROR(IF(N289&lt;P289,"",(ROUNDDOWN(N289/P289*100,0))),"")</f>
        <v>106</v>
      </c>
      <c r="W289" s="140"/>
    </row>
    <row r="290" spans="1:23" s="121" customFormat="1" ht="21" customHeight="1">
      <c r="A290" s="136"/>
      <c r="B290" s="135"/>
      <c r="C290" s="134"/>
      <c r="D290" s="129" t="s">
        <v>497</v>
      </c>
      <c r="E290" s="128" t="s">
        <v>41</v>
      </c>
      <c r="F290" s="127">
        <v>2.9990000000000001</v>
      </c>
      <c r="G290" s="128">
        <v>375</v>
      </c>
      <c r="H290" s="127">
        <v>110</v>
      </c>
      <c r="I290" s="128" t="s">
        <v>70</v>
      </c>
      <c r="J290" s="127">
        <v>2652</v>
      </c>
      <c r="K290" s="123">
        <v>5812</v>
      </c>
      <c r="L290" s="123">
        <v>2995</v>
      </c>
      <c r="M290" s="123" t="s">
        <v>31</v>
      </c>
      <c r="N290" s="133">
        <v>10.4</v>
      </c>
      <c r="O290" s="23">
        <f>IF(N290&gt;0,1/N290*37.7*68.6,"")</f>
        <v>248.67499999999998</v>
      </c>
      <c r="P290" s="125">
        <v>9.51</v>
      </c>
      <c r="Q290" s="124" t="s">
        <v>43</v>
      </c>
      <c r="R290" s="123" t="s">
        <v>33</v>
      </c>
      <c r="S290" s="123" t="s">
        <v>110</v>
      </c>
      <c r="T290" s="123"/>
      <c r="U290" s="122"/>
      <c r="V290" s="28">
        <f>IFERROR(IF(N290&lt;P290,"",(ROUNDDOWN(N290/P290*100,0))),"")</f>
        <v>109</v>
      </c>
      <c r="W290" s="140"/>
    </row>
    <row r="291" spans="1:23" s="121" customFormat="1" ht="21" customHeight="1">
      <c r="A291" s="136"/>
      <c r="B291" s="135"/>
      <c r="C291" s="134"/>
      <c r="D291" s="129" t="s">
        <v>497</v>
      </c>
      <c r="E291" s="128" t="s">
        <v>41</v>
      </c>
      <c r="F291" s="127">
        <v>2.9990000000000001</v>
      </c>
      <c r="G291" s="128">
        <v>375</v>
      </c>
      <c r="H291" s="127">
        <v>110</v>
      </c>
      <c r="I291" s="128" t="s">
        <v>70</v>
      </c>
      <c r="J291" s="127">
        <v>2652</v>
      </c>
      <c r="K291" s="123">
        <v>5812</v>
      </c>
      <c r="L291" s="123">
        <v>2995</v>
      </c>
      <c r="M291" s="123" t="s">
        <v>31</v>
      </c>
      <c r="N291" s="133">
        <v>10.199999999999999</v>
      </c>
      <c r="O291" s="23">
        <f>IF(N291&gt;0,1/N291*37.7*68.6,"")</f>
        <v>253.55098039215687</v>
      </c>
      <c r="P291" s="125">
        <v>9.51</v>
      </c>
      <c r="Q291" s="124" t="s">
        <v>63</v>
      </c>
      <c r="R291" s="123" t="s">
        <v>33</v>
      </c>
      <c r="S291" s="123" t="s">
        <v>110</v>
      </c>
      <c r="T291" s="123"/>
      <c r="U291" s="122"/>
      <c r="V291" s="28">
        <f>IFERROR(IF(N291&lt;P291,"",(ROUNDDOWN(N291/P291*100,0))),"")</f>
        <v>107</v>
      </c>
    </row>
    <row r="292" spans="1:23" s="121" customFormat="1" ht="21" customHeight="1">
      <c r="A292" s="136"/>
      <c r="B292" s="135"/>
      <c r="C292" s="134"/>
      <c r="D292" s="129" t="s">
        <v>496</v>
      </c>
      <c r="E292" s="128" t="s">
        <v>41</v>
      </c>
      <c r="F292" s="127">
        <v>2.9990000000000001</v>
      </c>
      <c r="G292" s="128">
        <v>375</v>
      </c>
      <c r="H292" s="127">
        <v>110</v>
      </c>
      <c r="I292" s="128" t="s">
        <v>70</v>
      </c>
      <c r="J292" s="127">
        <v>2356</v>
      </c>
      <c r="K292" s="123">
        <v>4521</v>
      </c>
      <c r="L292" s="123">
        <v>2000</v>
      </c>
      <c r="M292" s="123" t="s">
        <v>31</v>
      </c>
      <c r="N292" s="133">
        <v>11</v>
      </c>
      <c r="O292" s="23">
        <f>IF(N292&gt;0,1/N292*37.7*68.6,"")</f>
        <v>235.1109090909091</v>
      </c>
      <c r="P292" s="125">
        <v>10.35</v>
      </c>
      <c r="Q292" s="124" t="s">
        <v>63</v>
      </c>
      <c r="R292" s="123" t="s">
        <v>33</v>
      </c>
      <c r="S292" s="123" t="s">
        <v>110</v>
      </c>
      <c r="T292" s="123"/>
      <c r="U292" s="122"/>
      <c r="V292" s="28">
        <f>IFERROR(IF(N292&lt;P292,"",(ROUNDDOWN(N292/P292*100,0))),"")</f>
        <v>106</v>
      </c>
    </row>
    <row r="293" spans="1:23" s="121" customFormat="1" ht="21" customHeight="1">
      <c r="A293" s="136"/>
      <c r="B293" s="135"/>
      <c r="C293" s="134"/>
      <c r="D293" s="129" t="s">
        <v>496</v>
      </c>
      <c r="E293" s="128" t="s">
        <v>41</v>
      </c>
      <c r="F293" s="127">
        <v>2.9990000000000001</v>
      </c>
      <c r="G293" s="128">
        <v>375</v>
      </c>
      <c r="H293" s="127">
        <v>110</v>
      </c>
      <c r="I293" s="128" t="s">
        <v>70</v>
      </c>
      <c r="J293" s="127">
        <v>2652</v>
      </c>
      <c r="K293" s="123">
        <v>5812</v>
      </c>
      <c r="L293" s="123">
        <v>2995</v>
      </c>
      <c r="M293" s="123" t="s">
        <v>31</v>
      </c>
      <c r="N293" s="133">
        <v>10.4</v>
      </c>
      <c r="O293" s="23">
        <f>IF(N293&gt;0,1/N293*37.7*68.6,"")</f>
        <v>248.67499999999998</v>
      </c>
      <c r="P293" s="125">
        <v>9.51</v>
      </c>
      <c r="Q293" s="124" t="s">
        <v>43</v>
      </c>
      <c r="R293" s="123" t="s">
        <v>33</v>
      </c>
      <c r="S293" s="123" t="s">
        <v>110</v>
      </c>
      <c r="T293" s="123"/>
      <c r="U293" s="122"/>
      <c r="V293" s="28">
        <f>IFERROR(IF(N293&lt;P293,"",(ROUNDDOWN(N293/P293*100,0))),"")</f>
        <v>109</v>
      </c>
    </row>
    <row r="294" spans="1:23" s="121" customFormat="1" ht="21" customHeight="1">
      <c r="A294" s="136"/>
      <c r="B294" s="135"/>
      <c r="C294" s="134"/>
      <c r="D294" s="129" t="s">
        <v>496</v>
      </c>
      <c r="E294" s="128" t="s">
        <v>41</v>
      </c>
      <c r="F294" s="127">
        <v>2.9990000000000001</v>
      </c>
      <c r="G294" s="128">
        <v>375</v>
      </c>
      <c r="H294" s="127">
        <v>110</v>
      </c>
      <c r="I294" s="128" t="s">
        <v>70</v>
      </c>
      <c r="J294" s="127">
        <v>2652</v>
      </c>
      <c r="K294" s="123">
        <v>5812</v>
      </c>
      <c r="L294" s="123">
        <v>2995</v>
      </c>
      <c r="M294" s="123" t="s">
        <v>31</v>
      </c>
      <c r="N294" s="133">
        <v>10.199999999999999</v>
      </c>
      <c r="O294" s="23">
        <f>IF(N294&gt;0,1/N294*37.7*68.6,"")</f>
        <v>253.55098039215687</v>
      </c>
      <c r="P294" s="125">
        <v>9.51</v>
      </c>
      <c r="Q294" s="124" t="s">
        <v>63</v>
      </c>
      <c r="R294" s="123" t="s">
        <v>33</v>
      </c>
      <c r="S294" s="123" t="s">
        <v>110</v>
      </c>
      <c r="T294" s="123"/>
      <c r="U294" s="122"/>
      <c r="V294" s="28">
        <f>IFERROR(IF(N294&lt;P294,"",(ROUNDDOWN(N294/P294*100,0))),"")</f>
        <v>107</v>
      </c>
    </row>
    <row r="295" spans="1:23" s="121" customFormat="1" ht="21" customHeight="1">
      <c r="A295" s="136"/>
      <c r="B295" s="135"/>
      <c r="C295" s="134"/>
      <c r="D295" s="129" t="s">
        <v>495</v>
      </c>
      <c r="E295" s="128" t="s">
        <v>41</v>
      </c>
      <c r="F295" s="127">
        <v>2.9990000000000001</v>
      </c>
      <c r="G295" s="128">
        <v>375</v>
      </c>
      <c r="H295" s="127">
        <v>110</v>
      </c>
      <c r="I295" s="128" t="s">
        <v>70</v>
      </c>
      <c r="J295" s="127">
        <v>2356</v>
      </c>
      <c r="K295" s="123">
        <v>4521</v>
      </c>
      <c r="L295" s="123">
        <v>2000</v>
      </c>
      <c r="M295" s="123" t="s">
        <v>31</v>
      </c>
      <c r="N295" s="133">
        <v>11</v>
      </c>
      <c r="O295" s="23">
        <f>IF(N295&gt;0,1/N295*37.7*68.6,"")</f>
        <v>235.1109090909091</v>
      </c>
      <c r="P295" s="125">
        <v>10.35</v>
      </c>
      <c r="Q295" s="124" t="s">
        <v>63</v>
      </c>
      <c r="R295" s="123" t="s">
        <v>33</v>
      </c>
      <c r="S295" s="123" t="s">
        <v>110</v>
      </c>
      <c r="T295" s="123"/>
      <c r="U295" s="122"/>
      <c r="V295" s="28">
        <f>IFERROR(IF(N295&lt;P295,"",(ROUNDDOWN(N295/P295*100,0))),"")</f>
        <v>106</v>
      </c>
      <c r="W295" s="140"/>
    </row>
    <row r="296" spans="1:23" s="121" customFormat="1" ht="21" customHeight="1">
      <c r="A296" s="136"/>
      <c r="B296" s="135"/>
      <c r="C296" s="134"/>
      <c r="D296" s="129" t="s">
        <v>494</v>
      </c>
      <c r="E296" s="128" t="s">
        <v>41</v>
      </c>
      <c r="F296" s="127">
        <v>2.9990000000000001</v>
      </c>
      <c r="G296" s="128">
        <v>375</v>
      </c>
      <c r="H296" s="127">
        <v>110</v>
      </c>
      <c r="I296" s="128" t="s">
        <v>70</v>
      </c>
      <c r="J296" s="127">
        <v>2356</v>
      </c>
      <c r="K296" s="123">
        <v>4521</v>
      </c>
      <c r="L296" s="123">
        <v>2000</v>
      </c>
      <c r="M296" s="123" t="s">
        <v>31</v>
      </c>
      <c r="N296" s="133">
        <v>11</v>
      </c>
      <c r="O296" s="23">
        <f>IF(N296&gt;0,1/N296*37.7*68.6,"")</f>
        <v>235.1109090909091</v>
      </c>
      <c r="P296" s="125">
        <v>10.35</v>
      </c>
      <c r="Q296" s="124" t="s">
        <v>63</v>
      </c>
      <c r="R296" s="123" t="s">
        <v>33</v>
      </c>
      <c r="S296" s="123" t="s">
        <v>110</v>
      </c>
      <c r="T296" s="123"/>
      <c r="U296" s="122"/>
      <c r="V296" s="28">
        <f>IFERROR(IF(N296&lt;P296,"",(ROUNDDOWN(N296/P296*100,0))),"")</f>
        <v>106</v>
      </c>
    </row>
    <row r="297" spans="1:23" s="121" customFormat="1" ht="21" customHeight="1">
      <c r="A297" s="136"/>
      <c r="B297" s="135"/>
      <c r="C297" s="134"/>
      <c r="D297" s="129" t="s">
        <v>494</v>
      </c>
      <c r="E297" s="128" t="s">
        <v>41</v>
      </c>
      <c r="F297" s="127">
        <v>2.9990000000000001</v>
      </c>
      <c r="G297" s="128">
        <v>375</v>
      </c>
      <c r="H297" s="127">
        <v>110</v>
      </c>
      <c r="I297" s="128" t="s">
        <v>70</v>
      </c>
      <c r="J297" s="127">
        <v>2652</v>
      </c>
      <c r="K297" s="123">
        <v>5812</v>
      </c>
      <c r="L297" s="123">
        <v>2995</v>
      </c>
      <c r="M297" s="123" t="s">
        <v>31</v>
      </c>
      <c r="N297" s="133">
        <v>10.4</v>
      </c>
      <c r="O297" s="23">
        <f>IF(N297&gt;0,1/N297*37.7*68.6,"")</f>
        <v>248.67499999999998</v>
      </c>
      <c r="P297" s="125">
        <v>9.51</v>
      </c>
      <c r="Q297" s="124" t="s">
        <v>43</v>
      </c>
      <c r="R297" s="123" t="s">
        <v>33</v>
      </c>
      <c r="S297" s="123" t="s">
        <v>110</v>
      </c>
      <c r="T297" s="123"/>
      <c r="U297" s="122"/>
      <c r="V297" s="28">
        <f>IFERROR(IF(N297&lt;P297,"",(ROUNDDOWN(N297/P297*100,0))),"")</f>
        <v>109</v>
      </c>
      <c r="W297" s="140"/>
    </row>
    <row r="298" spans="1:23" s="121" customFormat="1" ht="21" customHeight="1">
      <c r="A298" s="136"/>
      <c r="B298" s="135"/>
      <c r="C298" s="134"/>
      <c r="D298" s="129" t="s">
        <v>494</v>
      </c>
      <c r="E298" s="128" t="s">
        <v>41</v>
      </c>
      <c r="F298" s="127">
        <v>2.9990000000000001</v>
      </c>
      <c r="G298" s="128">
        <v>375</v>
      </c>
      <c r="H298" s="127">
        <v>110</v>
      </c>
      <c r="I298" s="128" t="s">
        <v>70</v>
      </c>
      <c r="J298" s="127">
        <v>2652</v>
      </c>
      <c r="K298" s="123">
        <v>5812</v>
      </c>
      <c r="L298" s="123">
        <v>2995</v>
      </c>
      <c r="M298" s="123" t="s">
        <v>31</v>
      </c>
      <c r="N298" s="133">
        <v>10.199999999999999</v>
      </c>
      <c r="O298" s="23">
        <f>IF(N298&gt;0,1/N298*37.7*68.6,"")</f>
        <v>253.55098039215687</v>
      </c>
      <c r="P298" s="125">
        <v>9.51</v>
      </c>
      <c r="Q298" s="124" t="s">
        <v>63</v>
      </c>
      <c r="R298" s="123" t="s">
        <v>33</v>
      </c>
      <c r="S298" s="123" t="s">
        <v>110</v>
      </c>
      <c r="T298" s="123"/>
      <c r="U298" s="122"/>
      <c r="V298" s="28">
        <f>IFERROR(IF(N298&lt;P298,"",(ROUNDDOWN(N298/P298*100,0))),"")</f>
        <v>107</v>
      </c>
    </row>
    <row r="299" spans="1:23" s="121" customFormat="1" ht="21" customHeight="1">
      <c r="A299" s="136"/>
      <c r="B299" s="139"/>
      <c r="C299" s="134"/>
      <c r="D299" s="129" t="s">
        <v>493</v>
      </c>
      <c r="E299" s="128" t="s">
        <v>41</v>
      </c>
      <c r="F299" s="127">
        <v>2.9990000000000001</v>
      </c>
      <c r="G299" s="128">
        <v>375</v>
      </c>
      <c r="H299" s="127">
        <v>110</v>
      </c>
      <c r="I299" s="128" t="s">
        <v>70</v>
      </c>
      <c r="J299" s="127">
        <v>2356</v>
      </c>
      <c r="K299" s="123">
        <v>4521</v>
      </c>
      <c r="L299" s="123">
        <v>2000</v>
      </c>
      <c r="M299" s="123" t="s">
        <v>31</v>
      </c>
      <c r="N299" s="133">
        <v>11</v>
      </c>
      <c r="O299" s="23">
        <f>IF(N299&gt;0,1/N299*37.7*68.6,"")</f>
        <v>235.1109090909091</v>
      </c>
      <c r="P299" s="125">
        <v>10.35</v>
      </c>
      <c r="Q299" s="124" t="s">
        <v>63</v>
      </c>
      <c r="R299" s="123" t="s">
        <v>33</v>
      </c>
      <c r="S299" s="123" t="s">
        <v>110</v>
      </c>
      <c r="T299" s="123"/>
      <c r="U299" s="122"/>
      <c r="V299" s="28">
        <f>IFERROR(IF(N299&lt;P299,"",(ROUNDDOWN(N299/P299*100,0))),"")</f>
        <v>106</v>
      </c>
    </row>
    <row r="300" spans="1:23" s="121" customFormat="1" ht="21" customHeight="1">
      <c r="A300" s="136"/>
      <c r="B300" s="139"/>
      <c r="C300" s="134"/>
      <c r="D300" s="129" t="s">
        <v>493</v>
      </c>
      <c r="E300" s="128" t="s">
        <v>41</v>
      </c>
      <c r="F300" s="127">
        <v>2.9990000000000001</v>
      </c>
      <c r="G300" s="128">
        <v>375</v>
      </c>
      <c r="H300" s="127">
        <v>110</v>
      </c>
      <c r="I300" s="128" t="s">
        <v>70</v>
      </c>
      <c r="J300" s="127">
        <v>2652</v>
      </c>
      <c r="K300" s="123">
        <v>5812</v>
      </c>
      <c r="L300" s="123">
        <v>2995</v>
      </c>
      <c r="M300" s="123" t="s">
        <v>31</v>
      </c>
      <c r="N300" s="133">
        <v>10.4</v>
      </c>
      <c r="O300" s="23">
        <f>IF(N300&gt;0,1/N300*37.7*68.6,"")</f>
        <v>248.67499999999998</v>
      </c>
      <c r="P300" s="125">
        <v>9.51</v>
      </c>
      <c r="Q300" s="124" t="s">
        <v>43</v>
      </c>
      <c r="R300" s="123" t="s">
        <v>33</v>
      </c>
      <c r="S300" s="123" t="s">
        <v>110</v>
      </c>
      <c r="T300" s="123"/>
      <c r="U300" s="122"/>
      <c r="V300" s="28">
        <f>IFERROR(IF(N300&lt;P300,"",(ROUNDDOWN(N300/P300*100,0))),"")</f>
        <v>109</v>
      </c>
      <c r="W300" s="140"/>
    </row>
    <row r="301" spans="1:23" s="121" customFormat="1" ht="21" customHeight="1">
      <c r="A301" s="136"/>
      <c r="B301" s="135"/>
      <c r="C301" s="134"/>
      <c r="D301" s="129" t="s">
        <v>493</v>
      </c>
      <c r="E301" s="128" t="s">
        <v>41</v>
      </c>
      <c r="F301" s="127">
        <v>2.9990000000000001</v>
      </c>
      <c r="G301" s="128">
        <v>375</v>
      </c>
      <c r="H301" s="127">
        <v>110</v>
      </c>
      <c r="I301" s="128" t="s">
        <v>70</v>
      </c>
      <c r="J301" s="127">
        <v>2652</v>
      </c>
      <c r="K301" s="123">
        <v>5812</v>
      </c>
      <c r="L301" s="123">
        <v>2995</v>
      </c>
      <c r="M301" s="123" t="s">
        <v>31</v>
      </c>
      <c r="N301" s="133">
        <v>10.199999999999999</v>
      </c>
      <c r="O301" s="23">
        <f>IF(N301&gt;0,1/N301*37.7*68.6,"")</f>
        <v>253.55098039215687</v>
      </c>
      <c r="P301" s="125">
        <v>9.51</v>
      </c>
      <c r="Q301" s="124" t="s">
        <v>63</v>
      </c>
      <c r="R301" s="123" t="s">
        <v>33</v>
      </c>
      <c r="S301" s="123" t="s">
        <v>110</v>
      </c>
      <c r="T301" s="123"/>
      <c r="U301" s="122"/>
      <c r="V301" s="28">
        <f>IFERROR(IF(N301&lt;P301,"",(ROUNDDOWN(N301/P301*100,0))),"")</f>
        <v>107</v>
      </c>
    </row>
    <row r="302" spans="1:23" s="121" customFormat="1" ht="21" customHeight="1">
      <c r="A302" s="136"/>
      <c r="B302" s="139"/>
      <c r="C302" s="134"/>
      <c r="D302" s="129" t="s">
        <v>492</v>
      </c>
      <c r="E302" s="128" t="s">
        <v>41</v>
      </c>
      <c r="F302" s="127">
        <v>2.9990000000000001</v>
      </c>
      <c r="G302" s="128">
        <v>375</v>
      </c>
      <c r="H302" s="127" t="s">
        <v>466</v>
      </c>
      <c r="I302" s="128" t="s">
        <v>42</v>
      </c>
      <c r="J302" s="127">
        <v>2652</v>
      </c>
      <c r="K302" s="123">
        <v>5812</v>
      </c>
      <c r="L302" s="123">
        <v>2995</v>
      </c>
      <c r="M302" s="123" t="s">
        <v>31</v>
      </c>
      <c r="N302" s="133">
        <v>11</v>
      </c>
      <c r="O302" s="23">
        <f>IF(N302&gt;0,1/N302*37.7*68.6,"")</f>
        <v>235.1109090909091</v>
      </c>
      <c r="P302" s="125">
        <v>9.51</v>
      </c>
      <c r="Q302" s="124" t="s">
        <v>43</v>
      </c>
      <c r="R302" s="123" t="s">
        <v>33</v>
      </c>
      <c r="S302" s="123" t="s">
        <v>34</v>
      </c>
      <c r="T302" s="123"/>
      <c r="U302" s="122"/>
      <c r="V302" s="28">
        <f>IFERROR(IF(N302&lt;P302,"",(ROUNDDOWN(N302/P302*100,0))),"")</f>
        <v>115</v>
      </c>
    </row>
    <row r="303" spans="1:23" s="121" customFormat="1" ht="21" customHeight="1">
      <c r="A303" s="136"/>
      <c r="B303" s="139"/>
      <c r="C303" s="134"/>
      <c r="D303" s="129" t="s">
        <v>491</v>
      </c>
      <c r="E303" s="128" t="s">
        <v>41</v>
      </c>
      <c r="F303" s="127">
        <v>2.9990000000000001</v>
      </c>
      <c r="G303" s="128" t="s">
        <v>464</v>
      </c>
      <c r="H303" s="127" t="s">
        <v>463</v>
      </c>
      <c r="I303" s="128" t="s">
        <v>71</v>
      </c>
      <c r="J303" s="127">
        <v>2652</v>
      </c>
      <c r="K303" s="123">
        <v>5812</v>
      </c>
      <c r="L303" s="123">
        <v>2995</v>
      </c>
      <c r="M303" s="123" t="s">
        <v>31</v>
      </c>
      <c r="N303" s="133">
        <v>10.4</v>
      </c>
      <c r="O303" s="23">
        <f>IF(N303&gt;0,1/N303*37.7*68.6,"")</f>
        <v>248.67499999999998</v>
      </c>
      <c r="P303" s="125">
        <v>9.51</v>
      </c>
      <c r="Q303" s="124" t="s">
        <v>63</v>
      </c>
      <c r="R303" s="123" t="s">
        <v>33</v>
      </c>
      <c r="S303" s="123" t="s">
        <v>34</v>
      </c>
      <c r="T303" s="123"/>
      <c r="U303" s="122"/>
      <c r="V303" s="28">
        <f>IFERROR(IF(N303&lt;P303,"",(ROUNDDOWN(N303/P303*100,0))),"")</f>
        <v>109</v>
      </c>
    </row>
    <row r="304" spans="1:23" s="121" customFormat="1" ht="21" customHeight="1">
      <c r="A304" s="136"/>
      <c r="B304" s="139"/>
      <c r="C304" s="134"/>
      <c r="D304" s="129" t="s">
        <v>491</v>
      </c>
      <c r="E304" s="128" t="s">
        <v>41</v>
      </c>
      <c r="F304" s="127">
        <v>2.9990000000000001</v>
      </c>
      <c r="G304" s="128" t="s">
        <v>467</v>
      </c>
      <c r="H304" s="127" t="s">
        <v>466</v>
      </c>
      <c r="I304" s="128" t="s">
        <v>71</v>
      </c>
      <c r="J304" s="127">
        <v>2979</v>
      </c>
      <c r="K304" s="123">
        <v>6893</v>
      </c>
      <c r="L304" s="123">
        <v>3749</v>
      </c>
      <c r="M304" s="123" t="s">
        <v>31</v>
      </c>
      <c r="N304" s="133">
        <v>8.8000000000000007</v>
      </c>
      <c r="O304" s="23">
        <f>IF(N304&gt;0,1/N304*37.7*68.6,"")</f>
        <v>293.88863636363635</v>
      </c>
      <c r="P304" s="125">
        <v>8.1199999999999992</v>
      </c>
      <c r="Q304" s="124" t="s">
        <v>63</v>
      </c>
      <c r="R304" s="123" t="s">
        <v>33</v>
      </c>
      <c r="S304" s="123" t="s">
        <v>34</v>
      </c>
      <c r="T304" s="123"/>
      <c r="U304" s="122"/>
      <c r="V304" s="28">
        <f>IFERROR(IF(N304&lt;P304,"",(ROUNDDOWN(N304/P304*100,0))),"")</f>
        <v>108</v>
      </c>
    </row>
    <row r="305" spans="1:23" s="121" customFormat="1" ht="21" customHeight="1">
      <c r="A305" s="136"/>
      <c r="B305" s="139"/>
      <c r="C305" s="134"/>
      <c r="D305" s="129" t="s">
        <v>491</v>
      </c>
      <c r="E305" s="128" t="s">
        <v>41</v>
      </c>
      <c r="F305" s="127">
        <v>2.9990000000000001</v>
      </c>
      <c r="G305" s="128" t="s">
        <v>464</v>
      </c>
      <c r="H305" s="127" t="s">
        <v>463</v>
      </c>
      <c r="I305" s="128" t="s">
        <v>71</v>
      </c>
      <c r="J305" s="127">
        <v>2979</v>
      </c>
      <c r="K305" s="123">
        <v>6893</v>
      </c>
      <c r="L305" s="123">
        <v>3749</v>
      </c>
      <c r="M305" s="123" t="s">
        <v>31</v>
      </c>
      <c r="N305" s="133">
        <v>8.8000000000000007</v>
      </c>
      <c r="O305" s="23">
        <f>IF(N305&gt;0,1/N305*37.7*68.6,"")</f>
        <v>293.88863636363635</v>
      </c>
      <c r="P305" s="125">
        <v>8.1199999999999992</v>
      </c>
      <c r="Q305" s="124" t="s">
        <v>63</v>
      </c>
      <c r="R305" s="123" t="s">
        <v>33</v>
      </c>
      <c r="S305" s="123" t="s">
        <v>34</v>
      </c>
      <c r="T305" s="123"/>
      <c r="U305" s="122"/>
      <c r="V305" s="28">
        <f>IFERROR(IF(N305&lt;P305,"",(ROUNDDOWN(N305/P305*100,0))),"")</f>
        <v>108</v>
      </c>
    </row>
    <row r="306" spans="1:23" s="121" customFormat="1" ht="21" customHeight="1">
      <c r="A306" s="136"/>
      <c r="B306" s="139"/>
      <c r="C306" s="134"/>
      <c r="D306" s="129" t="s">
        <v>490</v>
      </c>
      <c r="E306" s="128" t="s">
        <v>41</v>
      </c>
      <c r="F306" s="127">
        <v>2.9990000000000001</v>
      </c>
      <c r="G306" s="128" t="s">
        <v>464</v>
      </c>
      <c r="H306" s="127" t="s">
        <v>463</v>
      </c>
      <c r="I306" s="128" t="s">
        <v>71</v>
      </c>
      <c r="J306" s="127">
        <v>2652</v>
      </c>
      <c r="K306" s="123">
        <v>5812</v>
      </c>
      <c r="L306" s="123">
        <v>2995</v>
      </c>
      <c r="M306" s="123" t="s">
        <v>31</v>
      </c>
      <c r="N306" s="133">
        <v>10.4</v>
      </c>
      <c r="O306" s="23">
        <f>IF(N306&gt;0,1/N306*37.7*68.6,"")</f>
        <v>248.67499999999998</v>
      </c>
      <c r="P306" s="125">
        <v>9.51</v>
      </c>
      <c r="Q306" s="124" t="s">
        <v>63</v>
      </c>
      <c r="R306" s="123" t="s">
        <v>33</v>
      </c>
      <c r="S306" s="123" t="s">
        <v>34</v>
      </c>
      <c r="T306" s="123"/>
      <c r="U306" s="122"/>
      <c r="V306" s="28">
        <f>IFERROR(IF(N306&lt;P306,"",(ROUNDDOWN(N306/P306*100,0))),"")</f>
        <v>109</v>
      </c>
      <c r="W306" s="137"/>
    </row>
    <row r="307" spans="1:23" s="121" customFormat="1" ht="21" customHeight="1">
      <c r="A307" s="136"/>
      <c r="B307" s="139"/>
      <c r="C307" s="134"/>
      <c r="D307" s="129" t="s">
        <v>490</v>
      </c>
      <c r="E307" s="128" t="s">
        <v>41</v>
      </c>
      <c r="F307" s="127">
        <v>2.9990000000000001</v>
      </c>
      <c r="G307" s="128" t="s">
        <v>467</v>
      </c>
      <c r="H307" s="127" t="s">
        <v>466</v>
      </c>
      <c r="I307" s="128" t="s">
        <v>71</v>
      </c>
      <c r="J307" s="127">
        <v>2979</v>
      </c>
      <c r="K307" s="123">
        <v>6893</v>
      </c>
      <c r="L307" s="123">
        <v>3749</v>
      </c>
      <c r="M307" s="123" t="s">
        <v>31</v>
      </c>
      <c r="N307" s="133">
        <v>8.8000000000000007</v>
      </c>
      <c r="O307" s="23">
        <f>IF(N307&gt;0,1/N307*37.7*68.6,"")</f>
        <v>293.88863636363635</v>
      </c>
      <c r="P307" s="125">
        <v>8.1199999999999992</v>
      </c>
      <c r="Q307" s="124" t="s">
        <v>63</v>
      </c>
      <c r="R307" s="123" t="s">
        <v>33</v>
      </c>
      <c r="S307" s="123" t="s">
        <v>34</v>
      </c>
      <c r="T307" s="123"/>
      <c r="U307" s="122"/>
      <c r="V307" s="28">
        <f>IFERROR(IF(N307&lt;P307,"",(ROUNDDOWN(N307/P307*100,0))),"")</f>
        <v>108</v>
      </c>
      <c r="W307" s="137"/>
    </row>
    <row r="308" spans="1:23" s="121" customFormat="1" ht="21" customHeight="1">
      <c r="A308" s="136"/>
      <c r="B308" s="139"/>
      <c r="C308" s="134"/>
      <c r="D308" s="129" t="s">
        <v>490</v>
      </c>
      <c r="E308" s="128" t="s">
        <v>41</v>
      </c>
      <c r="F308" s="127">
        <v>2.9990000000000001</v>
      </c>
      <c r="G308" s="128" t="s">
        <v>464</v>
      </c>
      <c r="H308" s="127" t="s">
        <v>463</v>
      </c>
      <c r="I308" s="128" t="s">
        <v>71</v>
      </c>
      <c r="J308" s="127">
        <v>2979</v>
      </c>
      <c r="K308" s="123">
        <v>6893</v>
      </c>
      <c r="L308" s="123">
        <v>3749</v>
      </c>
      <c r="M308" s="123" t="s">
        <v>31</v>
      </c>
      <c r="N308" s="133">
        <v>8.8000000000000007</v>
      </c>
      <c r="O308" s="23">
        <f>IF(N308&gt;0,1/N308*37.7*68.6,"")</f>
        <v>293.88863636363635</v>
      </c>
      <c r="P308" s="125">
        <v>8.1199999999999992</v>
      </c>
      <c r="Q308" s="124" t="s">
        <v>63</v>
      </c>
      <c r="R308" s="123" t="s">
        <v>33</v>
      </c>
      <c r="S308" s="123" t="s">
        <v>34</v>
      </c>
      <c r="T308" s="123"/>
      <c r="U308" s="122"/>
      <c r="V308" s="28">
        <f>IFERROR(IF(N308&lt;P308,"",(ROUNDDOWN(N308/P308*100,0))),"")</f>
        <v>108</v>
      </c>
      <c r="W308" s="137"/>
    </row>
    <row r="309" spans="1:23" s="121" customFormat="1" ht="21" customHeight="1">
      <c r="A309" s="136"/>
      <c r="B309" s="139"/>
      <c r="C309" s="134"/>
      <c r="D309" s="129" t="s">
        <v>489</v>
      </c>
      <c r="E309" s="128" t="s">
        <v>41</v>
      </c>
      <c r="F309" s="127">
        <v>2.9990000000000001</v>
      </c>
      <c r="G309" s="128" t="s">
        <v>467</v>
      </c>
      <c r="H309" s="127" t="s">
        <v>466</v>
      </c>
      <c r="I309" s="128" t="s">
        <v>42</v>
      </c>
      <c r="J309" s="127">
        <v>2979</v>
      </c>
      <c r="K309" s="123">
        <v>6893</v>
      </c>
      <c r="L309" s="123">
        <v>3749</v>
      </c>
      <c r="M309" s="123" t="s">
        <v>31</v>
      </c>
      <c r="N309" s="133">
        <v>9.1999999999999993</v>
      </c>
      <c r="O309" s="23">
        <f>IF(N309&gt;0,1/N309*37.7*68.6,"")</f>
        <v>281.1108695652174</v>
      </c>
      <c r="P309" s="125">
        <v>8.1199999999999992</v>
      </c>
      <c r="Q309" s="124" t="s">
        <v>43</v>
      </c>
      <c r="R309" s="123" t="s">
        <v>33</v>
      </c>
      <c r="S309" s="123" t="s">
        <v>34</v>
      </c>
      <c r="T309" s="123"/>
      <c r="U309" s="122"/>
      <c r="V309" s="28">
        <f>IFERROR(IF(N309&lt;P309,"",(ROUNDDOWN(N309/P309*100,0))),"")</f>
        <v>113</v>
      </c>
      <c r="W309" s="137"/>
    </row>
    <row r="310" spans="1:23" s="121" customFormat="1" ht="21" customHeight="1">
      <c r="A310" s="136"/>
      <c r="B310" s="139"/>
      <c r="C310" s="134"/>
      <c r="D310" s="129" t="s">
        <v>489</v>
      </c>
      <c r="E310" s="128" t="s">
        <v>41</v>
      </c>
      <c r="F310" s="127">
        <v>2.9990000000000001</v>
      </c>
      <c r="G310" s="128" t="s">
        <v>464</v>
      </c>
      <c r="H310" s="127" t="s">
        <v>463</v>
      </c>
      <c r="I310" s="128" t="s">
        <v>42</v>
      </c>
      <c r="J310" s="127">
        <v>2979</v>
      </c>
      <c r="K310" s="123">
        <v>6893</v>
      </c>
      <c r="L310" s="123">
        <v>3749</v>
      </c>
      <c r="M310" s="123" t="s">
        <v>31</v>
      </c>
      <c r="N310" s="133">
        <v>9.1999999999999993</v>
      </c>
      <c r="O310" s="23">
        <f>IF(N310&gt;0,1/N310*37.7*68.6,"")</f>
        <v>281.1108695652174</v>
      </c>
      <c r="P310" s="125">
        <v>8.1199999999999992</v>
      </c>
      <c r="Q310" s="124" t="s">
        <v>43</v>
      </c>
      <c r="R310" s="123" t="s">
        <v>33</v>
      </c>
      <c r="S310" s="123" t="s">
        <v>34</v>
      </c>
      <c r="T310" s="123"/>
      <c r="U310" s="122"/>
      <c r="V310" s="28">
        <f>IFERROR(IF(N310&lt;P310,"",(ROUNDDOWN(N310/P310*100,0))),"")</f>
        <v>113</v>
      </c>
      <c r="W310" s="137"/>
    </row>
    <row r="311" spans="1:23" s="121" customFormat="1" ht="21" customHeight="1">
      <c r="A311" s="136"/>
      <c r="B311" s="139"/>
      <c r="C311" s="134"/>
      <c r="D311" s="129" t="s">
        <v>489</v>
      </c>
      <c r="E311" s="128" t="s">
        <v>41</v>
      </c>
      <c r="F311" s="127">
        <v>2.9990000000000001</v>
      </c>
      <c r="G311" s="128" t="s">
        <v>467</v>
      </c>
      <c r="H311" s="127" t="s">
        <v>466</v>
      </c>
      <c r="I311" s="128" t="s">
        <v>71</v>
      </c>
      <c r="J311" s="127">
        <v>2979</v>
      </c>
      <c r="K311" s="123">
        <v>6893</v>
      </c>
      <c r="L311" s="123">
        <v>3749</v>
      </c>
      <c r="M311" s="123" t="s">
        <v>31</v>
      </c>
      <c r="N311" s="133">
        <v>9</v>
      </c>
      <c r="O311" s="23">
        <f>IF(N311&gt;0,1/N311*37.7*68.6,"")</f>
        <v>287.35777777777776</v>
      </c>
      <c r="P311" s="125">
        <v>8.1199999999999992</v>
      </c>
      <c r="Q311" s="124" t="s">
        <v>43</v>
      </c>
      <c r="R311" s="123" t="s">
        <v>33</v>
      </c>
      <c r="S311" s="123" t="s">
        <v>34</v>
      </c>
      <c r="T311" s="123"/>
      <c r="U311" s="122"/>
      <c r="V311" s="28">
        <f>IFERROR(IF(N311&lt;P311,"",(ROUNDDOWN(N311/P311*100,0))),"")</f>
        <v>110</v>
      </c>
      <c r="W311" s="137"/>
    </row>
    <row r="312" spans="1:23" s="121" customFormat="1" ht="21" customHeight="1">
      <c r="A312" s="136"/>
      <c r="B312" s="139"/>
      <c r="C312" s="134"/>
      <c r="D312" s="129" t="s">
        <v>489</v>
      </c>
      <c r="E312" s="128" t="s">
        <v>41</v>
      </c>
      <c r="F312" s="127">
        <v>2.9990000000000001</v>
      </c>
      <c r="G312" s="128" t="s">
        <v>464</v>
      </c>
      <c r="H312" s="127" t="s">
        <v>463</v>
      </c>
      <c r="I312" s="128" t="s">
        <v>71</v>
      </c>
      <c r="J312" s="127">
        <v>2979</v>
      </c>
      <c r="K312" s="123">
        <v>6893</v>
      </c>
      <c r="L312" s="123">
        <v>3749</v>
      </c>
      <c r="M312" s="123" t="s">
        <v>31</v>
      </c>
      <c r="N312" s="133">
        <v>9</v>
      </c>
      <c r="O312" s="23">
        <f>IF(N312&gt;0,1/N312*37.7*68.6,"")</f>
        <v>287.35777777777776</v>
      </c>
      <c r="P312" s="125">
        <v>8.1199999999999992</v>
      </c>
      <c r="Q312" s="124" t="s">
        <v>43</v>
      </c>
      <c r="R312" s="123" t="s">
        <v>33</v>
      </c>
      <c r="S312" s="123" t="s">
        <v>34</v>
      </c>
      <c r="T312" s="123"/>
      <c r="U312" s="122"/>
      <c r="V312" s="28">
        <f>IFERROR(IF(N312&lt;P312,"",(ROUNDDOWN(N312/P312*100,0))),"")</f>
        <v>110</v>
      </c>
      <c r="W312" s="137"/>
    </row>
    <row r="313" spans="1:23" s="121" customFormat="1" ht="21" customHeight="1">
      <c r="A313" s="136"/>
      <c r="B313" s="139"/>
      <c r="C313" s="134"/>
      <c r="D313" s="129" t="s">
        <v>489</v>
      </c>
      <c r="E313" s="128" t="s">
        <v>41</v>
      </c>
      <c r="F313" s="127">
        <v>2.9990000000000001</v>
      </c>
      <c r="G313" s="128" t="s">
        <v>467</v>
      </c>
      <c r="H313" s="127" t="s">
        <v>466</v>
      </c>
      <c r="I313" s="128" t="s">
        <v>42</v>
      </c>
      <c r="J313" s="127">
        <v>2979</v>
      </c>
      <c r="K313" s="123">
        <v>6893</v>
      </c>
      <c r="L313" s="123">
        <v>3749</v>
      </c>
      <c r="M313" s="123" t="s">
        <v>31</v>
      </c>
      <c r="N313" s="133">
        <v>9</v>
      </c>
      <c r="O313" s="23">
        <f>IF(N313&gt;0,1/N313*37.7*68.6,"")</f>
        <v>287.35777777777776</v>
      </c>
      <c r="P313" s="125">
        <v>8.1199999999999992</v>
      </c>
      <c r="Q313" s="124" t="s">
        <v>63</v>
      </c>
      <c r="R313" s="123" t="s">
        <v>33</v>
      </c>
      <c r="S313" s="123" t="s">
        <v>34</v>
      </c>
      <c r="T313" s="123"/>
      <c r="U313" s="122"/>
      <c r="V313" s="28">
        <f>IFERROR(IF(N313&lt;P313,"",(ROUNDDOWN(N313/P313*100,0))),"")</f>
        <v>110</v>
      </c>
      <c r="W313" s="137"/>
    </row>
    <row r="314" spans="1:23" s="121" customFormat="1" ht="21" customHeight="1">
      <c r="A314" s="136"/>
      <c r="B314" s="139"/>
      <c r="C314" s="134"/>
      <c r="D314" s="129" t="s">
        <v>489</v>
      </c>
      <c r="E314" s="128" t="s">
        <v>41</v>
      </c>
      <c r="F314" s="127">
        <v>2.9990000000000001</v>
      </c>
      <c r="G314" s="128" t="s">
        <v>464</v>
      </c>
      <c r="H314" s="127" t="s">
        <v>463</v>
      </c>
      <c r="I314" s="128" t="s">
        <v>42</v>
      </c>
      <c r="J314" s="127">
        <v>2979</v>
      </c>
      <c r="K314" s="123">
        <v>6893</v>
      </c>
      <c r="L314" s="123">
        <v>3749</v>
      </c>
      <c r="M314" s="123" t="s">
        <v>31</v>
      </c>
      <c r="N314" s="133">
        <v>9</v>
      </c>
      <c r="O314" s="23">
        <f>IF(N314&gt;0,1/N314*37.7*68.6,"")</f>
        <v>287.35777777777776</v>
      </c>
      <c r="P314" s="125">
        <v>8.1199999999999992</v>
      </c>
      <c r="Q314" s="124" t="s">
        <v>63</v>
      </c>
      <c r="R314" s="123" t="s">
        <v>33</v>
      </c>
      <c r="S314" s="123" t="s">
        <v>34</v>
      </c>
      <c r="T314" s="123"/>
      <c r="U314" s="122"/>
      <c r="V314" s="28">
        <f>IFERROR(IF(N314&lt;P314,"",(ROUNDDOWN(N314/P314*100,0))),"")</f>
        <v>110</v>
      </c>
      <c r="W314" s="137"/>
    </row>
    <row r="315" spans="1:23" s="121" customFormat="1" ht="21" customHeight="1">
      <c r="A315" s="136"/>
      <c r="B315" s="139"/>
      <c r="C315" s="134"/>
      <c r="D315" s="129" t="s">
        <v>488</v>
      </c>
      <c r="E315" s="128" t="s">
        <v>41</v>
      </c>
      <c r="F315" s="127">
        <v>2.9990000000000001</v>
      </c>
      <c r="G315" s="128">
        <v>375</v>
      </c>
      <c r="H315" s="127">
        <v>110</v>
      </c>
      <c r="I315" s="128" t="s">
        <v>71</v>
      </c>
      <c r="J315" s="127">
        <v>2979</v>
      </c>
      <c r="K315" s="123">
        <v>6893</v>
      </c>
      <c r="L315" s="123">
        <v>3749</v>
      </c>
      <c r="M315" s="123" t="s">
        <v>31</v>
      </c>
      <c r="N315" s="133">
        <v>9.1</v>
      </c>
      <c r="O315" s="23">
        <f>IF(N315&gt;0,1/N315*37.7*68.6,"")</f>
        <v>284.2</v>
      </c>
      <c r="P315" s="125">
        <v>8.1199999999999992</v>
      </c>
      <c r="Q315" s="124" t="s">
        <v>43</v>
      </c>
      <c r="R315" s="123" t="s">
        <v>33</v>
      </c>
      <c r="S315" s="123" t="s">
        <v>34</v>
      </c>
      <c r="T315" s="123"/>
      <c r="U315" s="122"/>
      <c r="V315" s="28">
        <f>IFERROR(IF(N315&lt;P315,"",(ROUNDDOWN(N315/P315*100,0))),"")</f>
        <v>112</v>
      </c>
      <c r="W315" s="137"/>
    </row>
    <row r="316" spans="1:23" s="121" customFormat="1" ht="21" customHeight="1">
      <c r="A316" s="136"/>
      <c r="B316" s="135"/>
      <c r="C316" s="134"/>
      <c r="D316" s="129" t="s">
        <v>488</v>
      </c>
      <c r="E316" s="128" t="s">
        <v>41</v>
      </c>
      <c r="F316" s="127">
        <v>2.9990000000000001</v>
      </c>
      <c r="G316" s="128" t="s">
        <v>464</v>
      </c>
      <c r="H316" s="127" t="s">
        <v>463</v>
      </c>
      <c r="I316" s="128" t="s">
        <v>71</v>
      </c>
      <c r="J316" s="127">
        <v>2979</v>
      </c>
      <c r="K316" s="123">
        <v>6893</v>
      </c>
      <c r="L316" s="123">
        <v>3749</v>
      </c>
      <c r="M316" s="123" t="s">
        <v>31</v>
      </c>
      <c r="N316" s="133">
        <v>9.1</v>
      </c>
      <c r="O316" s="23">
        <f>IF(N316&gt;0,1/N316*37.7*68.6,"")</f>
        <v>284.2</v>
      </c>
      <c r="P316" s="125">
        <v>8.1199999999999992</v>
      </c>
      <c r="Q316" s="124" t="s">
        <v>43</v>
      </c>
      <c r="R316" s="123" t="s">
        <v>33</v>
      </c>
      <c r="S316" s="123" t="s">
        <v>34</v>
      </c>
      <c r="T316" s="123"/>
      <c r="U316" s="122"/>
      <c r="V316" s="28">
        <f>IFERROR(IF(N316&lt;P316,"",(ROUNDDOWN(N316/P316*100,0))),"")</f>
        <v>112</v>
      </c>
      <c r="W316" s="137"/>
    </row>
    <row r="317" spans="1:23" s="121" customFormat="1" ht="21" customHeight="1">
      <c r="A317" s="136"/>
      <c r="B317" s="139"/>
      <c r="C317" s="134"/>
      <c r="D317" s="129" t="s">
        <v>487</v>
      </c>
      <c r="E317" s="128" t="s">
        <v>41</v>
      </c>
      <c r="F317" s="127">
        <v>2.9990000000000001</v>
      </c>
      <c r="G317" s="128">
        <v>375</v>
      </c>
      <c r="H317" s="127">
        <v>110</v>
      </c>
      <c r="I317" s="128" t="s">
        <v>71</v>
      </c>
      <c r="J317" s="127">
        <v>2979</v>
      </c>
      <c r="K317" s="123">
        <v>6893</v>
      </c>
      <c r="L317" s="123">
        <v>3749</v>
      </c>
      <c r="M317" s="123" t="s">
        <v>31</v>
      </c>
      <c r="N317" s="133">
        <v>8.9</v>
      </c>
      <c r="O317" s="23">
        <f>IF(N317&gt;0,1/N317*37.7*68.6,"")</f>
        <v>290.58651685393255</v>
      </c>
      <c r="P317" s="125">
        <v>8.1199999999999992</v>
      </c>
      <c r="Q317" s="124" t="s">
        <v>63</v>
      </c>
      <c r="R317" s="123" t="s">
        <v>33</v>
      </c>
      <c r="S317" s="123" t="s">
        <v>34</v>
      </c>
      <c r="T317" s="123"/>
      <c r="U317" s="122"/>
      <c r="V317" s="28">
        <f>IFERROR(IF(N317&lt;P317,"",(ROUNDDOWN(N317/P317*100,0))),"")</f>
        <v>109</v>
      </c>
      <c r="W317" s="137"/>
    </row>
    <row r="318" spans="1:23" s="121" customFormat="1" ht="21" customHeight="1">
      <c r="A318" s="136"/>
      <c r="B318" s="139"/>
      <c r="C318" s="134"/>
      <c r="D318" s="129" t="s">
        <v>486</v>
      </c>
      <c r="E318" s="128" t="s">
        <v>41</v>
      </c>
      <c r="F318" s="127">
        <v>2.9990000000000001</v>
      </c>
      <c r="G318" s="128">
        <v>375</v>
      </c>
      <c r="H318" s="127">
        <v>110</v>
      </c>
      <c r="I318" s="128" t="s">
        <v>71</v>
      </c>
      <c r="J318" s="127">
        <v>2979</v>
      </c>
      <c r="K318" s="123">
        <v>6893</v>
      </c>
      <c r="L318" s="123">
        <v>3749</v>
      </c>
      <c r="M318" s="123" t="s">
        <v>31</v>
      </c>
      <c r="N318" s="133">
        <v>8.9</v>
      </c>
      <c r="O318" s="23">
        <f>IF(N318&gt;0,1/N318*37.7*68.6,"")</f>
        <v>290.58651685393255</v>
      </c>
      <c r="P318" s="125">
        <v>8.1199999999999992</v>
      </c>
      <c r="Q318" s="124" t="s">
        <v>63</v>
      </c>
      <c r="R318" s="123" t="s">
        <v>33</v>
      </c>
      <c r="S318" s="123" t="s">
        <v>34</v>
      </c>
      <c r="T318" s="123"/>
      <c r="U318" s="122"/>
      <c r="V318" s="28">
        <f>IFERROR(IF(N318&lt;P318,"",(ROUNDDOWN(N318/P318*100,0))),"")</f>
        <v>109</v>
      </c>
    </row>
    <row r="319" spans="1:23" s="121" customFormat="1" ht="21" customHeight="1">
      <c r="A319" s="136"/>
      <c r="B319" s="139"/>
      <c r="C319" s="134"/>
      <c r="D319" s="129" t="s">
        <v>485</v>
      </c>
      <c r="E319" s="128" t="s">
        <v>41</v>
      </c>
      <c r="F319" s="127">
        <v>2.9990000000000001</v>
      </c>
      <c r="G319" s="128">
        <v>375</v>
      </c>
      <c r="H319" s="127">
        <v>110</v>
      </c>
      <c r="I319" s="128" t="s">
        <v>71</v>
      </c>
      <c r="J319" s="127">
        <v>2979</v>
      </c>
      <c r="K319" s="123">
        <v>6893</v>
      </c>
      <c r="L319" s="123">
        <v>3749</v>
      </c>
      <c r="M319" s="123" t="s">
        <v>31</v>
      </c>
      <c r="N319" s="133">
        <v>8.9</v>
      </c>
      <c r="O319" s="23">
        <f>IF(N319&gt;0,1/N319*37.7*68.6,"")</f>
        <v>290.58651685393255</v>
      </c>
      <c r="P319" s="125">
        <v>8.1199999999999992</v>
      </c>
      <c r="Q319" s="124" t="s">
        <v>63</v>
      </c>
      <c r="R319" s="123" t="s">
        <v>33</v>
      </c>
      <c r="S319" s="123" t="s">
        <v>34</v>
      </c>
      <c r="T319" s="123"/>
      <c r="U319" s="122"/>
      <c r="V319" s="28">
        <f>IFERROR(IF(N319&lt;P319,"",(ROUNDDOWN(N319/P319*100,0))),"")</f>
        <v>109</v>
      </c>
    </row>
    <row r="320" spans="1:23" s="121" customFormat="1" ht="21" customHeight="1">
      <c r="A320" s="136"/>
      <c r="B320" s="139"/>
      <c r="C320" s="134"/>
      <c r="D320" s="129" t="s">
        <v>484</v>
      </c>
      <c r="E320" s="128" t="s">
        <v>41</v>
      </c>
      <c r="F320" s="127">
        <v>2.9990000000000001</v>
      </c>
      <c r="G320" s="128">
        <v>375</v>
      </c>
      <c r="H320" s="127">
        <v>110</v>
      </c>
      <c r="I320" s="128" t="s">
        <v>71</v>
      </c>
      <c r="J320" s="127">
        <v>2979</v>
      </c>
      <c r="K320" s="123">
        <v>6893</v>
      </c>
      <c r="L320" s="123">
        <v>3749</v>
      </c>
      <c r="M320" s="123" t="s">
        <v>31</v>
      </c>
      <c r="N320" s="133">
        <v>8.9</v>
      </c>
      <c r="O320" s="23">
        <f>IF(N320&gt;0,1/N320*37.7*68.6,"")</f>
        <v>290.58651685393255</v>
      </c>
      <c r="P320" s="125">
        <v>8.1199999999999992</v>
      </c>
      <c r="Q320" s="124" t="s">
        <v>63</v>
      </c>
      <c r="R320" s="123" t="s">
        <v>33</v>
      </c>
      <c r="S320" s="123" t="s">
        <v>34</v>
      </c>
      <c r="T320" s="123"/>
      <c r="U320" s="122"/>
      <c r="V320" s="28">
        <f>IFERROR(IF(N320&lt;P320,"",(ROUNDDOWN(N320/P320*100,0))),"")</f>
        <v>109</v>
      </c>
    </row>
    <row r="321" spans="1:22" s="121" customFormat="1" ht="21" customHeight="1">
      <c r="A321" s="136"/>
      <c r="B321" s="135"/>
      <c r="C321" s="134"/>
      <c r="D321" s="129" t="s">
        <v>483</v>
      </c>
      <c r="E321" s="128" t="s">
        <v>41</v>
      </c>
      <c r="F321" s="127">
        <v>2.9990000000000001</v>
      </c>
      <c r="G321" s="128">
        <v>375</v>
      </c>
      <c r="H321" s="127">
        <v>110</v>
      </c>
      <c r="I321" s="128" t="s">
        <v>71</v>
      </c>
      <c r="J321" s="127">
        <v>2979</v>
      </c>
      <c r="K321" s="123">
        <v>6893</v>
      </c>
      <c r="L321" s="123">
        <v>3749</v>
      </c>
      <c r="M321" s="123" t="s">
        <v>31</v>
      </c>
      <c r="N321" s="133">
        <v>8.9</v>
      </c>
      <c r="O321" s="23">
        <f>IF(N321&gt;0,1/N321*37.7*68.6,"")</f>
        <v>290.58651685393255</v>
      </c>
      <c r="P321" s="125">
        <v>8.1199999999999992</v>
      </c>
      <c r="Q321" s="124" t="s">
        <v>63</v>
      </c>
      <c r="R321" s="123" t="s">
        <v>33</v>
      </c>
      <c r="S321" s="123" t="s">
        <v>34</v>
      </c>
      <c r="T321" s="123"/>
      <c r="U321" s="122"/>
      <c r="V321" s="28">
        <f>IFERROR(IF(N321&lt;P321,"",(ROUNDDOWN(N321/P321*100,0))),"")</f>
        <v>109</v>
      </c>
    </row>
    <row r="322" spans="1:22" s="121" customFormat="1" ht="21" customHeight="1">
      <c r="A322" s="136"/>
      <c r="B322" s="135"/>
      <c r="C322" s="134"/>
      <c r="D322" s="129" t="s">
        <v>483</v>
      </c>
      <c r="E322" s="128" t="s">
        <v>41</v>
      </c>
      <c r="F322" s="127">
        <v>2.9990000000000001</v>
      </c>
      <c r="G322" s="128" t="s">
        <v>464</v>
      </c>
      <c r="H322" s="127" t="s">
        <v>463</v>
      </c>
      <c r="I322" s="128" t="s">
        <v>71</v>
      </c>
      <c r="J322" s="127">
        <v>2979</v>
      </c>
      <c r="K322" s="123">
        <v>6893</v>
      </c>
      <c r="L322" s="123">
        <v>3749</v>
      </c>
      <c r="M322" s="123" t="s">
        <v>31</v>
      </c>
      <c r="N322" s="133">
        <v>8.9</v>
      </c>
      <c r="O322" s="23">
        <f>IF(N322&gt;0,1/N322*37.7*68.6,"")</f>
        <v>290.58651685393255</v>
      </c>
      <c r="P322" s="125">
        <v>8.1199999999999992</v>
      </c>
      <c r="Q322" s="124" t="s">
        <v>63</v>
      </c>
      <c r="R322" s="123" t="s">
        <v>33</v>
      </c>
      <c r="S322" s="123" t="s">
        <v>34</v>
      </c>
      <c r="T322" s="123"/>
      <c r="U322" s="122"/>
      <c r="V322" s="28">
        <f>IFERROR(IF(N322&lt;P322,"",(ROUNDDOWN(N322/P322*100,0))),"")</f>
        <v>109</v>
      </c>
    </row>
    <row r="323" spans="1:22" s="121" customFormat="1" ht="21" customHeight="1">
      <c r="A323" s="136"/>
      <c r="B323" s="135"/>
      <c r="C323" s="134"/>
      <c r="D323" s="129" t="s">
        <v>482</v>
      </c>
      <c r="E323" s="128" t="s">
        <v>41</v>
      </c>
      <c r="F323" s="127">
        <v>2.9990000000000001</v>
      </c>
      <c r="G323" s="128">
        <v>375</v>
      </c>
      <c r="H323" s="127">
        <v>110</v>
      </c>
      <c r="I323" s="128" t="s">
        <v>71</v>
      </c>
      <c r="J323" s="127">
        <v>2979</v>
      </c>
      <c r="K323" s="123">
        <v>6893</v>
      </c>
      <c r="L323" s="127">
        <v>3749</v>
      </c>
      <c r="M323" s="123" t="s">
        <v>31</v>
      </c>
      <c r="N323" s="133">
        <v>8.9</v>
      </c>
      <c r="O323" s="23">
        <f>IF(N323&gt;0,1/N323*37.7*68.6,"")</f>
        <v>290.58651685393255</v>
      </c>
      <c r="P323" s="125">
        <v>8.1199999999999992</v>
      </c>
      <c r="Q323" s="124" t="s">
        <v>63</v>
      </c>
      <c r="R323" s="123" t="s">
        <v>33</v>
      </c>
      <c r="S323" s="123" t="s">
        <v>34</v>
      </c>
      <c r="T323" s="123"/>
      <c r="U323" s="122"/>
      <c r="V323" s="28">
        <f>IFERROR(IF(N323&lt;P323,"",(ROUNDDOWN(N323/P323*100,0))),"")</f>
        <v>109</v>
      </c>
    </row>
    <row r="324" spans="1:22" s="121" customFormat="1" ht="21" customHeight="1">
      <c r="A324" s="136"/>
      <c r="B324" s="135"/>
      <c r="C324" s="134"/>
      <c r="D324" s="129" t="s">
        <v>482</v>
      </c>
      <c r="E324" s="128" t="s">
        <v>41</v>
      </c>
      <c r="F324" s="127">
        <v>2.9990000000000001</v>
      </c>
      <c r="G324" s="128" t="s">
        <v>464</v>
      </c>
      <c r="H324" s="127" t="s">
        <v>463</v>
      </c>
      <c r="I324" s="128" t="s">
        <v>71</v>
      </c>
      <c r="J324" s="127">
        <v>2979</v>
      </c>
      <c r="K324" s="123">
        <v>6893</v>
      </c>
      <c r="L324" s="123">
        <v>3749</v>
      </c>
      <c r="M324" s="123" t="s">
        <v>31</v>
      </c>
      <c r="N324" s="133">
        <v>8.9</v>
      </c>
      <c r="O324" s="23">
        <f>IF(N324&gt;0,1/N324*37.7*68.6,"")</f>
        <v>290.58651685393255</v>
      </c>
      <c r="P324" s="125">
        <v>8.1199999999999992</v>
      </c>
      <c r="Q324" s="124" t="s">
        <v>63</v>
      </c>
      <c r="R324" s="123" t="s">
        <v>33</v>
      </c>
      <c r="S324" s="123" t="s">
        <v>34</v>
      </c>
      <c r="T324" s="123"/>
      <c r="U324" s="122"/>
      <c r="V324" s="28">
        <f>IFERROR(IF(N324&lt;P324,"",(ROUNDDOWN(N324/P324*100,0))),"")</f>
        <v>109</v>
      </c>
    </row>
    <row r="325" spans="1:22" s="121" customFormat="1" ht="21" customHeight="1">
      <c r="A325" s="136"/>
      <c r="B325" s="135"/>
      <c r="C325" s="134"/>
      <c r="D325" s="129" t="s">
        <v>481</v>
      </c>
      <c r="E325" s="128" t="s">
        <v>41</v>
      </c>
      <c r="F325" s="127">
        <v>2.9990000000000001</v>
      </c>
      <c r="G325" s="128">
        <v>375</v>
      </c>
      <c r="H325" s="127">
        <v>110</v>
      </c>
      <c r="I325" s="128" t="s">
        <v>71</v>
      </c>
      <c r="J325" s="127">
        <v>2979</v>
      </c>
      <c r="K325" s="123">
        <v>6893</v>
      </c>
      <c r="L325" s="123">
        <v>3749</v>
      </c>
      <c r="M325" s="123" t="s">
        <v>31</v>
      </c>
      <c r="N325" s="133">
        <v>8.9</v>
      </c>
      <c r="O325" s="23">
        <f>IF(N325&gt;0,1/N325*37.7*68.6,"")</f>
        <v>290.58651685393255</v>
      </c>
      <c r="P325" s="125">
        <v>8.1199999999999992</v>
      </c>
      <c r="Q325" s="124" t="s">
        <v>63</v>
      </c>
      <c r="R325" s="123" t="s">
        <v>33</v>
      </c>
      <c r="S325" s="123" t="s">
        <v>34</v>
      </c>
      <c r="T325" s="123"/>
      <c r="U325" s="122"/>
      <c r="V325" s="28">
        <f>IFERROR(IF(N325&lt;P325,"",(ROUNDDOWN(N325/P325*100,0))),"")</f>
        <v>109</v>
      </c>
    </row>
    <row r="326" spans="1:22" s="121" customFormat="1" ht="21" customHeight="1">
      <c r="A326" s="136"/>
      <c r="B326" s="135"/>
      <c r="C326" s="134"/>
      <c r="D326" s="129" t="s">
        <v>481</v>
      </c>
      <c r="E326" s="128" t="s">
        <v>41</v>
      </c>
      <c r="F326" s="127">
        <v>2.9990000000000001</v>
      </c>
      <c r="G326" s="128" t="s">
        <v>464</v>
      </c>
      <c r="H326" s="127" t="s">
        <v>463</v>
      </c>
      <c r="I326" s="128" t="s">
        <v>71</v>
      </c>
      <c r="J326" s="127">
        <v>2979</v>
      </c>
      <c r="K326" s="123">
        <v>6893</v>
      </c>
      <c r="L326" s="123">
        <v>3749</v>
      </c>
      <c r="M326" s="123" t="s">
        <v>31</v>
      </c>
      <c r="N326" s="133">
        <v>8.9</v>
      </c>
      <c r="O326" s="23">
        <f>IF(N326&gt;0,1/N326*37.7*68.6,"")</f>
        <v>290.58651685393255</v>
      </c>
      <c r="P326" s="125">
        <v>8.1199999999999992</v>
      </c>
      <c r="Q326" s="124" t="s">
        <v>63</v>
      </c>
      <c r="R326" s="123" t="s">
        <v>33</v>
      </c>
      <c r="S326" s="123" t="s">
        <v>34</v>
      </c>
      <c r="T326" s="123"/>
      <c r="U326" s="122"/>
      <c r="V326" s="28">
        <f>IFERROR(IF(N326&lt;P326,"",(ROUNDDOWN(N326/P326*100,0))),"")</f>
        <v>109</v>
      </c>
    </row>
    <row r="327" spans="1:22" s="121" customFormat="1" ht="21" customHeight="1">
      <c r="A327" s="136"/>
      <c r="B327" s="135"/>
      <c r="C327" s="134"/>
      <c r="D327" s="129" t="s">
        <v>480</v>
      </c>
      <c r="E327" s="128" t="s">
        <v>41</v>
      </c>
      <c r="F327" s="127">
        <v>2.9990000000000001</v>
      </c>
      <c r="G327" s="128">
        <v>375</v>
      </c>
      <c r="H327" s="127" t="s">
        <v>466</v>
      </c>
      <c r="I327" s="128" t="s">
        <v>71</v>
      </c>
      <c r="J327" s="127">
        <v>2979</v>
      </c>
      <c r="K327" s="123">
        <v>6893</v>
      </c>
      <c r="L327" s="123">
        <v>3749</v>
      </c>
      <c r="M327" s="123" t="s">
        <v>31</v>
      </c>
      <c r="N327" s="133">
        <v>8.8000000000000007</v>
      </c>
      <c r="O327" s="23">
        <f>IF(N327&gt;0,1/N327*37.7*68.6,"")</f>
        <v>293.88863636363635</v>
      </c>
      <c r="P327" s="125">
        <v>8.1199999999999992</v>
      </c>
      <c r="Q327" s="124" t="s">
        <v>63</v>
      </c>
      <c r="R327" s="123" t="s">
        <v>33</v>
      </c>
      <c r="S327" s="123" t="s">
        <v>34</v>
      </c>
      <c r="T327" s="123"/>
      <c r="U327" s="122"/>
      <c r="V327" s="28">
        <f>IFERROR(IF(N327&lt;P327,"",(ROUNDDOWN(N327/P327*100,0))),"")</f>
        <v>108</v>
      </c>
    </row>
    <row r="328" spans="1:22" s="121" customFormat="1" ht="21" customHeight="1">
      <c r="A328" s="136"/>
      <c r="B328" s="135"/>
      <c r="C328" s="134"/>
      <c r="D328" s="129" t="s">
        <v>479</v>
      </c>
      <c r="E328" s="128" t="s">
        <v>41</v>
      </c>
      <c r="F328" s="127">
        <v>2.9990000000000001</v>
      </c>
      <c r="G328" s="128">
        <v>375</v>
      </c>
      <c r="H328" s="127" t="s">
        <v>466</v>
      </c>
      <c r="I328" s="128" t="s">
        <v>71</v>
      </c>
      <c r="J328" s="127">
        <v>2979</v>
      </c>
      <c r="K328" s="123">
        <v>6893</v>
      </c>
      <c r="L328" s="123">
        <v>3749</v>
      </c>
      <c r="M328" s="123" t="s">
        <v>31</v>
      </c>
      <c r="N328" s="133">
        <v>8.8000000000000007</v>
      </c>
      <c r="O328" s="23">
        <f>IF(N328&gt;0,1/N328*37.7*68.6,"")</f>
        <v>293.88863636363635</v>
      </c>
      <c r="P328" s="125">
        <v>8.1199999999999992</v>
      </c>
      <c r="Q328" s="124" t="s">
        <v>63</v>
      </c>
      <c r="R328" s="123" t="s">
        <v>33</v>
      </c>
      <c r="S328" s="123" t="s">
        <v>34</v>
      </c>
      <c r="T328" s="123"/>
      <c r="U328" s="122"/>
      <c r="V328" s="28">
        <f>IFERROR(IF(N328&lt;P328,"",(ROUNDDOWN(N328/P328*100,0))),"")</f>
        <v>108</v>
      </c>
    </row>
    <row r="329" spans="1:22" s="121" customFormat="1" ht="21" customHeight="1">
      <c r="A329" s="136"/>
      <c r="B329" s="135"/>
      <c r="C329" s="134"/>
      <c r="D329" s="129" t="s">
        <v>478</v>
      </c>
      <c r="E329" s="128" t="s">
        <v>41</v>
      </c>
      <c r="F329" s="127">
        <v>2.9990000000000001</v>
      </c>
      <c r="G329" s="128" t="s">
        <v>467</v>
      </c>
      <c r="H329" s="127" t="s">
        <v>466</v>
      </c>
      <c r="I329" s="128" t="s">
        <v>71</v>
      </c>
      <c r="J329" s="127">
        <v>2979</v>
      </c>
      <c r="K329" s="123">
        <v>6893</v>
      </c>
      <c r="L329" s="123">
        <v>3749</v>
      </c>
      <c r="M329" s="123" t="s">
        <v>31</v>
      </c>
      <c r="N329" s="133">
        <v>8.8000000000000007</v>
      </c>
      <c r="O329" s="23">
        <f>IF(N329&gt;0,1/N329*37.7*68.6,"")</f>
        <v>293.88863636363635</v>
      </c>
      <c r="P329" s="125">
        <v>8.1199999999999992</v>
      </c>
      <c r="Q329" s="124" t="s">
        <v>63</v>
      </c>
      <c r="R329" s="123" t="s">
        <v>33</v>
      </c>
      <c r="S329" s="123" t="s">
        <v>34</v>
      </c>
      <c r="T329" s="123"/>
      <c r="U329" s="122"/>
      <c r="V329" s="28">
        <f>IFERROR(IF(N329&lt;P329,"",(ROUNDDOWN(N329/P329*100,0))),"")</f>
        <v>108</v>
      </c>
    </row>
    <row r="330" spans="1:22" s="121" customFormat="1" ht="21" customHeight="1">
      <c r="A330" s="136"/>
      <c r="B330" s="135"/>
      <c r="C330" s="134"/>
      <c r="D330" s="129" t="s">
        <v>477</v>
      </c>
      <c r="E330" s="128" t="s">
        <v>41</v>
      </c>
      <c r="F330" s="127">
        <v>2.9990000000000001</v>
      </c>
      <c r="G330" s="128" t="s">
        <v>467</v>
      </c>
      <c r="H330" s="127" t="s">
        <v>466</v>
      </c>
      <c r="I330" s="128" t="s">
        <v>71</v>
      </c>
      <c r="J330" s="127">
        <v>2979</v>
      </c>
      <c r="K330" s="123">
        <v>6893</v>
      </c>
      <c r="L330" s="123">
        <v>3749</v>
      </c>
      <c r="M330" s="123" t="s">
        <v>31</v>
      </c>
      <c r="N330" s="133">
        <v>8.8000000000000007</v>
      </c>
      <c r="O330" s="23">
        <f>IF(N330&gt;0,1/N330*37.7*68.6,"")</f>
        <v>293.88863636363635</v>
      </c>
      <c r="P330" s="125">
        <v>8.1199999999999992</v>
      </c>
      <c r="Q330" s="124" t="s">
        <v>63</v>
      </c>
      <c r="R330" s="123" t="s">
        <v>33</v>
      </c>
      <c r="S330" s="123" t="s">
        <v>34</v>
      </c>
      <c r="T330" s="123"/>
      <c r="U330" s="122"/>
      <c r="V330" s="28">
        <f>IFERROR(IF(N330&lt;P330,"",(ROUNDDOWN(N330/P330*100,0))),"")</f>
        <v>108</v>
      </c>
    </row>
    <row r="331" spans="1:22" s="121" customFormat="1" ht="21" customHeight="1">
      <c r="A331" s="136"/>
      <c r="B331" s="135"/>
      <c r="C331" s="134"/>
      <c r="D331" s="129" t="s">
        <v>476</v>
      </c>
      <c r="E331" s="128" t="s">
        <v>41</v>
      </c>
      <c r="F331" s="127">
        <v>2.9990000000000001</v>
      </c>
      <c r="G331" s="128" t="s">
        <v>467</v>
      </c>
      <c r="H331" s="127" t="s">
        <v>466</v>
      </c>
      <c r="I331" s="128" t="s">
        <v>71</v>
      </c>
      <c r="J331" s="127">
        <v>2979</v>
      </c>
      <c r="K331" s="123">
        <v>6893</v>
      </c>
      <c r="L331" s="123">
        <v>3749</v>
      </c>
      <c r="M331" s="123" t="s">
        <v>31</v>
      </c>
      <c r="N331" s="133">
        <v>8.8000000000000007</v>
      </c>
      <c r="O331" s="23">
        <f>IF(N331&gt;0,1/N331*37.7*68.6,"")</f>
        <v>293.88863636363635</v>
      </c>
      <c r="P331" s="125">
        <v>8.1199999999999992</v>
      </c>
      <c r="Q331" s="124" t="s">
        <v>63</v>
      </c>
      <c r="R331" s="123" t="s">
        <v>33</v>
      </c>
      <c r="S331" s="123" t="s">
        <v>34</v>
      </c>
      <c r="T331" s="123"/>
      <c r="U331" s="122"/>
      <c r="V331" s="28">
        <f>IFERROR(IF(N331&lt;P331,"",(ROUNDDOWN(N331/P331*100,0))),"")</f>
        <v>108</v>
      </c>
    </row>
    <row r="332" spans="1:22" s="121" customFormat="1" ht="21" customHeight="1">
      <c r="A332" s="136"/>
      <c r="B332" s="135"/>
      <c r="C332" s="134"/>
      <c r="D332" s="129" t="s">
        <v>476</v>
      </c>
      <c r="E332" s="128" t="s">
        <v>41</v>
      </c>
      <c r="F332" s="127">
        <v>2.9990000000000001</v>
      </c>
      <c r="G332" s="128" t="s">
        <v>464</v>
      </c>
      <c r="H332" s="127" t="s">
        <v>463</v>
      </c>
      <c r="I332" s="128" t="s">
        <v>71</v>
      </c>
      <c r="J332" s="127">
        <v>2979</v>
      </c>
      <c r="K332" s="123">
        <v>6893</v>
      </c>
      <c r="L332" s="123">
        <v>3749</v>
      </c>
      <c r="M332" s="123" t="s">
        <v>31</v>
      </c>
      <c r="N332" s="133">
        <v>8.8000000000000007</v>
      </c>
      <c r="O332" s="23">
        <f>IF(N332&gt;0,1/N332*37.7*68.6,"")</f>
        <v>293.88863636363635</v>
      </c>
      <c r="P332" s="125">
        <v>8.1199999999999992</v>
      </c>
      <c r="Q332" s="124" t="s">
        <v>63</v>
      </c>
      <c r="R332" s="123" t="s">
        <v>33</v>
      </c>
      <c r="S332" s="123" t="s">
        <v>34</v>
      </c>
      <c r="T332" s="123"/>
      <c r="U332" s="122"/>
      <c r="V332" s="28">
        <f>IFERROR(IF(N332&lt;P332,"",(ROUNDDOWN(N332/P332*100,0))),"")</f>
        <v>108</v>
      </c>
    </row>
    <row r="333" spans="1:22" s="121" customFormat="1" ht="21" customHeight="1">
      <c r="A333" s="136"/>
      <c r="B333" s="135"/>
      <c r="C333" s="134"/>
      <c r="D333" s="129" t="s">
        <v>475</v>
      </c>
      <c r="E333" s="128" t="s">
        <v>41</v>
      </c>
      <c r="F333" s="127">
        <v>2.9990000000000001</v>
      </c>
      <c r="G333" s="128">
        <v>375</v>
      </c>
      <c r="H333" s="127" t="s">
        <v>466</v>
      </c>
      <c r="I333" s="128" t="s">
        <v>42</v>
      </c>
      <c r="J333" s="127">
        <v>3543</v>
      </c>
      <c r="K333" s="123">
        <v>7928</v>
      </c>
      <c r="L333" s="123">
        <v>4275</v>
      </c>
      <c r="M333" s="123" t="s">
        <v>31</v>
      </c>
      <c r="N333" s="133">
        <v>8.1999999999999993</v>
      </c>
      <c r="O333" s="23">
        <f>IF(N333&gt;0,1/N333*37.7*68.6,"")</f>
        <v>315.39268292682931</v>
      </c>
      <c r="P333" s="125">
        <v>7.24</v>
      </c>
      <c r="Q333" s="124" t="s">
        <v>43</v>
      </c>
      <c r="R333" s="123" t="s">
        <v>33</v>
      </c>
      <c r="S333" s="123" t="s">
        <v>34</v>
      </c>
      <c r="T333" s="123"/>
      <c r="U333" s="122"/>
      <c r="V333" s="28">
        <f>IFERROR(IF(N333&lt;P333,"",(ROUNDDOWN(N333/P333*100,0))),"")</f>
        <v>113</v>
      </c>
    </row>
    <row r="334" spans="1:22" s="121" customFormat="1" ht="21" customHeight="1">
      <c r="A334" s="136"/>
      <c r="B334" s="135"/>
      <c r="C334" s="134"/>
      <c r="D334" s="129" t="s">
        <v>475</v>
      </c>
      <c r="E334" s="128" t="s">
        <v>41</v>
      </c>
      <c r="F334" s="127">
        <v>2.9990000000000001</v>
      </c>
      <c r="G334" s="128">
        <v>375</v>
      </c>
      <c r="H334" s="127" t="s">
        <v>466</v>
      </c>
      <c r="I334" s="128" t="s">
        <v>42</v>
      </c>
      <c r="J334" s="127">
        <v>3543</v>
      </c>
      <c r="K334" s="123">
        <v>7928</v>
      </c>
      <c r="L334" s="123">
        <v>4275</v>
      </c>
      <c r="M334" s="123" t="s">
        <v>31</v>
      </c>
      <c r="N334" s="133">
        <v>8.1</v>
      </c>
      <c r="O334" s="23">
        <f>IF(N334&gt;0,1/N334*37.7*68.6,"")</f>
        <v>319.28641975308642</v>
      </c>
      <c r="P334" s="125">
        <v>7.24</v>
      </c>
      <c r="Q334" s="124" t="s">
        <v>63</v>
      </c>
      <c r="R334" s="123" t="s">
        <v>33</v>
      </c>
      <c r="S334" s="123" t="s">
        <v>34</v>
      </c>
      <c r="T334" s="123"/>
      <c r="U334" s="122"/>
      <c r="V334" s="28">
        <f>IFERROR(IF(N334&lt;P334,"",(ROUNDDOWN(N334/P334*100,0))),"")</f>
        <v>111</v>
      </c>
    </row>
    <row r="335" spans="1:22" s="121" customFormat="1" ht="21" customHeight="1">
      <c r="A335" s="136"/>
      <c r="B335" s="135"/>
      <c r="C335" s="134"/>
      <c r="D335" s="129" t="s">
        <v>475</v>
      </c>
      <c r="E335" s="128" t="s">
        <v>41</v>
      </c>
      <c r="F335" s="127">
        <v>2.9990000000000001</v>
      </c>
      <c r="G335" s="128">
        <v>375</v>
      </c>
      <c r="H335" s="127" t="s">
        <v>466</v>
      </c>
      <c r="I335" s="128" t="s">
        <v>71</v>
      </c>
      <c r="J335" s="127">
        <v>3543</v>
      </c>
      <c r="K335" s="123">
        <v>7928</v>
      </c>
      <c r="L335" s="123">
        <v>4275</v>
      </c>
      <c r="M335" s="123" t="s">
        <v>31</v>
      </c>
      <c r="N335" s="133">
        <v>8</v>
      </c>
      <c r="O335" s="23">
        <f>IF(N335&gt;0,1/N335*37.7*68.6,"")</f>
        <v>323.27749999999997</v>
      </c>
      <c r="P335" s="125">
        <v>7.24</v>
      </c>
      <c r="Q335" s="124" t="s">
        <v>43</v>
      </c>
      <c r="R335" s="123" t="s">
        <v>33</v>
      </c>
      <c r="S335" s="123" t="s">
        <v>34</v>
      </c>
      <c r="T335" s="123"/>
      <c r="U335" s="122"/>
      <c r="V335" s="28">
        <f>IFERROR(IF(N335&lt;P335,"",(ROUNDDOWN(N335/P335*100,0))),"")</f>
        <v>110</v>
      </c>
    </row>
    <row r="336" spans="1:22" s="121" customFormat="1" ht="21" customHeight="1">
      <c r="A336" s="136"/>
      <c r="B336" s="135"/>
      <c r="C336" s="134"/>
      <c r="D336" s="129" t="s">
        <v>474</v>
      </c>
      <c r="E336" s="128" t="s">
        <v>41</v>
      </c>
      <c r="F336" s="127">
        <v>2.9990000000000001</v>
      </c>
      <c r="G336" s="128" t="s">
        <v>467</v>
      </c>
      <c r="H336" s="127" t="s">
        <v>466</v>
      </c>
      <c r="I336" s="128" t="s">
        <v>42</v>
      </c>
      <c r="J336" s="127">
        <v>3543</v>
      </c>
      <c r="K336" s="123">
        <v>7928</v>
      </c>
      <c r="L336" s="123">
        <v>4275</v>
      </c>
      <c r="M336" s="123" t="s">
        <v>31</v>
      </c>
      <c r="N336" s="133">
        <v>8.1999999999999993</v>
      </c>
      <c r="O336" s="23">
        <f>IF(N336&gt;0,1/N336*37.7*68.6,"")</f>
        <v>315.39268292682931</v>
      </c>
      <c r="P336" s="125">
        <v>7.24</v>
      </c>
      <c r="Q336" s="124" t="s">
        <v>43</v>
      </c>
      <c r="R336" s="123" t="s">
        <v>33</v>
      </c>
      <c r="S336" s="123" t="s">
        <v>34</v>
      </c>
      <c r="T336" s="123"/>
      <c r="U336" s="122"/>
      <c r="V336" s="28">
        <f>IFERROR(IF(N336&lt;P336,"",(ROUNDDOWN(N336/P336*100,0))),"")</f>
        <v>113</v>
      </c>
    </row>
    <row r="337" spans="1:23" s="121" customFormat="1" ht="21" customHeight="1">
      <c r="A337" s="136"/>
      <c r="B337" s="135"/>
      <c r="C337" s="134"/>
      <c r="D337" s="129" t="s">
        <v>474</v>
      </c>
      <c r="E337" s="128" t="s">
        <v>41</v>
      </c>
      <c r="F337" s="127">
        <v>2.9990000000000001</v>
      </c>
      <c r="G337" s="128" t="s">
        <v>464</v>
      </c>
      <c r="H337" s="127" t="s">
        <v>463</v>
      </c>
      <c r="I337" s="128" t="s">
        <v>71</v>
      </c>
      <c r="J337" s="127">
        <v>3543</v>
      </c>
      <c r="K337" s="123">
        <v>7928</v>
      </c>
      <c r="L337" s="123">
        <v>4275</v>
      </c>
      <c r="M337" s="123" t="s">
        <v>31</v>
      </c>
      <c r="N337" s="133">
        <v>8.1</v>
      </c>
      <c r="O337" s="23">
        <f>IF(N337&gt;0,1/N337*37.7*68.6,"")</f>
        <v>319.28641975308642</v>
      </c>
      <c r="P337" s="125">
        <v>7.24</v>
      </c>
      <c r="Q337" s="124" t="s">
        <v>43</v>
      </c>
      <c r="R337" s="123" t="s">
        <v>33</v>
      </c>
      <c r="S337" s="123" t="s">
        <v>34</v>
      </c>
      <c r="T337" s="123"/>
      <c r="U337" s="122"/>
      <c r="V337" s="28">
        <f>IFERROR(IF(N337&lt;P337,"",(ROUNDDOWN(N337/P337*100,0))),"")</f>
        <v>111</v>
      </c>
    </row>
    <row r="338" spans="1:23" s="121" customFormat="1" ht="21" customHeight="1">
      <c r="A338" s="136"/>
      <c r="B338" s="135"/>
      <c r="C338" s="134"/>
      <c r="D338" s="129" t="s">
        <v>474</v>
      </c>
      <c r="E338" s="128" t="s">
        <v>41</v>
      </c>
      <c r="F338" s="127">
        <v>2.9990000000000001</v>
      </c>
      <c r="G338" s="128" t="s">
        <v>464</v>
      </c>
      <c r="H338" s="127" t="s">
        <v>463</v>
      </c>
      <c r="I338" s="128" t="s">
        <v>42</v>
      </c>
      <c r="J338" s="127">
        <v>3543</v>
      </c>
      <c r="K338" s="123">
        <v>7928</v>
      </c>
      <c r="L338" s="123">
        <v>4275</v>
      </c>
      <c r="M338" s="123" t="s">
        <v>31</v>
      </c>
      <c r="N338" s="133">
        <v>8.1</v>
      </c>
      <c r="O338" s="23">
        <f>IF(N338&gt;0,1/N338*37.7*68.6,"")</f>
        <v>319.28641975308642</v>
      </c>
      <c r="P338" s="125">
        <v>7.24</v>
      </c>
      <c r="Q338" s="124" t="s">
        <v>43</v>
      </c>
      <c r="R338" s="123" t="s">
        <v>33</v>
      </c>
      <c r="S338" s="123" t="s">
        <v>34</v>
      </c>
      <c r="T338" s="123"/>
      <c r="U338" s="122"/>
      <c r="V338" s="28">
        <f>IFERROR(IF(N338&lt;P338,"",(ROUNDDOWN(N338/P338*100,0))),"")</f>
        <v>111</v>
      </c>
    </row>
    <row r="339" spans="1:23" s="121" customFormat="1" ht="21" customHeight="1">
      <c r="A339" s="136"/>
      <c r="B339" s="135"/>
      <c r="C339" s="134"/>
      <c r="D339" s="129" t="s">
        <v>474</v>
      </c>
      <c r="E339" s="128" t="s">
        <v>41</v>
      </c>
      <c r="F339" s="127">
        <v>2.9990000000000001</v>
      </c>
      <c r="G339" s="128" t="s">
        <v>467</v>
      </c>
      <c r="H339" s="127" t="s">
        <v>466</v>
      </c>
      <c r="I339" s="128" t="s">
        <v>42</v>
      </c>
      <c r="J339" s="127">
        <v>3543</v>
      </c>
      <c r="K339" s="123">
        <v>7928</v>
      </c>
      <c r="L339" s="123">
        <v>4275</v>
      </c>
      <c r="M339" s="123" t="s">
        <v>31</v>
      </c>
      <c r="N339" s="133">
        <v>8.1</v>
      </c>
      <c r="O339" s="23">
        <f>IF(N339&gt;0,1/N339*37.7*68.6,"")</f>
        <v>319.28641975308642</v>
      </c>
      <c r="P339" s="125">
        <v>7.24</v>
      </c>
      <c r="Q339" s="124" t="s">
        <v>63</v>
      </c>
      <c r="R339" s="123" t="s">
        <v>33</v>
      </c>
      <c r="S339" s="123" t="s">
        <v>34</v>
      </c>
      <c r="T339" s="123"/>
      <c r="U339" s="122"/>
      <c r="V339" s="28">
        <f>IFERROR(IF(N339&lt;P339,"",(ROUNDDOWN(N339/P339*100,0))),"")</f>
        <v>111</v>
      </c>
    </row>
    <row r="340" spans="1:23" s="121" customFormat="1" ht="21" customHeight="1">
      <c r="A340" s="136"/>
      <c r="B340" s="135"/>
      <c r="C340" s="134"/>
      <c r="D340" s="129" t="s">
        <v>474</v>
      </c>
      <c r="E340" s="128" t="s">
        <v>41</v>
      </c>
      <c r="F340" s="127">
        <v>2.9990000000000001</v>
      </c>
      <c r="G340" s="128" t="s">
        <v>467</v>
      </c>
      <c r="H340" s="127" t="s">
        <v>466</v>
      </c>
      <c r="I340" s="128" t="s">
        <v>71</v>
      </c>
      <c r="J340" s="127">
        <v>3543</v>
      </c>
      <c r="K340" s="123">
        <v>7928</v>
      </c>
      <c r="L340" s="123">
        <v>4275</v>
      </c>
      <c r="M340" s="123" t="s">
        <v>31</v>
      </c>
      <c r="N340" s="133">
        <v>8</v>
      </c>
      <c r="O340" s="23">
        <f>IF(N340&gt;0,1/N340*37.7*68.6,"")</f>
        <v>323.27749999999997</v>
      </c>
      <c r="P340" s="125">
        <v>7.24</v>
      </c>
      <c r="Q340" s="124" t="s">
        <v>43</v>
      </c>
      <c r="R340" s="123" t="s">
        <v>33</v>
      </c>
      <c r="S340" s="123" t="s">
        <v>34</v>
      </c>
      <c r="T340" s="123"/>
      <c r="U340" s="122"/>
      <c r="V340" s="28">
        <f>IFERROR(IF(N340&lt;P340,"",(ROUNDDOWN(N340/P340*100,0))),"")</f>
        <v>110</v>
      </c>
    </row>
    <row r="341" spans="1:23" s="121" customFormat="1" ht="21" customHeight="1">
      <c r="A341" s="136"/>
      <c r="B341" s="135"/>
      <c r="C341" s="134"/>
      <c r="D341" s="129" t="s">
        <v>474</v>
      </c>
      <c r="E341" s="128" t="s">
        <v>41</v>
      </c>
      <c r="F341" s="127">
        <v>2.9990000000000001</v>
      </c>
      <c r="G341" s="128" t="s">
        <v>464</v>
      </c>
      <c r="H341" s="127" t="s">
        <v>463</v>
      </c>
      <c r="I341" s="128" t="s">
        <v>71</v>
      </c>
      <c r="J341" s="127">
        <v>3543</v>
      </c>
      <c r="K341" s="123">
        <v>7928</v>
      </c>
      <c r="L341" s="123">
        <v>4275</v>
      </c>
      <c r="M341" s="123" t="s">
        <v>31</v>
      </c>
      <c r="N341" s="133">
        <v>8</v>
      </c>
      <c r="O341" s="23">
        <f>IF(N341&gt;0,1/N341*37.7*68.6,"")</f>
        <v>323.27749999999997</v>
      </c>
      <c r="P341" s="125">
        <v>7.24</v>
      </c>
      <c r="Q341" s="124" t="s">
        <v>63</v>
      </c>
      <c r="R341" s="123" t="s">
        <v>33</v>
      </c>
      <c r="S341" s="123" t="s">
        <v>34</v>
      </c>
      <c r="T341" s="123"/>
      <c r="U341" s="122"/>
      <c r="V341" s="28">
        <f>IFERROR(IF(N341&lt;P341,"",(ROUNDDOWN(N341/P341*100,0))),"")</f>
        <v>110</v>
      </c>
    </row>
    <row r="342" spans="1:23" s="121" customFormat="1" ht="21" customHeight="1">
      <c r="A342" s="136"/>
      <c r="B342" s="135"/>
      <c r="C342" s="134"/>
      <c r="D342" s="129" t="s">
        <v>473</v>
      </c>
      <c r="E342" s="128" t="s">
        <v>41</v>
      </c>
      <c r="F342" s="127">
        <v>2.9990000000000001</v>
      </c>
      <c r="G342" s="128" t="s">
        <v>467</v>
      </c>
      <c r="H342" s="127" t="s">
        <v>466</v>
      </c>
      <c r="I342" s="128" t="s">
        <v>42</v>
      </c>
      <c r="J342" s="127">
        <v>3543</v>
      </c>
      <c r="K342" s="123">
        <v>7928</v>
      </c>
      <c r="L342" s="123">
        <v>4275</v>
      </c>
      <c r="M342" s="123" t="s">
        <v>31</v>
      </c>
      <c r="N342" s="133">
        <v>8.1999999999999993</v>
      </c>
      <c r="O342" s="23">
        <f>IF(N342&gt;0,1/N342*37.7*68.6,"")</f>
        <v>315.39268292682931</v>
      </c>
      <c r="P342" s="125">
        <v>7.24</v>
      </c>
      <c r="Q342" s="124" t="s">
        <v>43</v>
      </c>
      <c r="R342" s="123" t="s">
        <v>33</v>
      </c>
      <c r="S342" s="123" t="s">
        <v>34</v>
      </c>
      <c r="T342" s="123"/>
      <c r="U342" s="122"/>
      <c r="V342" s="28">
        <f>IFERROR(IF(N342&lt;P342,"",(ROUNDDOWN(N342/P342*100,0))),"")</f>
        <v>113</v>
      </c>
    </row>
    <row r="343" spans="1:23" s="121" customFormat="1" ht="21" customHeight="1">
      <c r="A343" s="136"/>
      <c r="B343" s="135"/>
      <c r="C343" s="134"/>
      <c r="D343" s="129" t="s">
        <v>473</v>
      </c>
      <c r="E343" s="128" t="s">
        <v>41</v>
      </c>
      <c r="F343" s="127">
        <v>2.9990000000000001</v>
      </c>
      <c r="G343" s="128" t="s">
        <v>464</v>
      </c>
      <c r="H343" s="127" t="s">
        <v>463</v>
      </c>
      <c r="I343" s="128" t="s">
        <v>71</v>
      </c>
      <c r="J343" s="127">
        <v>3543</v>
      </c>
      <c r="K343" s="123">
        <v>7928</v>
      </c>
      <c r="L343" s="123">
        <v>4275</v>
      </c>
      <c r="M343" s="123" t="s">
        <v>31</v>
      </c>
      <c r="N343" s="133">
        <v>8.1</v>
      </c>
      <c r="O343" s="23">
        <f>IF(N343&gt;0,1/N343*37.7*68.6,"")</f>
        <v>319.28641975308642</v>
      </c>
      <c r="P343" s="125">
        <v>7.24</v>
      </c>
      <c r="Q343" s="124" t="s">
        <v>43</v>
      </c>
      <c r="R343" s="123" t="s">
        <v>33</v>
      </c>
      <c r="S343" s="123" t="s">
        <v>34</v>
      </c>
      <c r="T343" s="123"/>
      <c r="U343" s="122"/>
      <c r="V343" s="28">
        <f>IFERROR(IF(N343&lt;P343,"",(ROUNDDOWN(N343/P343*100,0))),"")</f>
        <v>111</v>
      </c>
    </row>
    <row r="344" spans="1:23" s="121" customFormat="1" ht="21" customHeight="1">
      <c r="A344" s="136"/>
      <c r="B344" s="135"/>
      <c r="C344" s="134"/>
      <c r="D344" s="129" t="s">
        <v>473</v>
      </c>
      <c r="E344" s="128" t="s">
        <v>41</v>
      </c>
      <c r="F344" s="127">
        <v>2.9990000000000001</v>
      </c>
      <c r="G344" s="128" t="s">
        <v>464</v>
      </c>
      <c r="H344" s="127" t="s">
        <v>463</v>
      </c>
      <c r="I344" s="128" t="s">
        <v>42</v>
      </c>
      <c r="J344" s="127">
        <v>3543</v>
      </c>
      <c r="K344" s="123">
        <v>7928</v>
      </c>
      <c r="L344" s="123">
        <v>4275</v>
      </c>
      <c r="M344" s="123" t="s">
        <v>31</v>
      </c>
      <c r="N344" s="133">
        <v>8.1</v>
      </c>
      <c r="O344" s="23">
        <f>IF(N344&gt;0,1/N344*37.7*68.6,"")</f>
        <v>319.28641975308642</v>
      </c>
      <c r="P344" s="125">
        <v>7.24</v>
      </c>
      <c r="Q344" s="124" t="s">
        <v>43</v>
      </c>
      <c r="R344" s="123" t="s">
        <v>33</v>
      </c>
      <c r="S344" s="123" t="s">
        <v>34</v>
      </c>
      <c r="T344" s="123"/>
      <c r="U344" s="122"/>
      <c r="V344" s="28">
        <f>IFERROR(IF(N344&lt;P344,"",(ROUNDDOWN(N344/P344*100,0))),"")</f>
        <v>111</v>
      </c>
    </row>
    <row r="345" spans="1:23" s="121" customFormat="1" ht="21" customHeight="1">
      <c r="A345" s="136"/>
      <c r="B345" s="135"/>
      <c r="C345" s="134"/>
      <c r="D345" s="129" t="s">
        <v>473</v>
      </c>
      <c r="E345" s="128" t="s">
        <v>41</v>
      </c>
      <c r="F345" s="127">
        <v>2.9990000000000001</v>
      </c>
      <c r="G345" s="128" t="s">
        <v>467</v>
      </c>
      <c r="H345" s="127" t="s">
        <v>466</v>
      </c>
      <c r="I345" s="128" t="s">
        <v>42</v>
      </c>
      <c r="J345" s="127">
        <v>3543</v>
      </c>
      <c r="K345" s="123">
        <v>7928</v>
      </c>
      <c r="L345" s="123">
        <v>4275</v>
      </c>
      <c r="M345" s="123" t="s">
        <v>31</v>
      </c>
      <c r="N345" s="133">
        <v>8.1</v>
      </c>
      <c r="O345" s="23">
        <f>IF(N345&gt;0,1/N345*37.7*68.6,"")</f>
        <v>319.28641975308642</v>
      </c>
      <c r="P345" s="125">
        <v>7.24</v>
      </c>
      <c r="Q345" s="124" t="s">
        <v>63</v>
      </c>
      <c r="R345" s="123" t="s">
        <v>33</v>
      </c>
      <c r="S345" s="123" t="s">
        <v>34</v>
      </c>
      <c r="T345" s="123"/>
      <c r="U345" s="122"/>
      <c r="V345" s="28">
        <f>IFERROR(IF(N345&lt;P345,"",(ROUNDDOWN(N345/P345*100,0))),"")</f>
        <v>111</v>
      </c>
    </row>
    <row r="346" spans="1:23" s="121" customFormat="1" ht="21" customHeight="1">
      <c r="A346" s="136"/>
      <c r="B346" s="135"/>
      <c r="C346" s="134"/>
      <c r="D346" s="129" t="s">
        <v>473</v>
      </c>
      <c r="E346" s="128" t="s">
        <v>41</v>
      </c>
      <c r="F346" s="127">
        <v>2.9990000000000001</v>
      </c>
      <c r="G346" s="128" t="s">
        <v>467</v>
      </c>
      <c r="H346" s="127" t="s">
        <v>466</v>
      </c>
      <c r="I346" s="128" t="s">
        <v>71</v>
      </c>
      <c r="J346" s="127">
        <v>3543</v>
      </c>
      <c r="K346" s="123">
        <v>7928</v>
      </c>
      <c r="L346" s="123">
        <v>4275</v>
      </c>
      <c r="M346" s="123" t="s">
        <v>31</v>
      </c>
      <c r="N346" s="133">
        <v>8</v>
      </c>
      <c r="O346" s="23">
        <f>IF(N346&gt;0,1/N346*37.7*68.6,"")</f>
        <v>323.27749999999997</v>
      </c>
      <c r="P346" s="125">
        <v>7.24</v>
      </c>
      <c r="Q346" s="124" t="s">
        <v>43</v>
      </c>
      <c r="R346" s="123" t="s">
        <v>33</v>
      </c>
      <c r="S346" s="123" t="s">
        <v>34</v>
      </c>
      <c r="T346" s="123"/>
      <c r="U346" s="122"/>
      <c r="V346" s="28">
        <f>IFERROR(IF(N346&lt;P346,"",(ROUNDDOWN(N346/P346*100,0))),"")</f>
        <v>110</v>
      </c>
    </row>
    <row r="347" spans="1:23" s="121" customFormat="1" ht="21" customHeight="1">
      <c r="A347" s="136"/>
      <c r="B347" s="135"/>
      <c r="C347" s="134"/>
      <c r="D347" s="129" t="s">
        <v>473</v>
      </c>
      <c r="E347" s="128" t="s">
        <v>41</v>
      </c>
      <c r="F347" s="127">
        <v>2.9990000000000001</v>
      </c>
      <c r="G347" s="128" t="s">
        <v>464</v>
      </c>
      <c r="H347" s="127" t="s">
        <v>463</v>
      </c>
      <c r="I347" s="128" t="s">
        <v>71</v>
      </c>
      <c r="J347" s="127">
        <v>3543</v>
      </c>
      <c r="K347" s="123">
        <v>7928</v>
      </c>
      <c r="L347" s="123">
        <v>4275</v>
      </c>
      <c r="M347" s="123" t="s">
        <v>31</v>
      </c>
      <c r="N347" s="133">
        <v>8</v>
      </c>
      <c r="O347" s="23">
        <f>IF(N347&gt;0,1/N347*37.7*68.6,"")</f>
        <v>323.27749999999997</v>
      </c>
      <c r="P347" s="125">
        <v>7.24</v>
      </c>
      <c r="Q347" s="138" t="s">
        <v>63</v>
      </c>
      <c r="R347" s="123" t="s">
        <v>33</v>
      </c>
      <c r="S347" s="123" t="s">
        <v>34</v>
      </c>
      <c r="T347" s="123"/>
      <c r="U347" s="122"/>
      <c r="V347" s="28">
        <f>IFERROR(IF(N347&lt;P347,"",(ROUNDDOWN(N347/P347*100,0))),"")</f>
        <v>110</v>
      </c>
    </row>
    <row r="348" spans="1:23" s="121" customFormat="1" ht="21" customHeight="1">
      <c r="A348" s="136"/>
      <c r="B348" s="135"/>
      <c r="C348" s="134"/>
      <c r="D348" s="129" t="s">
        <v>472</v>
      </c>
      <c r="E348" s="128" t="s">
        <v>41</v>
      </c>
      <c r="F348" s="127">
        <v>2.9990000000000001</v>
      </c>
      <c r="G348" s="128">
        <v>430</v>
      </c>
      <c r="H348" s="127">
        <v>129</v>
      </c>
      <c r="I348" s="128" t="s">
        <v>71</v>
      </c>
      <c r="J348" s="127">
        <v>3543</v>
      </c>
      <c r="K348" s="123">
        <v>7928</v>
      </c>
      <c r="L348" s="123">
        <v>4275</v>
      </c>
      <c r="M348" s="123" t="s">
        <v>31</v>
      </c>
      <c r="N348" s="133">
        <v>8.1999999999999993</v>
      </c>
      <c r="O348" s="23">
        <f>IF(N348&gt;0,1/N348*37.7*68.6,"")</f>
        <v>315.39268292682931</v>
      </c>
      <c r="P348" s="125">
        <v>7.24</v>
      </c>
      <c r="Q348" s="124" t="s">
        <v>43</v>
      </c>
      <c r="R348" s="123" t="s">
        <v>33</v>
      </c>
      <c r="S348" s="123" t="s">
        <v>34</v>
      </c>
      <c r="T348" s="123"/>
      <c r="U348" s="122"/>
      <c r="V348" s="28">
        <f>IFERROR(IF(N348&lt;P348,"",(ROUNDDOWN(N348/P348*100,0))),"")</f>
        <v>113</v>
      </c>
    </row>
    <row r="349" spans="1:23" s="121" customFormat="1" ht="21" customHeight="1">
      <c r="A349" s="136"/>
      <c r="B349" s="135"/>
      <c r="C349" s="134"/>
      <c r="D349" s="129" t="s">
        <v>472</v>
      </c>
      <c r="E349" s="128" t="s">
        <v>41</v>
      </c>
      <c r="F349" s="127">
        <v>2.9990000000000001</v>
      </c>
      <c r="G349" s="128">
        <v>375</v>
      </c>
      <c r="H349" s="127">
        <v>110</v>
      </c>
      <c r="I349" s="128" t="s">
        <v>71</v>
      </c>
      <c r="J349" s="127">
        <v>3543</v>
      </c>
      <c r="K349" s="123">
        <v>7928</v>
      </c>
      <c r="L349" s="123">
        <v>4275</v>
      </c>
      <c r="M349" s="123" t="s">
        <v>31</v>
      </c>
      <c r="N349" s="133">
        <v>8.1</v>
      </c>
      <c r="O349" s="23">
        <f>IF(N349&gt;0,1/N349*37.7*68.6,"")</f>
        <v>319.28641975308642</v>
      </c>
      <c r="P349" s="125">
        <v>7.24</v>
      </c>
      <c r="Q349" s="124" t="s">
        <v>43</v>
      </c>
      <c r="R349" s="123" t="s">
        <v>33</v>
      </c>
      <c r="S349" s="123" t="s">
        <v>34</v>
      </c>
      <c r="T349" s="123"/>
      <c r="U349" s="122"/>
      <c r="V349" s="28">
        <f>IFERROR(IF(N349&lt;P349,"",(ROUNDDOWN(N349/P349*100,0))),"")</f>
        <v>111</v>
      </c>
    </row>
    <row r="350" spans="1:23" s="121" customFormat="1" ht="21" customHeight="1">
      <c r="A350" s="136"/>
      <c r="B350" s="135"/>
      <c r="C350" s="134"/>
      <c r="D350" s="129" t="s">
        <v>472</v>
      </c>
      <c r="E350" s="128" t="s">
        <v>41</v>
      </c>
      <c r="F350" s="127">
        <v>2.9990000000000001</v>
      </c>
      <c r="G350" s="128">
        <v>430</v>
      </c>
      <c r="H350" s="127">
        <v>129</v>
      </c>
      <c r="I350" s="128" t="s">
        <v>71</v>
      </c>
      <c r="J350" s="127">
        <v>3543</v>
      </c>
      <c r="K350" s="123">
        <v>7928</v>
      </c>
      <c r="L350" s="123">
        <v>4275</v>
      </c>
      <c r="M350" s="123" t="s">
        <v>31</v>
      </c>
      <c r="N350" s="133">
        <v>8</v>
      </c>
      <c r="O350" s="23">
        <f>IF(N350&gt;0,1/N350*37.7*68.6,"")</f>
        <v>323.27749999999997</v>
      </c>
      <c r="P350" s="125">
        <v>7.24</v>
      </c>
      <c r="Q350" s="124" t="s">
        <v>63</v>
      </c>
      <c r="R350" s="123" t="s">
        <v>33</v>
      </c>
      <c r="S350" s="123" t="s">
        <v>34</v>
      </c>
      <c r="T350" s="123"/>
      <c r="U350" s="122"/>
      <c r="V350" s="28">
        <f>IFERROR(IF(N350&lt;P350,"",(ROUNDDOWN(N350/P350*100,0))),"")</f>
        <v>110</v>
      </c>
    </row>
    <row r="351" spans="1:23" s="121" customFormat="1" ht="21" customHeight="1">
      <c r="A351" s="136"/>
      <c r="B351" s="135"/>
      <c r="C351" s="134"/>
      <c r="D351" s="129" t="s">
        <v>471</v>
      </c>
      <c r="E351" s="128" t="s">
        <v>41</v>
      </c>
      <c r="F351" s="127">
        <v>2.9990000000000001</v>
      </c>
      <c r="G351" s="128">
        <v>375</v>
      </c>
      <c r="H351" s="127">
        <v>110</v>
      </c>
      <c r="I351" s="128" t="s">
        <v>71</v>
      </c>
      <c r="J351" s="127">
        <v>3543</v>
      </c>
      <c r="K351" s="123">
        <v>7928</v>
      </c>
      <c r="L351" s="123">
        <v>4275</v>
      </c>
      <c r="M351" s="123" t="s">
        <v>31</v>
      </c>
      <c r="N351" s="133">
        <v>8.1</v>
      </c>
      <c r="O351" s="23">
        <f>IF(N351&gt;0,1/N351*37.7*68.6,"")</f>
        <v>319.28641975308642</v>
      </c>
      <c r="P351" s="125">
        <v>7.24</v>
      </c>
      <c r="Q351" s="124" t="s">
        <v>43</v>
      </c>
      <c r="R351" s="123" t="s">
        <v>33</v>
      </c>
      <c r="S351" s="123" t="s">
        <v>34</v>
      </c>
      <c r="T351" s="123"/>
      <c r="U351" s="122"/>
      <c r="V351" s="28">
        <f>IFERROR(IF(N351&lt;P351,"",(ROUNDDOWN(N351/P351*100,0))),"")</f>
        <v>111</v>
      </c>
      <c r="W351" s="137"/>
    </row>
    <row r="352" spans="1:23" s="121" customFormat="1" ht="21" customHeight="1">
      <c r="A352" s="136"/>
      <c r="B352" s="135"/>
      <c r="C352" s="134"/>
      <c r="D352" s="129" t="s">
        <v>470</v>
      </c>
      <c r="E352" s="128" t="s">
        <v>41</v>
      </c>
      <c r="F352" s="127">
        <v>2.9990000000000001</v>
      </c>
      <c r="G352" s="128">
        <v>375</v>
      </c>
      <c r="H352" s="127" t="s">
        <v>466</v>
      </c>
      <c r="I352" s="128" t="s">
        <v>71</v>
      </c>
      <c r="J352" s="127">
        <v>3543</v>
      </c>
      <c r="K352" s="123">
        <v>7928</v>
      </c>
      <c r="L352" s="123">
        <v>4275</v>
      </c>
      <c r="M352" s="123" t="s">
        <v>31</v>
      </c>
      <c r="N352" s="133">
        <v>7.9</v>
      </c>
      <c r="O352" s="23">
        <f>IF(N352&gt;0,1/N352*37.7*68.6,"")</f>
        <v>327.3696202531645</v>
      </c>
      <c r="P352" s="125">
        <v>7.24</v>
      </c>
      <c r="Q352" s="124" t="s">
        <v>63</v>
      </c>
      <c r="R352" s="123" t="s">
        <v>33</v>
      </c>
      <c r="S352" s="123" t="s">
        <v>34</v>
      </c>
      <c r="T352" s="123"/>
      <c r="U352" s="122"/>
      <c r="V352" s="28">
        <f>IFERROR(IF(N352&lt;P352,"",(ROUNDDOWN(N352/P352*100,0))),"")</f>
        <v>109</v>
      </c>
      <c r="W352" s="137"/>
    </row>
    <row r="353" spans="1:22" s="121" customFormat="1" ht="21" customHeight="1">
      <c r="A353" s="136"/>
      <c r="B353" s="135"/>
      <c r="C353" s="134"/>
      <c r="D353" s="129" t="s">
        <v>469</v>
      </c>
      <c r="E353" s="128" t="s">
        <v>41</v>
      </c>
      <c r="F353" s="127">
        <v>2.9990000000000001</v>
      </c>
      <c r="G353" s="128">
        <v>375</v>
      </c>
      <c r="H353" s="127">
        <v>110</v>
      </c>
      <c r="I353" s="128" t="s">
        <v>71</v>
      </c>
      <c r="J353" s="127">
        <v>3543</v>
      </c>
      <c r="K353" s="123">
        <v>7928</v>
      </c>
      <c r="L353" s="123">
        <v>4275</v>
      </c>
      <c r="M353" s="127" t="s">
        <v>31</v>
      </c>
      <c r="N353" s="133">
        <v>7.9</v>
      </c>
      <c r="O353" s="23">
        <f>IF(N353&gt;0,1/N353*37.7*68.6,"")</f>
        <v>327.3696202531645</v>
      </c>
      <c r="P353" s="125">
        <v>7.24</v>
      </c>
      <c r="Q353" s="124" t="s">
        <v>63</v>
      </c>
      <c r="R353" s="123" t="s">
        <v>33</v>
      </c>
      <c r="S353" s="123" t="s">
        <v>34</v>
      </c>
      <c r="T353" s="123"/>
      <c r="U353" s="122"/>
      <c r="V353" s="28">
        <f>IFERROR(IF(N353&lt;P353,"",(ROUNDDOWN(N353/P353*100,0))),"")</f>
        <v>109</v>
      </c>
    </row>
    <row r="354" spans="1:22" s="121" customFormat="1" ht="21" customHeight="1">
      <c r="A354" s="136"/>
      <c r="B354" s="135"/>
      <c r="C354" s="134"/>
      <c r="D354" s="129" t="s">
        <v>468</v>
      </c>
      <c r="E354" s="128" t="s">
        <v>41</v>
      </c>
      <c r="F354" s="127">
        <v>2.9990000000000001</v>
      </c>
      <c r="G354" s="128" t="s">
        <v>467</v>
      </c>
      <c r="H354" s="127" t="s">
        <v>466</v>
      </c>
      <c r="I354" s="128" t="s">
        <v>71</v>
      </c>
      <c r="J354" s="127">
        <v>3543</v>
      </c>
      <c r="K354" s="123">
        <v>7928</v>
      </c>
      <c r="L354" s="123">
        <v>4275</v>
      </c>
      <c r="M354" s="123" t="s">
        <v>31</v>
      </c>
      <c r="N354" s="133">
        <v>7.9</v>
      </c>
      <c r="O354" s="23">
        <f>IF(N354&gt;0,1/N354*37.7*68.6,"")</f>
        <v>327.3696202531645</v>
      </c>
      <c r="P354" s="125">
        <v>7.24</v>
      </c>
      <c r="Q354" s="124" t="s">
        <v>63</v>
      </c>
      <c r="R354" s="123" t="s">
        <v>33</v>
      </c>
      <c r="S354" s="123" t="s">
        <v>34</v>
      </c>
      <c r="T354" s="123"/>
      <c r="U354" s="122"/>
      <c r="V354" s="28">
        <f>IFERROR(IF(N354&lt;P354,"",(ROUNDDOWN(N354/P354*100,0))),"")</f>
        <v>109</v>
      </c>
    </row>
    <row r="355" spans="1:22" s="121" customFormat="1" ht="21" customHeight="1">
      <c r="A355" s="136"/>
      <c r="B355" s="135"/>
      <c r="C355" s="134"/>
      <c r="D355" s="129" t="s">
        <v>468</v>
      </c>
      <c r="E355" s="128" t="s">
        <v>41</v>
      </c>
      <c r="F355" s="127">
        <v>2.9990000000000001</v>
      </c>
      <c r="G355" s="128" t="s">
        <v>464</v>
      </c>
      <c r="H355" s="127" t="s">
        <v>463</v>
      </c>
      <c r="I355" s="128" t="s">
        <v>42</v>
      </c>
      <c r="J355" s="127">
        <v>3543</v>
      </c>
      <c r="K355" s="123">
        <v>7928</v>
      </c>
      <c r="L355" s="123">
        <v>4275</v>
      </c>
      <c r="M355" s="123" t="s">
        <v>31</v>
      </c>
      <c r="N355" s="133">
        <v>7.9</v>
      </c>
      <c r="O355" s="23">
        <f>IF(N355&gt;0,1/N355*37.7*68.6,"")</f>
        <v>327.3696202531645</v>
      </c>
      <c r="P355" s="125">
        <v>7.24</v>
      </c>
      <c r="Q355" s="124" t="s">
        <v>63</v>
      </c>
      <c r="R355" s="123" t="s">
        <v>33</v>
      </c>
      <c r="S355" s="123" t="s">
        <v>34</v>
      </c>
      <c r="T355" s="123"/>
      <c r="U355" s="122"/>
      <c r="V355" s="28">
        <f>IFERROR(IF(N355&lt;P355,"",(ROUNDDOWN(N355/P355*100,0))),"")</f>
        <v>109</v>
      </c>
    </row>
    <row r="356" spans="1:22" s="121" customFormat="1" ht="21" customHeight="1">
      <c r="A356" s="136"/>
      <c r="B356" s="135"/>
      <c r="C356" s="134"/>
      <c r="D356" s="129" t="s">
        <v>465</v>
      </c>
      <c r="E356" s="128" t="s">
        <v>41</v>
      </c>
      <c r="F356" s="127">
        <v>2.9990000000000001</v>
      </c>
      <c r="G356" s="128" t="s">
        <v>467</v>
      </c>
      <c r="H356" s="127" t="s">
        <v>466</v>
      </c>
      <c r="I356" s="128" t="s">
        <v>71</v>
      </c>
      <c r="J356" s="127">
        <v>3543</v>
      </c>
      <c r="K356" s="123">
        <v>7928</v>
      </c>
      <c r="L356" s="123">
        <v>4275</v>
      </c>
      <c r="M356" s="123" t="s">
        <v>31</v>
      </c>
      <c r="N356" s="133">
        <v>7.9</v>
      </c>
      <c r="O356" s="23">
        <f>IF(N356&gt;0,1/N356*37.7*68.6,"")</f>
        <v>327.3696202531645</v>
      </c>
      <c r="P356" s="125">
        <v>7.24</v>
      </c>
      <c r="Q356" s="124" t="s">
        <v>63</v>
      </c>
      <c r="R356" s="123" t="s">
        <v>33</v>
      </c>
      <c r="S356" s="123" t="s">
        <v>34</v>
      </c>
      <c r="T356" s="123"/>
      <c r="U356" s="122"/>
      <c r="V356" s="28">
        <f>IFERROR(IF(N356&lt;P356,"",(ROUNDDOWN(N356/P356*100,0))),"")</f>
        <v>109</v>
      </c>
    </row>
    <row r="357" spans="1:22" s="121" customFormat="1" ht="21" customHeight="1">
      <c r="A357" s="136"/>
      <c r="B357" s="135"/>
      <c r="C357" s="134"/>
      <c r="D357" s="129" t="s">
        <v>465</v>
      </c>
      <c r="E357" s="128" t="s">
        <v>41</v>
      </c>
      <c r="F357" s="127">
        <v>2.9990000000000001</v>
      </c>
      <c r="G357" s="128" t="s">
        <v>464</v>
      </c>
      <c r="H357" s="127" t="s">
        <v>463</v>
      </c>
      <c r="I357" s="128" t="s">
        <v>42</v>
      </c>
      <c r="J357" s="127">
        <v>3543</v>
      </c>
      <c r="K357" s="123">
        <v>7928</v>
      </c>
      <c r="L357" s="123">
        <v>4275</v>
      </c>
      <c r="M357" s="123" t="s">
        <v>31</v>
      </c>
      <c r="N357" s="133">
        <v>7.9</v>
      </c>
      <c r="O357" s="23">
        <f>IF(N357&gt;0,1/N357*37.7*68.6,"")</f>
        <v>327.3696202531645</v>
      </c>
      <c r="P357" s="125">
        <v>7.24</v>
      </c>
      <c r="Q357" s="124" t="s">
        <v>63</v>
      </c>
      <c r="R357" s="123" t="s">
        <v>33</v>
      </c>
      <c r="S357" s="123" t="s">
        <v>34</v>
      </c>
      <c r="T357" s="123"/>
      <c r="U357" s="122"/>
      <c r="V357" s="28">
        <f>IFERROR(IF(N357&lt;P357,"",(ROUNDDOWN(N357/P357*100,0))),"")</f>
        <v>109</v>
      </c>
    </row>
    <row r="358" spans="1:22" s="121" customFormat="1" ht="21" customHeight="1" thickBot="1">
      <c r="A358" s="132"/>
      <c r="B358" s="131"/>
      <c r="C358" s="130"/>
      <c r="D358" s="129" t="s">
        <v>462</v>
      </c>
      <c r="E358" s="128" t="s">
        <v>41</v>
      </c>
      <c r="F358" s="127">
        <v>2.9990000000000001</v>
      </c>
      <c r="G358" s="128">
        <v>375</v>
      </c>
      <c r="H358" s="127">
        <v>110</v>
      </c>
      <c r="I358" s="128" t="s">
        <v>71</v>
      </c>
      <c r="J358" s="127">
        <v>3543</v>
      </c>
      <c r="K358" s="123">
        <v>7928</v>
      </c>
      <c r="L358" s="123">
        <v>4275</v>
      </c>
      <c r="M358" s="123" t="s">
        <v>31</v>
      </c>
      <c r="N358" s="126">
        <v>7.9</v>
      </c>
      <c r="O358" s="75">
        <f>IF(N358&gt;0,1/N358*37.7*68.6,"")</f>
        <v>327.3696202531645</v>
      </c>
      <c r="P358" s="125">
        <v>7.24</v>
      </c>
      <c r="Q358" s="124" t="s">
        <v>63</v>
      </c>
      <c r="R358" s="123" t="s">
        <v>33</v>
      </c>
      <c r="S358" s="123" t="s">
        <v>34</v>
      </c>
      <c r="T358" s="123"/>
      <c r="U358" s="122"/>
      <c r="V358" s="28">
        <f>IFERROR(IF(N358&lt;P358,"",(ROUNDDOWN(N358/P358*100,0))),"")</f>
        <v>109</v>
      </c>
    </row>
    <row r="359" spans="1:22">
      <c r="B359" s="120" t="s">
        <v>461</v>
      </c>
    </row>
    <row r="360" spans="1:22">
      <c r="B360" s="3" t="s">
        <v>459</v>
      </c>
    </row>
    <row r="361" spans="1:22">
      <c r="B361" s="3" t="s">
        <v>460</v>
      </c>
    </row>
  </sheetData>
  <sheetProtection selectLockedCells="1"/>
  <mergeCells count="24">
    <mergeCell ref="G6:G8"/>
    <mergeCell ref="H6:H8"/>
    <mergeCell ref="R6:R8"/>
    <mergeCell ref="S6:S8"/>
    <mergeCell ref="J4:J8"/>
    <mergeCell ref="K4:K8"/>
    <mergeCell ref="L4:L8"/>
    <mergeCell ref="M4:M8"/>
    <mergeCell ref="S2:V2"/>
    <mergeCell ref="T6:T8"/>
    <mergeCell ref="N4:P4"/>
    <mergeCell ref="Q4:Q8"/>
    <mergeCell ref="R4:T5"/>
    <mergeCell ref="U4:U8"/>
    <mergeCell ref="A4:A8"/>
    <mergeCell ref="B4:C8"/>
    <mergeCell ref="D4:D8"/>
    <mergeCell ref="E4:H5"/>
    <mergeCell ref="I4:I8"/>
    <mergeCell ref="V4:V8"/>
    <mergeCell ref="N5:N8"/>
    <mergeCell ref="O5:O8"/>
    <mergeCell ref="P5:P8"/>
    <mergeCell ref="F6:F8"/>
  </mergeCells>
  <phoneticPr fontId="8"/>
  <conditionalFormatting sqref="G60:H62">
    <cfRule type="cellIs" dxfId="3" priority="1" stopIfTrue="1" operator="equal">
      <formula>706</formula>
    </cfRule>
    <cfRule type="cellIs" dxfId="2" priority="2" stopIfTrue="1" operator="equal">
      <formula>761</formula>
    </cfRule>
  </conditionalFormatting>
  <printOptions horizontalCentered="1"/>
  <pageMargins left="0.39370078740157483" right="0.39370078740157483" top="0.39370078740157483" bottom="0.39370078740157483" header="0.19685039370078741" footer="0.39370078740157483"/>
  <pageSetup paperSize="9" scale="57" fitToHeight="0" orientation="landscape" horizontalDpi="400" verticalDpi="400" r:id="rId1"/>
  <headerFooter alignWithMargins="0">
    <oddHeader>&amp;R様式3-4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168FD-2868-465F-A163-80A23704EECF}">
  <sheetPr>
    <tabColor theme="6"/>
    <pageSetUpPr fitToPage="1"/>
  </sheetPr>
  <dimension ref="A1:DK379"/>
  <sheetViews>
    <sheetView showGridLines="0" view="pageBreakPreview" topLeftCell="A344" zoomScale="85" zoomScaleNormal="145" zoomScaleSheetLayoutView="85" workbookViewId="0"/>
  </sheetViews>
  <sheetFormatPr defaultRowHeight="11.25"/>
  <cols>
    <col min="1" max="1" width="16.25" style="305" customWidth="1"/>
    <col min="2" max="2" width="4.625" style="305" bestFit="1" customWidth="1"/>
    <col min="3" max="3" width="26.875" style="305" customWidth="1"/>
    <col min="4" max="4" width="12.75" style="305" bestFit="1" customWidth="1"/>
    <col min="5" max="5" width="8.625" style="305" bestFit="1" customWidth="1"/>
    <col min="6" max="6" width="8.5" style="305" bestFit="1" customWidth="1"/>
    <col min="7" max="7" width="10.625" style="305" bestFit="1" customWidth="1"/>
    <col min="8" max="8" width="10" style="305" bestFit="1" customWidth="1"/>
    <col min="9" max="9" width="12.5" style="305" bestFit="1" customWidth="1"/>
    <col min="10" max="11" width="7.125" style="305" customWidth="1"/>
    <col min="12" max="12" width="8.875" style="305" customWidth="1"/>
    <col min="13" max="13" width="9.75" style="305" bestFit="1" customWidth="1"/>
    <col min="14" max="14" width="6.125" style="305" customWidth="1"/>
    <col min="15" max="15" width="9.5" style="305" bestFit="1" customWidth="1"/>
    <col min="16" max="16" width="9.125" style="305" customWidth="1"/>
    <col min="17" max="17" width="17.125" style="305" bestFit="1" customWidth="1"/>
    <col min="18" max="18" width="16.25" style="305" bestFit="1" customWidth="1"/>
    <col min="19" max="19" width="11.375" style="305" bestFit="1" customWidth="1"/>
    <col min="20" max="20" width="9.625" style="305" customWidth="1"/>
    <col min="21" max="21" width="13.25" style="305" bestFit="1" customWidth="1"/>
    <col min="22" max="22" width="10.875" style="306" customWidth="1"/>
    <col min="23" max="16384" width="9" style="305"/>
  </cols>
  <sheetData>
    <row r="1" spans="1:115" ht="21" customHeight="1">
      <c r="A1" s="409"/>
      <c r="V1" s="305"/>
    </row>
    <row r="2" spans="1:115" ht="15.75">
      <c r="C2" s="405"/>
      <c r="F2" s="408"/>
      <c r="G2" s="408"/>
      <c r="H2" s="408"/>
      <c r="L2" s="360" t="s">
        <v>1089</v>
      </c>
      <c r="M2" s="360"/>
      <c r="N2" s="360"/>
      <c r="O2" s="360"/>
      <c r="P2" s="360"/>
      <c r="Q2" s="360"/>
      <c r="R2" s="360"/>
      <c r="S2" s="407" t="s">
        <v>1252</v>
      </c>
      <c r="T2" s="406"/>
      <c r="U2" s="406"/>
      <c r="V2" s="406"/>
    </row>
    <row r="3" spans="1:115" ht="19.5" customHeight="1">
      <c r="A3" s="405" t="s">
        <v>1087</v>
      </c>
      <c r="V3" s="404" t="s">
        <v>2</v>
      </c>
    </row>
    <row r="4" spans="1:115" ht="12.75">
      <c r="A4" s="402"/>
      <c r="B4" s="403"/>
      <c r="C4" s="398"/>
      <c r="D4" s="402"/>
      <c r="E4" s="401" t="s">
        <v>6</v>
      </c>
      <c r="F4" s="400"/>
      <c r="G4" s="400"/>
      <c r="H4" s="399"/>
      <c r="I4" s="398"/>
      <c r="J4" s="397"/>
      <c r="K4" s="396"/>
      <c r="L4" s="395" t="s">
        <v>1251</v>
      </c>
      <c r="M4" s="394"/>
      <c r="N4" s="393" t="s">
        <v>1250</v>
      </c>
      <c r="O4" s="392"/>
      <c r="P4" s="391"/>
      <c r="Q4" s="390" t="s">
        <v>1249</v>
      </c>
      <c r="R4" s="389" t="s">
        <v>14</v>
      </c>
      <c r="S4" s="388"/>
      <c r="T4" s="387"/>
      <c r="U4" s="386" t="s">
        <v>1248</v>
      </c>
      <c r="V4" s="385" t="s">
        <v>1247</v>
      </c>
    </row>
    <row r="5" spans="1:115" ht="12.75">
      <c r="A5" s="384"/>
      <c r="B5" s="376"/>
      <c r="C5" s="306"/>
      <c r="D5" s="384"/>
      <c r="E5" s="383"/>
      <c r="F5" s="382"/>
      <c r="G5" s="382"/>
      <c r="H5" s="381"/>
      <c r="I5" s="306" t="s">
        <v>1246</v>
      </c>
      <c r="J5" s="374" t="s">
        <v>1245</v>
      </c>
      <c r="K5" s="380" t="s">
        <v>1244</v>
      </c>
      <c r="L5" s="372" t="s">
        <v>1243</v>
      </c>
      <c r="M5" s="306" t="s">
        <v>1242</v>
      </c>
      <c r="N5" s="371"/>
      <c r="O5" s="370" t="s">
        <v>1241</v>
      </c>
      <c r="P5" s="379" t="s">
        <v>1240</v>
      </c>
      <c r="Q5" s="368" t="s">
        <v>1239</v>
      </c>
      <c r="R5" s="368" t="s">
        <v>1238</v>
      </c>
      <c r="S5" s="368"/>
      <c r="T5" s="368"/>
      <c r="U5" s="378" t="s">
        <v>1237</v>
      </c>
      <c r="V5" s="377" t="s">
        <v>1236</v>
      </c>
    </row>
    <row r="6" spans="1:115" ht="12.75">
      <c r="A6" s="372" t="s">
        <v>3</v>
      </c>
      <c r="B6" s="376"/>
      <c r="C6" s="306" t="s">
        <v>4</v>
      </c>
      <c r="D6" s="372" t="s">
        <v>5</v>
      </c>
      <c r="E6" s="306"/>
      <c r="F6" s="372" t="s">
        <v>1235</v>
      </c>
      <c r="G6" s="372" t="s">
        <v>1234</v>
      </c>
      <c r="H6" s="372" t="s">
        <v>1233</v>
      </c>
      <c r="I6" s="306" t="s">
        <v>1232</v>
      </c>
      <c r="J6" s="372" t="s">
        <v>1231</v>
      </c>
      <c r="K6" s="306" t="s">
        <v>1231</v>
      </c>
      <c r="L6" s="372" t="s">
        <v>1230</v>
      </c>
      <c r="M6" s="306" t="s">
        <v>1229</v>
      </c>
      <c r="N6" s="371" t="s">
        <v>1228</v>
      </c>
      <c r="O6" s="370" t="s">
        <v>1227</v>
      </c>
      <c r="P6" s="370" t="s">
        <v>1226</v>
      </c>
      <c r="Q6" s="368" t="s">
        <v>1225</v>
      </c>
      <c r="R6" s="368" t="s">
        <v>1224</v>
      </c>
      <c r="S6" s="368" t="s">
        <v>1223</v>
      </c>
      <c r="T6" s="368" t="s">
        <v>25</v>
      </c>
      <c r="U6" s="378" t="s">
        <v>1222</v>
      </c>
      <c r="V6" s="377" t="s">
        <v>1221</v>
      </c>
    </row>
    <row r="7" spans="1:115">
      <c r="A7" s="372"/>
      <c r="B7" s="376"/>
      <c r="C7" s="306"/>
      <c r="D7" s="372"/>
      <c r="E7" s="306" t="s">
        <v>5</v>
      </c>
      <c r="F7" s="372" t="s">
        <v>1220</v>
      </c>
      <c r="G7" s="372" t="s">
        <v>1219</v>
      </c>
      <c r="H7" s="372" t="s">
        <v>1218</v>
      </c>
      <c r="I7" s="375" t="s">
        <v>1217</v>
      </c>
      <c r="J7" s="374"/>
      <c r="K7" s="373"/>
      <c r="L7" s="372" t="s">
        <v>1216</v>
      </c>
      <c r="M7" s="306"/>
      <c r="N7" s="371" t="s">
        <v>1215</v>
      </c>
      <c r="O7" s="370" t="s">
        <v>1214</v>
      </c>
      <c r="P7" s="370" t="s">
        <v>1213</v>
      </c>
      <c r="Q7" s="369" t="s">
        <v>1212</v>
      </c>
      <c r="R7" s="368" t="s">
        <v>1211</v>
      </c>
      <c r="S7" s="368" t="s">
        <v>1210</v>
      </c>
      <c r="T7" s="367"/>
      <c r="U7" s="366" t="s">
        <v>1209</v>
      </c>
      <c r="V7" s="365" t="s">
        <v>1208</v>
      </c>
    </row>
    <row r="8" spans="1:115">
      <c r="A8" s="363"/>
      <c r="B8" s="364"/>
      <c r="C8" s="360"/>
      <c r="D8" s="363"/>
      <c r="E8" s="360"/>
      <c r="F8" s="361" t="s">
        <v>1207</v>
      </c>
      <c r="G8" s="361" t="s">
        <v>1206</v>
      </c>
      <c r="H8" s="361" t="s">
        <v>1205</v>
      </c>
      <c r="I8" s="362"/>
      <c r="J8" s="361"/>
      <c r="K8" s="362"/>
      <c r="L8" s="361"/>
      <c r="M8" s="360"/>
      <c r="N8" s="359"/>
      <c r="O8" s="358" t="s">
        <v>1204</v>
      </c>
      <c r="P8" s="358"/>
      <c r="Q8" s="357"/>
      <c r="R8" s="356"/>
      <c r="S8" s="356"/>
      <c r="T8" s="355"/>
      <c r="U8" s="354"/>
      <c r="V8" s="353"/>
    </row>
    <row r="9" spans="1:115" s="320" customFormat="1" ht="21" customHeight="1">
      <c r="A9" s="352" t="s">
        <v>1203</v>
      </c>
      <c r="B9" s="351" t="s">
        <v>574</v>
      </c>
      <c r="C9" s="350" t="s">
        <v>1202</v>
      </c>
      <c r="D9" s="349" t="s">
        <v>1201</v>
      </c>
      <c r="E9" s="332" t="s">
        <v>41</v>
      </c>
      <c r="F9" s="331">
        <v>2.9990000000000001</v>
      </c>
      <c r="G9" s="332">
        <v>375</v>
      </c>
      <c r="H9" s="331" t="s">
        <v>466</v>
      </c>
      <c r="I9" s="332" t="s">
        <v>42</v>
      </c>
      <c r="J9" s="331">
        <v>2356</v>
      </c>
      <c r="K9" s="326">
        <v>4521</v>
      </c>
      <c r="L9" s="326">
        <v>2000</v>
      </c>
      <c r="M9" s="326" t="s">
        <v>31</v>
      </c>
      <c r="N9" s="338">
        <v>12</v>
      </c>
      <c r="O9" s="344">
        <f>IF(N9&gt;0,1/N9*37.7*68.6,"")</f>
        <v>215.51833333333332</v>
      </c>
      <c r="P9" s="328">
        <v>10.35</v>
      </c>
      <c r="Q9" s="327" t="s">
        <v>43</v>
      </c>
      <c r="R9" s="326" t="s">
        <v>33</v>
      </c>
      <c r="S9" s="326" t="s">
        <v>44</v>
      </c>
      <c r="T9" s="326"/>
      <c r="U9" s="345"/>
      <c r="V9" s="324">
        <f>IF(N9&lt;&gt;0, IF(N9&gt;=P9,ROUNDDOWN(N9/P9*100,0),""),"")</f>
        <v>115</v>
      </c>
      <c r="W9" s="311"/>
      <c r="AR9" s="322"/>
      <c r="AS9" s="322"/>
      <c r="AT9" s="322"/>
      <c r="AU9" s="322"/>
      <c r="AV9" s="322"/>
      <c r="AW9" s="322"/>
      <c r="AX9" s="322"/>
      <c r="AY9" s="322"/>
      <c r="AZ9" s="322"/>
      <c r="BA9" s="322"/>
      <c r="BB9" s="322"/>
      <c r="BC9" s="322"/>
      <c r="BD9" s="322"/>
      <c r="BE9" s="322"/>
      <c r="BF9" s="322"/>
      <c r="BG9" s="322"/>
      <c r="BH9" s="322"/>
      <c r="BI9" s="322"/>
      <c r="BJ9" s="322"/>
      <c r="BK9" s="322"/>
      <c r="BL9" s="322"/>
      <c r="BM9" s="322"/>
      <c r="BN9" s="322"/>
      <c r="BO9" s="322"/>
      <c r="BP9" s="322"/>
      <c r="BQ9" s="322"/>
      <c r="BR9" s="322"/>
      <c r="BS9" s="322"/>
      <c r="BT9" s="322"/>
      <c r="BU9" s="322"/>
      <c r="BV9" s="322"/>
      <c r="BW9" s="322"/>
      <c r="BX9" s="322"/>
      <c r="BY9" s="322"/>
      <c r="BZ9" s="322"/>
      <c r="CA9" s="322"/>
      <c r="CB9" s="322"/>
      <c r="CC9" s="322"/>
      <c r="CD9" s="322"/>
      <c r="CE9" s="322"/>
      <c r="CF9" s="322"/>
      <c r="CG9" s="322"/>
      <c r="CH9" s="322"/>
      <c r="CI9" s="322"/>
      <c r="CJ9" s="322"/>
      <c r="CK9" s="322"/>
      <c r="CL9" s="322"/>
      <c r="CM9" s="322"/>
      <c r="CN9" s="322"/>
      <c r="CO9" s="322"/>
      <c r="CP9" s="322"/>
      <c r="CQ9" s="322"/>
      <c r="CR9" s="322"/>
      <c r="CS9" s="322"/>
      <c r="CT9" s="322"/>
      <c r="CU9" s="322"/>
      <c r="CV9" s="322"/>
      <c r="CW9" s="322"/>
      <c r="CX9" s="322"/>
      <c r="CY9" s="322"/>
      <c r="CZ9" s="322"/>
      <c r="DA9" s="322"/>
      <c r="DB9" s="322"/>
      <c r="DC9" s="322"/>
      <c r="DD9" s="322"/>
      <c r="DE9" s="322"/>
      <c r="DF9" s="322"/>
      <c r="DG9" s="322"/>
      <c r="DH9" s="322"/>
      <c r="DI9" s="322"/>
      <c r="DJ9" s="322"/>
      <c r="DK9" s="322"/>
    </row>
    <row r="10" spans="1:115" s="320" customFormat="1" ht="21" customHeight="1">
      <c r="A10" s="341"/>
      <c r="B10" s="340"/>
      <c r="C10" s="339"/>
      <c r="D10" s="333" t="s">
        <v>1200</v>
      </c>
      <c r="E10" s="332" t="s">
        <v>41</v>
      </c>
      <c r="F10" s="331">
        <v>2.9990000000000001</v>
      </c>
      <c r="G10" s="332">
        <v>375</v>
      </c>
      <c r="H10" s="331" t="s">
        <v>466</v>
      </c>
      <c r="I10" s="332" t="s">
        <v>42</v>
      </c>
      <c r="J10" s="331">
        <v>2356</v>
      </c>
      <c r="K10" s="326">
        <v>4521</v>
      </c>
      <c r="L10" s="326">
        <v>2000</v>
      </c>
      <c r="M10" s="326" t="s">
        <v>31</v>
      </c>
      <c r="N10" s="338">
        <v>12</v>
      </c>
      <c r="O10" s="344">
        <f>IF(N10&gt;0,1/N10*37.7*68.6,"")</f>
        <v>215.51833333333332</v>
      </c>
      <c r="P10" s="328">
        <v>10.35</v>
      </c>
      <c r="Q10" s="327" t="s">
        <v>43</v>
      </c>
      <c r="R10" s="326" t="s">
        <v>33</v>
      </c>
      <c r="S10" s="326" t="s">
        <v>34</v>
      </c>
      <c r="T10" s="326"/>
      <c r="U10" s="345"/>
      <c r="V10" s="324">
        <f>IF(N10&lt;&gt;0, IF(N10&gt;=P10,ROUNDDOWN(N10/P10*100,0),""),"")</f>
        <v>115</v>
      </c>
      <c r="W10" s="311"/>
      <c r="AR10" s="322"/>
      <c r="AS10" s="322"/>
      <c r="AT10" s="322"/>
      <c r="AU10" s="322"/>
      <c r="AV10" s="322"/>
      <c r="AW10" s="322"/>
      <c r="AX10" s="322"/>
      <c r="AY10" s="322"/>
      <c r="AZ10" s="322"/>
      <c r="BA10" s="322"/>
      <c r="BB10" s="322"/>
      <c r="BC10" s="322"/>
      <c r="BD10" s="322"/>
      <c r="BE10" s="322"/>
      <c r="BF10" s="322"/>
      <c r="BG10" s="322"/>
      <c r="BH10" s="322"/>
      <c r="BI10" s="322"/>
      <c r="BJ10" s="322"/>
      <c r="BK10" s="322"/>
      <c r="BL10" s="322"/>
      <c r="BM10" s="322"/>
      <c r="BN10" s="322"/>
      <c r="BO10" s="322"/>
      <c r="BP10" s="322"/>
      <c r="BQ10" s="322"/>
      <c r="BR10" s="322"/>
      <c r="BS10" s="322"/>
      <c r="BT10" s="322"/>
      <c r="BU10" s="322"/>
      <c r="BV10" s="322"/>
      <c r="BW10" s="322"/>
      <c r="BX10" s="322"/>
      <c r="BY10" s="322"/>
      <c r="BZ10" s="322"/>
      <c r="CA10" s="322"/>
      <c r="CB10" s="322"/>
      <c r="CC10" s="322"/>
      <c r="CD10" s="322"/>
      <c r="CE10" s="322"/>
      <c r="CF10" s="322"/>
      <c r="CG10" s="322"/>
      <c r="CH10" s="322"/>
      <c r="CI10" s="322"/>
      <c r="CJ10" s="322"/>
      <c r="CK10" s="322"/>
      <c r="CL10" s="322"/>
      <c r="CM10" s="322"/>
      <c r="CN10" s="322"/>
      <c r="CO10" s="322"/>
      <c r="CP10" s="322"/>
      <c r="CQ10" s="322"/>
      <c r="CR10" s="322"/>
      <c r="CS10" s="322"/>
      <c r="CT10" s="322"/>
      <c r="CU10" s="322"/>
      <c r="CV10" s="322"/>
      <c r="CW10" s="322"/>
      <c r="CX10" s="322"/>
      <c r="CY10" s="322"/>
      <c r="CZ10" s="322"/>
      <c r="DA10" s="322"/>
      <c r="DB10" s="322"/>
      <c r="DC10" s="322"/>
      <c r="DD10" s="322"/>
      <c r="DE10" s="322"/>
      <c r="DF10" s="322"/>
      <c r="DG10" s="322"/>
      <c r="DH10" s="322"/>
      <c r="DI10" s="322"/>
      <c r="DJ10" s="322"/>
      <c r="DK10" s="322"/>
    </row>
    <row r="11" spans="1:115" s="320" customFormat="1" ht="21" customHeight="1">
      <c r="A11" s="341"/>
      <c r="B11" s="340"/>
      <c r="C11" s="339"/>
      <c r="D11" s="333" t="s">
        <v>1199</v>
      </c>
      <c r="E11" s="332" t="s">
        <v>41</v>
      </c>
      <c r="F11" s="331">
        <v>2.9990000000000001</v>
      </c>
      <c r="G11" s="332">
        <v>375</v>
      </c>
      <c r="H11" s="331" t="s">
        <v>466</v>
      </c>
      <c r="I11" s="332" t="s">
        <v>42</v>
      </c>
      <c r="J11" s="331">
        <v>2356</v>
      </c>
      <c r="K11" s="326">
        <v>4521</v>
      </c>
      <c r="L11" s="326">
        <v>2000</v>
      </c>
      <c r="M11" s="326" t="s">
        <v>31</v>
      </c>
      <c r="N11" s="338">
        <v>12</v>
      </c>
      <c r="O11" s="344">
        <f>IF(N11&gt;0,1/N11*37.7*68.6,"")</f>
        <v>215.51833333333332</v>
      </c>
      <c r="P11" s="328">
        <v>10.35</v>
      </c>
      <c r="Q11" s="327" t="s">
        <v>43</v>
      </c>
      <c r="R11" s="326" t="s">
        <v>33</v>
      </c>
      <c r="S11" s="326" t="s">
        <v>44</v>
      </c>
      <c r="T11" s="326"/>
      <c r="U11" s="345"/>
      <c r="V11" s="324">
        <f>IF(N11&lt;&gt;0, IF(N11&gt;=P11,ROUNDDOWN(N11/P11*100,0),""),"")</f>
        <v>115</v>
      </c>
      <c r="W11" s="311"/>
      <c r="AR11" s="322"/>
      <c r="AS11" s="322"/>
      <c r="AT11" s="322"/>
      <c r="AU11" s="322"/>
      <c r="AV11" s="322"/>
      <c r="AW11" s="322"/>
      <c r="AX11" s="322"/>
      <c r="AY11" s="322"/>
      <c r="AZ11" s="322"/>
      <c r="BA11" s="322"/>
      <c r="BB11" s="322"/>
      <c r="BC11" s="322"/>
      <c r="BD11" s="322"/>
      <c r="BE11" s="322"/>
      <c r="BF11" s="322"/>
      <c r="BG11" s="322"/>
      <c r="BH11" s="322"/>
      <c r="BI11" s="322"/>
      <c r="BJ11" s="322"/>
      <c r="BK11" s="322"/>
      <c r="BL11" s="322"/>
      <c r="BM11" s="322"/>
      <c r="BN11" s="322"/>
      <c r="BO11" s="322"/>
      <c r="BP11" s="322"/>
      <c r="BQ11" s="322"/>
      <c r="BR11" s="322"/>
      <c r="BS11" s="322"/>
      <c r="BT11" s="322"/>
      <c r="BU11" s="322"/>
      <c r="BV11" s="322"/>
      <c r="BW11" s="322"/>
      <c r="BX11" s="322"/>
      <c r="BY11" s="322"/>
      <c r="BZ11" s="322"/>
      <c r="CA11" s="322"/>
      <c r="CB11" s="322"/>
      <c r="CC11" s="322"/>
      <c r="CD11" s="322"/>
      <c r="CE11" s="322"/>
      <c r="CF11" s="322"/>
      <c r="CG11" s="322"/>
      <c r="CH11" s="322"/>
      <c r="CI11" s="322"/>
      <c r="CJ11" s="322"/>
      <c r="CK11" s="322"/>
      <c r="CL11" s="322"/>
      <c r="CM11" s="322"/>
      <c r="CN11" s="322"/>
      <c r="CO11" s="322"/>
      <c r="CP11" s="322"/>
      <c r="CQ11" s="322"/>
      <c r="CR11" s="322"/>
      <c r="CS11" s="322"/>
      <c r="CT11" s="322"/>
      <c r="CU11" s="322"/>
      <c r="CV11" s="322"/>
      <c r="CW11" s="322"/>
      <c r="CX11" s="322"/>
      <c r="CY11" s="322"/>
      <c r="CZ11" s="322"/>
      <c r="DA11" s="322"/>
      <c r="DB11" s="322"/>
      <c r="DC11" s="322"/>
      <c r="DD11" s="322"/>
      <c r="DE11" s="322"/>
      <c r="DF11" s="322"/>
      <c r="DG11" s="322"/>
      <c r="DH11" s="322"/>
      <c r="DI11" s="322"/>
      <c r="DJ11" s="322"/>
      <c r="DK11" s="322"/>
    </row>
    <row r="12" spans="1:115" s="320" customFormat="1" ht="21" customHeight="1">
      <c r="A12" s="341"/>
      <c r="B12" s="340"/>
      <c r="C12" s="339"/>
      <c r="D12" s="333" t="s">
        <v>1199</v>
      </c>
      <c r="E12" s="332" t="s">
        <v>41</v>
      </c>
      <c r="F12" s="331">
        <v>2.9990000000000001</v>
      </c>
      <c r="G12" s="332">
        <v>375</v>
      </c>
      <c r="H12" s="331" t="s">
        <v>466</v>
      </c>
      <c r="I12" s="332" t="s">
        <v>42</v>
      </c>
      <c r="J12" s="331">
        <v>2356</v>
      </c>
      <c r="K12" s="326">
        <v>4521</v>
      </c>
      <c r="L12" s="326">
        <v>2000</v>
      </c>
      <c r="M12" s="326" t="s">
        <v>31</v>
      </c>
      <c r="N12" s="338">
        <v>12</v>
      </c>
      <c r="O12" s="344">
        <f>IF(N12&gt;0,1/N12*37.7*68.6,"")</f>
        <v>215.51833333333332</v>
      </c>
      <c r="P12" s="328">
        <v>10.35</v>
      </c>
      <c r="Q12" s="327" t="s">
        <v>43</v>
      </c>
      <c r="R12" s="326" t="s">
        <v>33</v>
      </c>
      <c r="S12" s="326" t="s">
        <v>34</v>
      </c>
      <c r="T12" s="326"/>
      <c r="U12" s="345"/>
      <c r="V12" s="324">
        <f>IF(N12&lt;&gt;0, IF(N12&gt;=P12,ROUNDDOWN(N12/P12*100,0),""),"")</f>
        <v>115</v>
      </c>
      <c r="W12" s="311"/>
      <c r="AR12" s="322"/>
      <c r="AS12" s="322"/>
      <c r="AT12" s="322"/>
      <c r="AU12" s="322"/>
      <c r="AV12" s="322"/>
      <c r="AW12" s="322"/>
      <c r="AX12" s="322"/>
      <c r="AY12" s="322"/>
      <c r="AZ12" s="322"/>
      <c r="BA12" s="322"/>
      <c r="BB12" s="322"/>
      <c r="BC12" s="322"/>
      <c r="BD12" s="322"/>
      <c r="BE12" s="322"/>
      <c r="BF12" s="322"/>
      <c r="BG12" s="322"/>
      <c r="BH12" s="322"/>
      <c r="BI12" s="322"/>
      <c r="BJ12" s="322"/>
      <c r="BK12" s="322"/>
      <c r="BL12" s="322"/>
      <c r="BM12" s="322"/>
      <c r="BN12" s="322"/>
      <c r="BO12" s="322"/>
      <c r="BP12" s="322"/>
      <c r="BQ12" s="322"/>
      <c r="BR12" s="322"/>
      <c r="BS12" s="322"/>
      <c r="BT12" s="322"/>
      <c r="BU12" s="322"/>
      <c r="BV12" s="322"/>
      <c r="BW12" s="322"/>
      <c r="BX12" s="322"/>
      <c r="BY12" s="322"/>
      <c r="BZ12" s="322"/>
      <c r="CA12" s="322"/>
      <c r="CB12" s="322"/>
      <c r="CC12" s="322"/>
      <c r="CD12" s="322"/>
      <c r="CE12" s="322"/>
      <c r="CF12" s="322"/>
      <c r="CG12" s="322"/>
      <c r="CH12" s="322"/>
      <c r="CI12" s="322"/>
      <c r="CJ12" s="322"/>
      <c r="CK12" s="322"/>
      <c r="CL12" s="322"/>
      <c r="CM12" s="322"/>
      <c r="CN12" s="322"/>
      <c r="CO12" s="322"/>
      <c r="CP12" s="322"/>
      <c r="CQ12" s="322"/>
      <c r="CR12" s="322"/>
      <c r="CS12" s="322"/>
      <c r="CT12" s="322"/>
      <c r="CU12" s="322"/>
      <c r="CV12" s="322"/>
      <c r="CW12" s="322"/>
      <c r="CX12" s="322"/>
      <c r="CY12" s="322"/>
      <c r="CZ12" s="322"/>
      <c r="DA12" s="322"/>
      <c r="DB12" s="322"/>
      <c r="DC12" s="322"/>
      <c r="DD12" s="322"/>
      <c r="DE12" s="322"/>
      <c r="DF12" s="322"/>
      <c r="DG12" s="322"/>
      <c r="DH12" s="322"/>
      <c r="DI12" s="322"/>
      <c r="DJ12" s="322"/>
      <c r="DK12" s="322"/>
    </row>
    <row r="13" spans="1:115" s="320" customFormat="1" ht="21" customHeight="1">
      <c r="A13" s="341"/>
      <c r="B13" s="340"/>
      <c r="C13" s="339"/>
      <c r="D13" s="333" t="s">
        <v>1198</v>
      </c>
      <c r="E13" s="332" t="s">
        <v>41</v>
      </c>
      <c r="F13" s="331">
        <v>2.9990000000000001</v>
      </c>
      <c r="G13" s="332">
        <v>375</v>
      </c>
      <c r="H13" s="331" t="s">
        <v>466</v>
      </c>
      <c r="I13" s="332" t="s">
        <v>42</v>
      </c>
      <c r="J13" s="331">
        <v>2356</v>
      </c>
      <c r="K13" s="326">
        <v>4521</v>
      </c>
      <c r="L13" s="326">
        <v>2000</v>
      </c>
      <c r="M13" s="326" t="s">
        <v>31</v>
      </c>
      <c r="N13" s="338">
        <v>12</v>
      </c>
      <c r="O13" s="344">
        <f>IF(N13&gt;0,1/N13*37.7*68.6,"")</f>
        <v>215.51833333333332</v>
      </c>
      <c r="P13" s="328">
        <v>10.35</v>
      </c>
      <c r="Q13" s="327" t="s">
        <v>43</v>
      </c>
      <c r="R13" s="326" t="s">
        <v>33</v>
      </c>
      <c r="S13" s="326" t="s">
        <v>34</v>
      </c>
      <c r="T13" s="326"/>
      <c r="U13" s="345"/>
      <c r="V13" s="324">
        <f>IF(N13&lt;&gt;0, IF(N13&gt;=P13,ROUNDDOWN(N13/P13*100,0),""),"")</f>
        <v>115</v>
      </c>
      <c r="W13" s="311"/>
      <c r="AR13" s="322"/>
      <c r="AS13" s="322"/>
      <c r="AT13" s="322"/>
      <c r="AU13" s="322"/>
      <c r="AV13" s="322"/>
      <c r="AW13" s="322"/>
      <c r="AX13" s="322"/>
      <c r="AY13" s="322"/>
      <c r="AZ13" s="322"/>
      <c r="BA13" s="322"/>
      <c r="BB13" s="322"/>
      <c r="BC13" s="322"/>
      <c r="BD13" s="322"/>
      <c r="BE13" s="322"/>
      <c r="BF13" s="322"/>
      <c r="BG13" s="322"/>
      <c r="BH13" s="322"/>
      <c r="BI13" s="322"/>
      <c r="BJ13" s="322"/>
      <c r="BK13" s="322"/>
      <c r="BL13" s="322"/>
      <c r="BM13" s="322"/>
      <c r="BN13" s="322"/>
      <c r="BO13" s="322"/>
      <c r="BP13" s="322"/>
      <c r="BQ13" s="322"/>
      <c r="BR13" s="322"/>
      <c r="BS13" s="322"/>
      <c r="BT13" s="322"/>
      <c r="BU13" s="322"/>
      <c r="BV13" s="322"/>
      <c r="BW13" s="322"/>
      <c r="BX13" s="322"/>
      <c r="BY13" s="322"/>
      <c r="BZ13" s="322"/>
      <c r="CA13" s="322"/>
      <c r="CB13" s="322"/>
      <c r="CC13" s="322"/>
      <c r="CD13" s="322"/>
      <c r="CE13" s="322"/>
      <c r="CF13" s="322"/>
      <c r="CG13" s="322"/>
      <c r="CH13" s="322"/>
      <c r="CI13" s="322"/>
      <c r="CJ13" s="322"/>
      <c r="CK13" s="322"/>
      <c r="CL13" s="322"/>
      <c r="CM13" s="322"/>
      <c r="CN13" s="322"/>
      <c r="CO13" s="322"/>
      <c r="CP13" s="322"/>
      <c r="CQ13" s="322"/>
      <c r="CR13" s="322"/>
      <c r="CS13" s="322"/>
      <c r="CT13" s="322"/>
      <c r="CU13" s="322"/>
      <c r="CV13" s="322"/>
      <c r="CW13" s="322"/>
      <c r="CX13" s="322"/>
      <c r="CY13" s="322"/>
      <c r="CZ13" s="322"/>
      <c r="DA13" s="322"/>
      <c r="DB13" s="322"/>
      <c r="DC13" s="322"/>
      <c r="DD13" s="322"/>
      <c r="DE13" s="322"/>
      <c r="DF13" s="322"/>
      <c r="DG13" s="322"/>
      <c r="DH13" s="322"/>
      <c r="DI13" s="322"/>
      <c r="DJ13" s="322"/>
      <c r="DK13" s="322"/>
    </row>
    <row r="14" spans="1:115" s="320" customFormat="1" ht="21" customHeight="1">
      <c r="A14" s="341"/>
      <c r="B14" s="340"/>
      <c r="C14" s="339"/>
      <c r="D14" s="333" t="s">
        <v>1197</v>
      </c>
      <c r="E14" s="332" t="s">
        <v>41</v>
      </c>
      <c r="F14" s="331">
        <v>2.9990000000000001</v>
      </c>
      <c r="G14" s="332">
        <v>375</v>
      </c>
      <c r="H14" s="331" t="s">
        <v>466</v>
      </c>
      <c r="I14" s="332" t="s">
        <v>42</v>
      </c>
      <c r="J14" s="331">
        <v>2356</v>
      </c>
      <c r="K14" s="326">
        <v>4521</v>
      </c>
      <c r="L14" s="326">
        <v>2000</v>
      </c>
      <c r="M14" s="326" t="s">
        <v>31</v>
      </c>
      <c r="N14" s="338">
        <v>12</v>
      </c>
      <c r="O14" s="344">
        <f>IF(N14&gt;0,1/N14*37.7*68.6,"")</f>
        <v>215.51833333333332</v>
      </c>
      <c r="P14" s="328">
        <v>10.35</v>
      </c>
      <c r="Q14" s="327" t="s">
        <v>43</v>
      </c>
      <c r="R14" s="326" t="s">
        <v>33</v>
      </c>
      <c r="S14" s="326" t="s">
        <v>34</v>
      </c>
      <c r="T14" s="326"/>
      <c r="U14" s="345"/>
      <c r="V14" s="324">
        <f>IF(N14&lt;&gt;0, IF(N14&gt;=P14,ROUNDDOWN(N14/P14*100,0),""),"")</f>
        <v>115</v>
      </c>
      <c r="W14" s="311"/>
      <c r="AR14" s="322"/>
      <c r="AS14" s="322"/>
      <c r="AT14" s="322"/>
      <c r="AU14" s="322"/>
      <c r="AV14" s="322"/>
      <c r="AW14" s="322"/>
      <c r="AX14" s="322"/>
      <c r="AY14" s="322"/>
      <c r="AZ14" s="322"/>
      <c r="BA14" s="322"/>
      <c r="BB14" s="322"/>
      <c r="BC14" s="322"/>
      <c r="BD14" s="322"/>
      <c r="BE14" s="322"/>
      <c r="BF14" s="322"/>
      <c r="BG14" s="322"/>
      <c r="BH14" s="322"/>
      <c r="BI14" s="322"/>
      <c r="BJ14" s="322"/>
      <c r="BK14" s="322"/>
      <c r="BL14" s="322"/>
      <c r="BM14" s="322"/>
      <c r="BN14" s="322"/>
      <c r="BO14" s="322"/>
      <c r="BP14" s="322"/>
      <c r="BQ14" s="322"/>
      <c r="BR14" s="322"/>
      <c r="BS14" s="322"/>
      <c r="BT14" s="322"/>
      <c r="BU14" s="322"/>
      <c r="BV14" s="322"/>
      <c r="BW14" s="322"/>
      <c r="BX14" s="322"/>
      <c r="BY14" s="322"/>
      <c r="BZ14" s="322"/>
      <c r="CA14" s="322"/>
      <c r="CB14" s="322"/>
      <c r="CC14" s="322"/>
      <c r="CD14" s="322"/>
      <c r="CE14" s="322"/>
      <c r="CF14" s="322"/>
      <c r="CG14" s="322"/>
      <c r="CH14" s="322"/>
      <c r="CI14" s="322"/>
      <c r="CJ14" s="322"/>
      <c r="CK14" s="322"/>
      <c r="CL14" s="322"/>
      <c r="CM14" s="322"/>
      <c r="CN14" s="322"/>
      <c r="CO14" s="322"/>
      <c r="CP14" s="322"/>
      <c r="CQ14" s="322"/>
      <c r="CR14" s="322"/>
      <c r="CS14" s="322"/>
      <c r="CT14" s="322"/>
      <c r="CU14" s="322"/>
      <c r="CV14" s="322"/>
      <c r="CW14" s="322"/>
      <c r="CX14" s="322"/>
      <c r="CY14" s="322"/>
      <c r="CZ14" s="322"/>
      <c r="DA14" s="322"/>
      <c r="DB14" s="322"/>
      <c r="DC14" s="322"/>
      <c r="DD14" s="322"/>
      <c r="DE14" s="322"/>
      <c r="DF14" s="322"/>
      <c r="DG14" s="322"/>
      <c r="DH14" s="322"/>
      <c r="DI14" s="322"/>
      <c r="DJ14" s="322"/>
      <c r="DK14" s="322"/>
    </row>
    <row r="15" spans="1:115" s="320" customFormat="1" ht="21" customHeight="1">
      <c r="A15" s="341"/>
      <c r="B15" s="340"/>
      <c r="C15" s="339"/>
      <c r="D15" s="333" t="s">
        <v>1197</v>
      </c>
      <c r="E15" s="332" t="s">
        <v>41</v>
      </c>
      <c r="F15" s="331">
        <v>2.9990000000000001</v>
      </c>
      <c r="G15" s="332">
        <v>375</v>
      </c>
      <c r="H15" s="331" t="s">
        <v>466</v>
      </c>
      <c r="I15" s="332" t="s">
        <v>42</v>
      </c>
      <c r="J15" s="331">
        <v>2652</v>
      </c>
      <c r="K15" s="326">
        <v>5812</v>
      </c>
      <c r="L15" s="326">
        <v>2995</v>
      </c>
      <c r="M15" s="326" t="s">
        <v>31</v>
      </c>
      <c r="N15" s="338">
        <v>11</v>
      </c>
      <c r="O15" s="344">
        <f>IF(N15&gt;0,1/N15*37.7*68.6,"")</f>
        <v>235.1109090909091</v>
      </c>
      <c r="P15" s="328">
        <v>9.51</v>
      </c>
      <c r="Q15" s="327" t="s">
        <v>43</v>
      </c>
      <c r="R15" s="326" t="s">
        <v>33</v>
      </c>
      <c r="S15" s="326" t="s">
        <v>34</v>
      </c>
      <c r="T15" s="326"/>
      <c r="U15" s="345"/>
      <c r="V15" s="324">
        <f>IF(N15&lt;&gt;0, IF(N15&gt;=P15,ROUNDDOWN(N15/P15*100,0),""),"")</f>
        <v>115</v>
      </c>
      <c r="W15" s="311"/>
      <c r="AR15" s="322"/>
      <c r="AS15" s="322"/>
      <c r="AT15" s="322"/>
      <c r="AU15" s="322"/>
      <c r="AV15" s="322"/>
      <c r="AW15" s="322"/>
      <c r="AX15" s="322"/>
      <c r="AY15" s="322"/>
      <c r="AZ15" s="322"/>
      <c r="BA15" s="322"/>
      <c r="BB15" s="322"/>
      <c r="BC15" s="322"/>
      <c r="BD15" s="322"/>
      <c r="BE15" s="322"/>
      <c r="BF15" s="322"/>
      <c r="BG15" s="322"/>
      <c r="BH15" s="322"/>
      <c r="BI15" s="322"/>
      <c r="BJ15" s="322"/>
      <c r="BK15" s="322"/>
      <c r="BL15" s="322"/>
      <c r="BM15" s="322"/>
      <c r="BN15" s="322"/>
      <c r="BO15" s="322"/>
      <c r="BP15" s="322"/>
      <c r="BQ15" s="322"/>
      <c r="BR15" s="322"/>
      <c r="BS15" s="322"/>
      <c r="BT15" s="322"/>
      <c r="BU15" s="322"/>
      <c r="BV15" s="322"/>
      <c r="BW15" s="322"/>
      <c r="BX15" s="322"/>
      <c r="BY15" s="322"/>
      <c r="BZ15" s="322"/>
      <c r="CA15" s="322"/>
      <c r="CB15" s="322"/>
      <c r="CC15" s="322"/>
      <c r="CD15" s="322"/>
      <c r="CE15" s="322"/>
      <c r="CF15" s="322"/>
      <c r="CG15" s="322"/>
      <c r="CH15" s="322"/>
      <c r="CI15" s="322"/>
      <c r="CJ15" s="322"/>
      <c r="CK15" s="322"/>
      <c r="CL15" s="322"/>
      <c r="CM15" s="322"/>
      <c r="CN15" s="322"/>
      <c r="CO15" s="322"/>
      <c r="CP15" s="322"/>
      <c r="CQ15" s="322"/>
      <c r="CR15" s="322"/>
      <c r="CS15" s="322"/>
      <c r="CT15" s="322"/>
      <c r="CU15" s="322"/>
      <c r="CV15" s="322"/>
      <c r="CW15" s="322"/>
      <c r="CX15" s="322"/>
      <c r="CY15" s="322"/>
      <c r="CZ15" s="322"/>
      <c r="DA15" s="322"/>
      <c r="DB15" s="322"/>
      <c r="DC15" s="322"/>
      <c r="DD15" s="322"/>
      <c r="DE15" s="322"/>
      <c r="DF15" s="322"/>
      <c r="DG15" s="322"/>
      <c r="DH15" s="322"/>
      <c r="DI15" s="322"/>
      <c r="DJ15" s="322"/>
      <c r="DK15" s="322"/>
    </row>
    <row r="16" spans="1:115" s="320" customFormat="1" ht="21" customHeight="1">
      <c r="A16" s="341"/>
      <c r="B16" s="340"/>
      <c r="C16" s="339"/>
      <c r="D16" s="333" t="s">
        <v>1196</v>
      </c>
      <c r="E16" s="332" t="s">
        <v>41</v>
      </c>
      <c r="F16" s="331">
        <v>2.9990000000000001</v>
      </c>
      <c r="G16" s="332">
        <v>375</v>
      </c>
      <c r="H16" s="331" t="s">
        <v>466</v>
      </c>
      <c r="I16" s="332" t="s">
        <v>42</v>
      </c>
      <c r="J16" s="331">
        <v>2356</v>
      </c>
      <c r="K16" s="326">
        <v>4521</v>
      </c>
      <c r="L16" s="326">
        <v>2000</v>
      </c>
      <c r="M16" s="326" t="s">
        <v>31</v>
      </c>
      <c r="N16" s="338">
        <v>12</v>
      </c>
      <c r="O16" s="344">
        <f>IF(N16&gt;0,1/N16*37.7*68.6,"")</f>
        <v>215.51833333333332</v>
      </c>
      <c r="P16" s="328">
        <v>10.35</v>
      </c>
      <c r="Q16" s="327" t="s">
        <v>43</v>
      </c>
      <c r="R16" s="326" t="s">
        <v>33</v>
      </c>
      <c r="S16" s="326" t="s">
        <v>34</v>
      </c>
      <c r="T16" s="326"/>
      <c r="U16" s="345"/>
      <c r="V16" s="324">
        <f>IF(N16&lt;&gt;0, IF(N16&gt;=P16,ROUNDDOWN(N16/P16*100,0),""),"")</f>
        <v>115</v>
      </c>
      <c r="W16" s="311"/>
      <c r="AR16" s="322"/>
      <c r="AS16" s="322"/>
      <c r="AT16" s="322"/>
      <c r="AU16" s="322"/>
      <c r="AV16" s="322"/>
      <c r="AW16" s="322"/>
      <c r="AX16" s="322"/>
      <c r="AY16" s="322"/>
      <c r="AZ16" s="322"/>
      <c r="BA16" s="322"/>
      <c r="BB16" s="322"/>
      <c r="BC16" s="322"/>
      <c r="BD16" s="322"/>
      <c r="BE16" s="322"/>
      <c r="BF16" s="322"/>
      <c r="BG16" s="322"/>
      <c r="BH16" s="322"/>
      <c r="BI16" s="322"/>
      <c r="BJ16" s="322"/>
      <c r="BK16" s="322"/>
      <c r="BL16" s="322"/>
      <c r="BM16" s="322"/>
      <c r="BN16" s="322"/>
      <c r="BO16" s="322"/>
      <c r="BP16" s="322"/>
      <c r="BQ16" s="322"/>
      <c r="BR16" s="322"/>
      <c r="BS16" s="322"/>
      <c r="BT16" s="322"/>
      <c r="BU16" s="322"/>
      <c r="BV16" s="322"/>
      <c r="BW16" s="322"/>
      <c r="BX16" s="322"/>
      <c r="BY16" s="322"/>
      <c r="BZ16" s="322"/>
      <c r="CA16" s="322"/>
      <c r="CB16" s="322"/>
      <c r="CC16" s="322"/>
      <c r="CD16" s="322"/>
      <c r="CE16" s="322"/>
      <c r="CF16" s="322"/>
      <c r="CG16" s="322"/>
      <c r="CH16" s="322"/>
      <c r="CI16" s="322"/>
      <c r="CJ16" s="322"/>
      <c r="CK16" s="322"/>
      <c r="CL16" s="322"/>
      <c r="CM16" s="322"/>
      <c r="CN16" s="322"/>
      <c r="CO16" s="322"/>
      <c r="CP16" s="322"/>
      <c r="CQ16" s="322"/>
      <c r="CR16" s="322"/>
      <c r="CS16" s="322"/>
      <c r="CT16" s="322"/>
      <c r="CU16" s="322"/>
      <c r="CV16" s="322"/>
      <c r="CW16" s="322"/>
      <c r="CX16" s="322"/>
      <c r="CY16" s="322"/>
      <c r="CZ16" s="322"/>
      <c r="DA16" s="322"/>
      <c r="DB16" s="322"/>
      <c r="DC16" s="322"/>
      <c r="DD16" s="322"/>
      <c r="DE16" s="322"/>
      <c r="DF16" s="322"/>
      <c r="DG16" s="322"/>
      <c r="DH16" s="322"/>
      <c r="DI16" s="322"/>
      <c r="DJ16" s="322"/>
      <c r="DK16" s="322"/>
    </row>
    <row r="17" spans="1:115" s="320" customFormat="1" ht="21" customHeight="1">
      <c r="A17" s="341"/>
      <c r="B17" s="340"/>
      <c r="C17" s="339"/>
      <c r="D17" s="333" t="s">
        <v>1196</v>
      </c>
      <c r="E17" s="332" t="s">
        <v>41</v>
      </c>
      <c r="F17" s="331">
        <v>2.9990000000000001</v>
      </c>
      <c r="G17" s="332">
        <v>375</v>
      </c>
      <c r="H17" s="331" t="s">
        <v>466</v>
      </c>
      <c r="I17" s="332" t="s">
        <v>42</v>
      </c>
      <c r="J17" s="331">
        <v>2652</v>
      </c>
      <c r="K17" s="326">
        <v>5812</v>
      </c>
      <c r="L17" s="326">
        <v>2995</v>
      </c>
      <c r="M17" s="326" t="s">
        <v>31</v>
      </c>
      <c r="N17" s="338">
        <v>11</v>
      </c>
      <c r="O17" s="344">
        <f>IF(N17&gt;0,1/N17*37.7*68.6,"")</f>
        <v>235.1109090909091</v>
      </c>
      <c r="P17" s="328">
        <v>9.51</v>
      </c>
      <c r="Q17" s="327" t="s">
        <v>43</v>
      </c>
      <c r="R17" s="326" t="s">
        <v>33</v>
      </c>
      <c r="S17" s="326" t="s">
        <v>34</v>
      </c>
      <c r="T17" s="326"/>
      <c r="U17" s="345"/>
      <c r="V17" s="324">
        <f>IF(N17&lt;&gt;0, IF(N17&gt;=P17,ROUNDDOWN(N17/P17*100,0),""),"")</f>
        <v>115</v>
      </c>
      <c r="W17" s="311"/>
      <c r="AR17" s="322"/>
      <c r="AS17" s="322"/>
      <c r="AT17" s="322"/>
      <c r="AU17" s="322"/>
      <c r="AV17" s="322"/>
      <c r="AW17" s="322"/>
      <c r="AX17" s="322"/>
      <c r="AY17" s="322"/>
      <c r="AZ17" s="322"/>
      <c r="BA17" s="322"/>
      <c r="BB17" s="322"/>
      <c r="BC17" s="322"/>
      <c r="BD17" s="322"/>
      <c r="BE17" s="322"/>
      <c r="BF17" s="322"/>
      <c r="BG17" s="322"/>
      <c r="BH17" s="322"/>
      <c r="BI17" s="322"/>
      <c r="BJ17" s="322"/>
      <c r="BK17" s="322"/>
      <c r="BL17" s="322"/>
      <c r="BM17" s="322"/>
      <c r="BN17" s="322"/>
      <c r="BO17" s="322"/>
      <c r="BP17" s="322"/>
      <c r="BQ17" s="322"/>
      <c r="BR17" s="322"/>
      <c r="BS17" s="322"/>
      <c r="BT17" s="322"/>
      <c r="BU17" s="322"/>
      <c r="BV17" s="322"/>
      <c r="BW17" s="322"/>
      <c r="BX17" s="322"/>
      <c r="BY17" s="322"/>
      <c r="BZ17" s="322"/>
      <c r="CA17" s="322"/>
      <c r="CB17" s="322"/>
      <c r="CC17" s="322"/>
      <c r="CD17" s="322"/>
      <c r="CE17" s="322"/>
      <c r="CF17" s="322"/>
      <c r="CG17" s="322"/>
      <c r="CH17" s="322"/>
      <c r="CI17" s="322"/>
      <c r="CJ17" s="322"/>
      <c r="CK17" s="322"/>
      <c r="CL17" s="322"/>
      <c r="CM17" s="322"/>
      <c r="CN17" s="322"/>
      <c r="CO17" s="322"/>
      <c r="CP17" s="322"/>
      <c r="CQ17" s="322"/>
      <c r="CR17" s="322"/>
      <c r="CS17" s="322"/>
      <c r="CT17" s="322"/>
      <c r="CU17" s="322"/>
      <c r="CV17" s="322"/>
      <c r="CW17" s="322"/>
      <c r="CX17" s="322"/>
      <c r="CY17" s="322"/>
      <c r="CZ17" s="322"/>
      <c r="DA17" s="322"/>
      <c r="DB17" s="322"/>
      <c r="DC17" s="322"/>
      <c r="DD17" s="322"/>
      <c r="DE17" s="322"/>
      <c r="DF17" s="322"/>
      <c r="DG17" s="322"/>
      <c r="DH17" s="322"/>
      <c r="DI17" s="322"/>
      <c r="DJ17" s="322"/>
      <c r="DK17" s="322"/>
    </row>
    <row r="18" spans="1:115" s="320" customFormat="1" ht="21" customHeight="1">
      <c r="A18" s="341"/>
      <c r="B18" s="340"/>
      <c r="C18" s="339"/>
      <c r="D18" s="333" t="s">
        <v>1195</v>
      </c>
      <c r="E18" s="332" t="s">
        <v>41</v>
      </c>
      <c r="F18" s="331">
        <v>2.9990000000000001</v>
      </c>
      <c r="G18" s="332">
        <v>375</v>
      </c>
      <c r="H18" s="331" t="s">
        <v>466</v>
      </c>
      <c r="I18" s="332" t="s">
        <v>42</v>
      </c>
      <c r="J18" s="331">
        <v>2356</v>
      </c>
      <c r="K18" s="326">
        <v>4521</v>
      </c>
      <c r="L18" s="326">
        <v>2000</v>
      </c>
      <c r="M18" s="326" t="s">
        <v>31</v>
      </c>
      <c r="N18" s="338">
        <v>12</v>
      </c>
      <c r="O18" s="344">
        <f>IF(N18&gt;0,1/N18*37.7*68.6,"")</f>
        <v>215.51833333333332</v>
      </c>
      <c r="P18" s="328">
        <v>10.35</v>
      </c>
      <c r="Q18" s="327" t="s">
        <v>43</v>
      </c>
      <c r="R18" s="326" t="s">
        <v>33</v>
      </c>
      <c r="S18" s="326" t="s">
        <v>34</v>
      </c>
      <c r="T18" s="326"/>
      <c r="U18" s="345"/>
      <c r="V18" s="324">
        <f>IF(N18&lt;&gt;0, IF(N18&gt;=P18,ROUNDDOWN(N18/P18*100,0),""),"")</f>
        <v>115</v>
      </c>
      <c r="W18" s="311"/>
      <c r="AR18" s="322"/>
      <c r="AS18" s="322"/>
      <c r="AT18" s="322"/>
      <c r="AU18" s="322"/>
      <c r="AV18" s="322"/>
      <c r="AW18" s="322"/>
      <c r="AX18" s="322"/>
      <c r="AY18" s="322"/>
      <c r="AZ18" s="322"/>
      <c r="BA18" s="322"/>
      <c r="BB18" s="322"/>
      <c r="BC18" s="322"/>
      <c r="BD18" s="322"/>
      <c r="BE18" s="322"/>
      <c r="BF18" s="322"/>
      <c r="BG18" s="322"/>
      <c r="BH18" s="322"/>
      <c r="BI18" s="322"/>
      <c r="BJ18" s="322"/>
      <c r="BK18" s="322"/>
      <c r="BL18" s="322"/>
      <c r="BM18" s="322"/>
      <c r="BN18" s="322"/>
      <c r="BO18" s="322"/>
      <c r="BP18" s="322"/>
      <c r="BQ18" s="322"/>
      <c r="BR18" s="322"/>
      <c r="BS18" s="322"/>
      <c r="BT18" s="322"/>
      <c r="BU18" s="322"/>
      <c r="BV18" s="322"/>
      <c r="BW18" s="322"/>
      <c r="BX18" s="322"/>
      <c r="BY18" s="322"/>
      <c r="BZ18" s="322"/>
      <c r="CA18" s="322"/>
      <c r="CB18" s="322"/>
      <c r="CC18" s="322"/>
      <c r="CD18" s="322"/>
      <c r="CE18" s="322"/>
      <c r="CF18" s="322"/>
      <c r="CG18" s="322"/>
      <c r="CH18" s="322"/>
      <c r="CI18" s="322"/>
      <c r="CJ18" s="322"/>
      <c r="CK18" s="322"/>
      <c r="CL18" s="322"/>
      <c r="CM18" s="322"/>
      <c r="CN18" s="322"/>
      <c r="CO18" s="322"/>
      <c r="CP18" s="322"/>
      <c r="CQ18" s="322"/>
      <c r="CR18" s="322"/>
      <c r="CS18" s="322"/>
      <c r="CT18" s="322"/>
      <c r="CU18" s="322"/>
      <c r="CV18" s="322"/>
      <c r="CW18" s="322"/>
      <c r="CX18" s="322"/>
      <c r="CY18" s="322"/>
      <c r="CZ18" s="322"/>
      <c r="DA18" s="322"/>
      <c r="DB18" s="322"/>
      <c r="DC18" s="322"/>
      <c r="DD18" s="322"/>
      <c r="DE18" s="322"/>
      <c r="DF18" s="322"/>
      <c r="DG18" s="322"/>
      <c r="DH18" s="322"/>
      <c r="DI18" s="322"/>
      <c r="DJ18" s="322"/>
      <c r="DK18" s="322"/>
    </row>
    <row r="19" spans="1:115" s="320" customFormat="1" ht="21" customHeight="1">
      <c r="A19" s="341"/>
      <c r="B19" s="340"/>
      <c r="C19" s="339"/>
      <c r="D19" s="333" t="s">
        <v>1195</v>
      </c>
      <c r="E19" s="332" t="s">
        <v>41</v>
      </c>
      <c r="F19" s="331">
        <v>2.9990000000000001</v>
      </c>
      <c r="G19" s="332">
        <v>375</v>
      </c>
      <c r="H19" s="331" t="s">
        <v>466</v>
      </c>
      <c r="I19" s="332" t="s">
        <v>42</v>
      </c>
      <c r="J19" s="331">
        <v>2652</v>
      </c>
      <c r="K19" s="326">
        <v>5812</v>
      </c>
      <c r="L19" s="326">
        <v>2995</v>
      </c>
      <c r="M19" s="326" t="s">
        <v>31</v>
      </c>
      <c r="N19" s="338">
        <v>11</v>
      </c>
      <c r="O19" s="344">
        <f>IF(N19&gt;0,1/N19*37.7*68.6,"")</f>
        <v>235.1109090909091</v>
      </c>
      <c r="P19" s="328">
        <v>9.51</v>
      </c>
      <c r="Q19" s="327" t="s">
        <v>43</v>
      </c>
      <c r="R19" s="326" t="s">
        <v>33</v>
      </c>
      <c r="S19" s="326" t="s">
        <v>34</v>
      </c>
      <c r="T19" s="326"/>
      <c r="U19" s="345"/>
      <c r="V19" s="324">
        <f>IF(N19&lt;&gt;0, IF(N19&gt;=P19,ROUNDDOWN(N19/P19*100,0),""),"")</f>
        <v>115</v>
      </c>
      <c r="W19" s="311"/>
      <c r="AR19" s="322"/>
      <c r="AS19" s="322"/>
      <c r="AT19" s="322"/>
      <c r="AU19" s="322"/>
      <c r="AV19" s="322"/>
      <c r="AW19" s="322"/>
      <c r="AX19" s="322"/>
      <c r="AY19" s="322"/>
      <c r="AZ19" s="322"/>
      <c r="BA19" s="322"/>
      <c r="BB19" s="322"/>
      <c r="BC19" s="322"/>
      <c r="BD19" s="322"/>
      <c r="BE19" s="322"/>
      <c r="BF19" s="322"/>
      <c r="BG19" s="322"/>
      <c r="BH19" s="322"/>
      <c r="BI19" s="322"/>
      <c r="BJ19" s="322"/>
      <c r="BK19" s="322"/>
      <c r="BL19" s="322"/>
      <c r="BM19" s="322"/>
      <c r="BN19" s="322"/>
      <c r="BO19" s="322"/>
      <c r="BP19" s="322"/>
      <c r="BQ19" s="322"/>
      <c r="BR19" s="322"/>
      <c r="BS19" s="322"/>
      <c r="BT19" s="322"/>
      <c r="BU19" s="322"/>
      <c r="BV19" s="322"/>
      <c r="BW19" s="322"/>
      <c r="BX19" s="322"/>
      <c r="BY19" s="322"/>
      <c r="BZ19" s="322"/>
      <c r="CA19" s="322"/>
      <c r="CB19" s="322"/>
      <c r="CC19" s="322"/>
      <c r="CD19" s="322"/>
      <c r="CE19" s="322"/>
      <c r="CF19" s="322"/>
      <c r="CG19" s="322"/>
      <c r="CH19" s="322"/>
      <c r="CI19" s="322"/>
      <c r="CJ19" s="322"/>
      <c r="CK19" s="322"/>
      <c r="CL19" s="322"/>
      <c r="CM19" s="322"/>
      <c r="CN19" s="322"/>
      <c r="CO19" s="322"/>
      <c r="CP19" s="322"/>
      <c r="CQ19" s="322"/>
      <c r="CR19" s="322"/>
      <c r="CS19" s="322"/>
      <c r="CT19" s="322"/>
      <c r="CU19" s="322"/>
      <c r="CV19" s="322"/>
      <c r="CW19" s="322"/>
      <c r="CX19" s="322"/>
      <c r="CY19" s="322"/>
      <c r="CZ19" s="322"/>
      <c r="DA19" s="322"/>
      <c r="DB19" s="322"/>
      <c r="DC19" s="322"/>
      <c r="DD19" s="322"/>
      <c r="DE19" s="322"/>
      <c r="DF19" s="322"/>
      <c r="DG19" s="322"/>
      <c r="DH19" s="322"/>
      <c r="DI19" s="322"/>
      <c r="DJ19" s="322"/>
      <c r="DK19" s="322"/>
    </row>
    <row r="20" spans="1:115" s="320" customFormat="1" ht="21" customHeight="1">
      <c r="A20" s="341"/>
      <c r="B20" s="340"/>
      <c r="C20" s="348"/>
      <c r="D20" s="333" t="s">
        <v>1194</v>
      </c>
      <c r="E20" s="332" t="s">
        <v>41</v>
      </c>
      <c r="F20" s="331">
        <v>2.9990000000000001</v>
      </c>
      <c r="G20" s="332" t="s">
        <v>467</v>
      </c>
      <c r="H20" s="331" t="s">
        <v>466</v>
      </c>
      <c r="I20" s="332" t="s">
        <v>42</v>
      </c>
      <c r="J20" s="331">
        <v>2356</v>
      </c>
      <c r="K20" s="326">
        <v>4521</v>
      </c>
      <c r="L20" s="326">
        <v>2000</v>
      </c>
      <c r="M20" s="326" t="s">
        <v>31</v>
      </c>
      <c r="N20" s="342">
        <v>12</v>
      </c>
      <c r="O20" s="337">
        <f>IF(N20&gt;0,1/N20*37.7*68.6,"")</f>
        <v>215.51833333333332</v>
      </c>
      <c r="P20" s="328">
        <v>10.35</v>
      </c>
      <c r="Q20" s="327" t="s">
        <v>43</v>
      </c>
      <c r="R20" s="326" t="s">
        <v>33</v>
      </c>
      <c r="S20" s="326" t="s">
        <v>34</v>
      </c>
      <c r="T20" s="326"/>
      <c r="U20" s="345"/>
      <c r="V20" s="324">
        <f>IF(N20&lt;&gt;0, IF(N20&gt;=P20,ROUNDDOWN(N20/P20*100,0),""),"")</f>
        <v>115</v>
      </c>
      <c r="W20" s="311"/>
      <c r="AR20" s="322"/>
      <c r="AS20" s="322"/>
      <c r="AT20" s="322"/>
      <c r="AU20" s="322"/>
      <c r="AV20" s="322"/>
      <c r="AW20" s="322"/>
      <c r="AX20" s="322"/>
      <c r="AY20" s="322"/>
      <c r="AZ20" s="322"/>
      <c r="BA20" s="322"/>
      <c r="BB20" s="322"/>
      <c r="BC20" s="322"/>
      <c r="BD20" s="322"/>
      <c r="BE20" s="322"/>
      <c r="BF20" s="322"/>
      <c r="BG20" s="322"/>
      <c r="BH20" s="322"/>
      <c r="BI20" s="322"/>
      <c r="BJ20" s="322"/>
      <c r="BK20" s="322"/>
      <c r="BL20" s="322"/>
      <c r="BM20" s="322"/>
      <c r="BN20" s="322"/>
      <c r="BO20" s="322"/>
      <c r="BP20" s="322"/>
      <c r="BQ20" s="322"/>
      <c r="BR20" s="322"/>
      <c r="BS20" s="322"/>
      <c r="BT20" s="322"/>
      <c r="BU20" s="322"/>
      <c r="BV20" s="322"/>
      <c r="BW20" s="322"/>
      <c r="BX20" s="322"/>
      <c r="BY20" s="322"/>
      <c r="BZ20" s="322"/>
      <c r="CA20" s="322"/>
      <c r="CB20" s="322"/>
      <c r="CC20" s="322"/>
      <c r="CD20" s="322"/>
      <c r="CE20" s="322"/>
      <c r="CF20" s="322"/>
      <c r="CG20" s="322"/>
      <c r="CH20" s="322"/>
      <c r="CI20" s="322"/>
      <c r="CJ20" s="322"/>
      <c r="CK20" s="322"/>
      <c r="CL20" s="322"/>
      <c r="CM20" s="322"/>
      <c r="CN20" s="322"/>
      <c r="CO20" s="322"/>
      <c r="CP20" s="322"/>
      <c r="CQ20" s="322"/>
      <c r="CR20" s="322"/>
      <c r="CS20" s="322"/>
      <c r="CT20" s="322"/>
      <c r="CU20" s="322"/>
      <c r="CV20" s="322"/>
      <c r="CW20" s="322"/>
      <c r="CX20" s="322"/>
      <c r="CY20" s="322"/>
      <c r="CZ20" s="322"/>
      <c r="DA20" s="322"/>
      <c r="DB20" s="322"/>
      <c r="DC20" s="322"/>
      <c r="DD20" s="322"/>
      <c r="DE20" s="322"/>
      <c r="DF20" s="322"/>
      <c r="DG20" s="322"/>
      <c r="DH20" s="322"/>
      <c r="DI20" s="322"/>
      <c r="DJ20" s="322"/>
      <c r="DK20" s="322"/>
    </row>
    <row r="21" spans="1:115" s="320" customFormat="1" ht="21" customHeight="1">
      <c r="A21" s="341"/>
      <c r="B21" s="340"/>
      <c r="C21" s="339"/>
      <c r="D21" s="333" t="s">
        <v>1193</v>
      </c>
      <c r="E21" s="332" t="s">
        <v>41</v>
      </c>
      <c r="F21" s="331">
        <v>2.9990000000000001</v>
      </c>
      <c r="G21" s="332" t="s">
        <v>467</v>
      </c>
      <c r="H21" s="331" t="s">
        <v>466</v>
      </c>
      <c r="I21" s="332" t="s">
        <v>42</v>
      </c>
      <c r="J21" s="331">
        <v>2356</v>
      </c>
      <c r="K21" s="326">
        <v>4521</v>
      </c>
      <c r="L21" s="326">
        <v>2000</v>
      </c>
      <c r="M21" s="326" t="s">
        <v>31</v>
      </c>
      <c r="N21" s="342">
        <v>12</v>
      </c>
      <c r="O21" s="337">
        <f>IF(N21&gt;0,1/N21*37.7*68.6,"")</f>
        <v>215.51833333333332</v>
      </c>
      <c r="P21" s="328">
        <v>10.35</v>
      </c>
      <c r="Q21" s="327" t="s">
        <v>43</v>
      </c>
      <c r="R21" s="326" t="s">
        <v>33</v>
      </c>
      <c r="S21" s="326" t="s">
        <v>34</v>
      </c>
      <c r="T21" s="326"/>
      <c r="U21" s="345"/>
      <c r="V21" s="324">
        <f>IF(N21&lt;&gt;0, IF(N21&gt;=P21,ROUNDDOWN(N21/P21*100,0),""),"")</f>
        <v>115</v>
      </c>
      <c r="W21" s="311"/>
      <c r="AR21" s="322"/>
      <c r="AS21" s="322"/>
      <c r="AT21" s="322"/>
      <c r="AU21" s="322"/>
      <c r="AV21" s="322"/>
      <c r="AW21" s="322"/>
      <c r="AX21" s="322"/>
      <c r="AY21" s="322"/>
      <c r="AZ21" s="322"/>
      <c r="BA21" s="322"/>
      <c r="BB21" s="322"/>
      <c r="BC21" s="322"/>
      <c r="BD21" s="322"/>
      <c r="BE21" s="322"/>
      <c r="BF21" s="322"/>
      <c r="BG21" s="322"/>
      <c r="BH21" s="322"/>
      <c r="BI21" s="322"/>
      <c r="BJ21" s="322"/>
      <c r="BK21" s="322"/>
      <c r="BL21" s="322"/>
      <c r="BM21" s="322"/>
      <c r="BN21" s="322"/>
      <c r="BO21" s="322"/>
      <c r="BP21" s="322"/>
      <c r="BQ21" s="322"/>
      <c r="BR21" s="322"/>
      <c r="BS21" s="322"/>
      <c r="BT21" s="322"/>
      <c r="BU21" s="322"/>
      <c r="BV21" s="322"/>
      <c r="BW21" s="322"/>
      <c r="BX21" s="322"/>
      <c r="BY21" s="322"/>
      <c r="BZ21" s="322"/>
      <c r="CA21" s="322"/>
      <c r="CB21" s="322"/>
      <c r="CC21" s="322"/>
      <c r="CD21" s="322"/>
      <c r="CE21" s="322"/>
      <c r="CF21" s="322"/>
      <c r="CG21" s="322"/>
      <c r="CH21" s="322"/>
      <c r="CI21" s="322"/>
      <c r="CJ21" s="322"/>
      <c r="CK21" s="322"/>
      <c r="CL21" s="322"/>
      <c r="CM21" s="322"/>
      <c r="CN21" s="322"/>
      <c r="CO21" s="322"/>
      <c r="CP21" s="322"/>
      <c r="CQ21" s="322"/>
      <c r="CR21" s="322"/>
      <c r="CS21" s="322"/>
      <c r="CT21" s="322"/>
      <c r="CU21" s="322"/>
      <c r="CV21" s="322"/>
      <c r="CW21" s="322"/>
      <c r="CX21" s="322"/>
      <c r="CY21" s="322"/>
      <c r="CZ21" s="322"/>
      <c r="DA21" s="322"/>
      <c r="DB21" s="322"/>
      <c r="DC21" s="322"/>
      <c r="DD21" s="322"/>
      <c r="DE21" s="322"/>
      <c r="DF21" s="322"/>
      <c r="DG21" s="322"/>
      <c r="DH21" s="322"/>
      <c r="DI21" s="322"/>
      <c r="DJ21" s="322"/>
      <c r="DK21" s="322"/>
    </row>
    <row r="22" spans="1:115" s="320" customFormat="1" ht="21" customHeight="1">
      <c r="A22" s="341"/>
      <c r="B22" s="340"/>
      <c r="C22" s="339"/>
      <c r="D22" s="333" t="s">
        <v>1192</v>
      </c>
      <c r="E22" s="332" t="s">
        <v>41</v>
      </c>
      <c r="F22" s="331">
        <v>2.9990000000000001</v>
      </c>
      <c r="G22" s="332" t="s">
        <v>467</v>
      </c>
      <c r="H22" s="331" t="s">
        <v>466</v>
      </c>
      <c r="I22" s="332" t="s">
        <v>42</v>
      </c>
      <c r="J22" s="331">
        <v>2356</v>
      </c>
      <c r="K22" s="326">
        <v>4521</v>
      </c>
      <c r="L22" s="326">
        <v>2000</v>
      </c>
      <c r="M22" s="326" t="s">
        <v>31</v>
      </c>
      <c r="N22" s="342">
        <v>12</v>
      </c>
      <c r="O22" s="337">
        <f>IF(N22&gt;0,1/N22*37.7*68.6,"")</f>
        <v>215.51833333333332</v>
      </c>
      <c r="P22" s="328">
        <v>10.35</v>
      </c>
      <c r="Q22" s="327" t="s">
        <v>43</v>
      </c>
      <c r="R22" s="326" t="s">
        <v>33</v>
      </c>
      <c r="S22" s="326" t="s">
        <v>34</v>
      </c>
      <c r="T22" s="326"/>
      <c r="U22" s="345"/>
      <c r="V22" s="324">
        <f>IF(N22&lt;&gt;0, IF(N22&gt;=P22,ROUNDDOWN(N22/P22*100,0),""),"")</f>
        <v>115</v>
      </c>
      <c r="W22" s="311"/>
      <c r="AR22" s="322"/>
      <c r="AS22" s="322"/>
      <c r="AT22" s="322"/>
      <c r="AU22" s="322"/>
      <c r="AV22" s="322"/>
      <c r="AW22" s="322"/>
      <c r="AX22" s="322"/>
      <c r="AY22" s="322"/>
      <c r="AZ22" s="322"/>
      <c r="BA22" s="322"/>
      <c r="BB22" s="322"/>
      <c r="BC22" s="322"/>
      <c r="BD22" s="322"/>
      <c r="BE22" s="322"/>
      <c r="BF22" s="322"/>
      <c r="BG22" s="322"/>
      <c r="BH22" s="322"/>
      <c r="BI22" s="322"/>
      <c r="BJ22" s="322"/>
      <c r="BK22" s="322"/>
      <c r="BL22" s="322"/>
      <c r="BM22" s="322"/>
      <c r="BN22" s="322"/>
      <c r="BO22" s="322"/>
      <c r="BP22" s="322"/>
      <c r="BQ22" s="322"/>
      <c r="BR22" s="322"/>
      <c r="BS22" s="322"/>
      <c r="BT22" s="322"/>
      <c r="BU22" s="322"/>
      <c r="BV22" s="322"/>
      <c r="BW22" s="322"/>
      <c r="BX22" s="322"/>
      <c r="BY22" s="322"/>
      <c r="BZ22" s="322"/>
      <c r="CA22" s="322"/>
      <c r="CB22" s="322"/>
      <c r="CC22" s="322"/>
      <c r="CD22" s="322"/>
      <c r="CE22" s="322"/>
      <c r="CF22" s="322"/>
      <c r="CG22" s="322"/>
      <c r="CH22" s="322"/>
      <c r="CI22" s="322"/>
      <c r="CJ22" s="322"/>
      <c r="CK22" s="322"/>
      <c r="CL22" s="322"/>
      <c r="CM22" s="322"/>
      <c r="CN22" s="322"/>
      <c r="CO22" s="322"/>
      <c r="CP22" s="322"/>
      <c r="CQ22" s="322"/>
      <c r="CR22" s="322"/>
      <c r="CS22" s="322"/>
      <c r="CT22" s="322"/>
      <c r="CU22" s="322"/>
      <c r="CV22" s="322"/>
      <c r="CW22" s="322"/>
      <c r="CX22" s="322"/>
      <c r="CY22" s="322"/>
      <c r="CZ22" s="322"/>
      <c r="DA22" s="322"/>
      <c r="DB22" s="322"/>
      <c r="DC22" s="322"/>
      <c r="DD22" s="322"/>
      <c r="DE22" s="322"/>
      <c r="DF22" s="322"/>
      <c r="DG22" s="322"/>
      <c r="DH22" s="322"/>
      <c r="DI22" s="322"/>
      <c r="DJ22" s="322"/>
      <c r="DK22" s="322"/>
    </row>
    <row r="23" spans="1:115" s="320" customFormat="1" ht="21" customHeight="1">
      <c r="A23" s="341"/>
      <c r="B23" s="340"/>
      <c r="C23" s="339"/>
      <c r="D23" s="333" t="s">
        <v>1192</v>
      </c>
      <c r="E23" s="332" t="s">
        <v>41</v>
      </c>
      <c r="F23" s="331">
        <v>2.9990000000000001</v>
      </c>
      <c r="G23" s="332" t="s">
        <v>467</v>
      </c>
      <c r="H23" s="331" t="s">
        <v>466</v>
      </c>
      <c r="I23" s="332" t="s">
        <v>42</v>
      </c>
      <c r="J23" s="331">
        <v>2652</v>
      </c>
      <c r="K23" s="326">
        <v>5812</v>
      </c>
      <c r="L23" s="326">
        <v>2995</v>
      </c>
      <c r="M23" s="326" t="s">
        <v>31</v>
      </c>
      <c r="N23" s="342">
        <v>11</v>
      </c>
      <c r="O23" s="337">
        <f>IF(N23&gt;0,1/N23*37.7*68.6,"")</f>
        <v>235.1109090909091</v>
      </c>
      <c r="P23" s="328">
        <v>9.51</v>
      </c>
      <c r="Q23" s="327" t="s">
        <v>43</v>
      </c>
      <c r="R23" s="326" t="s">
        <v>33</v>
      </c>
      <c r="S23" s="326" t="s">
        <v>34</v>
      </c>
      <c r="T23" s="326"/>
      <c r="U23" s="345"/>
      <c r="V23" s="324">
        <f>IF(N23&lt;&gt;0, IF(N23&gt;=P23,ROUNDDOWN(N23/P23*100,0),""),"")</f>
        <v>115</v>
      </c>
      <c r="W23" s="311"/>
      <c r="AR23" s="322"/>
      <c r="AS23" s="322"/>
      <c r="AT23" s="322"/>
      <c r="AU23" s="322"/>
      <c r="AV23" s="322"/>
      <c r="AW23" s="322"/>
      <c r="AX23" s="322"/>
      <c r="AY23" s="322"/>
      <c r="AZ23" s="322"/>
      <c r="BA23" s="322"/>
      <c r="BB23" s="322"/>
      <c r="BC23" s="322"/>
      <c r="BD23" s="322"/>
      <c r="BE23" s="322"/>
      <c r="BF23" s="322"/>
      <c r="BG23" s="322"/>
      <c r="BH23" s="322"/>
      <c r="BI23" s="322"/>
      <c r="BJ23" s="322"/>
      <c r="BK23" s="322"/>
      <c r="BL23" s="322"/>
      <c r="BM23" s="322"/>
      <c r="BN23" s="322"/>
      <c r="BO23" s="322"/>
      <c r="BP23" s="322"/>
      <c r="BQ23" s="322"/>
      <c r="BR23" s="322"/>
      <c r="BS23" s="322"/>
      <c r="BT23" s="322"/>
      <c r="BU23" s="322"/>
      <c r="BV23" s="322"/>
      <c r="BW23" s="322"/>
      <c r="BX23" s="322"/>
      <c r="BY23" s="322"/>
      <c r="BZ23" s="322"/>
      <c r="CA23" s="322"/>
      <c r="CB23" s="322"/>
      <c r="CC23" s="322"/>
      <c r="CD23" s="322"/>
      <c r="CE23" s="322"/>
      <c r="CF23" s="322"/>
      <c r="CG23" s="322"/>
      <c r="CH23" s="322"/>
      <c r="CI23" s="322"/>
      <c r="CJ23" s="322"/>
      <c r="CK23" s="322"/>
      <c r="CL23" s="322"/>
      <c r="CM23" s="322"/>
      <c r="CN23" s="322"/>
      <c r="CO23" s="322"/>
      <c r="CP23" s="322"/>
      <c r="CQ23" s="322"/>
      <c r="CR23" s="322"/>
      <c r="CS23" s="322"/>
      <c r="CT23" s="322"/>
      <c r="CU23" s="322"/>
      <c r="CV23" s="322"/>
      <c r="CW23" s="322"/>
      <c r="CX23" s="322"/>
      <c r="CY23" s="322"/>
      <c r="CZ23" s="322"/>
      <c r="DA23" s="322"/>
      <c r="DB23" s="322"/>
      <c r="DC23" s="322"/>
      <c r="DD23" s="322"/>
      <c r="DE23" s="322"/>
      <c r="DF23" s="322"/>
      <c r="DG23" s="322"/>
      <c r="DH23" s="322"/>
      <c r="DI23" s="322"/>
      <c r="DJ23" s="322"/>
      <c r="DK23" s="322"/>
    </row>
    <row r="24" spans="1:115" s="320" customFormat="1" ht="21" customHeight="1">
      <c r="A24" s="341"/>
      <c r="B24" s="340"/>
      <c r="C24" s="339"/>
      <c r="D24" s="333" t="s">
        <v>1191</v>
      </c>
      <c r="E24" s="332" t="s">
        <v>41</v>
      </c>
      <c r="F24" s="331">
        <v>2.9990000000000001</v>
      </c>
      <c r="G24" s="332" t="s">
        <v>467</v>
      </c>
      <c r="H24" s="331" t="s">
        <v>466</v>
      </c>
      <c r="I24" s="332" t="s">
        <v>42</v>
      </c>
      <c r="J24" s="331">
        <v>2356</v>
      </c>
      <c r="K24" s="326">
        <v>4521</v>
      </c>
      <c r="L24" s="326">
        <v>2000</v>
      </c>
      <c r="M24" s="326" t="s">
        <v>31</v>
      </c>
      <c r="N24" s="342">
        <v>12</v>
      </c>
      <c r="O24" s="337">
        <f>IF(N24&gt;0,1/N24*37.7*68.6,"")</f>
        <v>215.51833333333332</v>
      </c>
      <c r="P24" s="328">
        <v>10.35</v>
      </c>
      <c r="Q24" s="327" t="s">
        <v>43</v>
      </c>
      <c r="R24" s="326" t="s">
        <v>33</v>
      </c>
      <c r="S24" s="326" t="s">
        <v>34</v>
      </c>
      <c r="T24" s="326"/>
      <c r="U24" s="345"/>
      <c r="V24" s="324">
        <f>IF(N24&lt;&gt;0, IF(N24&gt;=P24,ROUNDDOWN(N24/P24*100,0),""),"")</f>
        <v>115</v>
      </c>
      <c r="W24" s="311"/>
      <c r="AR24" s="322"/>
      <c r="AS24" s="322"/>
      <c r="AT24" s="322"/>
      <c r="AU24" s="322"/>
      <c r="AV24" s="322"/>
      <c r="AW24" s="322"/>
      <c r="AX24" s="322"/>
      <c r="AY24" s="322"/>
      <c r="AZ24" s="322"/>
      <c r="BA24" s="322"/>
      <c r="BB24" s="322"/>
      <c r="BC24" s="322"/>
      <c r="BD24" s="322"/>
      <c r="BE24" s="322"/>
      <c r="BF24" s="322"/>
      <c r="BG24" s="322"/>
      <c r="BH24" s="322"/>
      <c r="BI24" s="322"/>
      <c r="BJ24" s="322"/>
      <c r="BK24" s="322"/>
      <c r="BL24" s="322"/>
      <c r="BM24" s="322"/>
      <c r="BN24" s="322"/>
      <c r="BO24" s="322"/>
      <c r="BP24" s="322"/>
      <c r="BQ24" s="322"/>
      <c r="BR24" s="322"/>
      <c r="BS24" s="322"/>
      <c r="BT24" s="322"/>
      <c r="BU24" s="322"/>
      <c r="BV24" s="322"/>
      <c r="BW24" s="322"/>
      <c r="BX24" s="322"/>
      <c r="BY24" s="322"/>
      <c r="BZ24" s="322"/>
      <c r="CA24" s="322"/>
      <c r="CB24" s="322"/>
      <c r="CC24" s="322"/>
      <c r="CD24" s="322"/>
      <c r="CE24" s="322"/>
      <c r="CF24" s="322"/>
      <c r="CG24" s="322"/>
      <c r="CH24" s="322"/>
      <c r="CI24" s="322"/>
      <c r="CJ24" s="322"/>
      <c r="CK24" s="322"/>
      <c r="CL24" s="322"/>
      <c r="CM24" s="322"/>
      <c r="CN24" s="322"/>
      <c r="CO24" s="322"/>
      <c r="CP24" s="322"/>
      <c r="CQ24" s="322"/>
      <c r="CR24" s="322"/>
      <c r="CS24" s="322"/>
      <c r="CT24" s="322"/>
      <c r="CU24" s="322"/>
      <c r="CV24" s="322"/>
      <c r="CW24" s="322"/>
      <c r="CX24" s="322"/>
      <c r="CY24" s="322"/>
      <c r="CZ24" s="322"/>
      <c r="DA24" s="322"/>
      <c r="DB24" s="322"/>
      <c r="DC24" s="322"/>
      <c r="DD24" s="322"/>
      <c r="DE24" s="322"/>
      <c r="DF24" s="322"/>
      <c r="DG24" s="322"/>
      <c r="DH24" s="322"/>
      <c r="DI24" s="322"/>
      <c r="DJ24" s="322"/>
      <c r="DK24" s="322"/>
    </row>
    <row r="25" spans="1:115" s="320" customFormat="1" ht="21" customHeight="1">
      <c r="A25" s="341"/>
      <c r="B25" s="340"/>
      <c r="C25" s="339"/>
      <c r="D25" s="333" t="s">
        <v>1191</v>
      </c>
      <c r="E25" s="332" t="s">
        <v>41</v>
      </c>
      <c r="F25" s="331">
        <v>2.9990000000000001</v>
      </c>
      <c r="G25" s="332" t="s">
        <v>467</v>
      </c>
      <c r="H25" s="331" t="s">
        <v>466</v>
      </c>
      <c r="I25" s="332" t="s">
        <v>42</v>
      </c>
      <c r="J25" s="331">
        <v>2652</v>
      </c>
      <c r="K25" s="326">
        <v>5812</v>
      </c>
      <c r="L25" s="326">
        <v>2995</v>
      </c>
      <c r="M25" s="326" t="s">
        <v>31</v>
      </c>
      <c r="N25" s="342">
        <v>11</v>
      </c>
      <c r="O25" s="337">
        <f>IF(N25&gt;0,1/N25*37.7*68.6,"")</f>
        <v>235.1109090909091</v>
      </c>
      <c r="P25" s="328">
        <v>9.51</v>
      </c>
      <c r="Q25" s="327" t="s">
        <v>43</v>
      </c>
      <c r="R25" s="326" t="s">
        <v>33</v>
      </c>
      <c r="S25" s="326" t="s">
        <v>34</v>
      </c>
      <c r="T25" s="326"/>
      <c r="U25" s="345"/>
      <c r="V25" s="324">
        <f>IF(N25&lt;&gt;0, IF(N25&gt;=P25,ROUNDDOWN(N25/P25*100,0),""),"")</f>
        <v>115</v>
      </c>
      <c r="W25" s="311"/>
      <c r="AR25" s="322"/>
      <c r="AS25" s="322"/>
      <c r="AT25" s="322"/>
      <c r="AU25" s="322"/>
      <c r="AV25" s="322"/>
      <c r="AW25" s="322"/>
      <c r="AX25" s="322"/>
      <c r="AY25" s="322"/>
      <c r="AZ25" s="322"/>
      <c r="BA25" s="322"/>
      <c r="BB25" s="322"/>
      <c r="BC25" s="322"/>
      <c r="BD25" s="322"/>
      <c r="BE25" s="322"/>
      <c r="BF25" s="322"/>
      <c r="BG25" s="322"/>
      <c r="BH25" s="322"/>
      <c r="BI25" s="322"/>
      <c r="BJ25" s="322"/>
      <c r="BK25" s="322"/>
      <c r="BL25" s="322"/>
      <c r="BM25" s="322"/>
      <c r="BN25" s="322"/>
      <c r="BO25" s="322"/>
      <c r="BP25" s="322"/>
      <c r="BQ25" s="322"/>
      <c r="BR25" s="322"/>
      <c r="BS25" s="322"/>
      <c r="BT25" s="322"/>
      <c r="BU25" s="322"/>
      <c r="BV25" s="322"/>
      <c r="BW25" s="322"/>
      <c r="BX25" s="322"/>
      <c r="BY25" s="322"/>
      <c r="BZ25" s="322"/>
      <c r="CA25" s="322"/>
      <c r="CB25" s="322"/>
      <c r="CC25" s="322"/>
      <c r="CD25" s="322"/>
      <c r="CE25" s="322"/>
      <c r="CF25" s="322"/>
      <c r="CG25" s="322"/>
      <c r="CH25" s="322"/>
      <c r="CI25" s="322"/>
      <c r="CJ25" s="322"/>
      <c r="CK25" s="322"/>
      <c r="CL25" s="322"/>
      <c r="CM25" s="322"/>
      <c r="CN25" s="322"/>
      <c r="CO25" s="322"/>
      <c r="CP25" s="322"/>
      <c r="CQ25" s="322"/>
      <c r="CR25" s="322"/>
      <c r="CS25" s="322"/>
      <c r="CT25" s="322"/>
      <c r="CU25" s="322"/>
      <c r="CV25" s="322"/>
      <c r="CW25" s="322"/>
      <c r="CX25" s="322"/>
      <c r="CY25" s="322"/>
      <c r="CZ25" s="322"/>
      <c r="DA25" s="322"/>
      <c r="DB25" s="322"/>
      <c r="DC25" s="322"/>
      <c r="DD25" s="322"/>
      <c r="DE25" s="322"/>
      <c r="DF25" s="322"/>
      <c r="DG25" s="322"/>
      <c r="DH25" s="322"/>
      <c r="DI25" s="322"/>
      <c r="DJ25" s="322"/>
      <c r="DK25" s="322"/>
    </row>
    <row r="26" spans="1:115" s="320" customFormat="1" ht="21" customHeight="1">
      <c r="A26" s="341"/>
      <c r="B26" s="340"/>
      <c r="C26" s="339"/>
      <c r="D26" s="333" t="s">
        <v>1190</v>
      </c>
      <c r="E26" s="332" t="s">
        <v>41</v>
      </c>
      <c r="F26" s="331">
        <v>2.9990000000000001</v>
      </c>
      <c r="G26" s="332" t="s">
        <v>467</v>
      </c>
      <c r="H26" s="331" t="s">
        <v>466</v>
      </c>
      <c r="I26" s="332" t="s">
        <v>42</v>
      </c>
      <c r="J26" s="331">
        <v>2356</v>
      </c>
      <c r="K26" s="326">
        <v>4521</v>
      </c>
      <c r="L26" s="326">
        <v>2000</v>
      </c>
      <c r="M26" s="326" t="s">
        <v>31</v>
      </c>
      <c r="N26" s="342">
        <v>12</v>
      </c>
      <c r="O26" s="337">
        <f>IF(N26&gt;0,1/N26*37.7*68.6,"")</f>
        <v>215.51833333333332</v>
      </c>
      <c r="P26" s="328">
        <v>10.35</v>
      </c>
      <c r="Q26" s="327" t="s">
        <v>43</v>
      </c>
      <c r="R26" s="326" t="s">
        <v>33</v>
      </c>
      <c r="S26" s="326" t="s">
        <v>34</v>
      </c>
      <c r="T26" s="326"/>
      <c r="U26" s="345"/>
      <c r="V26" s="324">
        <f>IF(N26&lt;&gt;0, IF(N26&gt;=P26,ROUNDDOWN(N26/P26*100,0),""),"")</f>
        <v>115</v>
      </c>
      <c r="W26" s="311"/>
      <c r="AR26" s="322"/>
      <c r="AS26" s="322"/>
      <c r="AT26" s="322"/>
      <c r="AU26" s="322"/>
      <c r="AV26" s="322"/>
      <c r="AW26" s="322"/>
      <c r="AX26" s="322"/>
      <c r="AY26" s="322"/>
      <c r="AZ26" s="322"/>
      <c r="BA26" s="322"/>
      <c r="BB26" s="322"/>
      <c r="BC26" s="322"/>
      <c r="BD26" s="322"/>
      <c r="BE26" s="322"/>
      <c r="BF26" s="322"/>
      <c r="BG26" s="322"/>
      <c r="BH26" s="322"/>
      <c r="BI26" s="322"/>
      <c r="BJ26" s="322"/>
      <c r="BK26" s="322"/>
      <c r="BL26" s="322"/>
      <c r="BM26" s="322"/>
      <c r="BN26" s="322"/>
      <c r="BO26" s="322"/>
      <c r="BP26" s="322"/>
      <c r="BQ26" s="322"/>
      <c r="BR26" s="322"/>
      <c r="BS26" s="322"/>
      <c r="BT26" s="322"/>
      <c r="BU26" s="322"/>
      <c r="BV26" s="322"/>
      <c r="BW26" s="322"/>
      <c r="BX26" s="322"/>
      <c r="BY26" s="322"/>
      <c r="BZ26" s="322"/>
      <c r="CA26" s="322"/>
      <c r="CB26" s="322"/>
      <c r="CC26" s="322"/>
      <c r="CD26" s="322"/>
      <c r="CE26" s="322"/>
      <c r="CF26" s="322"/>
      <c r="CG26" s="322"/>
      <c r="CH26" s="322"/>
      <c r="CI26" s="322"/>
      <c r="CJ26" s="322"/>
      <c r="CK26" s="322"/>
      <c r="CL26" s="322"/>
      <c r="CM26" s="322"/>
      <c r="CN26" s="322"/>
      <c r="CO26" s="322"/>
      <c r="CP26" s="322"/>
      <c r="CQ26" s="322"/>
      <c r="CR26" s="322"/>
      <c r="CS26" s="322"/>
      <c r="CT26" s="322"/>
      <c r="CU26" s="322"/>
      <c r="CV26" s="322"/>
      <c r="CW26" s="322"/>
      <c r="CX26" s="322"/>
      <c r="CY26" s="322"/>
      <c r="CZ26" s="322"/>
      <c r="DA26" s="322"/>
      <c r="DB26" s="322"/>
      <c r="DC26" s="322"/>
      <c r="DD26" s="322"/>
      <c r="DE26" s="322"/>
      <c r="DF26" s="322"/>
      <c r="DG26" s="322"/>
      <c r="DH26" s="322"/>
      <c r="DI26" s="322"/>
      <c r="DJ26" s="322"/>
      <c r="DK26" s="322"/>
    </row>
    <row r="27" spans="1:115" s="320" customFormat="1" ht="21" customHeight="1">
      <c r="A27" s="341"/>
      <c r="B27" s="340"/>
      <c r="C27" s="339"/>
      <c r="D27" s="333" t="s">
        <v>1190</v>
      </c>
      <c r="E27" s="332" t="s">
        <v>41</v>
      </c>
      <c r="F27" s="331">
        <v>2.9990000000000001</v>
      </c>
      <c r="G27" s="332" t="s">
        <v>467</v>
      </c>
      <c r="H27" s="331" t="s">
        <v>466</v>
      </c>
      <c r="I27" s="332" t="s">
        <v>42</v>
      </c>
      <c r="J27" s="331">
        <v>2652</v>
      </c>
      <c r="K27" s="326">
        <v>5812</v>
      </c>
      <c r="L27" s="326">
        <v>2995</v>
      </c>
      <c r="M27" s="326" t="s">
        <v>31</v>
      </c>
      <c r="N27" s="342">
        <v>11</v>
      </c>
      <c r="O27" s="337">
        <f>IF(N27&gt;0,1/N27*37.7*68.6,"")</f>
        <v>235.1109090909091</v>
      </c>
      <c r="P27" s="328">
        <v>9.51</v>
      </c>
      <c r="Q27" s="327" t="s">
        <v>43</v>
      </c>
      <c r="R27" s="326" t="s">
        <v>33</v>
      </c>
      <c r="S27" s="326" t="s">
        <v>34</v>
      </c>
      <c r="T27" s="326"/>
      <c r="U27" s="345"/>
      <c r="V27" s="324">
        <f>IF(N27&lt;&gt;0, IF(N27&gt;=P27,ROUNDDOWN(N27/P27*100,0),""),"")</f>
        <v>115</v>
      </c>
      <c r="W27" s="311"/>
      <c r="AR27" s="322"/>
      <c r="AS27" s="322"/>
      <c r="AT27" s="322"/>
      <c r="AU27" s="322"/>
      <c r="AV27" s="322"/>
      <c r="AW27" s="322"/>
      <c r="AX27" s="322"/>
      <c r="AY27" s="322"/>
      <c r="AZ27" s="322"/>
      <c r="BA27" s="322"/>
      <c r="BB27" s="322"/>
      <c r="BC27" s="322"/>
      <c r="BD27" s="322"/>
      <c r="BE27" s="322"/>
      <c r="BF27" s="322"/>
      <c r="BG27" s="322"/>
      <c r="BH27" s="322"/>
      <c r="BI27" s="322"/>
      <c r="BJ27" s="322"/>
      <c r="BK27" s="322"/>
      <c r="BL27" s="322"/>
      <c r="BM27" s="322"/>
      <c r="BN27" s="322"/>
      <c r="BO27" s="322"/>
      <c r="BP27" s="322"/>
      <c r="BQ27" s="322"/>
      <c r="BR27" s="322"/>
      <c r="BS27" s="322"/>
      <c r="BT27" s="322"/>
      <c r="BU27" s="322"/>
      <c r="BV27" s="322"/>
      <c r="BW27" s="322"/>
      <c r="BX27" s="322"/>
      <c r="BY27" s="322"/>
      <c r="BZ27" s="322"/>
      <c r="CA27" s="322"/>
      <c r="CB27" s="322"/>
      <c r="CC27" s="322"/>
      <c r="CD27" s="322"/>
      <c r="CE27" s="322"/>
      <c r="CF27" s="322"/>
      <c r="CG27" s="322"/>
      <c r="CH27" s="322"/>
      <c r="CI27" s="322"/>
      <c r="CJ27" s="322"/>
      <c r="CK27" s="322"/>
      <c r="CL27" s="322"/>
      <c r="CM27" s="322"/>
      <c r="CN27" s="322"/>
      <c r="CO27" s="322"/>
      <c r="CP27" s="322"/>
      <c r="CQ27" s="322"/>
      <c r="CR27" s="322"/>
      <c r="CS27" s="322"/>
      <c r="CT27" s="322"/>
      <c r="CU27" s="322"/>
      <c r="CV27" s="322"/>
      <c r="CW27" s="322"/>
      <c r="CX27" s="322"/>
      <c r="CY27" s="322"/>
      <c r="CZ27" s="322"/>
      <c r="DA27" s="322"/>
      <c r="DB27" s="322"/>
      <c r="DC27" s="322"/>
      <c r="DD27" s="322"/>
      <c r="DE27" s="322"/>
      <c r="DF27" s="322"/>
      <c r="DG27" s="322"/>
      <c r="DH27" s="322"/>
      <c r="DI27" s="322"/>
      <c r="DJ27" s="322"/>
      <c r="DK27" s="322"/>
    </row>
    <row r="28" spans="1:115" s="320" customFormat="1" ht="21" customHeight="1">
      <c r="A28" s="341"/>
      <c r="B28" s="340"/>
      <c r="C28" s="339"/>
      <c r="D28" s="333" t="s">
        <v>1189</v>
      </c>
      <c r="E28" s="332" t="s">
        <v>41</v>
      </c>
      <c r="F28" s="331">
        <v>2.9990000000000001</v>
      </c>
      <c r="G28" s="332" t="s">
        <v>467</v>
      </c>
      <c r="H28" s="331" t="s">
        <v>466</v>
      </c>
      <c r="I28" s="332" t="s">
        <v>42</v>
      </c>
      <c r="J28" s="331">
        <v>2356</v>
      </c>
      <c r="K28" s="326">
        <v>4521</v>
      </c>
      <c r="L28" s="326">
        <v>2000</v>
      </c>
      <c r="M28" s="326" t="s">
        <v>31</v>
      </c>
      <c r="N28" s="342">
        <v>12</v>
      </c>
      <c r="O28" s="337">
        <f>IF(N28&gt;0,1/N28*37.7*68.6,"")</f>
        <v>215.51833333333332</v>
      </c>
      <c r="P28" s="328">
        <v>10.35</v>
      </c>
      <c r="Q28" s="327" t="s">
        <v>43</v>
      </c>
      <c r="R28" s="326" t="s">
        <v>33</v>
      </c>
      <c r="S28" s="326" t="s">
        <v>34</v>
      </c>
      <c r="T28" s="326"/>
      <c r="U28" s="345"/>
      <c r="V28" s="324">
        <f>IF(N28&lt;&gt;0, IF(N28&gt;=P28,ROUNDDOWN(N28/P28*100,0),""),"")</f>
        <v>115</v>
      </c>
      <c r="W28" s="311"/>
      <c r="AR28" s="322"/>
      <c r="AS28" s="322"/>
      <c r="AT28" s="322"/>
      <c r="AU28" s="322"/>
      <c r="AV28" s="322"/>
      <c r="AW28" s="322"/>
      <c r="AX28" s="322"/>
      <c r="AY28" s="322"/>
      <c r="AZ28" s="322"/>
      <c r="BA28" s="322"/>
      <c r="BB28" s="322"/>
      <c r="BC28" s="322"/>
      <c r="BD28" s="322"/>
      <c r="BE28" s="322"/>
      <c r="BF28" s="322"/>
      <c r="BG28" s="322"/>
      <c r="BH28" s="322"/>
      <c r="BI28" s="322"/>
      <c r="BJ28" s="322"/>
      <c r="BK28" s="322"/>
      <c r="BL28" s="322"/>
      <c r="BM28" s="322"/>
      <c r="BN28" s="322"/>
      <c r="BO28" s="322"/>
      <c r="BP28" s="322"/>
      <c r="BQ28" s="322"/>
      <c r="BR28" s="322"/>
      <c r="BS28" s="322"/>
      <c r="BT28" s="322"/>
      <c r="BU28" s="322"/>
      <c r="BV28" s="322"/>
      <c r="BW28" s="322"/>
      <c r="BX28" s="322"/>
      <c r="BY28" s="322"/>
      <c r="BZ28" s="322"/>
      <c r="CA28" s="322"/>
      <c r="CB28" s="322"/>
      <c r="CC28" s="322"/>
      <c r="CD28" s="322"/>
      <c r="CE28" s="322"/>
      <c r="CF28" s="322"/>
      <c r="CG28" s="322"/>
      <c r="CH28" s="322"/>
      <c r="CI28" s="322"/>
      <c r="CJ28" s="322"/>
      <c r="CK28" s="322"/>
      <c r="CL28" s="322"/>
      <c r="CM28" s="322"/>
      <c r="CN28" s="322"/>
      <c r="CO28" s="322"/>
      <c r="CP28" s="322"/>
      <c r="CQ28" s="322"/>
      <c r="CR28" s="322"/>
      <c r="CS28" s="322"/>
      <c r="CT28" s="322"/>
      <c r="CU28" s="322"/>
      <c r="CV28" s="322"/>
      <c r="CW28" s="322"/>
      <c r="CX28" s="322"/>
      <c r="CY28" s="322"/>
      <c r="CZ28" s="322"/>
      <c r="DA28" s="322"/>
      <c r="DB28" s="322"/>
      <c r="DC28" s="322"/>
      <c r="DD28" s="322"/>
      <c r="DE28" s="322"/>
      <c r="DF28" s="322"/>
      <c r="DG28" s="322"/>
      <c r="DH28" s="322"/>
      <c r="DI28" s="322"/>
      <c r="DJ28" s="322"/>
      <c r="DK28" s="322"/>
    </row>
    <row r="29" spans="1:115" s="320" customFormat="1" ht="21" customHeight="1">
      <c r="A29" s="341"/>
      <c r="B29" s="340"/>
      <c r="C29" s="339"/>
      <c r="D29" s="333" t="s">
        <v>1189</v>
      </c>
      <c r="E29" s="332" t="s">
        <v>41</v>
      </c>
      <c r="F29" s="331">
        <v>2.9990000000000001</v>
      </c>
      <c r="G29" s="332" t="s">
        <v>467</v>
      </c>
      <c r="H29" s="331" t="s">
        <v>466</v>
      </c>
      <c r="I29" s="332" t="s">
        <v>42</v>
      </c>
      <c r="J29" s="331">
        <v>2652</v>
      </c>
      <c r="K29" s="326">
        <v>5812</v>
      </c>
      <c r="L29" s="326">
        <v>2995</v>
      </c>
      <c r="M29" s="326" t="s">
        <v>31</v>
      </c>
      <c r="N29" s="342">
        <v>11</v>
      </c>
      <c r="O29" s="337">
        <f>IF(N29&gt;0,1/N29*37.7*68.6,"")</f>
        <v>235.1109090909091</v>
      </c>
      <c r="P29" s="328">
        <v>9.51</v>
      </c>
      <c r="Q29" s="327" t="s">
        <v>43</v>
      </c>
      <c r="R29" s="326" t="s">
        <v>33</v>
      </c>
      <c r="S29" s="326" t="s">
        <v>34</v>
      </c>
      <c r="T29" s="326"/>
      <c r="U29" s="345"/>
      <c r="V29" s="324">
        <f>IF(N29&lt;&gt;0, IF(N29&gt;=P29,ROUNDDOWN(N29/P29*100,0),""),"")</f>
        <v>115</v>
      </c>
      <c r="W29" s="311"/>
      <c r="AR29" s="322"/>
      <c r="AS29" s="322"/>
      <c r="AT29" s="322"/>
      <c r="AU29" s="322"/>
      <c r="AV29" s="322"/>
      <c r="AW29" s="322"/>
      <c r="AX29" s="322"/>
      <c r="AY29" s="322"/>
      <c r="AZ29" s="322"/>
      <c r="BA29" s="322"/>
      <c r="BB29" s="322"/>
      <c r="BC29" s="322"/>
      <c r="BD29" s="322"/>
      <c r="BE29" s="322"/>
      <c r="BF29" s="322"/>
      <c r="BG29" s="322"/>
      <c r="BH29" s="322"/>
      <c r="BI29" s="322"/>
      <c r="BJ29" s="322"/>
      <c r="BK29" s="322"/>
      <c r="BL29" s="322"/>
      <c r="BM29" s="322"/>
      <c r="BN29" s="322"/>
      <c r="BO29" s="322"/>
      <c r="BP29" s="322"/>
      <c r="BQ29" s="322"/>
      <c r="BR29" s="322"/>
      <c r="BS29" s="322"/>
      <c r="BT29" s="322"/>
      <c r="BU29" s="322"/>
      <c r="BV29" s="322"/>
      <c r="BW29" s="322"/>
      <c r="BX29" s="322"/>
      <c r="BY29" s="322"/>
      <c r="BZ29" s="322"/>
      <c r="CA29" s="322"/>
      <c r="CB29" s="322"/>
      <c r="CC29" s="322"/>
      <c r="CD29" s="322"/>
      <c r="CE29" s="322"/>
      <c r="CF29" s="322"/>
      <c r="CG29" s="322"/>
      <c r="CH29" s="322"/>
      <c r="CI29" s="322"/>
      <c r="CJ29" s="322"/>
      <c r="CK29" s="322"/>
      <c r="CL29" s="322"/>
      <c r="CM29" s="322"/>
      <c r="CN29" s="322"/>
      <c r="CO29" s="322"/>
      <c r="CP29" s="322"/>
      <c r="CQ29" s="322"/>
      <c r="CR29" s="322"/>
      <c r="CS29" s="322"/>
      <c r="CT29" s="322"/>
      <c r="CU29" s="322"/>
      <c r="CV29" s="322"/>
      <c r="CW29" s="322"/>
      <c r="CX29" s="322"/>
      <c r="CY29" s="322"/>
      <c r="CZ29" s="322"/>
      <c r="DA29" s="322"/>
      <c r="DB29" s="322"/>
      <c r="DC29" s="322"/>
      <c r="DD29" s="322"/>
      <c r="DE29" s="322"/>
      <c r="DF29" s="322"/>
      <c r="DG29" s="322"/>
      <c r="DH29" s="322"/>
      <c r="DI29" s="322"/>
      <c r="DJ29" s="322"/>
      <c r="DK29" s="322"/>
    </row>
    <row r="30" spans="1:115" s="320" customFormat="1" ht="21" customHeight="1">
      <c r="A30" s="341"/>
      <c r="B30" s="340"/>
      <c r="C30" s="339"/>
      <c r="D30" s="333" t="s">
        <v>1188</v>
      </c>
      <c r="E30" s="332" t="s">
        <v>41</v>
      </c>
      <c r="F30" s="331">
        <v>2.9990000000000001</v>
      </c>
      <c r="G30" s="332" t="s">
        <v>467</v>
      </c>
      <c r="H30" s="331" t="s">
        <v>466</v>
      </c>
      <c r="I30" s="332" t="s">
        <v>42</v>
      </c>
      <c r="J30" s="331">
        <v>2356</v>
      </c>
      <c r="K30" s="326">
        <v>4521</v>
      </c>
      <c r="L30" s="326">
        <v>2000</v>
      </c>
      <c r="M30" s="326" t="s">
        <v>31</v>
      </c>
      <c r="N30" s="342">
        <v>12</v>
      </c>
      <c r="O30" s="337">
        <f>IF(N30&gt;0,1/N30*37.7*68.6,"")</f>
        <v>215.51833333333332</v>
      </c>
      <c r="P30" s="328">
        <v>10.35</v>
      </c>
      <c r="Q30" s="327" t="s">
        <v>43</v>
      </c>
      <c r="R30" s="326" t="s">
        <v>33</v>
      </c>
      <c r="S30" s="326" t="s">
        <v>34</v>
      </c>
      <c r="T30" s="326"/>
      <c r="U30" s="345"/>
      <c r="V30" s="324">
        <f>IF(N30&lt;&gt;0, IF(N30&gt;=P30,ROUNDDOWN(N30/P30*100,0),""),"")</f>
        <v>115</v>
      </c>
      <c r="W30" s="311"/>
      <c r="AR30" s="322"/>
      <c r="AS30" s="322"/>
      <c r="AT30" s="322"/>
      <c r="AU30" s="322"/>
      <c r="AV30" s="322"/>
      <c r="AW30" s="322"/>
      <c r="AX30" s="322"/>
      <c r="AY30" s="322"/>
      <c r="AZ30" s="322"/>
      <c r="BA30" s="322"/>
      <c r="BB30" s="322"/>
      <c r="BC30" s="322"/>
      <c r="BD30" s="322"/>
      <c r="BE30" s="322"/>
      <c r="BF30" s="322"/>
      <c r="BG30" s="322"/>
      <c r="BH30" s="322"/>
      <c r="BI30" s="322"/>
      <c r="BJ30" s="322"/>
      <c r="BK30" s="322"/>
      <c r="BL30" s="322"/>
      <c r="BM30" s="322"/>
      <c r="BN30" s="322"/>
      <c r="BO30" s="322"/>
      <c r="BP30" s="322"/>
      <c r="BQ30" s="322"/>
      <c r="BR30" s="322"/>
      <c r="BS30" s="322"/>
      <c r="BT30" s="322"/>
      <c r="BU30" s="322"/>
      <c r="BV30" s="322"/>
      <c r="BW30" s="322"/>
      <c r="BX30" s="322"/>
      <c r="BY30" s="322"/>
      <c r="BZ30" s="322"/>
      <c r="CA30" s="322"/>
      <c r="CB30" s="322"/>
      <c r="CC30" s="322"/>
      <c r="CD30" s="322"/>
      <c r="CE30" s="322"/>
      <c r="CF30" s="322"/>
      <c r="CG30" s="322"/>
      <c r="CH30" s="322"/>
      <c r="CI30" s="322"/>
      <c r="CJ30" s="322"/>
      <c r="CK30" s="322"/>
      <c r="CL30" s="322"/>
      <c r="CM30" s="322"/>
      <c r="CN30" s="322"/>
      <c r="CO30" s="322"/>
      <c r="CP30" s="322"/>
      <c r="CQ30" s="322"/>
      <c r="CR30" s="322"/>
      <c r="CS30" s="322"/>
      <c r="CT30" s="322"/>
      <c r="CU30" s="322"/>
      <c r="CV30" s="322"/>
      <c r="CW30" s="322"/>
      <c r="CX30" s="322"/>
      <c r="CY30" s="322"/>
      <c r="CZ30" s="322"/>
      <c r="DA30" s="322"/>
      <c r="DB30" s="322"/>
      <c r="DC30" s="322"/>
      <c r="DD30" s="322"/>
      <c r="DE30" s="322"/>
      <c r="DF30" s="322"/>
      <c r="DG30" s="322"/>
      <c r="DH30" s="322"/>
      <c r="DI30" s="322"/>
      <c r="DJ30" s="322"/>
      <c r="DK30" s="322"/>
    </row>
    <row r="31" spans="1:115" s="320" customFormat="1" ht="21" customHeight="1">
      <c r="A31" s="341"/>
      <c r="B31" s="340"/>
      <c r="C31" s="339"/>
      <c r="D31" s="333" t="s">
        <v>1187</v>
      </c>
      <c r="E31" s="332" t="s">
        <v>41</v>
      </c>
      <c r="F31" s="331">
        <v>2.9990000000000001</v>
      </c>
      <c r="G31" s="332" t="s">
        <v>467</v>
      </c>
      <c r="H31" s="331" t="s">
        <v>466</v>
      </c>
      <c r="I31" s="332" t="s">
        <v>42</v>
      </c>
      <c r="J31" s="331">
        <v>2356</v>
      </c>
      <c r="K31" s="326">
        <v>4521</v>
      </c>
      <c r="L31" s="326">
        <v>2000</v>
      </c>
      <c r="M31" s="326" t="s">
        <v>31</v>
      </c>
      <c r="N31" s="342">
        <v>12</v>
      </c>
      <c r="O31" s="337">
        <f>IF(N31&gt;0,1/N31*37.7*68.6,"")</f>
        <v>215.51833333333332</v>
      </c>
      <c r="P31" s="328">
        <v>10.35</v>
      </c>
      <c r="Q31" s="327" t="s">
        <v>43</v>
      </c>
      <c r="R31" s="326" t="s">
        <v>33</v>
      </c>
      <c r="S31" s="326" t="s">
        <v>34</v>
      </c>
      <c r="T31" s="326"/>
      <c r="U31" s="345"/>
      <c r="V31" s="324">
        <f>IF(N31&lt;&gt;0, IF(N31&gt;=P31,ROUNDDOWN(N31/P31*100,0),""),"")</f>
        <v>115</v>
      </c>
      <c r="W31" s="311"/>
      <c r="AR31" s="322"/>
      <c r="AS31" s="322"/>
      <c r="AT31" s="322"/>
      <c r="AU31" s="322"/>
      <c r="AV31" s="322"/>
      <c r="AW31" s="322"/>
      <c r="AX31" s="322"/>
      <c r="AY31" s="322"/>
      <c r="AZ31" s="322"/>
      <c r="BA31" s="322"/>
      <c r="BB31" s="322"/>
      <c r="BC31" s="322"/>
      <c r="BD31" s="322"/>
      <c r="BE31" s="322"/>
      <c r="BF31" s="322"/>
      <c r="BG31" s="322"/>
      <c r="BH31" s="322"/>
      <c r="BI31" s="322"/>
      <c r="BJ31" s="322"/>
      <c r="BK31" s="322"/>
      <c r="BL31" s="322"/>
      <c r="BM31" s="322"/>
      <c r="BN31" s="322"/>
      <c r="BO31" s="322"/>
      <c r="BP31" s="322"/>
      <c r="BQ31" s="322"/>
      <c r="BR31" s="322"/>
      <c r="BS31" s="322"/>
      <c r="BT31" s="322"/>
      <c r="BU31" s="322"/>
      <c r="BV31" s="322"/>
      <c r="BW31" s="322"/>
      <c r="BX31" s="322"/>
      <c r="BY31" s="322"/>
      <c r="BZ31" s="322"/>
      <c r="CA31" s="322"/>
      <c r="CB31" s="322"/>
      <c r="CC31" s="322"/>
      <c r="CD31" s="322"/>
      <c r="CE31" s="322"/>
      <c r="CF31" s="322"/>
      <c r="CG31" s="322"/>
      <c r="CH31" s="322"/>
      <c r="CI31" s="322"/>
      <c r="CJ31" s="322"/>
      <c r="CK31" s="322"/>
      <c r="CL31" s="322"/>
      <c r="CM31" s="322"/>
      <c r="CN31" s="322"/>
      <c r="CO31" s="322"/>
      <c r="CP31" s="322"/>
      <c r="CQ31" s="322"/>
      <c r="CR31" s="322"/>
      <c r="CS31" s="322"/>
      <c r="CT31" s="322"/>
      <c r="CU31" s="322"/>
      <c r="CV31" s="322"/>
      <c r="CW31" s="322"/>
      <c r="CX31" s="322"/>
      <c r="CY31" s="322"/>
      <c r="CZ31" s="322"/>
      <c r="DA31" s="322"/>
      <c r="DB31" s="322"/>
      <c r="DC31" s="322"/>
      <c r="DD31" s="322"/>
      <c r="DE31" s="322"/>
      <c r="DF31" s="322"/>
      <c r="DG31" s="322"/>
      <c r="DH31" s="322"/>
      <c r="DI31" s="322"/>
      <c r="DJ31" s="322"/>
      <c r="DK31" s="322"/>
    </row>
    <row r="32" spans="1:115" s="320" customFormat="1" ht="21" customHeight="1">
      <c r="A32" s="341"/>
      <c r="B32" s="340"/>
      <c r="C32" s="339"/>
      <c r="D32" s="333" t="s">
        <v>1186</v>
      </c>
      <c r="E32" s="332" t="s">
        <v>41</v>
      </c>
      <c r="F32" s="331">
        <v>2.9990000000000001</v>
      </c>
      <c r="G32" s="332" t="s">
        <v>467</v>
      </c>
      <c r="H32" s="331" t="s">
        <v>466</v>
      </c>
      <c r="I32" s="332" t="s">
        <v>42</v>
      </c>
      <c r="J32" s="331">
        <v>2356</v>
      </c>
      <c r="K32" s="326">
        <v>4521</v>
      </c>
      <c r="L32" s="326">
        <v>2000</v>
      </c>
      <c r="M32" s="326" t="s">
        <v>31</v>
      </c>
      <c r="N32" s="342">
        <v>12</v>
      </c>
      <c r="O32" s="337">
        <f>IF(N32&gt;0,1/N32*37.7*68.6,"")</f>
        <v>215.51833333333332</v>
      </c>
      <c r="P32" s="328">
        <v>10.35</v>
      </c>
      <c r="Q32" s="327" t="s">
        <v>43</v>
      </c>
      <c r="R32" s="326" t="s">
        <v>33</v>
      </c>
      <c r="S32" s="326" t="s">
        <v>34</v>
      </c>
      <c r="T32" s="326"/>
      <c r="U32" s="345"/>
      <c r="V32" s="324">
        <f>IF(N32&lt;&gt;0, IF(N32&gt;=P32,ROUNDDOWN(N32/P32*100,0),""),"")</f>
        <v>115</v>
      </c>
      <c r="W32" s="311"/>
      <c r="AR32" s="322"/>
      <c r="AS32" s="322"/>
      <c r="AT32" s="322"/>
      <c r="AU32" s="322"/>
      <c r="AV32" s="322"/>
      <c r="AW32" s="322"/>
      <c r="AX32" s="322"/>
      <c r="AY32" s="322"/>
      <c r="AZ32" s="322"/>
      <c r="BA32" s="322"/>
      <c r="BB32" s="322"/>
      <c r="BC32" s="322"/>
      <c r="BD32" s="322"/>
      <c r="BE32" s="322"/>
      <c r="BF32" s="322"/>
      <c r="BG32" s="322"/>
      <c r="BH32" s="322"/>
      <c r="BI32" s="322"/>
      <c r="BJ32" s="322"/>
      <c r="BK32" s="322"/>
      <c r="BL32" s="322"/>
      <c r="BM32" s="322"/>
      <c r="BN32" s="322"/>
      <c r="BO32" s="322"/>
      <c r="BP32" s="322"/>
      <c r="BQ32" s="322"/>
      <c r="BR32" s="322"/>
      <c r="BS32" s="322"/>
      <c r="BT32" s="322"/>
      <c r="BU32" s="322"/>
      <c r="BV32" s="322"/>
      <c r="BW32" s="322"/>
      <c r="BX32" s="322"/>
      <c r="BY32" s="322"/>
      <c r="BZ32" s="322"/>
      <c r="CA32" s="322"/>
      <c r="CB32" s="322"/>
      <c r="CC32" s="322"/>
      <c r="CD32" s="322"/>
      <c r="CE32" s="322"/>
      <c r="CF32" s="322"/>
      <c r="CG32" s="322"/>
      <c r="CH32" s="322"/>
      <c r="CI32" s="322"/>
      <c r="CJ32" s="322"/>
      <c r="CK32" s="322"/>
      <c r="CL32" s="322"/>
      <c r="CM32" s="322"/>
      <c r="CN32" s="322"/>
      <c r="CO32" s="322"/>
      <c r="CP32" s="322"/>
      <c r="CQ32" s="322"/>
      <c r="CR32" s="322"/>
      <c r="CS32" s="322"/>
      <c r="CT32" s="322"/>
      <c r="CU32" s="322"/>
      <c r="CV32" s="322"/>
      <c r="CW32" s="322"/>
      <c r="CX32" s="322"/>
      <c r="CY32" s="322"/>
      <c r="CZ32" s="322"/>
      <c r="DA32" s="322"/>
      <c r="DB32" s="322"/>
      <c r="DC32" s="322"/>
      <c r="DD32" s="322"/>
      <c r="DE32" s="322"/>
      <c r="DF32" s="322"/>
      <c r="DG32" s="322"/>
      <c r="DH32" s="322"/>
      <c r="DI32" s="322"/>
      <c r="DJ32" s="322"/>
      <c r="DK32" s="322"/>
    </row>
    <row r="33" spans="1:115" s="320" customFormat="1" ht="21" customHeight="1">
      <c r="A33" s="341"/>
      <c r="B33" s="340"/>
      <c r="C33" s="339"/>
      <c r="D33" s="333" t="s">
        <v>1186</v>
      </c>
      <c r="E33" s="332" t="s">
        <v>41</v>
      </c>
      <c r="F33" s="331">
        <v>2.9990000000000001</v>
      </c>
      <c r="G33" s="332" t="s">
        <v>467</v>
      </c>
      <c r="H33" s="331" t="s">
        <v>466</v>
      </c>
      <c r="I33" s="332" t="s">
        <v>42</v>
      </c>
      <c r="J33" s="331">
        <v>2652</v>
      </c>
      <c r="K33" s="326">
        <v>5812</v>
      </c>
      <c r="L33" s="326">
        <v>2995</v>
      </c>
      <c r="M33" s="326" t="s">
        <v>31</v>
      </c>
      <c r="N33" s="342">
        <v>11</v>
      </c>
      <c r="O33" s="337">
        <f>IF(N33&gt;0,1/N33*37.7*68.6,"")</f>
        <v>235.1109090909091</v>
      </c>
      <c r="P33" s="328">
        <v>9.51</v>
      </c>
      <c r="Q33" s="327" t="s">
        <v>43</v>
      </c>
      <c r="R33" s="326" t="s">
        <v>33</v>
      </c>
      <c r="S33" s="326" t="s">
        <v>34</v>
      </c>
      <c r="T33" s="326"/>
      <c r="U33" s="345"/>
      <c r="V33" s="324">
        <f>IF(N33&lt;&gt;0, IF(N33&gt;=P33,ROUNDDOWN(N33/P33*100,0),""),"")</f>
        <v>115</v>
      </c>
      <c r="W33" s="311"/>
      <c r="AR33" s="322"/>
      <c r="AS33" s="322"/>
      <c r="AT33" s="322"/>
      <c r="AU33" s="322"/>
      <c r="AV33" s="322"/>
      <c r="AW33" s="322"/>
      <c r="AX33" s="322"/>
      <c r="AY33" s="322"/>
      <c r="AZ33" s="322"/>
      <c r="BA33" s="322"/>
      <c r="BB33" s="322"/>
      <c r="BC33" s="322"/>
      <c r="BD33" s="322"/>
      <c r="BE33" s="322"/>
      <c r="BF33" s="322"/>
      <c r="BG33" s="322"/>
      <c r="BH33" s="322"/>
      <c r="BI33" s="322"/>
      <c r="BJ33" s="322"/>
      <c r="BK33" s="322"/>
      <c r="BL33" s="322"/>
      <c r="BM33" s="322"/>
      <c r="BN33" s="322"/>
      <c r="BO33" s="322"/>
      <c r="BP33" s="322"/>
      <c r="BQ33" s="322"/>
      <c r="BR33" s="322"/>
      <c r="BS33" s="322"/>
      <c r="BT33" s="322"/>
      <c r="BU33" s="322"/>
      <c r="BV33" s="322"/>
      <c r="BW33" s="322"/>
      <c r="BX33" s="322"/>
      <c r="BY33" s="322"/>
      <c r="BZ33" s="322"/>
      <c r="CA33" s="322"/>
      <c r="CB33" s="322"/>
      <c r="CC33" s="322"/>
      <c r="CD33" s="322"/>
      <c r="CE33" s="322"/>
      <c r="CF33" s="322"/>
      <c r="CG33" s="322"/>
      <c r="CH33" s="322"/>
      <c r="CI33" s="322"/>
      <c r="CJ33" s="322"/>
      <c r="CK33" s="322"/>
      <c r="CL33" s="322"/>
      <c r="CM33" s="322"/>
      <c r="CN33" s="322"/>
      <c r="CO33" s="322"/>
      <c r="CP33" s="322"/>
      <c r="CQ33" s="322"/>
      <c r="CR33" s="322"/>
      <c r="CS33" s="322"/>
      <c r="CT33" s="322"/>
      <c r="CU33" s="322"/>
      <c r="CV33" s="322"/>
      <c r="CW33" s="322"/>
      <c r="CX33" s="322"/>
      <c r="CY33" s="322"/>
      <c r="CZ33" s="322"/>
      <c r="DA33" s="322"/>
      <c r="DB33" s="322"/>
      <c r="DC33" s="322"/>
      <c r="DD33" s="322"/>
      <c r="DE33" s="322"/>
      <c r="DF33" s="322"/>
      <c r="DG33" s="322"/>
      <c r="DH33" s="322"/>
      <c r="DI33" s="322"/>
      <c r="DJ33" s="322"/>
      <c r="DK33" s="322"/>
    </row>
    <row r="34" spans="1:115" s="320" customFormat="1" ht="21" customHeight="1">
      <c r="A34" s="341"/>
      <c r="B34" s="340"/>
      <c r="C34" s="339"/>
      <c r="D34" s="333" t="s">
        <v>1186</v>
      </c>
      <c r="E34" s="332" t="s">
        <v>41</v>
      </c>
      <c r="F34" s="331">
        <v>2.9990000000000001</v>
      </c>
      <c r="G34" s="332" t="s">
        <v>464</v>
      </c>
      <c r="H34" s="331" t="s">
        <v>463</v>
      </c>
      <c r="I34" s="332" t="s">
        <v>42</v>
      </c>
      <c r="J34" s="331">
        <v>2652</v>
      </c>
      <c r="K34" s="326">
        <v>5812</v>
      </c>
      <c r="L34" s="326">
        <v>2995</v>
      </c>
      <c r="M34" s="326" t="s">
        <v>31</v>
      </c>
      <c r="N34" s="342">
        <v>11</v>
      </c>
      <c r="O34" s="337">
        <f>IF(N34&gt;0,1/N34*37.7*68.6,"")</f>
        <v>235.1109090909091</v>
      </c>
      <c r="P34" s="328">
        <v>9.51</v>
      </c>
      <c r="Q34" s="327" t="s">
        <v>43</v>
      </c>
      <c r="R34" s="326" t="s">
        <v>33</v>
      </c>
      <c r="S34" s="326" t="s">
        <v>34</v>
      </c>
      <c r="T34" s="326"/>
      <c r="U34" s="345"/>
      <c r="V34" s="324">
        <f>IF(N34&lt;&gt;0, IF(N34&gt;=P34,ROUNDDOWN(N34/P34*100,0),""),"")</f>
        <v>115</v>
      </c>
      <c r="W34" s="311"/>
      <c r="AR34" s="322"/>
      <c r="AS34" s="322"/>
      <c r="AT34" s="322"/>
      <c r="AU34" s="322"/>
      <c r="AV34" s="322"/>
      <c r="AW34" s="322"/>
      <c r="AX34" s="322"/>
      <c r="AY34" s="322"/>
      <c r="AZ34" s="322"/>
      <c r="BA34" s="322"/>
      <c r="BB34" s="322"/>
      <c r="BC34" s="322"/>
      <c r="BD34" s="322"/>
      <c r="BE34" s="322"/>
      <c r="BF34" s="322"/>
      <c r="BG34" s="322"/>
      <c r="BH34" s="322"/>
      <c r="BI34" s="322"/>
      <c r="BJ34" s="322"/>
      <c r="BK34" s="322"/>
      <c r="BL34" s="322"/>
      <c r="BM34" s="322"/>
      <c r="BN34" s="322"/>
      <c r="BO34" s="322"/>
      <c r="BP34" s="322"/>
      <c r="BQ34" s="322"/>
      <c r="BR34" s="322"/>
      <c r="BS34" s="322"/>
      <c r="BT34" s="322"/>
      <c r="BU34" s="322"/>
      <c r="BV34" s="322"/>
      <c r="BW34" s="322"/>
      <c r="BX34" s="322"/>
      <c r="BY34" s="322"/>
      <c r="BZ34" s="322"/>
      <c r="CA34" s="322"/>
      <c r="CB34" s="322"/>
      <c r="CC34" s="322"/>
      <c r="CD34" s="322"/>
      <c r="CE34" s="322"/>
      <c r="CF34" s="322"/>
      <c r="CG34" s="322"/>
      <c r="CH34" s="322"/>
      <c r="CI34" s="322"/>
      <c r="CJ34" s="322"/>
      <c r="CK34" s="322"/>
      <c r="CL34" s="322"/>
      <c r="CM34" s="322"/>
      <c r="CN34" s="322"/>
      <c r="CO34" s="322"/>
      <c r="CP34" s="322"/>
      <c r="CQ34" s="322"/>
      <c r="CR34" s="322"/>
      <c r="CS34" s="322"/>
      <c r="CT34" s="322"/>
      <c r="CU34" s="322"/>
      <c r="CV34" s="322"/>
      <c r="CW34" s="322"/>
      <c r="CX34" s="322"/>
      <c r="CY34" s="322"/>
      <c r="CZ34" s="322"/>
      <c r="DA34" s="322"/>
      <c r="DB34" s="322"/>
      <c r="DC34" s="322"/>
      <c r="DD34" s="322"/>
      <c r="DE34" s="322"/>
      <c r="DF34" s="322"/>
      <c r="DG34" s="322"/>
      <c r="DH34" s="322"/>
      <c r="DI34" s="322"/>
      <c r="DJ34" s="322"/>
      <c r="DK34" s="322"/>
    </row>
    <row r="35" spans="1:115" s="320" customFormat="1" ht="21" customHeight="1">
      <c r="A35" s="341"/>
      <c r="B35" s="340"/>
      <c r="C35" s="339"/>
      <c r="D35" s="333" t="s">
        <v>1185</v>
      </c>
      <c r="E35" s="332" t="s">
        <v>41</v>
      </c>
      <c r="F35" s="331">
        <v>2.9990000000000001</v>
      </c>
      <c r="G35" s="332" t="s">
        <v>467</v>
      </c>
      <c r="H35" s="331" t="s">
        <v>466</v>
      </c>
      <c r="I35" s="332" t="s">
        <v>42</v>
      </c>
      <c r="J35" s="331">
        <v>2356</v>
      </c>
      <c r="K35" s="326">
        <v>4521</v>
      </c>
      <c r="L35" s="326">
        <v>2000</v>
      </c>
      <c r="M35" s="326" t="s">
        <v>31</v>
      </c>
      <c r="N35" s="342">
        <v>12</v>
      </c>
      <c r="O35" s="337">
        <f>IF(N35&gt;0,1/N35*37.7*68.6,"")</f>
        <v>215.51833333333332</v>
      </c>
      <c r="P35" s="328">
        <v>10.35</v>
      </c>
      <c r="Q35" s="327" t="s">
        <v>43</v>
      </c>
      <c r="R35" s="326" t="s">
        <v>33</v>
      </c>
      <c r="S35" s="326" t="s">
        <v>34</v>
      </c>
      <c r="T35" s="326"/>
      <c r="U35" s="345"/>
      <c r="V35" s="324">
        <f>IF(N35&lt;&gt;0, IF(N35&gt;=P35,ROUNDDOWN(N35/P35*100,0),""),"")</f>
        <v>115</v>
      </c>
      <c r="W35" s="311"/>
      <c r="AR35" s="322"/>
      <c r="AS35" s="322"/>
      <c r="AT35" s="322"/>
      <c r="AU35" s="322"/>
      <c r="AV35" s="322"/>
      <c r="AW35" s="322"/>
      <c r="AX35" s="322"/>
      <c r="AY35" s="322"/>
      <c r="AZ35" s="322"/>
      <c r="BA35" s="322"/>
      <c r="BB35" s="322"/>
      <c r="BC35" s="322"/>
      <c r="BD35" s="322"/>
      <c r="BE35" s="322"/>
      <c r="BF35" s="322"/>
      <c r="BG35" s="322"/>
      <c r="BH35" s="322"/>
      <c r="BI35" s="322"/>
      <c r="BJ35" s="322"/>
      <c r="BK35" s="322"/>
      <c r="BL35" s="322"/>
      <c r="BM35" s="322"/>
      <c r="BN35" s="322"/>
      <c r="BO35" s="322"/>
      <c r="BP35" s="322"/>
      <c r="BQ35" s="322"/>
      <c r="BR35" s="322"/>
      <c r="BS35" s="322"/>
      <c r="BT35" s="322"/>
      <c r="BU35" s="322"/>
      <c r="BV35" s="322"/>
      <c r="BW35" s="322"/>
      <c r="BX35" s="322"/>
      <c r="BY35" s="322"/>
      <c r="BZ35" s="322"/>
      <c r="CA35" s="322"/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2"/>
      <c r="CU35" s="322"/>
      <c r="CV35" s="322"/>
      <c r="CW35" s="322"/>
      <c r="CX35" s="322"/>
      <c r="CY35" s="322"/>
      <c r="CZ35" s="322"/>
      <c r="DA35" s="322"/>
      <c r="DB35" s="322"/>
      <c r="DC35" s="322"/>
      <c r="DD35" s="322"/>
      <c r="DE35" s="322"/>
      <c r="DF35" s="322"/>
      <c r="DG35" s="322"/>
      <c r="DH35" s="322"/>
      <c r="DI35" s="322"/>
      <c r="DJ35" s="322"/>
      <c r="DK35" s="322"/>
    </row>
    <row r="36" spans="1:115" s="320" customFormat="1" ht="21" customHeight="1">
      <c r="A36" s="341"/>
      <c r="B36" s="340"/>
      <c r="C36" s="339"/>
      <c r="D36" s="333" t="s">
        <v>1185</v>
      </c>
      <c r="E36" s="332" t="s">
        <v>41</v>
      </c>
      <c r="F36" s="331">
        <v>2.9990000000000001</v>
      </c>
      <c r="G36" s="332" t="s">
        <v>467</v>
      </c>
      <c r="H36" s="331" t="s">
        <v>466</v>
      </c>
      <c r="I36" s="332" t="s">
        <v>42</v>
      </c>
      <c r="J36" s="331">
        <v>2652</v>
      </c>
      <c r="K36" s="326">
        <v>5812</v>
      </c>
      <c r="L36" s="326">
        <v>2995</v>
      </c>
      <c r="M36" s="326" t="s">
        <v>31</v>
      </c>
      <c r="N36" s="342">
        <v>11</v>
      </c>
      <c r="O36" s="337">
        <f>IF(N36&gt;0,1/N36*37.7*68.6,"")</f>
        <v>235.1109090909091</v>
      </c>
      <c r="P36" s="328">
        <v>9.51</v>
      </c>
      <c r="Q36" s="327" t="s">
        <v>43</v>
      </c>
      <c r="R36" s="326" t="s">
        <v>33</v>
      </c>
      <c r="S36" s="326" t="s">
        <v>34</v>
      </c>
      <c r="T36" s="326"/>
      <c r="U36" s="345"/>
      <c r="V36" s="324">
        <f>IF(N36&lt;&gt;0, IF(N36&gt;=P36,ROUNDDOWN(N36/P36*100,0),""),"")</f>
        <v>115</v>
      </c>
      <c r="W36" s="311"/>
      <c r="AR36" s="322"/>
      <c r="AS36" s="322"/>
      <c r="AT36" s="322"/>
      <c r="AU36" s="322"/>
      <c r="AV36" s="322"/>
      <c r="AW36" s="322"/>
      <c r="AX36" s="322"/>
      <c r="AY36" s="322"/>
      <c r="AZ36" s="322"/>
      <c r="BA36" s="322"/>
      <c r="BB36" s="322"/>
      <c r="BC36" s="322"/>
      <c r="BD36" s="322"/>
      <c r="BE36" s="322"/>
      <c r="BF36" s="322"/>
      <c r="BG36" s="322"/>
      <c r="BH36" s="322"/>
      <c r="BI36" s="322"/>
      <c r="BJ36" s="322"/>
      <c r="BK36" s="322"/>
      <c r="BL36" s="322"/>
      <c r="BM36" s="322"/>
      <c r="BN36" s="322"/>
      <c r="BO36" s="322"/>
      <c r="BP36" s="322"/>
      <c r="BQ36" s="322"/>
      <c r="BR36" s="322"/>
      <c r="BS36" s="322"/>
      <c r="BT36" s="322"/>
      <c r="BU36" s="322"/>
      <c r="BV36" s="322"/>
      <c r="BW36" s="322"/>
      <c r="BX36" s="322"/>
      <c r="BY36" s="322"/>
      <c r="BZ36" s="322"/>
      <c r="CA36" s="322"/>
      <c r="CB36" s="322"/>
      <c r="CC36" s="322"/>
      <c r="CD36" s="322"/>
      <c r="CE36" s="322"/>
      <c r="CF36" s="322"/>
      <c r="CG36" s="322"/>
      <c r="CH36" s="322"/>
      <c r="CI36" s="322"/>
      <c r="CJ36" s="322"/>
      <c r="CK36" s="322"/>
      <c r="CL36" s="322"/>
      <c r="CM36" s="322"/>
      <c r="CN36" s="322"/>
      <c r="CO36" s="322"/>
      <c r="CP36" s="322"/>
      <c r="CQ36" s="322"/>
      <c r="CR36" s="322"/>
      <c r="CS36" s="322"/>
      <c r="CT36" s="322"/>
      <c r="CU36" s="322"/>
      <c r="CV36" s="322"/>
      <c r="CW36" s="322"/>
      <c r="CX36" s="322"/>
      <c r="CY36" s="322"/>
      <c r="CZ36" s="322"/>
      <c r="DA36" s="322"/>
      <c r="DB36" s="322"/>
      <c r="DC36" s="322"/>
      <c r="DD36" s="322"/>
      <c r="DE36" s="322"/>
      <c r="DF36" s="322"/>
      <c r="DG36" s="322"/>
      <c r="DH36" s="322"/>
      <c r="DI36" s="322"/>
      <c r="DJ36" s="322"/>
      <c r="DK36" s="322"/>
    </row>
    <row r="37" spans="1:115" s="320" customFormat="1" ht="21" customHeight="1">
      <c r="A37" s="341"/>
      <c r="B37" s="340"/>
      <c r="C37" s="339"/>
      <c r="D37" s="333" t="s">
        <v>1185</v>
      </c>
      <c r="E37" s="332" t="s">
        <v>41</v>
      </c>
      <c r="F37" s="331">
        <v>2.9990000000000001</v>
      </c>
      <c r="G37" s="332" t="s">
        <v>464</v>
      </c>
      <c r="H37" s="331" t="s">
        <v>463</v>
      </c>
      <c r="I37" s="332" t="s">
        <v>42</v>
      </c>
      <c r="J37" s="331">
        <v>2652</v>
      </c>
      <c r="K37" s="326">
        <v>5812</v>
      </c>
      <c r="L37" s="326">
        <v>2995</v>
      </c>
      <c r="M37" s="326" t="s">
        <v>31</v>
      </c>
      <c r="N37" s="342">
        <v>11</v>
      </c>
      <c r="O37" s="337">
        <f>IF(N37&gt;0,1/N37*37.7*68.6,"")</f>
        <v>235.1109090909091</v>
      </c>
      <c r="P37" s="328">
        <v>9.51</v>
      </c>
      <c r="Q37" s="327" t="s">
        <v>43</v>
      </c>
      <c r="R37" s="326" t="s">
        <v>33</v>
      </c>
      <c r="S37" s="326" t="s">
        <v>34</v>
      </c>
      <c r="T37" s="326"/>
      <c r="U37" s="345"/>
      <c r="V37" s="324">
        <f>IF(N37&lt;&gt;0, IF(N37&gt;=P37,ROUNDDOWN(N37/P37*100,0),""),"")</f>
        <v>115</v>
      </c>
      <c r="W37" s="311"/>
      <c r="AR37" s="322"/>
      <c r="AS37" s="322"/>
      <c r="AT37" s="322"/>
      <c r="AU37" s="322"/>
      <c r="AV37" s="322"/>
      <c r="AW37" s="322"/>
      <c r="AX37" s="322"/>
      <c r="AY37" s="322"/>
      <c r="AZ37" s="322"/>
      <c r="BA37" s="322"/>
      <c r="BB37" s="322"/>
      <c r="BC37" s="322"/>
      <c r="BD37" s="322"/>
      <c r="BE37" s="322"/>
      <c r="BF37" s="322"/>
      <c r="BG37" s="322"/>
      <c r="BH37" s="322"/>
      <c r="BI37" s="322"/>
      <c r="BJ37" s="322"/>
      <c r="BK37" s="322"/>
      <c r="BL37" s="322"/>
      <c r="BM37" s="322"/>
      <c r="BN37" s="322"/>
      <c r="BO37" s="322"/>
      <c r="BP37" s="322"/>
      <c r="BQ37" s="322"/>
      <c r="BR37" s="322"/>
      <c r="BS37" s="322"/>
      <c r="BT37" s="322"/>
      <c r="BU37" s="322"/>
      <c r="BV37" s="322"/>
      <c r="BW37" s="322"/>
      <c r="BX37" s="322"/>
      <c r="BY37" s="322"/>
      <c r="BZ37" s="322"/>
      <c r="CA37" s="322"/>
      <c r="CB37" s="322"/>
      <c r="CC37" s="322"/>
      <c r="CD37" s="322"/>
      <c r="CE37" s="322"/>
      <c r="CF37" s="322"/>
      <c r="CG37" s="322"/>
      <c r="CH37" s="322"/>
      <c r="CI37" s="322"/>
      <c r="CJ37" s="322"/>
      <c r="CK37" s="322"/>
      <c r="CL37" s="322"/>
      <c r="CM37" s="322"/>
      <c r="CN37" s="322"/>
      <c r="CO37" s="322"/>
      <c r="CP37" s="322"/>
      <c r="CQ37" s="322"/>
      <c r="CR37" s="322"/>
      <c r="CS37" s="322"/>
      <c r="CT37" s="322"/>
      <c r="CU37" s="322"/>
      <c r="CV37" s="322"/>
      <c r="CW37" s="322"/>
      <c r="CX37" s="322"/>
      <c r="CY37" s="322"/>
      <c r="CZ37" s="322"/>
      <c r="DA37" s="322"/>
      <c r="DB37" s="322"/>
      <c r="DC37" s="322"/>
      <c r="DD37" s="322"/>
      <c r="DE37" s="322"/>
      <c r="DF37" s="322"/>
      <c r="DG37" s="322"/>
      <c r="DH37" s="322"/>
      <c r="DI37" s="322"/>
      <c r="DJ37" s="322"/>
      <c r="DK37" s="322"/>
    </row>
    <row r="38" spans="1:115" s="320" customFormat="1" ht="21" customHeight="1">
      <c r="A38" s="347"/>
      <c r="B38" s="340"/>
      <c r="C38" s="346"/>
      <c r="D38" s="333" t="s">
        <v>1184</v>
      </c>
      <c r="E38" s="332" t="s">
        <v>41</v>
      </c>
      <c r="F38" s="331">
        <v>2.9990000000000001</v>
      </c>
      <c r="G38" s="332">
        <v>375</v>
      </c>
      <c r="H38" s="331">
        <v>110</v>
      </c>
      <c r="I38" s="332" t="s">
        <v>61</v>
      </c>
      <c r="J38" s="331">
        <v>2356</v>
      </c>
      <c r="K38" s="326">
        <v>4521</v>
      </c>
      <c r="L38" s="326">
        <v>2000</v>
      </c>
      <c r="M38" s="326" t="s">
        <v>31</v>
      </c>
      <c r="N38" s="338">
        <v>11.8</v>
      </c>
      <c r="O38" s="344">
        <f>IF(N38&gt;0,1/N38*37.7*68.6,"")</f>
        <v>219.17118644067796</v>
      </c>
      <c r="P38" s="328">
        <v>10.35</v>
      </c>
      <c r="Q38" s="327" t="s">
        <v>43</v>
      </c>
      <c r="R38" s="326" t="s">
        <v>33</v>
      </c>
      <c r="S38" s="326" t="s">
        <v>34</v>
      </c>
      <c r="T38" s="326"/>
      <c r="U38" s="345"/>
      <c r="V38" s="324">
        <f>IF(N38&lt;&gt;0, IF(N38&gt;=P38,ROUNDDOWN(N38/P38*100,0),""),"")</f>
        <v>114</v>
      </c>
      <c r="W38" s="311"/>
      <c r="X38" s="323"/>
      <c r="Y38" s="311"/>
    </row>
    <row r="39" spans="1:115" s="320" customFormat="1" ht="21" customHeight="1">
      <c r="A39" s="341"/>
      <c r="B39" s="340"/>
      <c r="C39" s="339"/>
      <c r="D39" s="333" t="s">
        <v>1184</v>
      </c>
      <c r="E39" s="332" t="s">
        <v>41</v>
      </c>
      <c r="F39" s="331">
        <v>2.9990000000000001</v>
      </c>
      <c r="G39" s="332">
        <v>375</v>
      </c>
      <c r="H39" s="331">
        <v>110</v>
      </c>
      <c r="I39" s="332" t="s">
        <v>30</v>
      </c>
      <c r="J39" s="331">
        <v>2356</v>
      </c>
      <c r="K39" s="326">
        <v>4521</v>
      </c>
      <c r="L39" s="326">
        <v>2000</v>
      </c>
      <c r="M39" s="326" t="s">
        <v>31</v>
      </c>
      <c r="N39" s="342">
        <v>11.8</v>
      </c>
      <c r="O39" s="337">
        <f>IF(N39&gt;0,1/N39*37.7*68.6,"")</f>
        <v>219.17118644067796</v>
      </c>
      <c r="P39" s="328">
        <v>10.35</v>
      </c>
      <c r="Q39" s="327" t="s">
        <v>43</v>
      </c>
      <c r="R39" s="326" t="s">
        <v>33</v>
      </c>
      <c r="S39" s="326" t="s">
        <v>34</v>
      </c>
      <c r="T39" s="326"/>
      <c r="U39" s="345"/>
      <c r="V39" s="324">
        <f>IF(N39&lt;&gt;0, IF(N39&gt;=P39,ROUNDDOWN(N39/P39*100,0),""),"")</f>
        <v>114</v>
      </c>
      <c r="W39" s="311"/>
      <c r="X39" s="323"/>
      <c r="Y39" s="311"/>
    </row>
    <row r="40" spans="1:115" s="320" customFormat="1" ht="21" customHeight="1">
      <c r="A40" s="341"/>
      <c r="B40" s="340"/>
      <c r="C40" s="339"/>
      <c r="D40" s="333" t="s">
        <v>1184</v>
      </c>
      <c r="E40" s="332" t="s">
        <v>41</v>
      </c>
      <c r="F40" s="331">
        <v>2.9990000000000001</v>
      </c>
      <c r="G40" s="332">
        <v>375</v>
      </c>
      <c r="H40" s="331">
        <v>110</v>
      </c>
      <c r="I40" s="332" t="s">
        <v>61</v>
      </c>
      <c r="J40" s="331">
        <v>2356</v>
      </c>
      <c r="K40" s="326">
        <v>4521</v>
      </c>
      <c r="L40" s="326">
        <v>2000</v>
      </c>
      <c r="M40" s="326" t="s">
        <v>31</v>
      </c>
      <c r="N40" s="342">
        <v>11.4</v>
      </c>
      <c r="O40" s="337">
        <f>IF(N40&gt;0,1/N40*37.7*68.6,"")</f>
        <v>226.8614035087719</v>
      </c>
      <c r="P40" s="328">
        <v>10.35</v>
      </c>
      <c r="Q40" s="327" t="s">
        <v>63</v>
      </c>
      <c r="R40" s="326" t="s">
        <v>33</v>
      </c>
      <c r="S40" s="326" t="s">
        <v>34</v>
      </c>
      <c r="T40" s="326"/>
      <c r="U40" s="345"/>
      <c r="V40" s="324">
        <f>IF(N40&lt;&gt;0, IF(N40&gt;=P40,ROUNDDOWN(N40/P40*100,0),""),"")</f>
        <v>110</v>
      </c>
      <c r="W40" s="311"/>
      <c r="X40" s="323"/>
      <c r="Y40" s="311"/>
    </row>
    <row r="41" spans="1:115" s="320" customFormat="1" ht="21" customHeight="1">
      <c r="A41" s="341"/>
      <c r="B41" s="340"/>
      <c r="C41" s="339"/>
      <c r="D41" s="333" t="s">
        <v>1184</v>
      </c>
      <c r="E41" s="332" t="s">
        <v>41</v>
      </c>
      <c r="F41" s="331">
        <v>2.9990000000000001</v>
      </c>
      <c r="G41" s="332">
        <v>375</v>
      </c>
      <c r="H41" s="331">
        <v>110</v>
      </c>
      <c r="I41" s="332" t="s">
        <v>30</v>
      </c>
      <c r="J41" s="331">
        <v>2356</v>
      </c>
      <c r="K41" s="326">
        <v>4521</v>
      </c>
      <c r="L41" s="326">
        <v>2000</v>
      </c>
      <c r="M41" s="326" t="s">
        <v>31</v>
      </c>
      <c r="N41" s="342">
        <v>11.4</v>
      </c>
      <c r="O41" s="337">
        <f>IF(N41&gt;0,1/N41*37.7*68.6,"")</f>
        <v>226.8614035087719</v>
      </c>
      <c r="P41" s="328">
        <v>10.35</v>
      </c>
      <c r="Q41" s="327" t="s">
        <v>63</v>
      </c>
      <c r="R41" s="326" t="s">
        <v>33</v>
      </c>
      <c r="S41" s="326" t="s">
        <v>34</v>
      </c>
      <c r="T41" s="326"/>
      <c r="U41" s="345"/>
      <c r="V41" s="324">
        <f>IF(N41&lt;&gt;0, IF(N41&gt;=P41,ROUNDDOWN(N41/P41*100,0),""),"")</f>
        <v>110</v>
      </c>
      <c r="W41" s="311"/>
      <c r="X41" s="323"/>
      <c r="Y41" s="311"/>
    </row>
    <row r="42" spans="1:115" s="320" customFormat="1" ht="21" customHeight="1">
      <c r="A42" s="341"/>
      <c r="B42" s="340"/>
      <c r="C42" s="339"/>
      <c r="D42" s="333" t="s">
        <v>1183</v>
      </c>
      <c r="E42" s="332" t="s">
        <v>41</v>
      </c>
      <c r="F42" s="331">
        <v>2.9990000000000001</v>
      </c>
      <c r="G42" s="332">
        <v>375</v>
      </c>
      <c r="H42" s="331">
        <v>110</v>
      </c>
      <c r="I42" s="332" t="s">
        <v>61</v>
      </c>
      <c r="J42" s="331">
        <v>2356</v>
      </c>
      <c r="K42" s="326">
        <v>4521</v>
      </c>
      <c r="L42" s="326">
        <v>2000</v>
      </c>
      <c r="M42" s="326" t="s">
        <v>31</v>
      </c>
      <c r="N42" s="342">
        <v>11.8</v>
      </c>
      <c r="O42" s="337">
        <f>IF(N42&gt;0,1/N42*37.7*68.6,"")</f>
        <v>219.17118644067796</v>
      </c>
      <c r="P42" s="328">
        <v>10.35</v>
      </c>
      <c r="Q42" s="327" t="s">
        <v>43</v>
      </c>
      <c r="R42" s="326" t="s">
        <v>33</v>
      </c>
      <c r="S42" s="326" t="s">
        <v>34</v>
      </c>
      <c r="T42" s="326"/>
      <c r="U42" s="345"/>
      <c r="V42" s="324">
        <f>IF(N42&lt;&gt;0, IF(N42&gt;=P42,ROUNDDOWN(N42/P42*100,0),""),"")</f>
        <v>114</v>
      </c>
      <c r="W42" s="311"/>
      <c r="X42" s="323"/>
      <c r="Y42" s="311"/>
    </row>
    <row r="43" spans="1:115" s="320" customFormat="1" ht="21" customHeight="1">
      <c r="A43" s="341"/>
      <c r="B43" s="340"/>
      <c r="C43" s="339"/>
      <c r="D43" s="333" t="s">
        <v>1183</v>
      </c>
      <c r="E43" s="332" t="s">
        <v>41</v>
      </c>
      <c r="F43" s="331">
        <v>2.9990000000000001</v>
      </c>
      <c r="G43" s="332">
        <v>375</v>
      </c>
      <c r="H43" s="331">
        <v>110</v>
      </c>
      <c r="I43" s="332" t="s">
        <v>30</v>
      </c>
      <c r="J43" s="331">
        <v>2356</v>
      </c>
      <c r="K43" s="326">
        <v>4521</v>
      </c>
      <c r="L43" s="326">
        <v>2000</v>
      </c>
      <c r="M43" s="326" t="s">
        <v>31</v>
      </c>
      <c r="N43" s="342">
        <v>11.8</v>
      </c>
      <c r="O43" s="337">
        <f>IF(N43&gt;0,1/N43*37.7*68.6,"")</f>
        <v>219.17118644067796</v>
      </c>
      <c r="P43" s="328">
        <v>10.35</v>
      </c>
      <c r="Q43" s="327" t="s">
        <v>43</v>
      </c>
      <c r="R43" s="326" t="s">
        <v>33</v>
      </c>
      <c r="S43" s="326" t="s">
        <v>34</v>
      </c>
      <c r="T43" s="326"/>
      <c r="U43" s="345"/>
      <c r="V43" s="324">
        <f>IF(N43&lt;&gt;0, IF(N43&gt;=P43,ROUNDDOWN(N43/P43*100,0),""),"")</f>
        <v>114</v>
      </c>
      <c r="W43" s="311"/>
      <c r="X43" s="323"/>
      <c r="Y43" s="311"/>
    </row>
    <row r="44" spans="1:115" s="320" customFormat="1" ht="21" customHeight="1">
      <c r="A44" s="341"/>
      <c r="B44" s="340"/>
      <c r="C44" s="339"/>
      <c r="D44" s="333" t="s">
        <v>1183</v>
      </c>
      <c r="E44" s="332" t="s">
        <v>41</v>
      </c>
      <c r="F44" s="331">
        <v>2.9990000000000001</v>
      </c>
      <c r="G44" s="332">
        <v>375</v>
      </c>
      <c r="H44" s="331">
        <v>110</v>
      </c>
      <c r="I44" s="332" t="s">
        <v>61</v>
      </c>
      <c r="J44" s="331">
        <v>2356</v>
      </c>
      <c r="K44" s="326">
        <v>4521</v>
      </c>
      <c r="L44" s="326">
        <v>2000</v>
      </c>
      <c r="M44" s="326" t="s">
        <v>31</v>
      </c>
      <c r="N44" s="342">
        <v>11.4</v>
      </c>
      <c r="O44" s="337">
        <f>IF(N44&gt;0,1/N44*37.7*68.6,"")</f>
        <v>226.8614035087719</v>
      </c>
      <c r="P44" s="328">
        <v>10.35</v>
      </c>
      <c r="Q44" s="327" t="s">
        <v>63</v>
      </c>
      <c r="R44" s="326" t="s">
        <v>33</v>
      </c>
      <c r="S44" s="326" t="s">
        <v>34</v>
      </c>
      <c r="T44" s="326"/>
      <c r="U44" s="345"/>
      <c r="V44" s="324">
        <f>IF(N44&lt;&gt;0, IF(N44&gt;=P44,ROUNDDOWN(N44/P44*100,0),""),"")</f>
        <v>110</v>
      </c>
      <c r="W44" s="311"/>
      <c r="X44" s="323"/>
      <c r="Y44" s="311"/>
    </row>
    <row r="45" spans="1:115" s="320" customFormat="1" ht="21" customHeight="1">
      <c r="A45" s="341"/>
      <c r="B45" s="340"/>
      <c r="C45" s="339"/>
      <c r="D45" s="333" t="s">
        <v>1183</v>
      </c>
      <c r="E45" s="332" t="s">
        <v>41</v>
      </c>
      <c r="F45" s="331">
        <v>2.9990000000000001</v>
      </c>
      <c r="G45" s="332">
        <v>375</v>
      </c>
      <c r="H45" s="331">
        <v>110</v>
      </c>
      <c r="I45" s="332" t="s">
        <v>30</v>
      </c>
      <c r="J45" s="331">
        <v>2356</v>
      </c>
      <c r="K45" s="326">
        <v>4521</v>
      </c>
      <c r="L45" s="326">
        <v>2000</v>
      </c>
      <c r="M45" s="326" t="s">
        <v>31</v>
      </c>
      <c r="N45" s="342">
        <v>11.4</v>
      </c>
      <c r="O45" s="337">
        <f>IF(N45&gt;0,1/N45*37.7*68.6,"")</f>
        <v>226.8614035087719</v>
      </c>
      <c r="P45" s="328">
        <v>10.35</v>
      </c>
      <c r="Q45" s="327" t="s">
        <v>63</v>
      </c>
      <c r="R45" s="326" t="s">
        <v>33</v>
      </c>
      <c r="S45" s="326" t="s">
        <v>34</v>
      </c>
      <c r="T45" s="326"/>
      <c r="U45" s="345"/>
      <c r="V45" s="324">
        <f>IF(N45&lt;&gt;0, IF(N45&gt;=P45,ROUNDDOWN(N45/P45*100,0),""),"")</f>
        <v>110</v>
      </c>
      <c r="W45" s="311"/>
      <c r="X45" s="323"/>
      <c r="Y45" s="311"/>
    </row>
    <row r="46" spans="1:115" s="320" customFormat="1" ht="21" customHeight="1">
      <c r="A46" s="341"/>
      <c r="B46" s="340"/>
      <c r="C46" s="339"/>
      <c r="D46" s="333" t="s">
        <v>1182</v>
      </c>
      <c r="E46" s="332" t="s">
        <v>41</v>
      </c>
      <c r="F46" s="331">
        <v>2.9990000000000001</v>
      </c>
      <c r="G46" s="332">
        <v>375</v>
      </c>
      <c r="H46" s="331">
        <v>110</v>
      </c>
      <c r="I46" s="332" t="s">
        <v>61</v>
      </c>
      <c r="J46" s="331">
        <v>2356</v>
      </c>
      <c r="K46" s="326">
        <v>4521</v>
      </c>
      <c r="L46" s="326">
        <v>2000</v>
      </c>
      <c r="M46" s="326" t="s">
        <v>31</v>
      </c>
      <c r="N46" s="342">
        <v>11.8</v>
      </c>
      <c r="O46" s="337">
        <f>IF(N46&gt;0,1/N46*37.7*68.6,"")</f>
        <v>219.17118644067796</v>
      </c>
      <c r="P46" s="328">
        <v>10.35</v>
      </c>
      <c r="Q46" s="327" t="s">
        <v>43</v>
      </c>
      <c r="R46" s="326" t="s">
        <v>33</v>
      </c>
      <c r="S46" s="326" t="s">
        <v>66</v>
      </c>
      <c r="T46" s="326"/>
      <c r="U46" s="345"/>
      <c r="V46" s="324">
        <f>IF(N46&lt;&gt;0, IF(N46&gt;=P46,ROUNDDOWN(N46/P46*100,0),""),"")</f>
        <v>114</v>
      </c>
      <c r="W46" s="311"/>
      <c r="X46" s="323"/>
      <c r="Y46" s="311"/>
    </row>
    <row r="47" spans="1:115" s="320" customFormat="1" ht="21" customHeight="1">
      <c r="A47" s="341"/>
      <c r="B47" s="340"/>
      <c r="C47" s="339"/>
      <c r="D47" s="333" t="s">
        <v>1182</v>
      </c>
      <c r="E47" s="332" t="s">
        <v>41</v>
      </c>
      <c r="F47" s="331">
        <v>2.9990000000000001</v>
      </c>
      <c r="G47" s="332">
        <v>375</v>
      </c>
      <c r="H47" s="331">
        <v>110</v>
      </c>
      <c r="I47" s="332" t="s">
        <v>61</v>
      </c>
      <c r="J47" s="331">
        <v>2356</v>
      </c>
      <c r="K47" s="326">
        <v>4521</v>
      </c>
      <c r="L47" s="326">
        <v>2000</v>
      </c>
      <c r="M47" s="326" t="s">
        <v>31</v>
      </c>
      <c r="N47" s="342">
        <v>11.8</v>
      </c>
      <c r="O47" s="337">
        <f>IF(N47&gt;0,1/N47*37.7*68.6,"")</f>
        <v>219.17118644067796</v>
      </c>
      <c r="P47" s="328">
        <v>10.35</v>
      </c>
      <c r="Q47" s="327" t="s">
        <v>43</v>
      </c>
      <c r="R47" s="326" t="s">
        <v>33</v>
      </c>
      <c r="S47" s="326" t="s">
        <v>67</v>
      </c>
      <c r="T47" s="326"/>
      <c r="U47" s="345"/>
      <c r="V47" s="324">
        <f>IF(N47&lt;&gt;0, IF(N47&gt;=P47,ROUNDDOWN(N47/P47*100,0),""),"")</f>
        <v>114</v>
      </c>
      <c r="W47" s="311"/>
      <c r="X47" s="323"/>
      <c r="Y47" s="311"/>
    </row>
    <row r="48" spans="1:115" s="320" customFormat="1" ht="21" customHeight="1">
      <c r="A48" s="341"/>
      <c r="B48" s="340"/>
      <c r="C48" s="339"/>
      <c r="D48" s="333" t="s">
        <v>1182</v>
      </c>
      <c r="E48" s="332" t="s">
        <v>41</v>
      </c>
      <c r="F48" s="331">
        <v>2.9990000000000001</v>
      </c>
      <c r="G48" s="332">
        <v>375</v>
      </c>
      <c r="H48" s="331">
        <v>110</v>
      </c>
      <c r="I48" s="332" t="s">
        <v>61</v>
      </c>
      <c r="J48" s="331">
        <v>2356</v>
      </c>
      <c r="K48" s="326">
        <v>4521</v>
      </c>
      <c r="L48" s="326">
        <v>2000</v>
      </c>
      <c r="M48" s="326" t="s">
        <v>31</v>
      </c>
      <c r="N48" s="342">
        <v>11.4</v>
      </c>
      <c r="O48" s="337">
        <f>IF(N48&gt;0,1/N48*37.7*68.6,"")</f>
        <v>226.8614035087719</v>
      </c>
      <c r="P48" s="328">
        <v>10.35</v>
      </c>
      <c r="Q48" s="327" t="s">
        <v>63</v>
      </c>
      <c r="R48" s="326" t="s">
        <v>33</v>
      </c>
      <c r="S48" s="326" t="s">
        <v>66</v>
      </c>
      <c r="T48" s="326"/>
      <c r="U48" s="345"/>
      <c r="V48" s="324">
        <f>IF(N48&lt;&gt;0, IF(N48&gt;=P48,ROUNDDOWN(N48/P48*100,0),""),"")</f>
        <v>110</v>
      </c>
      <c r="W48" s="311"/>
      <c r="X48" s="323"/>
      <c r="Y48" s="311"/>
    </row>
    <row r="49" spans="1:115" s="320" customFormat="1" ht="21" customHeight="1">
      <c r="A49" s="341"/>
      <c r="B49" s="340"/>
      <c r="C49" s="339"/>
      <c r="D49" s="333" t="s">
        <v>1182</v>
      </c>
      <c r="E49" s="332" t="s">
        <v>41</v>
      </c>
      <c r="F49" s="331">
        <v>2.9990000000000001</v>
      </c>
      <c r="G49" s="332">
        <v>375</v>
      </c>
      <c r="H49" s="331">
        <v>110</v>
      </c>
      <c r="I49" s="332" t="s">
        <v>61</v>
      </c>
      <c r="J49" s="331">
        <v>2356</v>
      </c>
      <c r="K49" s="326">
        <v>4521</v>
      </c>
      <c r="L49" s="326">
        <v>2000</v>
      </c>
      <c r="M49" s="326" t="s">
        <v>31</v>
      </c>
      <c r="N49" s="342">
        <v>11.4</v>
      </c>
      <c r="O49" s="337">
        <f>IF(N49&gt;0,1/N49*37.7*68.6,"")</f>
        <v>226.8614035087719</v>
      </c>
      <c r="P49" s="328">
        <v>10.35</v>
      </c>
      <c r="Q49" s="327" t="s">
        <v>63</v>
      </c>
      <c r="R49" s="326" t="s">
        <v>33</v>
      </c>
      <c r="S49" s="326" t="s">
        <v>67</v>
      </c>
      <c r="T49" s="326"/>
      <c r="U49" s="345"/>
      <c r="V49" s="324">
        <f>IF(N49&lt;&gt;0, IF(N49&gt;=P49,ROUNDDOWN(N49/P49*100,0),""),"")</f>
        <v>110</v>
      </c>
      <c r="W49" s="311"/>
      <c r="X49" s="323"/>
      <c r="Y49" s="311"/>
    </row>
    <row r="50" spans="1:115" s="320" customFormat="1" ht="21" customHeight="1">
      <c r="A50" s="341"/>
      <c r="B50" s="340"/>
      <c r="C50" s="339"/>
      <c r="D50" s="333" t="s">
        <v>1181</v>
      </c>
      <c r="E50" s="332" t="s">
        <v>41</v>
      </c>
      <c r="F50" s="331">
        <v>2.9990000000000001</v>
      </c>
      <c r="G50" s="332">
        <v>375</v>
      </c>
      <c r="H50" s="331">
        <v>110</v>
      </c>
      <c r="I50" s="332" t="s">
        <v>61</v>
      </c>
      <c r="J50" s="331">
        <v>2356</v>
      </c>
      <c r="K50" s="326">
        <v>4521</v>
      </c>
      <c r="L50" s="326">
        <v>2000</v>
      </c>
      <c r="M50" s="326" t="s">
        <v>31</v>
      </c>
      <c r="N50" s="342">
        <v>11.8</v>
      </c>
      <c r="O50" s="337">
        <f>IF(N50&gt;0,1/N50*37.7*68.6,"")</f>
        <v>219.17118644067796</v>
      </c>
      <c r="P50" s="328">
        <v>10.35</v>
      </c>
      <c r="Q50" s="327" t="s">
        <v>43</v>
      </c>
      <c r="R50" s="326" t="s">
        <v>33</v>
      </c>
      <c r="S50" s="326" t="s">
        <v>66</v>
      </c>
      <c r="T50" s="326"/>
      <c r="U50" s="345"/>
      <c r="V50" s="324">
        <f>IF(N50&lt;&gt;0, IF(N50&gt;=P50,ROUNDDOWN(N50/P50*100,0),""),"")</f>
        <v>114</v>
      </c>
      <c r="W50" s="311"/>
      <c r="X50" s="323"/>
      <c r="Y50" s="311"/>
    </row>
    <row r="51" spans="1:115" s="320" customFormat="1" ht="21" customHeight="1">
      <c r="A51" s="341"/>
      <c r="B51" s="340"/>
      <c r="C51" s="339"/>
      <c r="D51" s="333" t="s">
        <v>1181</v>
      </c>
      <c r="E51" s="332" t="s">
        <v>41</v>
      </c>
      <c r="F51" s="331">
        <v>2.9990000000000001</v>
      </c>
      <c r="G51" s="332">
        <v>375</v>
      </c>
      <c r="H51" s="331">
        <v>110</v>
      </c>
      <c r="I51" s="332" t="s">
        <v>61</v>
      </c>
      <c r="J51" s="331">
        <v>2356</v>
      </c>
      <c r="K51" s="326">
        <v>4521</v>
      </c>
      <c r="L51" s="326">
        <v>2000</v>
      </c>
      <c r="M51" s="326" t="s">
        <v>31</v>
      </c>
      <c r="N51" s="342">
        <v>11.8</v>
      </c>
      <c r="O51" s="337">
        <f>IF(N51&gt;0,1/N51*37.7*68.6,"")</f>
        <v>219.17118644067796</v>
      </c>
      <c r="P51" s="328">
        <v>10.35</v>
      </c>
      <c r="Q51" s="327" t="s">
        <v>43</v>
      </c>
      <c r="R51" s="326" t="s">
        <v>33</v>
      </c>
      <c r="S51" s="326" t="s">
        <v>67</v>
      </c>
      <c r="T51" s="326"/>
      <c r="U51" s="345"/>
      <c r="V51" s="324">
        <f>IF(N51&lt;&gt;0, IF(N51&gt;=P51,ROUNDDOWN(N51/P51*100,0),""),"")</f>
        <v>114</v>
      </c>
      <c r="W51" s="311"/>
      <c r="X51" s="323"/>
      <c r="Y51" s="311"/>
    </row>
    <row r="52" spans="1:115" s="320" customFormat="1" ht="21" customHeight="1">
      <c r="A52" s="341"/>
      <c r="B52" s="340"/>
      <c r="C52" s="339"/>
      <c r="D52" s="333" t="s">
        <v>1181</v>
      </c>
      <c r="E52" s="332" t="s">
        <v>41</v>
      </c>
      <c r="F52" s="331">
        <v>2.9990000000000001</v>
      </c>
      <c r="G52" s="332">
        <v>375</v>
      </c>
      <c r="H52" s="331">
        <v>110</v>
      </c>
      <c r="I52" s="332" t="s">
        <v>61</v>
      </c>
      <c r="J52" s="331">
        <v>2356</v>
      </c>
      <c r="K52" s="326">
        <v>4521</v>
      </c>
      <c r="L52" s="326">
        <v>2000</v>
      </c>
      <c r="M52" s="326" t="s">
        <v>31</v>
      </c>
      <c r="N52" s="342">
        <v>11.4</v>
      </c>
      <c r="O52" s="337">
        <f>IF(N52&gt;0,1/N52*37.7*68.6,"")</f>
        <v>226.8614035087719</v>
      </c>
      <c r="P52" s="328">
        <v>10.35</v>
      </c>
      <c r="Q52" s="327" t="s">
        <v>63</v>
      </c>
      <c r="R52" s="326" t="s">
        <v>33</v>
      </c>
      <c r="S52" s="326" t="s">
        <v>66</v>
      </c>
      <c r="T52" s="326"/>
      <c r="U52" s="345"/>
      <c r="V52" s="324">
        <f>IF(N52&lt;&gt;0, IF(N52&gt;=P52,ROUNDDOWN(N52/P52*100,0),""),"")</f>
        <v>110</v>
      </c>
      <c r="W52" s="311"/>
      <c r="X52" s="323"/>
      <c r="Y52" s="311"/>
    </row>
    <row r="53" spans="1:115" s="320" customFormat="1" ht="21" customHeight="1">
      <c r="A53" s="341"/>
      <c r="B53" s="340"/>
      <c r="C53" s="339"/>
      <c r="D53" s="333" t="s">
        <v>1181</v>
      </c>
      <c r="E53" s="332" t="s">
        <v>41</v>
      </c>
      <c r="F53" s="331">
        <v>2.9990000000000001</v>
      </c>
      <c r="G53" s="332">
        <v>375</v>
      </c>
      <c r="H53" s="331">
        <v>110</v>
      </c>
      <c r="I53" s="332" t="s">
        <v>61</v>
      </c>
      <c r="J53" s="331">
        <v>2356</v>
      </c>
      <c r="K53" s="326">
        <v>4521</v>
      </c>
      <c r="L53" s="326">
        <v>2000</v>
      </c>
      <c r="M53" s="326" t="s">
        <v>31</v>
      </c>
      <c r="N53" s="342">
        <v>11.4</v>
      </c>
      <c r="O53" s="337">
        <f>IF(N53&gt;0,1/N53*37.7*68.6,"")</f>
        <v>226.8614035087719</v>
      </c>
      <c r="P53" s="328">
        <v>10.35</v>
      </c>
      <c r="Q53" s="327" t="s">
        <v>63</v>
      </c>
      <c r="R53" s="326" t="s">
        <v>33</v>
      </c>
      <c r="S53" s="326" t="s">
        <v>67</v>
      </c>
      <c r="T53" s="326"/>
      <c r="U53" s="345"/>
      <c r="V53" s="324">
        <f>IF(N53&lt;&gt;0, IF(N53&gt;=P53,ROUNDDOWN(N53/P53*100,0),""),"")</f>
        <v>110</v>
      </c>
      <c r="W53" s="311"/>
      <c r="X53" s="323"/>
      <c r="Y53" s="311"/>
    </row>
    <row r="54" spans="1:115" s="320" customFormat="1" ht="21" customHeight="1">
      <c r="A54" s="341"/>
      <c r="B54" s="340"/>
      <c r="C54" s="339"/>
      <c r="D54" s="333" t="s">
        <v>1180</v>
      </c>
      <c r="E54" s="332" t="s">
        <v>41</v>
      </c>
      <c r="F54" s="331">
        <v>2.9990000000000001</v>
      </c>
      <c r="G54" s="332">
        <v>375</v>
      </c>
      <c r="H54" s="331">
        <v>110</v>
      </c>
      <c r="I54" s="332" t="s">
        <v>70</v>
      </c>
      <c r="J54" s="331">
        <v>2356</v>
      </c>
      <c r="K54" s="326">
        <v>4521</v>
      </c>
      <c r="L54" s="326">
        <v>2000</v>
      </c>
      <c r="M54" s="326" t="s">
        <v>31</v>
      </c>
      <c r="N54" s="342">
        <v>11.8</v>
      </c>
      <c r="O54" s="337">
        <f>IF(N54&gt;0,1/N54*37.7*68.6,"")</f>
        <v>219.17118644067796</v>
      </c>
      <c r="P54" s="328">
        <v>10.35</v>
      </c>
      <c r="Q54" s="327" t="s">
        <v>43</v>
      </c>
      <c r="R54" s="326" t="s">
        <v>33</v>
      </c>
      <c r="S54" s="326" t="s">
        <v>395</v>
      </c>
      <c r="T54" s="326"/>
      <c r="U54" s="345"/>
      <c r="V54" s="324">
        <f>IF(N54&lt;&gt;0, IF(N54&gt;=P54,ROUNDDOWN(N54/P54*100,0),""),"")</f>
        <v>114</v>
      </c>
      <c r="W54" s="311"/>
      <c r="X54" s="323"/>
      <c r="Y54" s="311"/>
    </row>
    <row r="55" spans="1:115" s="320" customFormat="1" ht="21" customHeight="1">
      <c r="A55" s="341"/>
      <c r="B55" s="340"/>
      <c r="C55" s="339"/>
      <c r="D55" s="333" t="s">
        <v>1180</v>
      </c>
      <c r="E55" s="332" t="s">
        <v>41</v>
      </c>
      <c r="F55" s="331">
        <v>2.9990000000000001</v>
      </c>
      <c r="G55" s="332">
        <v>375</v>
      </c>
      <c r="H55" s="331">
        <v>110</v>
      </c>
      <c r="I55" s="332" t="s">
        <v>70</v>
      </c>
      <c r="J55" s="331">
        <v>2356</v>
      </c>
      <c r="K55" s="326">
        <v>4521</v>
      </c>
      <c r="L55" s="326">
        <v>2000</v>
      </c>
      <c r="M55" s="326" t="s">
        <v>31</v>
      </c>
      <c r="N55" s="342">
        <v>11.8</v>
      </c>
      <c r="O55" s="337">
        <f>IF(N55&gt;0,1/N55*37.7*68.6,"")</f>
        <v>219.17118644067796</v>
      </c>
      <c r="P55" s="328">
        <v>10.35</v>
      </c>
      <c r="Q55" s="327" t="s">
        <v>43</v>
      </c>
      <c r="R55" s="326" t="s">
        <v>33</v>
      </c>
      <c r="S55" s="326" t="s">
        <v>34</v>
      </c>
      <c r="T55" s="326"/>
      <c r="U55" s="345"/>
      <c r="V55" s="324">
        <f>IF(N55&lt;&gt;0, IF(N55&gt;=P55,ROUNDDOWN(N55/P55*100,0),""),"")</f>
        <v>114</v>
      </c>
      <c r="W55" s="311"/>
      <c r="X55" s="323"/>
      <c r="Y55" s="311"/>
    </row>
    <row r="56" spans="1:115" s="320" customFormat="1" ht="21" customHeight="1">
      <c r="A56" s="341"/>
      <c r="B56" s="340"/>
      <c r="C56" s="339"/>
      <c r="D56" s="333" t="s">
        <v>1180</v>
      </c>
      <c r="E56" s="332" t="s">
        <v>41</v>
      </c>
      <c r="F56" s="331">
        <v>2.9990000000000001</v>
      </c>
      <c r="G56" s="332">
        <v>375</v>
      </c>
      <c r="H56" s="331">
        <v>110</v>
      </c>
      <c r="I56" s="332" t="s">
        <v>71</v>
      </c>
      <c r="J56" s="331">
        <v>2356</v>
      </c>
      <c r="K56" s="326">
        <v>4521</v>
      </c>
      <c r="L56" s="326">
        <v>2000</v>
      </c>
      <c r="M56" s="326" t="s">
        <v>31</v>
      </c>
      <c r="N56" s="342">
        <v>11.8</v>
      </c>
      <c r="O56" s="337">
        <f>IF(N56&gt;0,1/N56*37.7*68.6,"")</f>
        <v>219.17118644067796</v>
      </c>
      <c r="P56" s="328">
        <v>10.35</v>
      </c>
      <c r="Q56" s="327" t="s">
        <v>43</v>
      </c>
      <c r="R56" s="326" t="s">
        <v>33</v>
      </c>
      <c r="S56" s="326" t="s">
        <v>395</v>
      </c>
      <c r="T56" s="326"/>
      <c r="U56" s="345"/>
      <c r="V56" s="324">
        <f>IF(N56&lt;&gt;0, IF(N56&gt;=P56,ROUNDDOWN(N56/P56*100,0),""),"")</f>
        <v>114</v>
      </c>
      <c r="W56" s="311"/>
      <c r="X56" s="323"/>
      <c r="Y56" s="311"/>
    </row>
    <row r="57" spans="1:115" s="320" customFormat="1" ht="21" customHeight="1">
      <c r="A57" s="341"/>
      <c r="B57" s="340"/>
      <c r="C57" s="339"/>
      <c r="D57" s="333" t="s">
        <v>1180</v>
      </c>
      <c r="E57" s="332" t="s">
        <v>41</v>
      </c>
      <c r="F57" s="331">
        <v>2.9990000000000001</v>
      </c>
      <c r="G57" s="332">
        <v>375</v>
      </c>
      <c r="H57" s="331">
        <v>110</v>
      </c>
      <c r="I57" s="332" t="s">
        <v>71</v>
      </c>
      <c r="J57" s="331">
        <v>2356</v>
      </c>
      <c r="K57" s="326">
        <v>4521</v>
      </c>
      <c r="L57" s="326">
        <v>2000</v>
      </c>
      <c r="M57" s="326" t="s">
        <v>31</v>
      </c>
      <c r="N57" s="342">
        <v>11.8</v>
      </c>
      <c r="O57" s="337">
        <f>IF(N57&gt;0,1/N57*37.7*68.6,"")</f>
        <v>219.17118644067796</v>
      </c>
      <c r="P57" s="328">
        <v>10.35</v>
      </c>
      <c r="Q57" s="327" t="s">
        <v>43</v>
      </c>
      <c r="R57" s="326" t="s">
        <v>33</v>
      </c>
      <c r="S57" s="326" t="s">
        <v>34</v>
      </c>
      <c r="T57" s="326"/>
      <c r="U57" s="345"/>
      <c r="V57" s="324">
        <f>IF(N57&lt;&gt;0, IF(N57&gt;=P57,ROUNDDOWN(N57/P57*100,0),""),"")</f>
        <v>114</v>
      </c>
      <c r="W57" s="311"/>
      <c r="X57" s="323"/>
      <c r="Y57" s="311"/>
    </row>
    <row r="58" spans="1:115" s="320" customFormat="1" ht="21" customHeight="1">
      <c r="A58" s="341"/>
      <c r="B58" s="340"/>
      <c r="C58" s="346"/>
      <c r="D58" s="333" t="s">
        <v>1180</v>
      </c>
      <c r="E58" s="332" t="s">
        <v>41</v>
      </c>
      <c r="F58" s="331">
        <v>2.9990000000000001</v>
      </c>
      <c r="G58" s="332">
        <v>375</v>
      </c>
      <c r="H58" s="331">
        <v>110</v>
      </c>
      <c r="I58" s="332" t="s">
        <v>70</v>
      </c>
      <c r="J58" s="331">
        <v>2356</v>
      </c>
      <c r="K58" s="326">
        <v>4521</v>
      </c>
      <c r="L58" s="326">
        <v>2000</v>
      </c>
      <c r="M58" s="326" t="s">
        <v>31</v>
      </c>
      <c r="N58" s="342">
        <v>11.4</v>
      </c>
      <c r="O58" s="337">
        <f>IF(N58&gt;0,1/N58*37.7*68.6,"")</f>
        <v>226.8614035087719</v>
      </c>
      <c r="P58" s="328">
        <v>10.35</v>
      </c>
      <c r="Q58" s="327" t="s">
        <v>63</v>
      </c>
      <c r="R58" s="326" t="s">
        <v>33</v>
      </c>
      <c r="S58" s="326" t="s">
        <v>395</v>
      </c>
      <c r="T58" s="326"/>
      <c r="U58" s="345"/>
      <c r="V58" s="324">
        <f>IF(N58&lt;&gt;0, IF(N58&gt;=P58,ROUNDDOWN(N58/P58*100,0),""),"")</f>
        <v>110</v>
      </c>
      <c r="W58" s="311"/>
      <c r="X58" s="323"/>
      <c r="Y58" s="311"/>
    </row>
    <row r="59" spans="1:115" s="320" customFormat="1" ht="21" customHeight="1">
      <c r="A59" s="341"/>
      <c r="B59" s="340"/>
      <c r="C59" s="339"/>
      <c r="D59" s="333" t="s">
        <v>1180</v>
      </c>
      <c r="E59" s="332" t="s">
        <v>41</v>
      </c>
      <c r="F59" s="331">
        <v>2.9990000000000001</v>
      </c>
      <c r="G59" s="332">
        <v>375</v>
      </c>
      <c r="H59" s="331">
        <v>110</v>
      </c>
      <c r="I59" s="332" t="s">
        <v>70</v>
      </c>
      <c r="J59" s="331">
        <v>2356</v>
      </c>
      <c r="K59" s="326">
        <v>4521</v>
      </c>
      <c r="L59" s="326">
        <v>2000</v>
      </c>
      <c r="M59" s="326" t="s">
        <v>31</v>
      </c>
      <c r="N59" s="342">
        <v>11.4</v>
      </c>
      <c r="O59" s="337">
        <f>IF(N59&gt;0,1/N59*37.7*68.6,"")</f>
        <v>226.8614035087719</v>
      </c>
      <c r="P59" s="328">
        <v>10.35</v>
      </c>
      <c r="Q59" s="327" t="s">
        <v>63</v>
      </c>
      <c r="R59" s="326" t="s">
        <v>33</v>
      </c>
      <c r="S59" s="326" t="s">
        <v>34</v>
      </c>
      <c r="T59" s="326"/>
      <c r="U59" s="345"/>
      <c r="V59" s="324">
        <f>IF(N59&lt;&gt;0, IF(N59&gt;=P59,ROUNDDOWN(N59/P59*100,0),""),"")</f>
        <v>110</v>
      </c>
      <c r="W59" s="311"/>
      <c r="X59" s="323"/>
      <c r="Y59" s="311"/>
    </row>
    <row r="60" spans="1:115" s="320" customFormat="1" ht="21" customHeight="1">
      <c r="A60" s="341"/>
      <c r="B60" s="340"/>
      <c r="C60" s="339"/>
      <c r="D60" s="333" t="s">
        <v>1180</v>
      </c>
      <c r="E60" s="332" t="s">
        <v>41</v>
      </c>
      <c r="F60" s="331">
        <v>2.9990000000000001</v>
      </c>
      <c r="G60" s="332">
        <v>375</v>
      </c>
      <c r="H60" s="331">
        <v>110</v>
      </c>
      <c r="I60" s="332" t="s">
        <v>71</v>
      </c>
      <c r="J60" s="331">
        <v>2356</v>
      </c>
      <c r="K60" s="326">
        <v>4521</v>
      </c>
      <c r="L60" s="326">
        <v>2000</v>
      </c>
      <c r="M60" s="326" t="s">
        <v>31</v>
      </c>
      <c r="N60" s="342">
        <v>11.4</v>
      </c>
      <c r="O60" s="337">
        <f>IF(N60&gt;0,1/N60*37.7*68.6,"")</f>
        <v>226.8614035087719</v>
      </c>
      <c r="P60" s="328">
        <v>10.35</v>
      </c>
      <c r="Q60" s="327" t="s">
        <v>63</v>
      </c>
      <c r="R60" s="326" t="s">
        <v>33</v>
      </c>
      <c r="S60" s="326" t="s">
        <v>395</v>
      </c>
      <c r="T60" s="326"/>
      <c r="U60" s="345"/>
      <c r="V60" s="324">
        <f>IF(N60&lt;&gt;0, IF(N60&gt;=P60,ROUNDDOWN(N60/P60*100,0),""),"")</f>
        <v>110</v>
      </c>
      <c r="W60" s="311"/>
      <c r="X60" s="323"/>
      <c r="Y60" s="311"/>
    </row>
    <row r="61" spans="1:115" s="320" customFormat="1" ht="21" customHeight="1">
      <c r="A61" s="341"/>
      <c r="B61" s="340"/>
      <c r="C61" s="339"/>
      <c r="D61" s="333" t="s">
        <v>1180</v>
      </c>
      <c r="E61" s="332" t="s">
        <v>41</v>
      </c>
      <c r="F61" s="331">
        <v>2.9990000000000001</v>
      </c>
      <c r="G61" s="332">
        <v>375</v>
      </c>
      <c r="H61" s="331">
        <v>110</v>
      </c>
      <c r="I61" s="332" t="s">
        <v>71</v>
      </c>
      <c r="J61" s="331">
        <v>2356</v>
      </c>
      <c r="K61" s="326">
        <v>4521</v>
      </c>
      <c r="L61" s="326">
        <v>2000</v>
      </c>
      <c r="M61" s="326" t="s">
        <v>31</v>
      </c>
      <c r="N61" s="342">
        <v>11.4</v>
      </c>
      <c r="O61" s="337">
        <f>IF(N61&gt;0,1/N61*37.7*68.6,"")</f>
        <v>226.8614035087719</v>
      </c>
      <c r="P61" s="328">
        <v>10.35</v>
      </c>
      <c r="Q61" s="327" t="s">
        <v>63</v>
      </c>
      <c r="R61" s="326" t="s">
        <v>33</v>
      </c>
      <c r="S61" s="326" t="s">
        <v>34</v>
      </c>
      <c r="T61" s="326"/>
      <c r="U61" s="345"/>
      <c r="V61" s="324">
        <f>IF(N61&lt;&gt;0, IF(N61&gt;=P61,ROUNDDOWN(N61/P61*100,0),""),"")</f>
        <v>110</v>
      </c>
      <c r="W61" s="311"/>
      <c r="X61" s="323"/>
      <c r="Y61" s="311"/>
    </row>
    <row r="62" spans="1:115" s="320" customFormat="1" ht="21" customHeight="1">
      <c r="A62" s="341"/>
      <c r="B62" s="340"/>
      <c r="C62" s="339"/>
      <c r="D62" s="333" t="s">
        <v>1179</v>
      </c>
      <c r="E62" s="332" t="s">
        <v>41</v>
      </c>
      <c r="F62" s="331">
        <v>2.9990000000000001</v>
      </c>
      <c r="G62" s="332">
        <v>375</v>
      </c>
      <c r="H62" s="331" t="s">
        <v>466</v>
      </c>
      <c r="I62" s="332" t="s">
        <v>70</v>
      </c>
      <c r="J62" s="331">
        <v>2356</v>
      </c>
      <c r="K62" s="326">
        <v>4521</v>
      </c>
      <c r="L62" s="326">
        <v>2000</v>
      </c>
      <c r="M62" s="326" t="s">
        <v>31</v>
      </c>
      <c r="N62" s="342">
        <v>11.8</v>
      </c>
      <c r="O62" s="337">
        <f>IF(N62&gt;0,1/N62*37.7*68.6,"")</f>
        <v>219.17118644067796</v>
      </c>
      <c r="P62" s="328">
        <v>10.35</v>
      </c>
      <c r="Q62" s="327" t="s">
        <v>43</v>
      </c>
      <c r="R62" s="326" t="s">
        <v>33</v>
      </c>
      <c r="S62" s="326" t="s">
        <v>44</v>
      </c>
      <c r="T62" s="326"/>
      <c r="U62" s="345"/>
      <c r="V62" s="324">
        <f>IF(N62&lt;&gt;0, IF(N62&gt;=P62,ROUNDDOWN(N62/P62*100,0),""),"")</f>
        <v>114</v>
      </c>
      <c r="W62" s="311"/>
      <c r="AR62" s="322"/>
      <c r="AS62" s="322"/>
      <c r="AT62" s="322"/>
      <c r="AU62" s="322"/>
      <c r="AV62" s="322"/>
      <c r="AW62" s="322"/>
      <c r="AX62" s="322"/>
      <c r="AY62" s="322"/>
      <c r="AZ62" s="322"/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322"/>
      <c r="BM62" s="322"/>
      <c r="BN62" s="322"/>
      <c r="BO62" s="322"/>
      <c r="BP62" s="322"/>
      <c r="BQ62" s="322"/>
      <c r="BR62" s="322"/>
      <c r="BS62" s="322"/>
      <c r="BT62" s="322"/>
      <c r="BU62" s="322"/>
      <c r="BV62" s="322"/>
      <c r="BW62" s="322"/>
      <c r="BX62" s="322"/>
      <c r="BY62" s="322"/>
      <c r="BZ62" s="322"/>
      <c r="CA62" s="322"/>
      <c r="CB62" s="322"/>
      <c r="CC62" s="322"/>
      <c r="CD62" s="322"/>
      <c r="CE62" s="322"/>
      <c r="CF62" s="322"/>
      <c r="CG62" s="322"/>
      <c r="CH62" s="322"/>
      <c r="CI62" s="322"/>
      <c r="CJ62" s="322"/>
      <c r="CK62" s="322"/>
      <c r="CL62" s="322"/>
      <c r="CM62" s="322"/>
      <c r="CN62" s="322"/>
      <c r="CO62" s="322"/>
      <c r="CP62" s="322"/>
      <c r="CQ62" s="322"/>
      <c r="CR62" s="322"/>
      <c r="CS62" s="322"/>
      <c r="CT62" s="322"/>
      <c r="CU62" s="322"/>
      <c r="CV62" s="322"/>
      <c r="CW62" s="322"/>
      <c r="CX62" s="322"/>
      <c r="CY62" s="322"/>
      <c r="CZ62" s="322"/>
      <c r="DA62" s="322"/>
      <c r="DB62" s="322"/>
      <c r="DC62" s="322"/>
      <c r="DD62" s="322"/>
      <c r="DE62" s="322"/>
      <c r="DF62" s="322"/>
      <c r="DG62" s="322"/>
      <c r="DH62" s="322"/>
      <c r="DI62" s="322"/>
      <c r="DJ62" s="322"/>
      <c r="DK62" s="322"/>
    </row>
    <row r="63" spans="1:115" s="320" customFormat="1" ht="21" customHeight="1">
      <c r="A63" s="341"/>
      <c r="B63" s="340"/>
      <c r="C63" s="339"/>
      <c r="D63" s="333" t="s">
        <v>1179</v>
      </c>
      <c r="E63" s="332" t="s">
        <v>41</v>
      </c>
      <c r="F63" s="331">
        <v>2.9990000000000001</v>
      </c>
      <c r="G63" s="332">
        <v>375</v>
      </c>
      <c r="H63" s="331" t="s">
        <v>466</v>
      </c>
      <c r="I63" s="332" t="s">
        <v>42</v>
      </c>
      <c r="J63" s="331">
        <v>2356</v>
      </c>
      <c r="K63" s="326">
        <v>4521</v>
      </c>
      <c r="L63" s="326">
        <v>2000</v>
      </c>
      <c r="M63" s="326" t="s">
        <v>31</v>
      </c>
      <c r="N63" s="342">
        <v>11.8</v>
      </c>
      <c r="O63" s="337">
        <f>IF(N63&gt;0,1/N63*37.7*68.6,"")</f>
        <v>219.17118644067796</v>
      </c>
      <c r="P63" s="328">
        <v>10.35</v>
      </c>
      <c r="Q63" s="327" t="s">
        <v>63</v>
      </c>
      <c r="R63" s="326" t="s">
        <v>33</v>
      </c>
      <c r="S63" s="326" t="s">
        <v>44</v>
      </c>
      <c r="T63" s="326"/>
      <c r="U63" s="345"/>
      <c r="V63" s="324">
        <f>IF(N63&lt;&gt;0, IF(N63&gt;=P63,ROUNDDOWN(N63/P63*100,0),""),"")</f>
        <v>114</v>
      </c>
      <c r="W63" s="311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2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2"/>
      <c r="BU63" s="322"/>
      <c r="BV63" s="322"/>
      <c r="BW63" s="322"/>
      <c r="BX63" s="322"/>
      <c r="BY63" s="322"/>
      <c r="BZ63" s="322"/>
      <c r="CA63" s="322"/>
      <c r="CB63" s="322"/>
      <c r="CC63" s="322"/>
      <c r="CD63" s="322"/>
      <c r="CE63" s="322"/>
      <c r="CF63" s="322"/>
      <c r="CG63" s="322"/>
      <c r="CH63" s="322"/>
      <c r="CI63" s="322"/>
      <c r="CJ63" s="322"/>
      <c r="CK63" s="322"/>
      <c r="CL63" s="322"/>
      <c r="CM63" s="322"/>
      <c r="CN63" s="322"/>
      <c r="CO63" s="322"/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2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</row>
    <row r="64" spans="1:115" s="320" customFormat="1" ht="21" customHeight="1">
      <c r="A64" s="341"/>
      <c r="B64" s="340"/>
      <c r="C64" s="339"/>
      <c r="D64" s="333" t="s">
        <v>1179</v>
      </c>
      <c r="E64" s="332" t="s">
        <v>41</v>
      </c>
      <c r="F64" s="331">
        <v>2.9990000000000001</v>
      </c>
      <c r="G64" s="332">
        <v>375</v>
      </c>
      <c r="H64" s="331" t="s">
        <v>466</v>
      </c>
      <c r="I64" s="332" t="s">
        <v>70</v>
      </c>
      <c r="J64" s="331">
        <v>2356</v>
      </c>
      <c r="K64" s="326">
        <v>4521</v>
      </c>
      <c r="L64" s="326">
        <v>2000</v>
      </c>
      <c r="M64" s="326" t="s">
        <v>31</v>
      </c>
      <c r="N64" s="342">
        <v>11.8</v>
      </c>
      <c r="O64" s="337">
        <f>IF(N64&gt;0,1/N64*37.7*68.6,"")</f>
        <v>219.17118644067796</v>
      </c>
      <c r="P64" s="328">
        <v>10.35</v>
      </c>
      <c r="Q64" s="327" t="s">
        <v>43</v>
      </c>
      <c r="R64" s="326" t="s">
        <v>33</v>
      </c>
      <c r="S64" s="326" t="s">
        <v>34</v>
      </c>
      <c r="T64" s="326"/>
      <c r="U64" s="345"/>
      <c r="V64" s="324">
        <f>IF(N64&lt;&gt;0, IF(N64&gt;=P64,ROUNDDOWN(N64/P64*100,0),""),"")</f>
        <v>114</v>
      </c>
      <c r="W64" s="311"/>
      <c r="AR64" s="322"/>
      <c r="AS64" s="322"/>
      <c r="AT64" s="322"/>
      <c r="AU64" s="322"/>
      <c r="AV64" s="322"/>
      <c r="AW64" s="322"/>
      <c r="AX64" s="322"/>
      <c r="AY64" s="322"/>
      <c r="AZ64" s="322"/>
      <c r="BA64" s="322"/>
      <c r="BB64" s="322"/>
      <c r="BC64" s="322"/>
      <c r="BD64" s="322"/>
      <c r="BE64" s="322"/>
      <c r="BF64" s="322"/>
      <c r="BG64" s="322"/>
      <c r="BH64" s="322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2"/>
      <c r="BU64" s="322"/>
      <c r="BV64" s="322"/>
      <c r="BW64" s="322"/>
      <c r="BX64" s="322"/>
      <c r="BY64" s="322"/>
      <c r="BZ64" s="322"/>
      <c r="CA64" s="322"/>
      <c r="CB64" s="322"/>
      <c r="CC64" s="322"/>
      <c r="CD64" s="322"/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2"/>
      <c r="CU64" s="322"/>
      <c r="CV64" s="322"/>
      <c r="CW64" s="322"/>
      <c r="CX64" s="322"/>
      <c r="CY64" s="322"/>
      <c r="CZ64" s="322"/>
      <c r="DA64" s="322"/>
      <c r="DB64" s="322"/>
      <c r="DC64" s="322"/>
      <c r="DD64" s="322"/>
      <c r="DE64" s="322"/>
      <c r="DF64" s="322"/>
      <c r="DG64" s="322"/>
      <c r="DH64" s="322"/>
      <c r="DI64" s="322"/>
      <c r="DJ64" s="322"/>
      <c r="DK64" s="322"/>
    </row>
    <row r="65" spans="1:115" s="320" customFormat="1" ht="21" customHeight="1">
      <c r="A65" s="341"/>
      <c r="B65" s="340"/>
      <c r="C65" s="339"/>
      <c r="D65" s="333" t="s">
        <v>1179</v>
      </c>
      <c r="E65" s="332" t="s">
        <v>41</v>
      </c>
      <c r="F65" s="331">
        <v>2.9990000000000001</v>
      </c>
      <c r="G65" s="332">
        <v>375</v>
      </c>
      <c r="H65" s="331" t="s">
        <v>466</v>
      </c>
      <c r="I65" s="332" t="s">
        <v>42</v>
      </c>
      <c r="J65" s="331">
        <v>2356</v>
      </c>
      <c r="K65" s="326">
        <v>4521</v>
      </c>
      <c r="L65" s="326">
        <v>2000</v>
      </c>
      <c r="M65" s="326" t="s">
        <v>31</v>
      </c>
      <c r="N65" s="342">
        <v>11.8</v>
      </c>
      <c r="O65" s="337">
        <f>IF(N65&gt;0,1/N65*37.7*68.6,"")</f>
        <v>219.17118644067796</v>
      </c>
      <c r="P65" s="328">
        <v>10.35</v>
      </c>
      <c r="Q65" s="327" t="s">
        <v>63</v>
      </c>
      <c r="R65" s="326" t="s">
        <v>33</v>
      </c>
      <c r="S65" s="326" t="s">
        <v>34</v>
      </c>
      <c r="T65" s="326"/>
      <c r="U65" s="345"/>
      <c r="V65" s="324">
        <f>IF(N65&lt;&gt;0, IF(N65&gt;=P65,ROUNDDOWN(N65/P65*100,0),""),"")</f>
        <v>114</v>
      </c>
      <c r="W65" s="311"/>
      <c r="AR65" s="322"/>
      <c r="AS65" s="322"/>
      <c r="AT65" s="322"/>
      <c r="AU65" s="322"/>
      <c r="AV65" s="322"/>
      <c r="AW65" s="322"/>
      <c r="AX65" s="322"/>
      <c r="AY65" s="322"/>
      <c r="AZ65" s="322"/>
      <c r="BA65" s="322"/>
      <c r="BB65" s="322"/>
      <c r="BC65" s="322"/>
      <c r="BD65" s="322"/>
      <c r="BE65" s="322"/>
      <c r="BF65" s="322"/>
      <c r="BG65" s="322"/>
      <c r="BH65" s="322"/>
      <c r="BI65" s="322"/>
      <c r="BJ65" s="322"/>
      <c r="BK65" s="322"/>
      <c r="BL65" s="322"/>
      <c r="BM65" s="322"/>
      <c r="BN65" s="322"/>
      <c r="BO65" s="322"/>
      <c r="BP65" s="322"/>
      <c r="BQ65" s="322"/>
      <c r="BR65" s="322"/>
      <c r="BS65" s="322"/>
      <c r="BT65" s="322"/>
      <c r="BU65" s="322"/>
      <c r="BV65" s="322"/>
      <c r="BW65" s="322"/>
      <c r="BX65" s="322"/>
      <c r="BY65" s="322"/>
      <c r="BZ65" s="322"/>
      <c r="CA65" s="322"/>
      <c r="CB65" s="322"/>
      <c r="CC65" s="322"/>
      <c r="CD65" s="322"/>
      <c r="CE65" s="322"/>
      <c r="CF65" s="322"/>
      <c r="CG65" s="322"/>
      <c r="CH65" s="322"/>
      <c r="CI65" s="322"/>
      <c r="CJ65" s="322"/>
      <c r="CK65" s="322"/>
      <c r="CL65" s="322"/>
      <c r="CM65" s="322"/>
      <c r="CN65" s="322"/>
      <c r="CO65" s="322"/>
      <c r="CP65" s="322"/>
      <c r="CQ65" s="322"/>
      <c r="CR65" s="322"/>
      <c r="CS65" s="322"/>
      <c r="CT65" s="322"/>
      <c r="CU65" s="322"/>
      <c r="CV65" s="322"/>
      <c r="CW65" s="322"/>
      <c r="CX65" s="322"/>
      <c r="CY65" s="322"/>
      <c r="CZ65" s="322"/>
      <c r="DA65" s="322"/>
      <c r="DB65" s="322"/>
      <c r="DC65" s="322"/>
      <c r="DD65" s="322"/>
      <c r="DE65" s="322"/>
      <c r="DF65" s="322"/>
      <c r="DG65" s="322"/>
      <c r="DH65" s="322"/>
      <c r="DI65" s="322"/>
      <c r="DJ65" s="322"/>
      <c r="DK65" s="322"/>
    </row>
    <row r="66" spans="1:115" s="320" customFormat="1" ht="21" customHeight="1">
      <c r="A66" s="341"/>
      <c r="B66" s="340"/>
      <c r="C66" s="339"/>
      <c r="D66" s="333" t="s">
        <v>1179</v>
      </c>
      <c r="E66" s="332" t="s">
        <v>41</v>
      </c>
      <c r="F66" s="331">
        <v>2.9990000000000001</v>
      </c>
      <c r="G66" s="332">
        <v>375</v>
      </c>
      <c r="H66" s="331" t="s">
        <v>466</v>
      </c>
      <c r="I66" s="332" t="s">
        <v>70</v>
      </c>
      <c r="J66" s="331">
        <v>2356</v>
      </c>
      <c r="K66" s="326">
        <v>4521</v>
      </c>
      <c r="L66" s="326">
        <v>2000</v>
      </c>
      <c r="M66" s="326" t="s">
        <v>31</v>
      </c>
      <c r="N66" s="342">
        <v>11.4</v>
      </c>
      <c r="O66" s="337">
        <f>IF(N66&gt;0,1/N66*37.7*68.6,"")</f>
        <v>226.8614035087719</v>
      </c>
      <c r="P66" s="328">
        <v>10.35</v>
      </c>
      <c r="Q66" s="327" t="s">
        <v>63</v>
      </c>
      <c r="R66" s="326" t="s">
        <v>33</v>
      </c>
      <c r="S66" s="326" t="s">
        <v>44</v>
      </c>
      <c r="T66" s="326"/>
      <c r="U66" s="345"/>
      <c r="V66" s="324">
        <f>IF(N66&lt;&gt;0, IF(N66&gt;=P66,ROUNDDOWN(N66/P66*100,0),""),"")</f>
        <v>110</v>
      </c>
      <c r="W66" s="311"/>
      <c r="AR66" s="322"/>
      <c r="AS66" s="322"/>
      <c r="AT66" s="322"/>
      <c r="AU66" s="322"/>
      <c r="AV66" s="322"/>
      <c r="AW66" s="322"/>
      <c r="AX66" s="322"/>
      <c r="AY66" s="322"/>
      <c r="AZ66" s="322"/>
      <c r="BA66" s="322"/>
      <c r="BB66" s="322"/>
      <c r="BC66" s="322"/>
      <c r="BD66" s="322"/>
      <c r="BE66" s="322"/>
      <c r="BF66" s="322"/>
      <c r="BG66" s="322"/>
      <c r="BH66" s="322"/>
      <c r="BI66" s="322"/>
      <c r="BJ66" s="322"/>
      <c r="BK66" s="322"/>
      <c r="BL66" s="322"/>
      <c r="BM66" s="322"/>
      <c r="BN66" s="322"/>
      <c r="BO66" s="322"/>
      <c r="BP66" s="322"/>
      <c r="BQ66" s="322"/>
      <c r="BR66" s="322"/>
      <c r="BS66" s="322"/>
      <c r="BT66" s="322"/>
      <c r="BU66" s="322"/>
      <c r="BV66" s="322"/>
      <c r="BW66" s="322"/>
      <c r="BX66" s="322"/>
      <c r="BY66" s="322"/>
      <c r="BZ66" s="322"/>
      <c r="CA66" s="322"/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2"/>
      <c r="CU66" s="322"/>
      <c r="CV66" s="322"/>
      <c r="CW66" s="322"/>
      <c r="CX66" s="322"/>
      <c r="CY66" s="322"/>
      <c r="CZ66" s="322"/>
      <c r="DA66" s="322"/>
      <c r="DB66" s="322"/>
      <c r="DC66" s="322"/>
      <c r="DD66" s="322"/>
      <c r="DE66" s="322"/>
      <c r="DF66" s="322"/>
      <c r="DG66" s="322"/>
      <c r="DH66" s="322"/>
      <c r="DI66" s="322"/>
      <c r="DJ66" s="322"/>
      <c r="DK66" s="322"/>
    </row>
    <row r="67" spans="1:115" s="320" customFormat="1" ht="21" customHeight="1">
      <c r="A67" s="341"/>
      <c r="B67" s="340"/>
      <c r="C67" s="339"/>
      <c r="D67" s="333" t="s">
        <v>1179</v>
      </c>
      <c r="E67" s="332" t="s">
        <v>41</v>
      </c>
      <c r="F67" s="331">
        <v>2.9990000000000001</v>
      </c>
      <c r="G67" s="332">
        <v>375</v>
      </c>
      <c r="H67" s="331" t="s">
        <v>466</v>
      </c>
      <c r="I67" s="332" t="s">
        <v>70</v>
      </c>
      <c r="J67" s="331">
        <v>2356</v>
      </c>
      <c r="K67" s="326">
        <v>4521</v>
      </c>
      <c r="L67" s="326">
        <v>2000</v>
      </c>
      <c r="M67" s="326" t="s">
        <v>31</v>
      </c>
      <c r="N67" s="342">
        <v>11.4</v>
      </c>
      <c r="O67" s="337">
        <f>IF(N67&gt;0,1/N67*37.7*68.6,"")</f>
        <v>226.8614035087719</v>
      </c>
      <c r="P67" s="328">
        <v>10.35</v>
      </c>
      <c r="Q67" s="327" t="s">
        <v>63</v>
      </c>
      <c r="R67" s="326" t="s">
        <v>33</v>
      </c>
      <c r="S67" s="326" t="s">
        <v>34</v>
      </c>
      <c r="T67" s="326"/>
      <c r="U67" s="345"/>
      <c r="V67" s="324">
        <f>IF(N67&lt;&gt;0, IF(N67&gt;=P67,ROUNDDOWN(N67/P67*100,0),""),"")</f>
        <v>110</v>
      </c>
      <c r="W67" s="311"/>
      <c r="AR67" s="322"/>
      <c r="AS67" s="322"/>
      <c r="AT67" s="322"/>
      <c r="AU67" s="322"/>
      <c r="AV67" s="322"/>
      <c r="AW67" s="322"/>
      <c r="AX67" s="322"/>
      <c r="AY67" s="322"/>
      <c r="AZ67" s="322"/>
      <c r="BA67" s="322"/>
      <c r="BB67" s="322"/>
      <c r="BC67" s="322"/>
      <c r="BD67" s="322"/>
      <c r="BE67" s="322"/>
      <c r="BF67" s="322"/>
      <c r="BG67" s="322"/>
      <c r="BH67" s="322"/>
      <c r="BI67" s="322"/>
      <c r="BJ67" s="322"/>
      <c r="BK67" s="322"/>
      <c r="BL67" s="322"/>
      <c r="BM67" s="322"/>
      <c r="BN67" s="322"/>
      <c r="BO67" s="322"/>
      <c r="BP67" s="322"/>
      <c r="BQ67" s="322"/>
      <c r="BR67" s="322"/>
      <c r="BS67" s="322"/>
      <c r="BT67" s="322"/>
      <c r="BU67" s="322"/>
      <c r="BV67" s="322"/>
      <c r="BW67" s="322"/>
      <c r="BX67" s="322"/>
      <c r="BY67" s="322"/>
      <c r="BZ67" s="322"/>
      <c r="CA67" s="322"/>
      <c r="CB67" s="322"/>
      <c r="CC67" s="322"/>
      <c r="CD67" s="322"/>
      <c r="CE67" s="322"/>
      <c r="CF67" s="322"/>
      <c r="CG67" s="322"/>
      <c r="CH67" s="322"/>
      <c r="CI67" s="322"/>
      <c r="CJ67" s="322"/>
      <c r="CK67" s="322"/>
      <c r="CL67" s="322"/>
      <c r="CM67" s="322"/>
      <c r="CN67" s="322"/>
      <c r="CO67" s="322"/>
      <c r="CP67" s="322"/>
      <c r="CQ67" s="322"/>
      <c r="CR67" s="322"/>
      <c r="CS67" s="322"/>
      <c r="CT67" s="322"/>
      <c r="CU67" s="322"/>
      <c r="CV67" s="322"/>
      <c r="CW67" s="322"/>
      <c r="CX67" s="322"/>
      <c r="CY67" s="322"/>
      <c r="CZ67" s="322"/>
      <c r="DA67" s="322"/>
      <c r="DB67" s="322"/>
      <c r="DC67" s="322"/>
      <c r="DD67" s="322"/>
      <c r="DE67" s="322"/>
      <c r="DF67" s="322"/>
      <c r="DG67" s="322"/>
      <c r="DH67" s="322"/>
      <c r="DI67" s="322"/>
      <c r="DJ67" s="322"/>
      <c r="DK67" s="322"/>
    </row>
    <row r="68" spans="1:115" s="320" customFormat="1" ht="21" customHeight="1">
      <c r="A68" s="341"/>
      <c r="B68" s="340"/>
      <c r="C68" s="339"/>
      <c r="D68" s="333" t="s">
        <v>1178</v>
      </c>
      <c r="E68" s="332" t="s">
        <v>41</v>
      </c>
      <c r="F68" s="331">
        <v>2.9990000000000001</v>
      </c>
      <c r="G68" s="332">
        <v>375</v>
      </c>
      <c r="H68" s="331" t="s">
        <v>466</v>
      </c>
      <c r="I68" s="332" t="s">
        <v>70</v>
      </c>
      <c r="J68" s="331">
        <v>2356</v>
      </c>
      <c r="K68" s="326">
        <v>4521</v>
      </c>
      <c r="L68" s="326">
        <v>2000</v>
      </c>
      <c r="M68" s="326" t="s">
        <v>31</v>
      </c>
      <c r="N68" s="338">
        <v>11.8</v>
      </c>
      <c r="O68" s="344">
        <f>IF(N68&gt;0,1/N68*37.7*68.6,"")</f>
        <v>219.17118644067796</v>
      </c>
      <c r="P68" s="328">
        <v>10.35</v>
      </c>
      <c r="Q68" s="327" t="s">
        <v>43</v>
      </c>
      <c r="R68" s="326" t="s">
        <v>33</v>
      </c>
      <c r="S68" s="326" t="s">
        <v>44</v>
      </c>
      <c r="T68" s="326"/>
      <c r="U68" s="345"/>
      <c r="V68" s="324">
        <f>IF(N68&lt;&gt;0, IF(N68&gt;=P68,ROUNDDOWN(N68/P68*100,0),""),"")</f>
        <v>114</v>
      </c>
      <c r="W68" s="311"/>
      <c r="AR68" s="322"/>
      <c r="AS68" s="322"/>
      <c r="AT68" s="322"/>
      <c r="AU68" s="322"/>
      <c r="AV68" s="322"/>
      <c r="AW68" s="322"/>
      <c r="AX68" s="322"/>
      <c r="AY68" s="322"/>
      <c r="AZ68" s="322"/>
      <c r="BA68" s="322"/>
      <c r="BB68" s="322"/>
      <c r="BC68" s="322"/>
      <c r="BD68" s="322"/>
      <c r="BE68" s="322"/>
      <c r="BF68" s="322"/>
      <c r="BG68" s="322"/>
      <c r="BH68" s="322"/>
      <c r="BI68" s="322"/>
      <c r="BJ68" s="322"/>
      <c r="BK68" s="322"/>
      <c r="BL68" s="322"/>
      <c r="BM68" s="322"/>
      <c r="BN68" s="322"/>
      <c r="BO68" s="322"/>
      <c r="BP68" s="322"/>
      <c r="BQ68" s="322"/>
      <c r="BR68" s="322"/>
      <c r="BS68" s="322"/>
      <c r="BT68" s="322"/>
      <c r="BU68" s="322"/>
      <c r="BV68" s="322"/>
      <c r="BW68" s="322"/>
      <c r="BX68" s="322"/>
      <c r="BY68" s="322"/>
      <c r="BZ68" s="322"/>
      <c r="CA68" s="322"/>
      <c r="CB68" s="322"/>
      <c r="CC68" s="322"/>
      <c r="CD68" s="322"/>
      <c r="CE68" s="322"/>
      <c r="CF68" s="322"/>
      <c r="CG68" s="322"/>
      <c r="CH68" s="322"/>
      <c r="CI68" s="322"/>
      <c r="CJ68" s="322"/>
      <c r="CK68" s="322"/>
      <c r="CL68" s="322"/>
      <c r="CM68" s="322"/>
      <c r="CN68" s="322"/>
      <c r="CO68" s="322"/>
      <c r="CP68" s="322"/>
      <c r="CQ68" s="322"/>
      <c r="CR68" s="322"/>
      <c r="CS68" s="322"/>
      <c r="CT68" s="322"/>
      <c r="CU68" s="322"/>
      <c r="CV68" s="322"/>
      <c r="CW68" s="322"/>
      <c r="CX68" s="322"/>
      <c r="CY68" s="322"/>
      <c r="CZ68" s="322"/>
      <c r="DA68" s="322"/>
      <c r="DB68" s="322"/>
      <c r="DC68" s="322"/>
      <c r="DD68" s="322"/>
      <c r="DE68" s="322"/>
      <c r="DF68" s="322"/>
      <c r="DG68" s="322"/>
      <c r="DH68" s="322"/>
      <c r="DI68" s="322"/>
      <c r="DJ68" s="322"/>
      <c r="DK68" s="322"/>
    </row>
    <row r="69" spans="1:115" s="320" customFormat="1" ht="21" customHeight="1">
      <c r="A69" s="341"/>
      <c r="B69" s="340"/>
      <c r="C69" s="339"/>
      <c r="D69" s="333" t="s">
        <v>1178</v>
      </c>
      <c r="E69" s="332" t="s">
        <v>41</v>
      </c>
      <c r="F69" s="331">
        <v>2.9990000000000001</v>
      </c>
      <c r="G69" s="332">
        <v>375</v>
      </c>
      <c r="H69" s="331" t="s">
        <v>466</v>
      </c>
      <c r="I69" s="332" t="s">
        <v>42</v>
      </c>
      <c r="J69" s="331">
        <v>2356</v>
      </c>
      <c r="K69" s="326">
        <v>4521</v>
      </c>
      <c r="L69" s="326">
        <v>2000</v>
      </c>
      <c r="M69" s="326" t="s">
        <v>31</v>
      </c>
      <c r="N69" s="342">
        <v>11.8</v>
      </c>
      <c r="O69" s="337">
        <f>IF(N69&gt;0,1/N69*37.7*68.6,"")</f>
        <v>219.17118644067796</v>
      </c>
      <c r="P69" s="328">
        <v>10.35</v>
      </c>
      <c r="Q69" s="327" t="s">
        <v>63</v>
      </c>
      <c r="R69" s="326" t="s">
        <v>33</v>
      </c>
      <c r="S69" s="326" t="s">
        <v>44</v>
      </c>
      <c r="T69" s="326"/>
      <c r="U69" s="345"/>
      <c r="V69" s="324">
        <f>IF(N69&lt;&gt;0, IF(N69&gt;=P69,ROUNDDOWN(N69/P69*100,0),""),"")</f>
        <v>114</v>
      </c>
      <c r="W69" s="311"/>
      <c r="AR69" s="322"/>
      <c r="AS69" s="322"/>
      <c r="AT69" s="322"/>
      <c r="AU69" s="322"/>
      <c r="AV69" s="322"/>
      <c r="AW69" s="322"/>
      <c r="AX69" s="322"/>
      <c r="AY69" s="322"/>
      <c r="AZ69" s="322"/>
      <c r="BA69" s="322"/>
      <c r="BB69" s="322"/>
      <c r="BC69" s="322"/>
      <c r="BD69" s="322"/>
      <c r="BE69" s="322"/>
      <c r="BF69" s="322"/>
      <c r="BG69" s="322"/>
      <c r="BH69" s="322"/>
      <c r="BI69" s="322"/>
      <c r="BJ69" s="322"/>
      <c r="BK69" s="322"/>
      <c r="BL69" s="322"/>
      <c r="BM69" s="322"/>
      <c r="BN69" s="322"/>
      <c r="BO69" s="322"/>
      <c r="BP69" s="322"/>
      <c r="BQ69" s="322"/>
      <c r="BR69" s="322"/>
      <c r="BS69" s="322"/>
      <c r="BT69" s="322"/>
      <c r="BU69" s="322"/>
      <c r="BV69" s="322"/>
      <c r="BW69" s="322"/>
      <c r="BX69" s="322"/>
      <c r="BY69" s="322"/>
      <c r="BZ69" s="322"/>
      <c r="CA69" s="322"/>
      <c r="CB69" s="322"/>
      <c r="CC69" s="322"/>
      <c r="CD69" s="322"/>
      <c r="CE69" s="322"/>
      <c r="CF69" s="322"/>
      <c r="CG69" s="322"/>
      <c r="CH69" s="322"/>
      <c r="CI69" s="322"/>
      <c r="CJ69" s="322"/>
      <c r="CK69" s="322"/>
      <c r="CL69" s="322"/>
      <c r="CM69" s="322"/>
      <c r="CN69" s="322"/>
      <c r="CO69" s="322"/>
      <c r="CP69" s="322"/>
      <c r="CQ69" s="322"/>
      <c r="CR69" s="322"/>
      <c r="CS69" s="322"/>
      <c r="CT69" s="322"/>
      <c r="CU69" s="322"/>
      <c r="CV69" s="322"/>
      <c r="CW69" s="322"/>
      <c r="CX69" s="322"/>
      <c r="CY69" s="322"/>
      <c r="CZ69" s="322"/>
      <c r="DA69" s="322"/>
      <c r="DB69" s="322"/>
      <c r="DC69" s="322"/>
      <c r="DD69" s="322"/>
      <c r="DE69" s="322"/>
      <c r="DF69" s="322"/>
      <c r="DG69" s="322"/>
      <c r="DH69" s="322"/>
      <c r="DI69" s="322"/>
      <c r="DJ69" s="322"/>
      <c r="DK69" s="322"/>
    </row>
    <row r="70" spans="1:115" s="320" customFormat="1" ht="21" customHeight="1">
      <c r="A70" s="341"/>
      <c r="B70" s="340"/>
      <c r="C70" s="339"/>
      <c r="D70" s="333" t="s">
        <v>1178</v>
      </c>
      <c r="E70" s="332" t="s">
        <v>41</v>
      </c>
      <c r="F70" s="331">
        <v>2.9990000000000001</v>
      </c>
      <c r="G70" s="332">
        <v>375</v>
      </c>
      <c r="H70" s="331" t="s">
        <v>466</v>
      </c>
      <c r="I70" s="332" t="s">
        <v>70</v>
      </c>
      <c r="J70" s="331">
        <v>2356</v>
      </c>
      <c r="K70" s="326">
        <v>4521</v>
      </c>
      <c r="L70" s="326">
        <v>2000</v>
      </c>
      <c r="M70" s="326" t="s">
        <v>31</v>
      </c>
      <c r="N70" s="342">
        <v>11.8</v>
      </c>
      <c r="O70" s="337">
        <f>IF(N70&gt;0,1/N70*37.7*68.6,"")</f>
        <v>219.17118644067796</v>
      </c>
      <c r="P70" s="328">
        <v>10.35</v>
      </c>
      <c r="Q70" s="327" t="s">
        <v>43</v>
      </c>
      <c r="R70" s="326" t="s">
        <v>33</v>
      </c>
      <c r="S70" s="326" t="s">
        <v>34</v>
      </c>
      <c r="T70" s="326"/>
      <c r="U70" s="345"/>
      <c r="V70" s="324">
        <f>IF(N70&lt;&gt;0, IF(N70&gt;=P70,ROUNDDOWN(N70/P70*100,0),""),"")</f>
        <v>114</v>
      </c>
      <c r="W70" s="311"/>
      <c r="AR70" s="322"/>
      <c r="AS70" s="322"/>
      <c r="AT70" s="322"/>
      <c r="AU70" s="322"/>
      <c r="AV70" s="322"/>
      <c r="AW70" s="322"/>
      <c r="AX70" s="322"/>
      <c r="AY70" s="322"/>
      <c r="AZ70" s="322"/>
      <c r="BA70" s="322"/>
      <c r="BB70" s="322"/>
      <c r="BC70" s="322"/>
      <c r="BD70" s="322"/>
      <c r="BE70" s="322"/>
      <c r="BF70" s="322"/>
      <c r="BG70" s="322"/>
      <c r="BH70" s="322"/>
      <c r="BI70" s="322"/>
      <c r="BJ70" s="322"/>
      <c r="BK70" s="322"/>
      <c r="BL70" s="322"/>
      <c r="BM70" s="322"/>
      <c r="BN70" s="322"/>
      <c r="BO70" s="322"/>
      <c r="BP70" s="322"/>
      <c r="BQ70" s="322"/>
      <c r="BR70" s="322"/>
      <c r="BS70" s="322"/>
      <c r="BT70" s="322"/>
      <c r="BU70" s="322"/>
      <c r="BV70" s="322"/>
      <c r="BW70" s="322"/>
      <c r="BX70" s="322"/>
      <c r="BY70" s="322"/>
      <c r="BZ70" s="322"/>
      <c r="CA70" s="322"/>
      <c r="CB70" s="322"/>
      <c r="CC70" s="322"/>
      <c r="CD70" s="322"/>
      <c r="CE70" s="322"/>
      <c r="CF70" s="322"/>
      <c r="CG70" s="322"/>
      <c r="CH70" s="322"/>
      <c r="CI70" s="322"/>
      <c r="CJ70" s="322"/>
      <c r="CK70" s="322"/>
      <c r="CL70" s="322"/>
      <c r="CM70" s="322"/>
      <c r="CN70" s="322"/>
      <c r="CO70" s="322"/>
      <c r="CP70" s="322"/>
      <c r="CQ70" s="322"/>
      <c r="CR70" s="322"/>
      <c r="CS70" s="322"/>
      <c r="CT70" s="322"/>
      <c r="CU70" s="322"/>
      <c r="CV70" s="322"/>
      <c r="CW70" s="322"/>
      <c r="CX70" s="322"/>
      <c r="CY70" s="322"/>
      <c r="CZ70" s="322"/>
      <c r="DA70" s="322"/>
      <c r="DB70" s="322"/>
      <c r="DC70" s="322"/>
      <c r="DD70" s="322"/>
      <c r="DE70" s="322"/>
      <c r="DF70" s="322"/>
      <c r="DG70" s="322"/>
      <c r="DH70" s="322"/>
      <c r="DI70" s="322"/>
      <c r="DJ70" s="322"/>
      <c r="DK70" s="322"/>
    </row>
    <row r="71" spans="1:115" s="320" customFormat="1" ht="21" customHeight="1">
      <c r="A71" s="341"/>
      <c r="B71" s="340"/>
      <c r="C71" s="339"/>
      <c r="D71" s="333" t="s">
        <v>1178</v>
      </c>
      <c r="E71" s="332" t="s">
        <v>41</v>
      </c>
      <c r="F71" s="331">
        <v>2.9990000000000001</v>
      </c>
      <c r="G71" s="332">
        <v>375</v>
      </c>
      <c r="H71" s="331" t="s">
        <v>466</v>
      </c>
      <c r="I71" s="332" t="s">
        <v>42</v>
      </c>
      <c r="J71" s="331">
        <v>2356</v>
      </c>
      <c r="K71" s="326">
        <v>4521</v>
      </c>
      <c r="L71" s="326">
        <v>2000</v>
      </c>
      <c r="M71" s="326" t="s">
        <v>31</v>
      </c>
      <c r="N71" s="342">
        <v>11.8</v>
      </c>
      <c r="O71" s="337">
        <f>IF(N71&gt;0,1/N71*37.7*68.6,"")</f>
        <v>219.17118644067796</v>
      </c>
      <c r="P71" s="328">
        <v>10.35</v>
      </c>
      <c r="Q71" s="327" t="s">
        <v>63</v>
      </c>
      <c r="R71" s="326" t="s">
        <v>33</v>
      </c>
      <c r="S71" s="326" t="s">
        <v>34</v>
      </c>
      <c r="T71" s="326"/>
      <c r="U71" s="345"/>
      <c r="V71" s="324">
        <f>IF(N71&lt;&gt;0, IF(N71&gt;=P71,ROUNDDOWN(N71/P71*100,0),""),"")</f>
        <v>114</v>
      </c>
      <c r="W71" s="311"/>
      <c r="AR71" s="322"/>
      <c r="AS71" s="322"/>
      <c r="AT71" s="322"/>
      <c r="AU71" s="322"/>
      <c r="AV71" s="322"/>
      <c r="AW71" s="322"/>
      <c r="AX71" s="322"/>
      <c r="AY71" s="322"/>
      <c r="AZ71" s="322"/>
      <c r="BA71" s="322"/>
      <c r="BB71" s="322"/>
      <c r="BC71" s="322"/>
      <c r="BD71" s="322"/>
      <c r="BE71" s="322"/>
      <c r="BF71" s="322"/>
      <c r="BG71" s="322"/>
      <c r="BH71" s="322"/>
      <c r="BI71" s="322"/>
      <c r="BJ71" s="322"/>
      <c r="BK71" s="322"/>
      <c r="BL71" s="322"/>
      <c r="BM71" s="322"/>
      <c r="BN71" s="322"/>
      <c r="BO71" s="322"/>
      <c r="BP71" s="322"/>
      <c r="BQ71" s="322"/>
      <c r="BR71" s="322"/>
      <c r="BS71" s="322"/>
      <c r="BT71" s="322"/>
      <c r="BU71" s="322"/>
      <c r="BV71" s="322"/>
      <c r="BW71" s="322"/>
      <c r="BX71" s="322"/>
      <c r="BY71" s="322"/>
      <c r="BZ71" s="322"/>
      <c r="CA71" s="322"/>
      <c r="CB71" s="322"/>
      <c r="CC71" s="322"/>
      <c r="CD71" s="322"/>
      <c r="CE71" s="322"/>
      <c r="CF71" s="322"/>
      <c r="CG71" s="322"/>
      <c r="CH71" s="322"/>
      <c r="CI71" s="322"/>
      <c r="CJ71" s="322"/>
      <c r="CK71" s="322"/>
      <c r="CL71" s="322"/>
      <c r="CM71" s="322"/>
      <c r="CN71" s="322"/>
      <c r="CO71" s="322"/>
      <c r="CP71" s="322"/>
      <c r="CQ71" s="322"/>
      <c r="CR71" s="322"/>
      <c r="CS71" s="322"/>
      <c r="CT71" s="322"/>
      <c r="CU71" s="322"/>
      <c r="CV71" s="322"/>
      <c r="CW71" s="322"/>
      <c r="CX71" s="322"/>
      <c r="CY71" s="322"/>
      <c r="CZ71" s="322"/>
      <c r="DA71" s="322"/>
      <c r="DB71" s="322"/>
      <c r="DC71" s="322"/>
      <c r="DD71" s="322"/>
      <c r="DE71" s="322"/>
      <c r="DF71" s="322"/>
      <c r="DG71" s="322"/>
      <c r="DH71" s="322"/>
      <c r="DI71" s="322"/>
      <c r="DJ71" s="322"/>
      <c r="DK71" s="322"/>
    </row>
    <row r="72" spans="1:115" s="320" customFormat="1" ht="21" customHeight="1">
      <c r="A72" s="341"/>
      <c r="B72" s="340"/>
      <c r="C72" s="339"/>
      <c r="D72" s="333" t="s">
        <v>1178</v>
      </c>
      <c r="E72" s="332" t="s">
        <v>41</v>
      </c>
      <c r="F72" s="331">
        <v>2.9990000000000001</v>
      </c>
      <c r="G72" s="332">
        <v>375</v>
      </c>
      <c r="H72" s="331" t="s">
        <v>466</v>
      </c>
      <c r="I72" s="332" t="s">
        <v>70</v>
      </c>
      <c r="J72" s="331">
        <v>2356</v>
      </c>
      <c r="K72" s="326">
        <v>4521</v>
      </c>
      <c r="L72" s="326">
        <v>2000</v>
      </c>
      <c r="M72" s="326" t="s">
        <v>31</v>
      </c>
      <c r="N72" s="342">
        <v>11.4</v>
      </c>
      <c r="O72" s="337">
        <f>IF(N72&gt;0,1/N72*37.7*68.6,"")</f>
        <v>226.8614035087719</v>
      </c>
      <c r="P72" s="328">
        <v>10.35</v>
      </c>
      <c r="Q72" s="327" t="s">
        <v>63</v>
      </c>
      <c r="R72" s="326" t="s">
        <v>33</v>
      </c>
      <c r="S72" s="326" t="s">
        <v>44</v>
      </c>
      <c r="T72" s="326"/>
      <c r="U72" s="345"/>
      <c r="V72" s="324">
        <f>IF(N72&lt;&gt;0, IF(N72&gt;=P72,ROUNDDOWN(N72/P72*100,0),""),"")</f>
        <v>110</v>
      </c>
      <c r="W72" s="311"/>
      <c r="AR72" s="322"/>
      <c r="AS72" s="322"/>
      <c r="AT72" s="322"/>
      <c r="AU72" s="322"/>
      <c r="AV72" s="322"/>
      <c r="AW72" s="322"/>
      <c r="AX72" s="322"/>
      <c r="AY72" s="322"/>
      <c r="AZ72" s="322"/>
      <c r="BA72" s="322"/>
      <c r="BB72" s="322"/>
      <c r="BC72" s="322"/>
      <c r="BD72" s="322"/>
      <c r="BE72" s="322"/>
      <c r="BF72" s="322"/>
      <c r="BG72" s="322"/>
      <c r="BH72" s="322"/>
      <c r="BI72" s="322"/>
      <c r="BJ72" s="322"/>
      <c r="BK72" s="322"/>
      <c r="BL72" s="322"/>
      <c r="BM72" s="322"/>
      <c r="BN72" s="322"/>
      <c r="BO72" s="322"/>
      <c r="BP72" s="322"/>
      <c r="BQ72" s="322"/>
      <c r="BR72" s="322"/>
      <c r="BS72" s="322"/>
      <c r="BT72" s="322"/>
      <c r="BU72" s="322"/>
      <c r="BV72" s="322"/>
      <c r="BW72" s="322"/>
      <c r="BX72" s="322"/>
      <c r="BY72" s="322"/>
      <c r="BZ72" s="322"/>
      <c r="CA72" s="322"/>
      <c r="CB72" s="322"/>
      <c r="CC72" s="322"/>
      <c r="CD72" s="322"/>
      <c r="CE72" s="322"/>
      <c r="CF72" s="322"/>
      <c r="CG72" s="322"/>
      <c r="CH72" s="322"/>
      <c r="CI72" s="322"/>
      <c r="CJ72" s="322"/>
      <c r="CK72" s="322"/>
      <c r="CL72" s="322"/>
      <c r="CM72" s="322"/>
      <c r="CN72" s="322"/>
      <c r="CO72" s="322"/>
      <c r="CP72" s="322"/>
      <c r="CQ72" s="322"/>
      <c r="CR72" s="322"/>
      <c r="CS72" s="322"/>
      <c r="CT72" s="322"/>
      <c r="CU72" s="322"/>
      <c r="CV72" s="322"/>
      <c r="CW72" s="322"/>
      <c r="CX72" s="322"/>
      <c r="CY72" s="322"/>
      <c r="CZ72" s="322"/>
      <c r="DA72" s="322"/>
      <c r="DB72" s="322"/>
      <c r="DC72" s="322"/>
      <c r="DD72" s="322"/>
      <c r="DE72" s="322"/>
      <c r="DF72" s="322"/>
      <c r="DG72" s="322"/>
      <c r="DH72" s="322"/>
      <c r="DI72" s="322"/>
      <c r="DJ72" s="322"/>
      <c r="DK72" s="322"/>
    </row>
    <row r="73" spans="1:115" s="320" customFormat="1" ht="21" customHeight="1">
      <c r="A73" s="341"/>
      <c r="B73" s="340"/>
      <c r="C73" s="339"/>
      <c r="D73" s="333" t="s">
        <v>1178</v>
      </c>
      <c r="E73" s="332" t="s">
        <v>41</v>
      </c>
      <c r="F73" s="331">
        <v>2.9990000000000001</v>
      </c>
      <c r="G73" s="332">
        <v>375</v>
      </c>
      <c r="H73" s="331" t="s">
        <v>466</v>
      </c>
      <c r="I73" s="332" t="s">
        <v>70</v>
      </c>
      <c r="J73" s="331">
        <v>2356</v>
      </c>
      <c r="K73" s="326">
        <v>4521</v>
      </c>
      <c r="L73" s="326">
        <v>2000</v>
      </c>
      <c r="M73" s="326" t="s">
        <v>31</v>
      </c>
      <c r="N73" s="342">
        <v>11.4</v>
      </c>
      <c r="O73" s="337">
        <f>IF(N73&gt;0,1/N73*37.7*68.6,"")</f>
        <v>226.8614035087719</v>
      </c>
      <c r="P73" s="328">
        <v>10.35</v>
      </c>
      <c r="Q73" s="327" t="s">
        <v>63</v>
      </c>
      <c r="R73" s="326" t="s">
        <v>33</v>
      </c>
      <c r="S73" s="326" t="s">
        <v>34</v>
      </c>
      <c r="T73" s="326"/>
      <c r="U73" s="345"/>
      <c r="V73" s="324">
        <f>IF(N73&lt;&gt;0, IF(N73&gt;=P73,ROUNDDOWN(N73/P73*100,0),""),"")</f>
        <v>110</v>
      </c>
      <c r="W73" s="311"/>
      <c r="AR73" s="322"/>
      <c r="AS73" s="322"/>
      <c r="AT73" s="322"/>
      <c r="AU73" s="322"/>
      <c r="AV73" s="322"/>
      <c r="AW73" s="322"/>
      <c r="AX73" s="322"/>
      <c r="AY73" s="322"/>
      <c r="AZ73" s="322"/>
      <c r="BA73" s="322"/>
      <c r="BB73" s="322"/>
      <c r="BC73" s="322"/>
      <c r="BD73" s="322"/>
      <c r="BE73" s="322"/>
      <c r="BF73" s="322"/>
      <c r="BG73" s="322"/>
      <c r="BH73" s="322"/>
      <c r="BI73" s="322"/>
      <c r="BJ73" s="322"/>
      <c r="BK73" s="322"/>
      <c r="BL73" s="322"/>
      <c r="BM73" s="322"/>
      <c r="BN73" s="322"/>
      <c r="BO73" s="322"/>
      <c r="BP73" s="322"/>
      <c r="BQ73" s="322"/>
      <c r="BR73" s="322"/>
      <c r="BS73" s="322"/>
      <c r="BT73" s="322"/>
      <c r="BU73" s="322"/>
      <c r="BV73" s="322"/>
      <c r="BW73" s="322"/>
      <c r="BX73" s="322"/>
      <c r="BY73" s="322"/>
      <c r="BZ73" s="322"/>
      <c r="CA73" s="322"/>
      <c r="CB73" s="322"/>
      <c r="CC73" s="322"/>
      <c r="CD73" s="322"/>
      <c r="CE73" s="322"/>
      <c r="CF73" s="322"/>
      <c r="CG73" s="322"/>
      <c r="CH73" s="322"/>
      <c r="CI73" s="322"/>
      <c r="CJ73" s="322"/>
      <c r="CK73" s="322"/>
      <c r="CL73" s="322"/>
      <c r="CM73" s="322"/>
      <c r="CN73" s="322"/>
      <c r="CO73" s="322"/>
      <c r="CP73" s="322"/>
      <c r="CQ73" s="322"/>
      <c r="CR73" s="322"/>
      <c r="CS73" s="322"/>
      <c r="CT73" s="322"/>
      <c r="CU73" s="322"/>
      <c r="CV73" s="322"/>
      <c r="CW73" s="322"/>
      <c r="CX73" s="322"/>
      <c r="CY73" s="322"/>
      <c r="CZ73" s="322"/>
      <c r="DA73" s="322"/>
      <c r="DB73" s="322"/>
      <c r="DC73" s="322"/>
      <c r="DD73" s="322"/>
      <c r="DE73" s="322"/>
      <c r="DF73" s="322"/>
      <c r="DG73" s="322"/>
      <c r="DH73" s="322"/>
      <c r="DI73" s="322"/>
      <c r="DJ73" s="322"/>
      <c r="DK73" s="322"/>
    </row>
    <row r="74" spans="1:115" s="320" customFormat="1" ht="21" customHeight="1">
      <c r="A74" s="341"/>
      <c r="B74" s="340"/>
      <c r="C74" s="339"/>
      <c r="D74" s="333" t="s">
        <v>1177</v>
      </c>
      <c r="E74" s="332" t="s">
        <v>41</v>
      </c>
      <c r="F74" s="331">
        <v>2.9990000000000001</v>
      </c>
      <c r="G74" s="332">
        <v>375</v>
      </c>
      <c r="H74" s="331">
        <v>110</v>
      </c>
      <c r="I74" s="332" t="s">
        <v>70</v>
      </c>
      <c r="J74" s="331">
        <v>2356</v>
      </c>
      <c r="K74" s="326">
        <v>4521</v>
      </c>
      <c r="L74" s="326">
        <v>2000</v>
      </c>
      <c r="M74" s="326" t="s">
        <v>31</v>
      </c>
      <c r="N74" s="342">
        <v>11.8</v>
      </c>
      <c r="O74" s="337">
        <f>IF(N74&gt;0,1/N74*37.7*68.6,"")</f>
        <v>219.17118644067796</v>
      </c>
      <c r="P74" s="328">
        <v>10.35</v>
      </c>
      <c r="Q74" s="327" t="s">
        <v>43</v>
      </c>
      <c r="R74" s="326" t="s">
        <v>33</v>
      </c>
      <c r="S74" s="326" t="s">
        <v>395</v>
      </c>
      <c r="T74" s="326"/>
      <c r="U74" s="345"/>
      <c r="V74" s="324">
        <f>IF(N74&lt;&gt;0, IF(N74&gt;=P74,ROUNDDOWN(N74/P74*100,0),""),"")</f>
        <v>114</v>
      </c>
      <c r="W74" s="311"/>
      <c r="X74" s="323"/>
      <c r="Y74" s="311"/>
    </row>
    <row r="75" spans="1:115" s="320" customFormat="1" ht="21" customHeight="1">
      <c r="A75" s="341"/>
      <c r="B75" s="340"/>
      <c r="C75" s="339"/>
      <c r="D75" s="333" t="s">
        <v>1177</v>
      </c>
      <c r="E75" s="332" t="s">
        <v>41</v>
      </c>
      <c r="F75" s="331">
        <v>2.9990000000000001</v>
      </c>
      <c r="G75" s="332">
        <v>375</v>
      </c>
      <c r="H75" s="331">
        <v>110</v>
      </c>
      <c r="I75" s="332" t="s">
        <v>70</v>
      </c>
      <c r="J75" s="331">
        <v>2356</v>
      </c>
      <c r="K75" s="326">
        <v>4521</v>
      </c>
      <c r="L75" s="326">
        <v>2000</v>
      </c>
      <c r="M75" s="326" t="s">
        <v>31</v>
      </c>
      <c r="N75" s="342">
        <v>11.8</v>
      </c>
      <c r="O75" s="337">
        <f>IF(N75&gt;0,1/N75*37.7*68.6,"")</f>
        <v>219.17118644067796</v>
      </c>
      <c r="P75" s="328">
        <v>10.35</v>
      </c>
      <c r="Q75" s="327" t="s">
        <v>43</v>
      </c>
      <c r="R75" s="326" t="s">
        <v>33</v>
      </c>
      <c r="S75" s="326" t="s">
        <v>34</v>
      </c>
      <c r="T75" s="326"/>
      <c r="U75" s="345"/>
      <c r="V75" s="324">
        <f>IF(N75&lt;&gt;0, IF(N75&gt;=P75,ROUNDDOWN(N75/P75*100,0),""),"")</f>
        <v>114</v>
      </c>
      <c r="W75" s="311"/>
      <c r="X75" s="323"/>
      <c r="Y75" s="311"/>
    </row>
    <row r="76" spans="1:115" s="320" customFormat="1" ht="21" customHeight="1">
      <c r="A76" s="341"/>
      <c r="B76" s="340"/>
      <c r="C76" s="339"/>
      <c r="D76" s="333" t="s">
        <v>1177</v>
      </c>
      <c r="E76" s="332" t="s">
        <v>41</v>
      </c>
      <c r="F76" s="331">
        <v>2.9990000000000001</v>
      </c>
      <c r="G76" s="332">
        <v>375</v>
      </c>
      <c r="H76" s="331">
        <v>110</v>
      </c>
      <c r="I76" s="332" t="s">
        <v>71</v>
      </c>
      <c r="J76" s="331">
        <v>2356</v>
      </c>
      <c r="K76" s="326">
        <v>4521</v>
      </c>
      <c r="L76" s="326">
        <v>2000</v>
      </c>
      <c r="M76" s="326" t="s">
        <v>31</v>
      </c>
      <c r="N76" s="342">
        <v>11.8</v>
      </c>
      <c r="O76" s="337">
        <f>IF(N76&gt;0,1/N76*37.7*68.6,"")</f>
        <v>219.17118644067796</v>
      </c>
      <c r="P76" s="328">
        <v>10.35</v>
      </c>
      <c r="Q76" s="327" t="s">
        <v>43</v>
      </c>
      <c r="R76" s="326" t="s">
        <v>33</v>
      </c>
      <c r="S76" s="326" t="s">
        <v>395</v>
      </c>
      <c r="T76" s="326"/>
      <c r="U76" s="345"/>
      <c r="V76" s="324">
        <f>IF(N76&lt;&gt;0, IF(N76&gt;=P76,ROUNDDOWN(N76/P76*100,0),""),"")</f>
        <v>114</v>
      </c>
      <c r="W76" s="311"/>
      <c r="X76" s="323"/>
      <c r="Y76" s="311"/>
    </row>
    <row r="77" spans="1:115" s="320" customFormat="1" ht="21" customHeight="1">
      <c r="A77" s="341"/>
      <c r="B77" s="340"/>
      <c r="C77" s="339"/>
      <c r="D77" s="333" t="s">
        <v>1177</v>
      </c>
      <c r="E77" s="332" t="s">
        <v>41</v>
      </c>
      <c r="F77" s="331">
        <v>2.9990000000000001</v>
      </c>
      <c r="G77" s="332">
        <v>375</v>
      </c>
      <c r="H77" s="331">
        <v>110</v>
      </c>
      <c r="I77" s="332" t="s">
        <v>71</v>
      </c>
      <c r="J77" s="331">
        <v>2356</v>
      </c>
      <c r="K77" s="326">
        <v>4521</v>
      </c>
      <c r="L77" s="326">
        <v>2000</v>
      </c>
      <c r="M77" s="326" t="s">
        <v>31</v>
      </c>
      <c r="N77" s="342">
        <v>11.8</v>
      </c>
      <c r="O77" s="337">
        <f>IF(N77&gt;0,1/N77*37.7*68.6,"")</f>
        <v>219.17118644067796</v>
      </c>
      <c r="P77" s="328">
        <v>10.35</v>
      </c>
      <c r="Q77" s="327" t="s">
        <v>43</v>
      </c>
      <c r="R77" s="326" t="s">
        <v>33</v>
      </c>
      <c r="S77" s="326" t="s">
        <v>34</v>
      </c>
      <c r="T77" s="326"/>
      <c r="U77" s="345"/>
      <c r="V77" s="324">
        <f>IF(N77&lt;&gt;0, IF(N77&gt;=P77,ROUNDDOWN(N77/P77*100,0),""),"")</f>
        <v>114</v>
      </c>
      <c r="W77" s="311"/>
      <c r="X77" s="323"/>
      <c r="Y77" s="311"/>
    </row>
    <row r="78" spans="1:115" s="320" customFormat="1" ht="21" customHeight="1">
      <c r="A78" s="341"/>
      <c r="B78" s="340"/>
      <c r="C78" s="339"/>
      <c r="D78" s="333" t="s">
        <v>1177</v>
      </c>
      <c r="E78" s="332" t="s">
        <v>41</v>
      </c>
      <c r="F78" s="331">
        <v>2.9990000000000001</v>
      </c>
      <c r="G78" s="332">
        <v>375</v>
      </c>
      <c r="H78" s="331">
        <v>110</v>
      </c>
      <c r="I78" s="332" t="s">
        <v>70</v>
      </c>
      <c r="J78" s="331">
        <v>2356</v>
      </c>
      <c r="K78" s="326">
        <v>4521</v>
      </c>
      <c r="L78" s="326">
        <v>2000</v>
      </c>
      <c r="M78" s="326" t="s">
        <v>31</v>
      </c>
      <c r="N78" s="342">
        <v>11.4</v>
      </c>
      <c r="O78" s="337">
        <f>IF(N78&gt;0,1/N78*37.7*68.6,"")</f>
        <v>226.8614035087719</v>
      </c>
      <c r="P78" s="328">
        <v>10.35</v>
      </c>
      <c r="Q78" s="327" t="s">
        <v>63</v>
      </c>
      <c r="R78" s="326" t="s">
        <v>33</v>
      </c>
      <c r="S78" s="326" t="s">
        <v>395</v>
      </c>
      <c r="T78" s="326"/>
      <c r="U78" s="345"/>
      <c r="V78" s="324">
        <f>IF(N78&lt;&gt;0, IF(N78&gt;=P78,ROUNDDOWN(N78/P78*100,0),""),"")</f>
        <v>110</v>
      </c>
      <c r="W78" s="311"/>
      <c r="X78" s="323"/>
      <c r="Y78" s="311"/>
    </row>
    <row r="79" spans="1:115" s="320" customFormat="1" ht="21" customHeight="1">
      <c r="A79" s="341"/>
      <c r="B79" s="340"/>
      <c r="C79" s="339"/>
      <c r="D79" s="333" t="s">
        <v>1177</v>
      </c>
      <c r="E79" s="332" t="s">
        <v>41</v>
      </c>
      <c r="F79" s="331">
        <v>2.9990000000000001</v>
      </c>
      <c r="G79" s="332">
        <v>375</v>
      </c>
      <c r="H79" s="331">
        <v>110</v>
      </c>
      <c r="I79" s="332" t="s">
        <v>70</v>
      </c>
      <c r="J79" s="331">
        <v>2356</v>
      </c>
      <c r="K79" s="326">
        <v>4521</v>
      </c>
      <c r="L79" s="326">
        <v>2000</v>
      </c>
      <c r="M79" s="326" t="s">
        <v>31</v>
      </c>
      <c r="N79" s="342">
        <v>11.4</v>
      </c>
      <c r="O79" s="337">
        <f>IF(N79&gt;0,1/N79*37.7*68.6,"")</f>
        <v>226.8614035087719</v>
      </c>
      <c r="P79" s="328">
        <v>10.35</v>
      </c>
      <c r="Q79" s="327" t="s">
        <v>63</v>
      </c>
      <c r="R79" s="326" t="s">
        <v>33</v>
      </c>
      <c r="S79" s="326" t="s">
        <v>34</v>
      </c>
      <c r="T79" s="326"/>
      <c r="U79" s="345"/>
      <c r="V79" s="324">
        <f>IF(N79&lt;&gt;0, IF(N79&gt;=P79,ROUNDDOWN(N79/P79*100,0),""),"")</f>
        <v>110</v>
      </c>
      <c r="W79" s="311"/>
      <c r="X79" s="323"/>
      <c r="Y79" s="311"/>
    </row>
    <row r="80" spans="1:115" s="320" customFormat="1" ht="21" customHeight="1">
      <c r="A80" s="341"/>
      <c r="B80" s="340"/>
      <c r="C80" s="339"/>
      <c r="D80" s="333" t="s">
        <v>1177</v>
      </c>
      <c r="E80" s="332" t="s">
        <v>41</v>
      </c>
      <c r="F80" s="331">
        <v>2.9990000000000001</v>
      </c>
      <c r="G80" s="332">
        <v>375</v>
      </c>
      <c r="H80" s="331">
        <v>110</v>
      </c>
      <c r="I80" s="332" t="s">
        <v>71</v>
      </c>
      <c r="J80" s="331">
        <v>2356</v>
      </c>
      <c r="K80" s="326">
        <v>4521</v>
      </c>
      <c r="L80" s="326">
        <v>2000</v>
      </c>
      <c r="M80" s="326" t="s">
        <v>31</v>
      </c>
      <c r="N80" s="342">
        <v>11.4</v>
      </c>
      <c r="O80" s="337">
        <f>IF(N80&gt;0,1/N80*37.7*68.6,"")</f>
        <v>226.8614035087719</v>
      </c>
      <c r="P80" s="328">
        <v>10.35</v>
      </c>
      <c r="Q80" s="327" t="s">
        <v>63</v>
      </c>
      <c r="R80" s="326" t="s">
        <v>33</v>
      </c>
      <c r="S80" s="326" t="s">
        <v>395</v>
      </c>
      <c r="T80" s="326"/>
      <c r="U80" s="345"/>
      <c r="V80" s="324">
        <f>IF(N80&lt;&gt;0, IF(N80&gt;=P80,ROUNDDOWN(N80/P80*100,0),""),"")</f>
        <v>110</v>
      </c>
      <c r="W80" s="311"/>
      <c r="X80" s="323"/>
      <c r="Y80" s="311"/>
    </row>
    <row r="81" spans="1:115" s="320" customFormat="1" ht="21" customHeight="1">
      <c r="A81" s="341"/>
      <c r="B81" s="340"/>
      <c r="C81" s="339"/>
      <c r="D81" s="333" t="s">
        <v>1177</v>
      </c>
      <c r="E81" s="332" t="s">
        <v>41</v>
      </c>
      <c r="F81" s="331">
        <v>2.9990000000000001</v>
      </c>
      <c r="G81" s="332">
        <v>375</v>
      </c>
      <c r="H81" s="331">
        <v>110</v>
      </c>
      <c r="I81" s="332" t="s">
        <v>71</v>
      </c>
      <c r="J81" s="331">
        <v>2356</v>
      </c>
      <c r="K81" s="326">
        <v>4521</v>
      </c>
      <c r="L81" s="326">
        <v>2000</v>
      </c>
      <c r="M81" s="326" t="s">
        <v>31</v>
      </c>
      <c r="N81" s="342">
        <v>11.4</v>
      </c>
      <c r="O81" s="337">
        <f>IF(N81&gt;0,1/N81*37.7*68.6,"")</f>
        <v>226.8614035087719</v>
      </c>
      <c r="P81" s="328">
        <v>10.35</v>
      </c>
      <c r="Q81" s="327" t="s">
        <v>63</v>
      </c>
      <c r="R81" s="326" t="s">
        <v>33</v>
      </c>
      <c r="S81" s="326" t="s">
        <v>34</v>
      </c>
      <c r="T81" s="326"/>
      <c r="U81" s="345"/>
      <c r="V81" s="324">
        <f>IF(N81&lt;&gt;0, IF(N81&gt;=P81,ROUNDDOWN(N81/P81*100,0),""),"")</f>
        <v>110</v>
      </c>
      <c r="W81" s="311"/>
      <c r="X81" s="323"/>
      <c r="Y81" s="311"/>
    </row>
    <row r="82" spans="1:115" s="320" customFormat="1" ht="21" customHeight="1">
      <c r="A82" s="341"/>
      <c r="B82" s="340"/>
      <c r="C82" s="339"/>
      <c r="D82" s="333" t="s">
        <v>1176</v>
      </c>
      <c r="E82" s="332" t="s">
        <v>41</v>
      </c>
      <c r="F82" s="331">
        <v>2.9990000000000001</v>
      </c>
      <c r="G82" s="332">
        <v>375</v>
      </c>
      <c r="H82" s="331">
        <v>110</v>
      </c>
      <c r="I82" s="332" t="s">
        <v>70</v>
      </c>
      <c r="J82" s="331">
        <v>2356</v>
      </c>
      <c r="K82" s="326">
        <v>4521</v>
      </c>
      <c r="L82" s="326">
        <v>2000</v>
      </c>
      <c r="M82" s="326" t="s">
        <v>31</v>
      </c>
      <c r="N82" s="342">
        <v>11.8</v>
      </c>
      <c r="O82" s="337">
        <f>IF(N82&gt;0,1/N82*37.7*68.6,"")</f>
        <v>219.17118644067796</v>
      </c>
      <c r="P82" s="328">
        <v>10.35</v>
      </c>
      <c r="Q82" s="327" t="s">
        <v>43</v>
      </c>
      <c r="R82" s="326" t="s">
        <v>33</v>
      </c>
      <c r="S82" s="326" t="s">
        <v>34</v>
      </c>
      <c r="T82" s="326"/>
      <c r="U82" s="345"/>
      <c r="V82" s="324">
        <f>IF(N82&lt;&gt;0, IF(N82&gt;=P82,ROUNDDOWN(N82/P82*100,0),""),"")</f>
        <v>114</v>
      </c>
      <c r="W82" s="311"/>
      <c r="X82" s="323"/>
      <c r="Y82" s="311"/>
    </row>
    <row r="83" spans="1:115" s="320" customFormat="1" ht="21" customHeight="1">
      <c r="A83" s="341"/>
      <c r="B83" s="340"/>
      <c r="C83" s="339"/>
      <c r="D83" s="333" t="s">
        <v>1176</v>
      </c>
      <c r="E83" s="332" t="s">
        <v>41</v>
      </c>
      <c r="F83" s="331">
        <v>2.9990000000000001</v>
      </c>
      <c r="G83" s="332">
        <v>375</v>
      </c>
      <c r="H83" s="331">
        <v>110</v>
      </c>
      <c r="I83" s="332" t="s">
        <v>71</v>
      </c>
      <c r="J83" s="331">
        <v>2356</v>
      </c>
      <c r="K83" s="326">
        <v>4521</v>
      </c>
      <c r="L83" s="326">
        <v>2000</v>
      </c>
      <c r="M83" s="326" t="s">
        <v>31</v>
      </c>
      <c r="N83" s="342">
        <v>11.8</v>
      </c>
      <c r="O83" s="337">
        <f>IF(N83&gt;0,1/N83*37.7*68.6,"")</f>
        <v>219.17118644067796</v>
      </c>
      <c r="P83" s="328">
        <v>10.35</v>
      </c>
      <c r="Q83" s="327" t="s">
        <v>43</v>
      </c>
      <c r="R83" s="326" t="s">
        <v>33</v>
      </c>
      <c r="S83" s="326" t="s">
        <v>34</v>
      </c>
      <c r="T83" s="326"/>
      <c r="U83" s="345"/>
      <c r="V83" s="324">
        <f>IF(N83&lt;&gt;0, IF(N83&gt;=P83,ROUNDDOWN(N83/P83*100,0),""),"")</f>
        <v>114</v>
      </c>
      <c r="W83" s="311"/>
      <c r="X83" s="323"/>
      <c r="Y83" s="311"/>
    </row>
    <row r="84" spans="1:115" s="320" customFormat="1" ht="21" customHeight="1">
      <c r="A84" s="341"/>
      <c r="B84" s="340"/>
      <c r="C84" s="339"/>
      <c r="D84" s="333" t="s">
        <v>1176</v>
      </c>
      <c r="E84" s="332" t="s">
        <v>41</v>
      </c>
      <c r="F84" s="331">
        <v>2.9990000000000001</v>
      </c>
      <c r="G84" s="332">
        <v>375</v>
      </c>
      <c r="H84" s="331">
        <v>110</v>
      </c>
      <c r="I84" s="332" t="s">
        <v>70</v>
      </c>
      <c r="J84" s="331">
        <v>2356</v>
      </c>
      <c r="K84" s="326">
        <v>4521</v>
      </c>
      <c r="L84" s="326">
        <v>2000</v>
      </c>
      <c r="M84" s="326" t="s">
        <v>31</v>
      </c>
      <c r="N84" s="342">
        <v>11.4</v>
      </c>
      <c r="O84" s="337">
        <f>IF(N84&gt;0,1/N84*37.7*68.6,"")</f>
        <v>226.8614035087719</v>
      </c>
      <c r="P84" s="328">
        <v>10.35</v>
      </c>
      <c r="Q84" s="327" t="s">
        <v>63</v>
      </c>
      <c r="R84" s="326" t="s">
        <v>33</v>
      </c>
      <c r="S84" s="326" t="s">
        <v>34</v>
      </c>
      <c r="T84" s="326"/>
      <c r="U84" s="345"/>
      <c r="V84" s="324">
        <f>IF(N84&lt;&gt;0, IF(N84&gt;=P84,ROUNDDOWN(N84/P84*100,0),""),"")</f>
        <v>110</v>
      </c>
      <c r="W84" s="311"/>
      <c r="X84" s="323"/>
      <c r="Y84" s="311"/>
    </row>
    <row r="85" spans="1:115" s="320" customFormat="1" ht="21" customHeight="1">
      <c r="A85" s="341"/>
      <c r="B85" s="340"/>
      <c r="C85" s="339"/>
      <c r="D85" s="333" t="s">
        <v>1176</v>
      </c>
      <c r="E85" s="332" t="s">
        <v>41</v>
      </c>
      <c r="F85" s="331">
        <v>2.9990000000000001</v>
      </c>
      <c r="G85" s="332">
        <v>375</v>
      </c>
      <c r="H85" s="331">
        <v>110</v>
      </c>
      <c r="I85" s="332" t="s">
        <v>71</v>
      </c>
      <c r="J85" s="331">
        <v>2356</v>
      </c>
      <c r="K85" s="326">
        <v>4521</v>
      </c>
      <c r="L85" s="326">
        <v>2000</v>
      </c>
      <c r="M85" s="326" t="s">
        <v>31</v>
      </c>
      <c r="N85" s="342">
        <v>11.4</v>
      </c>
      <c r="O85" s="337">
        <f>IF(N85&gt;0,1/N85*37.7*68.6,"")</f>
        <v>226.8614035087719</v>
      </c>
      <c r="P85" s="328">
        <v>10.35</v>
      </c>
      <c r="Q85" s="327" t="s">
        <v>63</v>
      </c>
      <c r="R85" s="326" t="s">
        <v>33</v>
      </c>
      <c r="S85" s="326" t="s">
        <v>34</v>
      </c>
      <c r="T85" s="326"/>
      <c r="U85" s="345"/>
      <c r="V85" s="324">
        <f>IF(N85&lt;&gt;0, IF(N85&gt;=P85,ROUNDDOWN(N85/P85*100,0),""),"")</f>
        <v>110</v>
      </c>
      <c r="W85" s="311"/>
      <c r="X85" s="323"/>
      <c r="Y85" s="311"/>
    </row>
    <row r="86" spans="1:115" s="320" customFormat="1" ht="21" customHeight="1">
      <c r="A86" s="341"/>
      <c r="B86" s="340"/>
      <c r="C86" s="339"/>
      <c r="D86" s="333" t="s">
        <v>1175</v>
      </c>
      <c r="E86" s="332" t="s">
        <v>41</v>
      </c>
      <c r="F86" s="331">
        <v>2.9990000000000001</v>
      </c>
      <c r="G86" s="332">
        <v>375</v>
      </c>
      <c r="H86" s="331">
        <v>110</v>
      </c>
      <c r="I86" s="332" t="s">
        <v>70</v>
      </c>
      <c r="J86" s="331">
        <v>2356</v>
      </c>
      <c r="K86" s="326">
        <v>4521</v>
      </c>
      <c r="L86" s="326">
        <v>2000</v>
      </c>
      <c r="M86" s="326" t="s">
        <v>31</v>
      </c>
      <c r="N86" s="342">
        <v>11.8</v>
      </c>
      <c r="O86" s="337">
        <f>IF(N86&gt;0,1/N86*37.7*68.6,"")</f>
        <v>219.17118644067796</v>
      </c>
      <c r="P86" s="328">
        <v>10.35</v>
      </c>
      <c r="Q86" s="327" t="s">
        <v>43</v>
      </c>
      <c r="R86" s="326" t="s">
        <v>33</v>
      </c>
      <c r="S86" s="326" t="s">
        <v>66</v>
      </c>
      <c r="T86" s="326"/>
      <c r="U86" s="345"/>
      <c r="V86" s="324">
        <f>IF(N86&lt;&gt;0, IF(N86&gt;=P86,ROUNDDOWN(N86/P86*100,0),""),"")</f>
        <v>114</v>
      </c>
      <c r="W86" s="311"/>
      <c r="X86" s="323"/>
      <c r="Y86" s="311"/>
    </row>
    <row r="87" spans="1:115" s="320" customFormat="1" ht="21" customHeight="1">
      <c r="A87" s="341"/>
      <c r="B87" s="340"/>
      <c r="C87" s="339"/>
      <c r="D87" s="333" t="s">
        <v>1175</v>
      </c>
      <c r="E87" s="332" t="s">
        <v>41</v>
      </c>
      <c r="F87" s="331">
        <v>2.9990000000000001</v>
      </c>
      <c r="G87" s="332">
        <v>375</v>
      </c>
      <c r="H87" s="331">
        <v>110</v>
      </c>
      <c r="I87" s="332" t="s">
        <v>70</v>
      </c>
      <c r="J87" s="331">
        <v>2356</v>
      </c>
      <c r="K87" s="326">
        <v>4521</v>
      </c>
      <c r="L87" s="326">
        <v>2000</v>
      </c>
      <c r="M87" s="326" t="s">
        <v>31</v>
      </c>
      <c r="N87" s="342">
        <v>11.4</v>
      </c>
      <c r="O87" s="337">
        <f>IF(N87&gt;0,1/N87*37.7*68.6,"")</f>
        <v>226.8614035087719</v>
      </c>
      <c r="P87" s="328">
        <v>10.35</v>
      </c>
      <c r="Q87" s="327" t="s">
        <v>63</v>
      </c>
      <c r="R87" s="326" t="s">
        <v>33</v>
      </c>
      <c r="S87" s="326" t="s">
        <v>66</v>
      </c>
      <c r="T87" s="326"/>
      <c r="U87" s="345"/>
      <c r="V87" s="324">
        <f>IF(N87&lt;&gt;0, IF(N87&gt;=P87,ROUNDDOWN(N87/P87*100,0),""),"")</f>
        <v>110</v>
      </c>
      <c r="W87" s="311"/>
      <c r="X87" s="323"/>
      <c r="Y87" s="311"/>
    </row>
    <row r="88" spans="1:115" s="320" customFormat="1" ht="21" customHeight="1">
      <c r="A88" s="341"/>
      <c r="B88" s="340"/>
      <c r="C88" s="339"/>
      <c r="D88" s="333" t="s">
        <v>1174</v>
      </c>
      <c r="E88" s="332" t="s">
        <v>41</v>
      </c>
      <c r="F88" s="331">
        <v>2.9990000000000001</v>
      </c>
      <c r="G88" s="332">
        <v>375</v>
      </c>
      <c r="H88" s="331">
        <v>110</v>
      </c>
      <c r="I88" s="332" t="s">
        <v>70</v>
      </c>
      <c r="J88" s="331">
        <v>2356</v>
      </c>
      <c r="K88" s="326">
        <v>4521</v>
      </c>
      <c r="L88" s="326">
        <v>2000</v>
      </c>
      <c r="M88" s="326" t="s">
        <v>31</v>
      </c>
      <c r="N88" s="342">
        <v>11.8</v>
      </c>
      <c r="O88" s="337">
        <f>IF(N88&gt;0,1/N88*37.7*68.6,"")</f>
        <v>219.17118644067796</v>
      </c>
      <c r="P88" s="328">
        <v>10.35</v>
      </c>
      <c r="Q88" s="327" t="s">
        <v>43</v>
      </c>
      <c r="R88" s="326" t="s">
        <v>33</v>
      </c>
      <c r="S88" s="326" t="s">
        <v>66</v>
      </c>
      <c r="T88" s="326"/>
      <c r="U88" s="345"/>
      <c r="V88" s="324">
        <f>IF(N88&lt;&gt;0, IF(N88&gt;=P88,ROUNDDOWN(N88/P88*100,0),""),"")</f>
        <v>114</v>
      </c>
      <c r="W88" s="311"/>
      <c r="X88" s="323"/>
      <c r="Y88" s="311"/>
    </row>
    <row r="89" spans="1:115" s="320" customFormat="1" ht="21" customHeight="1">
      <c r="A89" s="341"/>
      <c r="B89" s="340"/>
      <c r="C89" s="339"/>
      <c r="D89" s="333" t="s">
        <v>1174</v>
      </c>
      <c r="E89" s="332" t="s">
        <v>41</v>
      </c>
      <c r="F89" s="331">
        <v>2.9990000000000001</v>
      </c>
      <c r="G89" s="332">
        <v>375</v>
      </c>
      <c r="H89" s="331">
        <v>110</v>
      </c>
      <c r="I89" s="332" t="s">
        <v>70</v>
      </c>
      <c r="J89" s="331">
        <v>2356</v>
      </c>
      <c r="K89" s="326">
        <v>4521</v>
      </c>
      <c r="L89" s="326">
        <v>2000</v>
      </c>
      <c r="M89" s="326" t="s">
        <v>31</v>
      </c>
      <c r="N89" s="342">
        <v>11.4</v>
      </c>
      <c r="O89" s="337">
        <f>IF(N89&gt;0,1/N89*37.7*68.6,"")</f>
        <v>226.8614035087719</v>
      </c>
      <c r="P89" s="328">
        <v>10.35</v>
      </c>
      <c r="Q89" s="327" t="s">
        <v>63</v>
      </c>
      <c r="R89" s="326" t="s">
        <v>33</v>
      </c>
      <c r="S89" s="326" t="s">
        <v>66</v>
      </c>
      <c r="T89" s="326"/>
      <c r="U89" s="345"/>
      <c r="V89" s="324">
        <f>IF(N89&lt;&gt;0, IF(N89&gt;=P89,ROUNDDOWN(N89/P89*100,0),""),"")</f>
        <v>110</v>
      </c>
      <c r="W89" s="311"/>
      <c r="X89" s="323"/>
      <c r="Y89" s="311"/>
    </row>
    <row r="90" spans="1:115" s="320" customFormat="1" ht="21" customHeight="1">
      <c r="A90" s="341"/>
      <c r="B90" s="340"/>
      <c r="C90" s="339"/>
      <c r="D90" s="333" t="s">
        <v>1173</v>
      </c>
      <c r="E90" s="332" t="s">
        <v>41</v>
      </c>
      <c r="F90" s="331">
        <v>2.9990000000000001</v>
      </c>
      <c r="G90" s="332">
        <v>375</v>
      </c>
      <c r="H90" s="331">
        <v>110</v>
      </c>
      <c r="I90" s="332" t="s">
        <v>71</v>
      </c>
      <c r="J90" s="331">
        <v>2356</v>
      </c>
      <c r="K90" s="326">
        <v>4521</v>
      </c>
      <c r="L90" s="326">
        <v>2000</v>
      </c>
      <c r="M90" s="326" t="s">
        <v>31</v>
      </c>
      <c r="N90" s="342">
        <v>11.8</v>
      </c>
      <c r="O90" s="337">
        <f>IF(N90&gt;0,1/N90*37.7*68.6,"")</f>
        <v>219.17118644067796</v>
      </c>
      <c r="P90" s="328">
        <v>10.35</v>
      </c>
      <c r="Q90" s="327" t="s">
        <v>43</v>
      </c>
      <c r="R90" s="326" t="s">
        <v>33</v>
      </c>
      <c r="S90" s="326" t="s">
        <v>34</v>
      </c>
      <c r="T90" s="326"/>
      <c r="U90" s="345"/>
      <c r="V90" s="324">
        <f>IF(N90&lt;&gt;0, IF(N90&gt;=P90,ROUNDDOWN(N90/P90*100,0),""),"")</f>
        <v>114</v>
      </c>
      <c r="W90" s="311"/>
      <c r="X90" s="323"/>
      <c r="Y90" s="311"/>
    </row>
    <row r="91" spans="1:115" s="320" customFormat="1" ht="21" customHeight="1">
      <c r="A91" s="341"/>
      <c r="B91" s="340"/>
      <c r="C91" s="339"/>
      <c r="D91" s="333" t="s">
        <v>1173</v>
      </c>
      <c r="E91" s="332" t="s">
        <v>41</v>
      </c>
      <c r="F91" s="331">
        <v>2.9990000000000001</v>
      </c>
      <c r="G91" s="332">
        <v>375</v>
      </c>
      <c r="H91" s="331">
        <v>110</v>
      </c>
      <c r="I91" s="332" t="s">
        <v>71</v>
      </c>
      <c r="J91" s="331">
        <v>2356</v>
      </c>
      <c r="K91" s="326">
        <v>4521</v>
      </c>
      <c r="L91" s="326">
        <v>2000</v>
      </c>
      <c r="M91" s="326" t="s">
        <v>31</v>
      </c>
      <c r="N91" s="342">
        <v>11.4</v>
      </c>
      <c r="O91" s="337">
        <f>IF(N91&gt;0,1/N91*37.7*68.6,"")</f>
        <v>226.8614035087719</v>
      </c>
      <c r="P91" s="328">
        <v>10.35</v>
      </c>
      <c r="Q91" s="327" t="s">
        <v>63</v>
      </c>
      <c r="R91" s="326" t="s">
        <v>33</v>
      </c>
      <c r="S91" s="326" t="s">
        <v>34</v>
      </c>
      <c r="T91" s="326"/>
      <c r="U91" s="345"/>
      <c r="V91" s="324">
        <f>IF(N91&lt;&gt;0, IF(N91&gt;=P91,ROUNDDOWN(N91/P91*100,0),""),"")</f>
        <v>110</v>
      </c>
      <c r="W91" s="311"/>
      <c r="X91" s="323"/>
      <c r="Y91" s="311"/>
    </row>
    <row r="92" spans="1:115" s="320" customFormat="1" ht="21" customHeight="1">
      <c r="A92" s="341"/>
      <c r="B92" s="340"/>
      <c r="C92" s="339"/>
      <c r="D92" s="333" t="s">
        <v>1173</v>
      </c>
      <c r="E92" s="332" t="s">
        <v>41</v>
      </c>
      <c r="F92" s="331">
        <v>2.9990000000000001</v>
      </c>
      <c r="G92" s="332">
        <v>375</v>
      </c>
      <c r="H92" s="331">
        <v>110</v>
      </c>
      <c r="I92" s="332" t="s">
        <v>71</v>
      </c>
      <c r="J92" s="331">
        <v>2652</v>
      </c>
      <c r="K92" s="326">
        <v>5812</v>
      </c>
      <c r="L92" s="326">
        <v>2995</v>
      </c>
      <c r="M92" s="326" t="s">
        <v>31</v>
      </c>
      <c r="N92" s="342">
        <v>10.8</v>
      </c>
      <c r="O92" s="337">
        <f>IF(N92&gt;0,1/N92*37.7*68.6,"")</f>
        <v>239.46481481481482</v>
      </c>
      <c r="P92" s="328">
        <v>9.51</v>
      </c>
      <c r="Q92" s="327" t="s">
        <v>43</v>
      </c>
      <c r="R92" s="326" t="s">
        <v>33</v>
      </c>
      <c r="S92" s="326" t="s">
        <v>34</v>
      </c>
      <c r="T92" s="326"/>
      <c r="U92" s="345"/>
      <c r="V92" s="324">
        <f>IF(N92&lt;&gt;0, IF(N92&gt;=P92,ROUNDDOWN(N92/P92*100,0),""),"")</f>
        <v>113</v>
      </c>
      <c r="W92" s="311"/>
      <c r="X92" s="323"/>
      <c r="Y92" s="311"/>
    </row>
    <row r="93" spans="1:115" s="320" customFormat="1" ht="21" customHeight="1">
      <c r="A93" s="341"/>
      <c r="B93" s="340"/>
      <c r="C93" s="339"/>
      <c r="D93" s="333" t="s">
        <v>1173</v>
      </c>
      <c r="E93" s="332" t="s">
        <v>41</v>
      </c>
      <c r="F93" s="331">
        <v>2.9990000000000001</v>
      </c>
      <c r="G93" s="332">
        <v>375</v>
      </c>
      <c r="H93" s="331">
        <v>110</v>
      </c>
      <c r="I93" s="332" t="s">
        <v>71</v>
      </c>
      <c r="J93" s="331">
        <v>2652</v>
      </c>
      <c r="K93" s="326">
        <v>5812</v>
      </c>
      <c r="L93" s="326">
        <v>2995</v>
      </c>
      <c r="M93" s="326" t="s">
        <v>31</v>
      </c>
      <c r="N93" s="342">
        <v>10.6</v>
      </c>
      <c r="O93" s="337">
        <f>IF(N93&gt;0,1/N93*37.7*68.6,"")</f>
        <v>243.98301886792456</v>
      </c>
      <c r="P93" s="328">
        <v>9.51</v>
      </c>
      <c r="Q93" s="327" t="s">
        <v>63</v>
      </c>
      <c r="R93" s="326" t="s">
        <v>33</v>
      </c>
      <c r="S93" s="326" t="s">
        <v>34</v>
      </c>
      <c r="T93" s="326"/>
      <c r="U93" s="345"/>
      <c r="V93" s="324">
        <f>IF(N93&lt;&gt;0, IF(N93&gt;=P93,ROUNDDOWN(N93/P93*100,0),""),"")</f>
        <v>111</v>
      </c>
      <c r="W93" s="311"/>
      <c r="X93" s="323"/>
      <c r="Y93" s="311"/>
    </row>
    <row r="94" spans="1:115" s="320" customFormat="1" ht="21" customHeight="1">
      <c r="A94" s="341"/>
      <c r="B94" s="340"/>
      <c r="C94" s="339"/>
      <c r="D94" s="333" t="s">
        <v>1172</v>
      </c>
      <c r="E94" s="332" t="s">
        <v>41</v>
      </c>
      <c r="F94" s="331">
        <v>2.9990000000000001</v>
      </c>
      <c r="G94" s="332">
        <v>375</v>
      </c>
      <c r="H94" s="331" t="s">
        <v>466</v>
      </c>
      <c r="I94" s="332" t="s">
        <v>71</v>
      </c>
      <c r="J94" s="331">
        <v>2356</v>
      </c>
      <c r="K94" s="326">
        <v>4521</v>
      </c>
      <c r="L94" s="326">
        <v>2000</v>
      </c>
      <c r="M94" s="326" t="s">
        <v>31</v>
      </c>
      <c r="N94" s="342">
        <v>11.8</v>
      </c>
      <c r="O94" s="337">
        <f>IF(N94&gt;0,1/N94*37.7*68.6,"")</f>
        <v>219.17118644067796</v>
      </c>
      <c r="P94" s="328">
        <v>10.35</v>
      </c>
      <c r="Q94" s="327" t="s">
        <v>43</v>
      </c>
      <c r="R94" s="326" t="s">
        <v>33</v>
      </c>
      <c r="S94" s="326" t="s">
        <v>34</v>
      </c>
      <c r="T94" s="326"/>
      <c r="U94" s="345"/>
      <c r="V94" s="324">
        <f>IF(N94&lt;&gt;0, IF(N94&gt;=P94,ROUNDDOWN(N94/P94*100,0),""),"")</f>
        <v>114</v>
      </c>
      <c r="W94" s="311"/>
      <c r="AR94" s="322"/>
      <c r="AS94" s="322"/>
      <c r="AT94" s="322"/>
      <c r="AU94" s="322"/>
      <c r="AV94" s="322"/>
      <c r="AW94" s="322"/>
      <c r="AX94" s="322"/>
      <c r="AY94" s="322"/>
      <c r="AZ94" s="322"/>
      <c r="BA94" s="322"/>
      <c r="BB94" s="322"/>
      <c r="BC94" s="322"/>
      <c r="BD94" s="322"/>
      <c r="BE94" s="322"/>
      <c r="BF94" s="322"/>
      <c r="BG94" s="322"/>
      <c r="BH94" s="322"/>
      <c r="BI94" s="322"/>
      <c r="BJ94" s="322"/>
      <c r="BK94" s="322"/>
      <c r="BL94" s="322"/>
      <c r="BM94" s="322"/>
      <c r="BN94" s="322"/>
      <c r="BO94" s="322"/>
      <c r="BP94" s="322"/>
      <c r="BQ94" s="322"/>
      <c r="BR94" s="322"/>
      <c r="BS94" s="322"/>
      <c r="BT94" s="322"/>
      <c r="BU94" s="322"/>
      <c r="BV94" s="322"/>
      <c r="BW94" s="322"/>
      <c r="BX94" s="322"/>
      <c r="BY94" s="322"/>
      <c r="BZ94" s="322"/>
      <c r="CA94" s="322"/>
      <c r="CB94" s="322"/>
      <c r="CC94" s="322"/>
      <c r="CD94" s="322"/>
      <c r="CE94" s="322"/>
      <c r="CF94" s="322"/>
      <c r="CG94" s="322"/>
      <c r="CH94" s="322"/>
      <c r="CI94" s="322"/>
      <c r="CJ94" s="322"/>
      <c r="CK94" s="322"/>
      <c r="CL94" s="322"/>
      <c r="CM94" s="322"/>
      <c r="CN94" s="322"/>
      <c r="CO94" s="322"/>
      <c r="CP94" s="322"/>
      <c r="CQ94" s="322"/>
      <c r="CR94" s="322"/>
      <c r="CS94" s="322"/>
      <c r="CT94" s="322"/>
      <c r="CU94" s="322"/>
      <c r="CV94" s="322"/>
      <c r="CW94" s="322"/>
      <c r="CX94" s="322"/>
      <c r="CY94" s="322"/>
      <c r="CZ94" s="322"/>
      <c r="DA94" s="322"/>
      <c r="DB94" s="322"/>
      <c r="DC94" s="322"/>
      <c r="DD94" s="322"/>
      <c r="DE94" s="322"/>
      <c r="DF94" s="322"/>
      <c r="DG94" s="322"/>
      <c r="DH94" s="322"/>
      <c r="DI94" s="322"/>
      <c r="DJ94" s="322"/>
      <c r="DK94" s="322"/>
    </row>
    <row r="95" spans="1:115" s="320" customFormat="1" ht="21" customHeight="1">
      <c r="A95" s="341"/>
      <c r="B95" s="340"/>
      <c r="C95" s="339"/>
      <c r="D95" s="333" t="s">
        <v>1172</v>
      </c>
      <c r="E95" s="332" t="s">
        <v>41</v>
      </c>
      <c r="F95" s="331">
        <v>2.9990000000000001</v>
      </c>
      <c r="G95" s="332">
        <v>375</v>
      </c>
      <c r="H95" s="331" t="s">
        <v>466</v>
      </c>
      <c r="I95" s="332" t="s">
        <v>42</v>
      </c>
      <c r="J95" s="331">
        <v>2356</v>
      </c>
      <c r="K95" s="326">
        <v>4521</v>
      </c>
      <c r="L95" s="326">
        <v>2000</v>
      </c>
      <c r="M95" s="326" t="s">
        <v>31</v>
      </c>
      <c r="N95" s="342">
        <v>11.8</v>
      </c>
      <c r="O95" s="337">
        <f>IF(N95&gt;0,1/N95*37.7*68.6,"")</f>
        <v>219.17118644067796</v>
      </c>
      <c r="P95" s="328">
        <v>10.35</v>
      </c>
      <c r="Q95" s="327" t="s">
        <v>63</v>
      </c>
      <c r="R95" s="326" t="s">
        <v>33</v>
      </c>
      <c r="S95" s="326" t="s">
        <v>34</v>
      </c>
      <c r="T95" s="326"/>
      <c r="U95" s="345"/>
      <c r="V95" s="324">
        <f>IF(N95&lt;&gt;0, IF(N95&gt;=P95,ROUNDDOWN(N95/P95*100,0),""),"")</f>
        <v>114</v>
      </c>
      <c r="W95" s="311"/>
      <c r="AR95" s="322"/>
      <c r="AS95" s="322"/>
      <c r="AT95" s="322"/>
      <c r="AU95" s="322"/>
      <c r="AV95" s="322"/>
      <c r="AW95" s="322"/>
      <c r="AX95" s="322"/>
      <c r="AY95" s="322"/>
      <c r="AZ95" s="322"/>
      <c r="BA95" s="322"/>
      <c r="BB95" s="322"/>
      <c r="BC95" s="322"/>
      <c r="BD95" s="322"/>
      <c r="BE95" s="322"/>
      <c r="BF95" s="322"/>
      <c r="BG95" s="322"/>
      <c r="BH95" s="322"/>
      <c r="BI95" s="322"/>
      <c r="BJ95" s="322"/>
      <c r="BK95" s="322"/>
      <c r="BL95" s="322"/>
      <c r="BM95" s="322"/>
      <c r="BN95" s="322"/>
      <c r="BO95" s="322"/>
      <c r="BP95" s="322"/>
      <c r="BQ95" s="322"/>
      <c r="BR95" s="322"/>
      <c r="BS95" s="322"/>
      <c r="BT95" s="322"/>
      <c r="BU95" s="322"/>
      <c r="BV95" s="322"/>
      <c r="BW95" s="322"/>
      <c r="BX95" s="322"/>
      <c r="BY95" s="322"/>
      <c r="BZ95" s="322"/>
      <c r="CA95" s="322"/>
      <c r="CB95" s="322"/>
      <c r="CC95" s="322"/>
      <c r="CD95" s="322"/>
      <c r="CE95" s="322"/>
      <c r="CF95" s="322"/>
      <c r="CG95" s="322"/>
      <c r="CH95" s="322"/>
      <c r="CI95" s="322"/>
      <c r="CJ95" s="322"/>
      <c r="CK95" s="322"/>
      <c r="CL95" s="322"/>
      <c r="CM95" s="322"/>
      <c r="CN95" s="322"/>
      <c r="CO95" s="322"/>
      <c r="CP95" s="322"/>
      <c r="CQ95" s="322"/>
      <c r="CR95" s="322"/>
      <c r="CS95" s="322"/>
      <c r="CT95" s="322"/>
      <c r="CU95" s="322"/>
      <c r="CV95" s="322"/>
      <c r="CW95" s="322"/>
      <c r="CX95" s="322"/>
      <c r="CY95" s="322"/>
      <c r="CZ95" s="322"/>
      <c r="DA95" s="322"/>
      <c r="DB95" s="322"/>
      <c r="DC95" s="322"/>
      <c r="DD95" s="322"/>
      <c r="DE95" s="322"/>
      <c r="DF95" s="322"/>
      <c r="DG95" s="322"/>
      <c r="DH95" s="322"/>
      <c r="DI95" s="322"/>
      <c r="DJ95" s="322"/>
      <c r="DK95" s="322"/>
    </row>
    <row r="96" spans="1:115" s="320" customFormat="1" ht="21" customHeight="1">
      <c r="A96" s="341"/>
      <c r="B96" s="340"/>
      <c r="C96" s="339"/>
      <c r="D96" s="333" t="s">
        <v>1172</v>
      </c>
      <c r="E96" s="332" t="s">
        <v>41</v>
      </c>
      <c r="F96" s="331">
        <v>2.9990000000000001</v>
      </c>
      <c r="G96" s="332">
        <v>375</v>
      </c>
      <c r="H96" s="331" t="s">
        <v>466</v>
      </c>
      <c r="I96" s="332" t="s">
        <v>71</v>
      </c>
      <c r="J96" s="331">
        <v>2356</v>
      </c>
      <c r="K96" s="326">
        <v>4521</v>
      </c>
      <c r="L96" s="326">
        <v>2000</v>
      </c>
      <c r="M96" s="326" t="s">
        <v>31</v>
      </c>
      <c r="N96" s="342">
        <v>11.4</v>
      </c>
      <c r="O96" s="337">
        <f>IF(N96&gt;0,1/N96*37.7*68.6,"")</f>
        <v>226.8614035087719</v>
      </c>
      <c r="P96" s="328">
        <v>10.35</v>
      </c>
      <c r="Q96" s="327" t="s">
        <v>63</v>
      </c>
      <c r="R96" s="326" t="s">
        <v>33</v>
      </c>
      <c r="S96" s="326" t="s">
        <v>34</v>
      </c>
      <c r="T96" s="326"/>
      <c r="U96" s="345"/>
      <c r="V96" s="324">
        <f>IF(N96&lt;&gt;0, IF(N96&gt;=P96,ROUNDDOWN(N96/P96*100,0),""),"")</f>
        <v>110</v>
      </c>
      <c r="W96" s="311"/>
      <c r="AR96" s="322"/>
      <c r="AS96" s="322"/>
      <c r="AT96" s="322"/>
      <c r="AU96" s="322"/>
      <c r="AV96" s="322"/>
      <c r="AW96" s="322"/>
      <c r="AX96" s="322"/>
      <c r="AY96" s="322"/>
      <c r="AZ96" s="322"/>
      <c r="BA96" s="322"/>
      <c r="BB96" s="322"/>
      <c r="BC96" s="322"/>
      <c r="BD96" s="322"/>
      <c r="BE96" s="322"/>
      <c r="BF96" s="322"/>
      <c r="BG96" s="322"/>
      <c r="BH96" s="322"/>
      <c r="BI96" s="322"/>
      <c r="BJ96" s="322"/>
      <c r="BK96" s="322"/>
      <c r="BL96" s="322"/>
      <c r="BM96" s="322"/>
      <c r="BN96" s="322"/>
      <c r="BO96" s="322"/>
      <c r="BP96" s="322"/>
      <c r="BQ96" s="322"/>
      <c r="BR96" s="322"/>
      <c r="BS96" s="322"/>
      <c r="BT96" s="322"/>
      <c r="BU96" s="322"/>
      <c r="BV96" s="322"/>
      <c r="BW96" s="322"/>
      <c r="BX96" s="322"/>
      <c r="BY96" s="322"/>
      <c r="BZ96" s="322"/>
      <c r="CA96" s="322"/>
      <c r="CB96" s="322"/>
      <c r="CC96" s="322"/>
      <c r="CD96" s="322"/>
      <c r="CE96" s="322"/>
      <c r="CF96" s="322"/>
      <c r="CG96" s="322"/>
      <c r="CH96" s="322"/>
      <c r="CI96" s="322"/>
      <c r="CJ96" s="322"/>
      <c r="CK96" s="322"/>
      <c r="CL96" s="322"/>
      <c r="CM96" s="322"/>
      <c r="CN96" s="322"/>
      <c r="CO96" s="322"/>
      <c r="CP96" s="322"/>
      <c r="CQ96" s="322"/>
      <c r="CR96" s="322"/>
      <c r="CS96" s="322"/>
      <c r="CT96" s="322"/>
      <c r="CU96" s="322"/>
      <c r="CV96" s="322"/>
      <c r="CW96" s="322"/>
      <c r="CX96" s="322"/>
      <c r="CY96" s="322"/>
      <c r="CZ96" s="322"/>
      <c r="DA96" s="322"/>
      <c r="DB96" s="322"/>
      <c r="DC96" s="322"/>
      <c r="DD96" s="322"/>
      <c r="DE96" s="322"/>
      <c r="DF96" s="322"/>
      <c r="DG96" s="322"/>
      <c r="DH96" s="322"/>
      <c r="DI96" s="322"/>
      <c r="DJ96" s="322"/>
      <c r="DK96" s="322"/>
    </row>
    <row r="97" spans="1:115" s="320" customFormat="1" ht="21" customHeight="1">
      <c r="A97" s="341"/>
      <c r="B97" s="340"/>
      <c r="C97" s="339"/>
      <c r="D97" s="333" t="s">
        <v>1171</v>
      </c>
      <c r="E97" s="332" t="s">
        <v>41</v>
      </c>
      <c r="F97" s="331">
        <v>2.9990000000000001</v>
      </c>
      <c r="G97" s="332">
        <v>375</v>
      </c>
      <c r="H97" s="331" t="s">
        <v>466</v>
      </c>
      <c r="I97" s="332" t="s">
        <v>71</v>
      </c>
      <c r="J97" s="331">
        <v>2356</v>
      </c>
      <c r="K97" s="326">
        <v>4521</v>
      </c>
      <c r="L97" s="326">
        <v>2000</v>
      </c>
      <c r="M97" s="326" t="s">
        <v>31</v>
      </c>
      <c r="N97" s="342">
        <v>11.8</v>
      </c>
      <c r="O97" s="337">
        <f>IF(N97&gt;0,1/N97*37.7*68.6,"")</f>
        <v>219.17118644067796</v>
      </c>
      <c r="P97" s="328">
        <v>10.35</v>
      </c>
      <c r="Q97" s="327" t="s">
        <v>43</v>
      </c>
      <c r="R97" s="326" t="s">
        <v>33</v>
      </c>
      <c r="S97" s="326" t="s">
        <v>34</v>
      </c>
      <c r="T97" s="326"/>
      <c r="U97" s="345"/>
      <c r="V97" s="324">
        <f>IF(N97&lt;&gt;0, IF(N97&gt;=P97,ROUNDDOWN(N97/P97*100,0),""),"")</f>
        <v>114</v>
      </c>
      <c r="W97" s="311"/>
      <c r="AR97" s="322"/>
      <c r="AS97" s="322"/>
      <c r="AT97" s="322"/>
      <c r="AU97" s="322"/>
      <c r="AV97" s="322"/>
      <c r="AW97" s="322"/>
      <c r="AX97" s="322"/>
      <c r="AY97" s="322"/>
      <c r="AZ97" s="322"/>
      <c r="BA97" s="322"/>
      <c r="BB97" s="322"/>
      <c r="BC97" s="322"/>
      <c r="BD97" s="322"/>
      <c r="BE97" s="322"/>
      <c r="BF97" s="322"/>
      <c r="BG97" s="322"/>
      <c r="BH97" s="322"/>
      <c r="BI97" s="322"/>
      <c r="BJ97" s="322"/>
      <c r="BK97" s="322"/>
      <c r="BL97" s="322"/>
      <c r="BM97" s="322"/>
      <c r="BN97" s="322"/>
      <c r="BO97" s="322"/>
      <c r="BP97" s="322"/>
      <c r="BQ97" s="322"/>
      <c r="BR97" s="322"/>
      <c r="BS97" s="322"/>
      <c r="BT97" s="322"/>
      <c r="BU97" s="322"/>
      <c r="BV97" s="322"/>
      <c r="BW97" s="322"/>
      <c r="BX97" s="322"/>
      <c r="BY97" s="322"/>
      <c r="BZ97" s="322"/>
      <c r="CA97" s="322"/>
      <c r="CB97" s="322"/>
      <c r="CC97" s="322"/>
      <c r="CD97" s="322"/>
      <c r="CE97" s="322"/>
      <c r="CF97" s="322"/>
      <c r="CG97" s="322"/>
      <c r="CH97" s="322"/>
      <c r="CI97" s="322"/>
      <c r="CJ97" s="322"/>
      <c r="CK97" s="322"/>
      <c r="CL97" s="322"/>
      <c r="CM97" s="322"/>
      <c r="CN97" s="322"/>
      <c r="CO97" s="322"/>
      <c r="CP97" s="322"/>
      <c r="CQ97" s="322"/>
      <c r="CR97" s="322"/>
      <c r="CS97" s="322"/>
      <c r="CT97" s="322"/>
      <c r="CU97" s="322"/>
      <c r="CV97" s="322"/>
      <c r="CW97" s="322"/>
      <c r="CX97" s="322"/>
      <c r="CY97" s="322"/>
      <c r="CZ97" s="322"/>
      <c r="DA97" s="322"/>
      <c r="DB97" s="322"/>
      <c r="DC97" s="322"/>
      <c r="DD97" s="322"/>
      <c r="DE97" s="322"/>
      <c r="DF97" s="322"/>
      <c r="DG97" s="322"/>
      <c r="DH97" s="322"/>
      <c r="DI97" s="322"/>
      <c r="DJ97" s="322"/>
      <c r="DK97" s="322"/>
    </row>
    <row r="98" spans="1:115" s="320" customFormat="1" ht="21" customHeight="1">
      <c r="A98" s="341"/>
      <c r="B98" s="340"/>
      <c r="C98" s="339"/>
      <c r="D98" s="333" t="s">
        <v>1171</v>
      </c>
      <c r="E98" s="332" t="s">
        <v>41</v>
      </c>
      <c r="F98" s="331">
        <v>2.9990000000000001</v>
      </c>
      <c r="G98" s="332">
        <v>375</v>
      </c>
      <c r="H98" s="331" t="s">
        <v>466</v>
      </c>
      <c r="I98" s="332" t="s">
        <v>42</v>
      </c>
      <c r="J98" s="331">
        <v>2356</v>
      </c>
      <c r="K98" s="326">
        <v>4521</v>
      </c>
      <c r="L98" s="326">
        <v>2000</v>
      </c>
      <c r="M98" s="326" t="s">
        <v>31</v>
      </c>
      <c r="N98" s="338">
        <v>11.8</v>
      </c>
      <c r="O98" s="344">
        <f>IF(N98&gt;0,1/N98*37.7*68.6,"")</f>
        <v>219.17118644067796</v>
      </c>
      <c r="P98" s="328">
        <v>10.35</v>
      </c>
      <c r="Q98" s="327" t="s">
        <v>63</v>
      </c>
      <c r="R98" s="326" t="s">
        <v>33</v>
      </c>
      <c r="S98" s="326" t="s">
        <v>34</v>
      </c>
      <c r="T98" s="326"/>
      <c r="U98" s="345"/>
      <c r="V98" s="324">
        <f>IF(N98&lt;&gt;0, IF(N98&gt;=P98,ROUNDDOWN(N98/P98*100,0),""),"")</f>
        <v>114</v>
      </c>
      <c r="W98" s="311"/>
      <c r="AR98" s="322"/>
      <c r="AS98" s="322"/>
      <c r="AT98" s="322"/>
      <c r="AU98" s="322"/>
      <c r="AV98" s="322"/>
      <c r="AW98" s="322"/>
      <c r="AX98" s="322"/>
      <c r="AY98" s="322"/>
      <c r="AZ98" s="322"/>
      <c r="BA98" s="322"/>
      <c r="BB98" s="322"/>
      <c r="BC98" s="322"/>
      <c r="BD98" s="322"/>
      <c r="BE98" s="322"/>
      <c r="BF98" s="322"/>
      <c r="BG98" s="322"/>
      <c r="BH98" s="322"/>
      <c r="BI98" s="322"/>
      <c r="BJ98" s="322"/>
      <c r="BK98" s="322"/>
      <c r="BL98" s="322"/>
      <c r="BM98" s="322"/>
      <c r="BN98" s="322"/>
      <c r="BO98" s="322"/>
      <c r="BP98" s="322"/>
      <c r="BQ98" s="322"/>
      <c r="BR98" s="322"/>
      <c r="BS98" s="322"/>
      <c r="BT98" s="322"/>
      <c r="BU98" s="322"/>
      <c r="BV98" s="322"/>
      <c r="BW98" s="322"/>
      <c r="BX98" s="322"/>
      <c r="BY98" s="322"/>
      <c r="BZ98" s="322"/>
      <c r="CA98" s="322"/>
      <c r="CB98" s="322"/>
      <c r="CC98" s="322"/>
      <c r="CD98" s="322"/>
      <c r="CE98" s="322"/>
      <c r="CF98" s="322"/>
      <c r="CG98" s="322"/>
      <c r="CH98" s="322"/>
      <c r="CI98" s="322"/>
      <c r="CJ98" s="322"/>
      <c r="CK98" s="322"/>
      <c r="CL98" s="322"/>
      <c r="CM98" s="322"/>
      <c r="CN98" s="322"/>
      <c r="CO98" s="322"/>
      <c r="CP98" s="322"/>
      <c r="CQ98" s="322"/>
      <c r="CR98" s="322"/>
      <c r="CS98" s="322"/>
      <c r="CT98" s="322"/>
      <c r="CU98" s="322"/>
      <c r="CV98" s="322"/>
      <c r="CW98" s="322"/>
      <c r="CX98" s="322"/>
      <c r="CY98" s="322"/>
      <c r="CZ98" s="322"/>
      <c r="DA98" s="322"/>
      <c r="DB98" s="322"/>
      <c r="DC98" s="322"/>
      <c r="DD98" s="322"/>
      <c r="DE98" s="322"/>
      <c r="DF98" s="322"/>
      <c r="DG98" s="322"/>
      <c r="DH98" s="322"/>
      <c r="DI98" s="322"/>
      <c r="DJ98" s="322"/>
      <c r="DK98" s="322"/>
    </row>
    <row r="99" spans="1:115" s="320" customFormat="1" ht="21" customHeight="1">
      <c r="A99" s="341"/>
      <c r="B99" s="340"/>
      <c r="C99" s="339"/>
      <c r="D99" s="333" t="s">
        <v>1171</v>
      </c>
      <c r="E99" s="332" t="s">
        <v>41</v>
      </c>
      <c r="F99" s="331">
        <v>2.9990000000000001</v>
      </c>
      <c r="G99" s="332">
        <v>375</v>
      </c>
      <c r="H99" s="331" t="s">
        <v>466</v>
      </c>
      <c r="I99" s="332" t="s">
        <v>71</v>
      </c>
      <c r="J99" s="331">
        <v>2356</v>
      </c>
      <c r="K99" s="326">
        <v>4521</v>
      </c>
      <c r="L99" s="326">
        <v>2000</v>
      </c>
      <c r="M99" s="326" t="s">
        <v>31</v>
      </c>
      <c r="N99" s="342">
        <v>11.4</v>
      </c>
      <c r="O99" s="337">
        <f>IF(N99&gt;0,1/N99*37.7*68.6,"")</f>
        <v>226.8614035087719</v>
      </c>
      <c r="P99" s="328">
        <v>10.35</v>
      </c>
      <c r="Q99" s="327" t="s">
        <v>63</v>
      </c>
      <c r="R99" s="326" t="s">
        <v>33</v>
      </c>
      <c r="S99" s="326" t="s">
        <v>34</v>
      </c>
      <c r="T99" s="326"/>
      <c r="U99" s="345"/>
      <c r="V99" s="324">
        <f>IF(N99&lt;&gt;0, IF(N99&gt;=P99,ROUNDDOWN(N99/P99*100,0),""),"")</f>
        <v>110</v>
      </c>
      <c r="W99" s="311"/>
      <c r="AR99" s="322"/>
      <c r="AS99" s="322"/>
      <c r="AT99" s="322"/>
      <c r="AU99" s="322"/>
      <c r="AV99" s="322"/>
      <c r="AW99" s="322"/>
      <c r="AX99" s="322"/>
      <c r="AY99" s="322"/>
      <c r="AZ99" s="322"/>
      <c r="BA99" s="322"/>
      <c r="BB99" s="322"/>
      <c r="BC99" s="322"/>
      <c r="BD99" s="322"/>
      <c r="BE99" s="322"/>
      <c r="BF99" s="322"/>
      <c r="BG99" s="322"/>
      <c r="BH99" s="322"/>
      <c r="BI99" s="322"/>
      <c r="BJ99" s="322"/>
      <c r="BK99" s="322"/>
      <c r="BL99" s="322"/>
      <c r="BM99" s="322"/>
      <c r="BN99" s="322"/>
      <c r="BO99" s="322"/>
      <c r="BP99" s="322"/>
      <c r="BQ99" s="322"/>
      <c r="BR99" s="322"/>
      <c r="BS99" s="322"/>
      <c r="BT99" s="322"/>
      <c r="BU99" s="322"/>
      <c r="BV99" s="322"/>
      <c r="BW99" s="322"/>
      <c r="BX99" s="322"/>
      <c r="BY99" s="322"/>
      <c r="BZ99" s="322"/>
      <c r="CA99" s="322"/>
      <c r="CB99" s="322"/>
      <c r="CC99" s="322"/>
      <c r="CD99" s="322"/>
      <c r="CE99" s="322"/>
      <c r="CF99" s="322"/>
      <c r="CG99" s="322"/>
      <c r="CH99" s="322"/>
      <c r="CI99" s="322"/>
      <c r="CJ99" s="322"/>
      <c r="CK99" s="322"/>
      <c r="CL99" s="322"/>
      <c r="CM99" s="322"/>
      <c r="CN99" s="322"/>
      <c r="CO99" s="322"/>
      <c r="CP99" s="322"/>
      <c r="CQ99" s="322"/>
      <c r="CR99" s="322"/>
      <c r="CS99" s="322"/>
      <c r="CT99" s="322"/>
      <c r="CU99" s="322"/>
      <c r="CV99" s="322"/>
      <c r="CW99" s="322"/>
      <c r="CX99" s="322"/>
      <c r="CY99" s="322"/>
      <c r="CZ99" s="322"/>
      <c r="DA99" s="322"/>
      <c r="DB99" s="322"/>
      <c r="DC99" s="322"/>
      <c r="DD99" s="322"/>
      <c r="DE99" s="322"/>
      <c r="DF99" s="322"/>
      <c r="DG99" s="322"/>
      <c r="DH99" s="322"/>
      <c r="DI99" s="322"/>
      <c r="DJ99" s="322"/>
      <c r="DK99" s="322"/>
    </row>
    <row r="100" spans="1:115" s="320" customFormat="1" ht="21" customHeight="1">
      <c r="A100" s="341"/>
      <c r="B100" s="340"/>
      <c r="C100" s="339"/>
      <c r="D100" s="333" t="s">
        <v>1171</v>
      </c>
      <c r="E100" s="332" t="s">
        <v>41</v>
      </c>
      <c r="F100" s="331">
        <v>2.9990000000000001</v>
      </c>
      <c r="G100" s="332">
        <v>375</v>
      </c>
      <c r="H100" s="331" t="s">
        <v>466</v>
      </c>
      <c r="I100" s="332" t="s">
        <v>71</v>
      </c>
      <c r="J100" s="331">
        <v>2652</v>
      </c>
      <c r="K100" s="326">
        <v>5812</v>
      </c>
      <c r="L100" s="326">
        <v>2995</v>
      </c>
      <c r="M100" s="326" t="s">
        <v>31</v>
      </c>
      <c r="N100" s="342">
        <v>10.8</v>
      </c>
      <c r="O100" s="337">
        <f>IF(N100&gt;0,1/N100*37.7*68.6,"")</f>
        <v>239.46481481481482</v>
      </c>
      <c r="P100" s="328">
        <v>9.51</v>
      </c>
      <c r="Q100" s="327" t="s">
        <v>43</v>
      </c>
      <c r="R100" s="326" t="s">
        <v>33</v>
      </c>
      <c r="S100" s="326" t="s">
        <v>34</v>
      </c>
      <c r="T100" s="326"/>
      <c r="U100" s="345"/>
      <c r="V100" s="324">
        <f>IF(N100&lt;&gt;0, IF(N100&gt;=P100,ROUNDDOWN(N100/P100*100,0),""),"")</f>
        <v>113</v>
      </c>
      <c r="W100" s="311"/>
      <c r="AR100" s="322"/>
      <c r="AS100" s="322"/>
      <c r="AT100" s="322"/>
      <c r="AU100" s="322"/>
      <c r="AV100" s="322"/>
      <c r="AW100" s="322"/>
      <c r="AX100" s="322"/>
      <c r="AY100" s="322"/>
      <c r="AZ100" s="322"/>
      <c r="BA100" s="322"/>
      <c r="BB100" s="322"/>
      <c r="BC100" s="322"/>
      <c r="BD100" s="322"/>
      <c r="BE100" s="322"/>
      <c r="BF100" s="322"/>
      <c r="BG100" s="322"/>
      <c r="BH100" s="322"/>
      <c r="BI100" s="322"/>
      <c r="BJ100" s="322"/>
      <c r="BK100" s="322"/>
      <c r="BL100" s="322"/>
      <c r="BM100" s="322"/>
      <c r="BN100" s="322"/>
      <c r="BO100" s="322"/>
      <c r="BP100" s="322"/>
      <c r="BQ100" s="322"/>
      <c r="BR100" s="322"/>
      <c r="BS100" s="322"/>
      <c r="BT100" s="322"/>
      <c r="BU100" s="322"/>
      <c r="BV100" s="322"/>
      <c r="BW100" s="322"/>
      <c r="BX100" s="322"/>
      <c r="BY100" s="322"/>
      <c r="BZ100" s="322"/>
      <c r="CA100" s="322"/>
      <c r="CB100" s="322"/>
      <c r="CC100" s="322"/>
      <c r="CD100" s="322"/>
      <c r="CE100" s="322"/>
      <c r="CF100" s="322"/>
      <c r="CG100" s="322"/>
      <c r="CH100" s="322"/>
      <c r="CI100" s="322"/>
      <c r="CJ100" s="322"/>
      <c r="CK100" s="322"/>
      <c r="CL100" s="322"/>
      <c r="CM100" s="322"/>
      <c r="CN100" s="322"/>
      <c r="CO100" s="322"/>
      <c r="CP100" s="322"/>
      <c r="CQ100" s="322"/>
      <c r="CR100" s="322"/>
      <c r="CS100" s="322"/>
      <c r="CT100" s="322"/>
      <c r="CU100" s="322"/>
      <c r="CV100" s="322"/>
      <c r="CW100" s="322"/>
      <c r="CX100" s="322"/>
      <c r="CY100" s="322"/>
      <c r="CZ100" s="322"/>
      <c r="DA100" s="322"/>
      <c r="DB100" s="322"/>
      <c r="DC100" s="322"/>
      <c r="DD100" s="322"/>
      <c r="DE100" s="322"/>
      <c r="DF100" s="322"/>
      <c r="DG100" s="322"/>
      <c r="DH100" s="322"/>
      <c r="DI100" s="322"/>
      <c r="DJ100" s="322"/>
      <c r="DK100" s="322"/>
    </row>
    <row r="101" spans="1:115" s="320" customFormat="1" ht="21" customHeight="1">
      <c r="A101" s="341"/>
      <c r="B101" s="340"/>
      <c r="C101" s="339"/>
      <c r="D101" s="333" t="s">
        <v>1171</v>
      </c>
      <c r="E101" s="332" t="s">
        <v>41</v>
      </c>
      <c r="F101" s="331">
        <v>2.9990000000000001</v>
      </c>
      <c r="G101" s="332">
        <v>375</v>
      </c>
      <c r="H101" s="331" t="s">
        <v>466</v>
      </c>
      <c r="I101" s="332" t="s">
        <v>42</v>
      </c>
      <c r="J101" s="331">
        <v>2652</v>
      </c>
      <c r="K101" s="326">
        <v>5812</v>
      </c>
      <c r="L101" s="326">
        <v>2995</v>
      </c>
      <c r="M101" s="326" t="s">
        <v>31</v>
      </c>
      <c r="N101" s="342">
        <v>10.8</v>
      </c>
      <c r="O101" s="337">
        <f>IF(N101&gt;0,1/N101*37.7*68.6,"")</f>
        <v>239.46481481481482</v>
      </c>
      <c r="P101" s="328">
        <v>9.51</v>
      </c>
      <c r="Q101" s="327" t="s">
        <v>63</v>
      </c>
      <c r="R101" s="326" t="s">
        <v>33</v>
      </c>
      <c r="S101" s="326" t="s">
        <v>34</v>
      </c>
      <c r="T101" s="326"/>
      <c r="U101" s="345"/>
      <c r="V101" s="324">
        <f>IF(N101&lt;&gt;0, IF(N101&gt;=P101,ROUNDDOWN(N101/P101*100,0),""),"")</f>
        <v>113</v>
      </c>
      <c r="W101" s="311"/>
      <c r="AR101" s="322"/>
      <c r="AS101" s="322"/>
      <c r="AT101" s="322"/>
      <c r="AU101" s="322"/>
      <c r="AV101" s="322"/>
      <c r="AW101" s="322"/>
      <c r="AX101" s="322"/>
      <c r="AY101" s="322"/>
      <c r="AZ101" s="322"/>
      <c r="BA101" s="322"/>
      <c r="BB101" s="322"/>
      <c r="BC101" s="322"/>
      <c r="BD101" s="322"/>
      <c r="BE101" s="322"/>
      <c r="BF101" s="322"/>
      <c r="BG101" s="322"/>
      <c r="BH101" s="322"/>
      <c r="BI101" s="322"/>
      <c r="BJ101" s="322"/>
      <c r="BK101" s="322"/>
      <c r="BL101" s="322"/>
      <c r="BM101" s="322"/>
      <c r="BN101" s="322"/>
      <c r="BO101" s="322"/>
      <c r="BP101" s="322"/>
      <c r="BQ101" s="322"/>
      <c r="BR101" s="322"/>
      <c r="BS101" s="322"/>
      <c r="BT101" s="322"/>
      <c r="BU101" s="322"/>
      <c r="BV101" s="322"/>
      <c r="BW101" s="322"/>
      <c r="BX101" s="322"/>
      <c r="BY101" s="322"/>
      <c r="BZ101" s="322"/>
      <c r="CA101" s="322"/>
      <c r="CB101" s="322"/>
      <c r="CC101" s="322"/>
      <c r="CD101" s="322"/>
      <c r="CE101" s="322"/>
      <c r="CF101" s="322"/>
      <c r="CG101" s="322"/>
      <c r="CH101" s="322"/>
      <c r="CI101" s="322"/>
      <c r="CJ101" s="322"/>
      <c r="CK101" s="322"/>
      <c r="CL101" s="322"/>
      <c r="CM101" s="322"/>
      <c r="CN101" s="322"/>
      <c r="CO101" s="322"/>
      <c r="CP101" s="322"/>
      <c r="CQ101" s="322"/>
      <c r="CR101" s="322"/>
      <c r="CS101" s="322"/>
      <c r="CT101" s="322"/>
      <c r="CU101" s="322"/>
      <c r="CV101" s="322"/>
      <c r="CW101" s="322"/>
      <c r="CX101" s="322"/>
      <c r="CY101" s="322"/>
      <c r="CZ101" s="322"/>
      <c r="DA101" s="322"/>
      <c r="DB101" s="322"/>
      <c r="DC101" s="322"/>
      <c r="DD101" s="322"/>
      <c r="DE101" s="322"/>
      <c r="DF101" s="322"/>
      <c r="DG101" s="322"/>
      <c r="DH101" s="322"/>
      <c r="DI101" s="322"/>
      <c r="DJ101" s="322"/>
      <c r="DK101" s="322"/>
    </row>
    <row r="102" spans="1:115" s="320" customFormat="1" ht="21" customHeight="1">
      <c r="A102" s="341"/>
      <c r="B102" s="340"/>
      <c r="C102" s="339"/>
      <c r="D102" s="333" t="s">
        <v>1171</v>
      </c>
      <c r="E102" s="332" t="s">
        <v>41</v>
      </c>
      <c r="F102" s="331">
        <v>2.9990000000000001</v>
      </c>
      <c r="G102" s="332">
        <v>375</v>
      </c>
      <c r="H102" s="331" t="s">
        <v>466</v>
      </c>
      <c r="I102" s="332" t="s">
        <v>71</v>
      </c>
      <c r="J102" s="331">
        <v>2652</v>
      </c>
      <c r="K102" s="326">
        <v>5812</v>
      </c>
      <c r="L102" s="326">
        <v>2995</v>
      </c>
      <c r="M102" s="326" t="s">
        <v>31</v>
      </c>
      <c r="N102" s="342">
        <v>10.6</v>
      </c>
      <c r="O102" s="337">
        <f>IF(N102&gt;0,1/N102*37.7*68.6,"")</f>
        <v>243.98301886792456</v>
      </c>
      <c r="P102" s="328">
        <v>9.51</v>
      </c>
      <c r="Q102" s="327" t="s">
        <v>63</v>
      </c>
      <c r="R102" s="326" t="s">
        <v>33</v>
      </c>
      <c r="S102" s="326" t="s">
        <v>34</v>
      </c>
      <c r="T102" s="326"/>
      <c r="U102" s="345"/>
      <c r="V102" s="324">
        <f>IF(N102&lt;&gt;0, IF(N102&gt;=P102,ROUNDDOWN(N102/P102*100,0),""),"")</f>
        <v>111</v>
      </c>
      <c r="W102" s="311"/>
      <c r="AR102" s="322"/>
      <c r="AS102" s="322"/>
      <c r="AT102" s="322"/>
      <c r="AU102" s="322"/>
      <c r="AV102" s="322"/>
      <c r="AW102" s="322"/>
      <c r="AX102" s="322"/>
      <c r="AY102" s="322"/>
      <c r="AZ102" s="322"/>
      <c r="BA102" s="322"/>
      <c r="BB102" s="322"/>
      <c r="BC102" s="322"/>
      <c r="BD102" s="322"/>
      <c r="BE102" s="322"/>
      <c r="BF102" s="322"/>
      <c r="BG102" s="322"/>
      <c r="BH102" s="322"/>
      <c r="BI102" s="322"/>
      <c r="BJ102" s="322"/>
      <c r="BK102" s="322"/>
      <c r="BL102" s="322"/>
      <c r="BM102" s="322"/>
      <c r="BN102" s="322"/>
      <c r="BO102" s="322"/>
      <c r="BP102" s="322"/>
      <c r="BQ102" s="322"/>
      <c r="BR102" s="322"/>
      <c r="BS102" s="322"/>
      <c r="BT102" s="322"/>
      <c r="BU102" s="322"/>
      <c r="BV102" s="322"/>
      <c r="BW102" s="322"/>
      <c r="BX102" s="322"/>
      <c r="BY102" s="322"/>
      <c r="BZ102" s="322"/>
      <c r="CA102" s="322"/>
      <c r="CB102" s="322"/>
      <c r="CC102" s="322"/>
      <c r="CD102" s="322"/>
      <c r="CE102" s="322"/>
      <c r="CF102" s="322"/>
      <c r="CG102" s="322"/>
      <c r="CH102" s="322"/>
      <c r="CI102" s="322"/>
      <c r="CJ102" s="322"/>
      <c r="CK102" s="322"/>
      <c r="CL102" s="322"/>
      <c r="CM102" s="322"/>
      <c r="CN102" s="322"/>
      <c r="CO102" s="322"/>
      <c r="CP102" s="322"/>
      <c r="CQ102" s="322"/>
      <c r="CR102" s="322"/>
      <c r="CS102" s="322"/>
      <c r="CT102" s="322"/>
      <c r="CU102" s="322"/>
      <c r="CV102" s="322"/>
      <c r="CW102" s="322"/>
      <c r="CX102" s="322"/>
      <c r="CY102" s="322"/>
      <c r="CZ102" s="322"/>
      <c r="DA102" s="322"/>
      <c r="DB102" s="322"/>
      <c r="DC102" s="322"/>
      <c r="DD102" s="322"/>
      <c r="DE102" s="322"/>
      <c r="DF102" s="322"/>
      <c r="DG102" s="322"/>
      <c r="DH102" s="322"/>
      <c r="DI102" s="322"/>
      <c r="DJ102" s="322"/>
      <c r="DK102" s="322"/>
    </row>
    <row r="103" spans="1:115" s="320" customFormat="1" ht="21" customHeight="1">
      <c r="A103" s="341"/>
      <c r="B103" s="340"/>
      <c r="C103" s="339"/>
      <c r="D103" s="333" t="s">
        <v>1170</v>
      </c>
      <c r="E103" s="332" t="s">
        <v>41</v>
      </c>
      <c r="F103" s="331">
        <v>2.9990000000000001</v>
      </c>
      <c r="G103" s="332">
        <v>375</v>
      </c>
      <c r="H103" s="331" t="s">
        <v>466</v>
      </c>
      <c r="I103" s="332" t="s">
        <v>71</v>
      </c>
      <c r="J103" s="331">
        <v>2356</v>
      </c>
      <c r="K103" s="326">
        <v>4521</v>
      </c>
      <c r="L103" s="326">
        <v>2000</v>
      </c>
      <c r="M103" s="326" t="s">
        <v>31</v>
      </c>
      <c r="N103" s="342">
        <v>11.8</v>
      </c>
      <c r="O103" s="337">
        <f>IF(N103&gt;0,1/N103*37.7*68.6,"")</f>
        <v>219.17118644067796</v>
      </c>
      <c r="P103" s="328">
        <v>10.35</v>
      </c>
      <c r="Q103" s="327" t="s">
        <v>43</v>
      </c>
      <c r="R103" s="326" t="s">
        <v>33</v>
      </c>
      <c r="S103" s="326" t="s">
        <v>34</v>
      </c>
      <c r="T103" s="326"/>
      <c r="U103" s="345"/>
      <c r="V103" s="324">
        <f>IF(N103&lt;&gt;0, IF(N103&gt;=P103,ROUNDDOWN(N103/P103*100,0),""),"")</f>
        <v>114</v>
      </c>
      <c r="W103" s="311"/>
      <c r="AR103" s="322"/>
      <c r="AS103" s="322"/>
      <c r="AT103" s="322"/>
      <c r="AU103" s="322"/>
      <c r="AV103" s="322"/>
      <c r="AW103" s="322"/>
      <c r="AX103" s="322"/>
      <c r="AY103" s="322"/>
      <c r="AZ103" s="322"/>
      <c r="BA103" s="322"/>
      <c r="BB103" s="322"/>
      <c r="BC103" s="322"/>
      <c r="BD103" s="322"/>
      <c r="BE103" s="322"/>
      <c r="BF103" s="322"/>
      <c r="BG103" s="322"/>
      <c r="BH103" s="322"/>
      <c r="BI103" s="322"/>
      <c r="BJ103" s="322"/>
      <c r="BK103" s="322"/>
      <c r="BL103" s="322"/>
      <c r="BM103" s="322"/>
      <c r="BN103" s="322"/>
      <c r="BO103" s="322"/>
      <c r="BP103" s="322"/>
      <c r="BQ103" s="322"/>
      <c r="BR103" s="322"/>
      <c r="BS103" s="322"/>
      <c r="BT103" s="322"/>
      <c r="BU103" s="322"/>
      <c r="BV103" s="322"/>
      <c r="BW103" s="322"/>
      <c r="BX103" s="322"/>
      <c r="BY103" s="322"/>
      <c r="BZ103" s="322"/>
      <c r="CA103" s="322"/>
      <c r="CB103" s="322"/>
      <c r="CC103" s="322"/>
      <c r="CD103" s="322"/>
      <c r="CE103" s="322"/>
      <c r="CF103" s="322"/>
      <c r="CG103" s="322"/>
      <c r="CH103" s="322"/>
      <c r="CI103" s="322"/>
      <c r="CJ103" s="322"/>
      <c r="CK103" s="322"/>
      <c r="CL103" s="322"/>
      <c r="CM103" s="322"/>
      <c r="CN103" s="322"/>
      <c r="CO103" s="322"/>
      <c r="CP103" s="322"/>
      <c r="CQ103" s="322"/>
      <c r="CR103" s="322"/>
      <c r="CS103" s="322"/>
      <c r="CT103" s="322"/>
      <c r="CU103" s="322"/>
      <c r="CV103" s="322"/>
      <c r="CW103" s="322"/>
      <c r="CX103" s="322"/>
      <c r="CY103" s="322"/>
      <c r="CZ103" s="322"/>
      <c r="DA103" s="322"/>
      <c r="DB103" s="322"/>
      <c r="DC103" s="322"/>
      <c r="DD103" s="322"/>
      <c r="DE103" s="322"/>
      <c r="DF103" s="322"/>
      <c r="DG103" s="322"/>
      <c r="DH103" s="322"/>
      <c r="DI103" s="322"/>
      <c r="DJ103" s="322"/>
      <c r="DK103" s="322"/>
    </row>
    <row r="104" spans="1:115" s="320" customFormat="1" ht="21" customHeight="1">
      <c r="A104" s="341"/>
      <c r="B104" s="340"/>
      <c r="C104" s="339"/>
      <c r="D104" s="333" t="s">
        <v>1170</v>
      </c>
      <c r="E104" s="332" t="s">
        <v>41</v>
      </c>
      <c r="F104" s="331">
        <v>2.9990000000000001</v>
      </c>
      <c r="G104" s="332">
        <v>375</v>
      </c>
      <c r="H104" s="331" t="s">
        <v>466</v>
      </c>
      <c r="I104" s="332" t="s">
        <v>42</v>
      </c>
      <c r="J104" s="331">
        <v>2356</v>
      </c>
      <c r="K104" s="326">
        <v>4521</v>
      </c>
      <c r="L104" s="326">
        <v>2000</v>
      </c>
      <c r="M104" s="326" t="s">
        <v>31</v>
      </c>
      <c r="N104" s="342">
        <v>11.8</v>
      </c>
      <c r="O104" s="337">
        <f>IF(N104&gt;0,1/N104*37.7*68.6,"")</f>
        <v>219.17118644067796</v>
      </c>
      <c r="P104" s="328">
        <v>10.35</v>
      </c>
      <c r="Q104" s="327" t="s">
        <v>63</v>
      </c>
      <c r="R104" s="326" t="s">
        <v>33</v>
      </c>
      <c r="S104" s="326" t="s">
        <v>34</v>
      </c>
      <c r="T104" s="326"/>
      <c r="U104" s="345"/>
      <c r="V104" s="324">
        <f>IF(N104&lt;&gt;0, IF(N104&gt;=P104,ROUNDDOWN(N104/P104*100,0),""),"")</f>
        <v>114</v>
      </c>
      <c r="W104" s="311"/>
      <c r="AR104" s="322"/>
      <c r="AS104" s="322"/>
      <c r="AT104" s="322"/>
      <c r="AU104" s="322"/>
      <c r="AV104" s="322"/>
      <c r="AW104" s="322"/>
      <c r="AX104" s="322"/>
      <c r="AY104" s="322"/>
      <c r="AZ104" s="322"/>
      <c r="BA104" s="322"/>
      <c r="BB104" s="322"/>
      <c r="BC104" s="322"/>
      <c r="BD104" s="322"/>
      <c r="BE104" s="322"/>
      <c r="BF104" s="322"/>
      <c r="BG104" s="322"/>
      <c r="BH104" s="322"/>
      <c r="BI104" s="322"/>
      <c r="BJ104" s="322"/>
      <c r="BK104" s="322"/>
      <c r="BL104" s="322"/>
      <c r="BM104" s="322"/>
      <c r="BN104" s="322"/>
      <c r="BO104" s="322"/>
      <c r="BP104" s="322"/>
      <c r="BQ104" s="322"/>
      <c r="BR104" s="322"/>
      <c r="BS104" s="322"/>
      <c r="BT104" s="322"/>
      <c r="BU104" s="322"/>
      <c r="BV104" s="322"/>
      <c r="BW104" s="322"/>
      <c r="BX104" s="322"/>
      <c r="BY104" s="322"/>
      <c r="BZ104" s="322"/>
      <c r="CA104" s="322"/>
      <c r="CB104" s="322"/>
      <c r="CC104" s="322"/>
      <c r="CD104" s="322"/>
      <c r="CE104" s="322"/>
      <c r="CF104" s="322"/>
      <c r="CG104" s="322"/>
      <c r="CH104" s="322"/>
      <c r="CI104" s="322"/>
      <c r="CJ104" s="322"/>
      <c r="CK104" s="322"/>
      <c r="CL104" s="322"/>
      <c r="CM104" s="322"/>
      <c r="CN104" s="322"/>
      <c r="CO104" s="322"/>
      <c r="CP104" s="322"/>
      <c r="CQ104" s="322"/>
      <c r="CR104" s="322"/>
      <c r="CS104" s="322"/>
      <c r="CT104" s="322"/>
      <c r="CU104" s="322"/>
      <c r="CV104" s="322"/>
      <c r="CW104" s="322"/>
      <c r="CX104" s="322"/>
      <c r="CY104" s="322"/>
      <c r="CZ104" s="322"/>
      <c r="DA104" s="322"/>
      <c r="DB104" s="322"/>
      <c r="DC104" s="322"/>
      <c r="DD104" s="322"/>
      <c r="DE104" s="322"/>
      <c r="DF104" s="322"/>
      <c r="DG104" s="322"/>
      <c r="DH104" s="322"/>
      <c r="DI104" s="322"/>
      <c r="DJ104" s="322"/>
      <c r="DK104" s="322"/>
    </row>
    <row r="105" spans="1:115" s="320" customFormat="1" ht="21" customHeight="1">
      <c r="A105" s="341"/>
      <c r="B105" s="340"/>
      <c r="C105" s="339"/>
      <c r="D105" s="333" t="s">
        <v>1170</v>
      </c>
      <c r="E105" s="332" t="s">
        <v>41</v>
      </c>
      <c r="F105" s="331">
        <v>2.9990000000000001</v>
      </c>
      <c r="G105" s="332">
        <v>375</v>
      </c>
      <c r="H105" s="331" t="s">
        <v>466</v>
      </c>
      <c r="I105" s="332" t="s">
        <v>71</v>
      </c>
      <c r="J105" s="331">
        <v>2356</v>
      </c>
      <c r="K105" s="326">
        <v>4521</v>
      </c>
      <c r="L105" s="326">
        <v>2000</v>
      </c>
      <c r="M105" s="326" t="s">
        <v>31</v>
      </c>
      <c r="N105" s="342">
        <v>11.4</v>
      </c>
      <c r="O105" s="337">
        <f>IF(N105&gt;0,1/N105*37.7*68.6,"")</f>
        <v>226.8614035087719</v>
      </c>
      <c r="P105" s="328">
        <v>10.35</v>
      </c>
      <c r="Q105" s="327" t="s">
        <v>63</v>
      </c>
      <c r="R105" s="326" t="s">
        <v>33</v>
      </c>
      <c r="S105" s="326" t="s">
        <v>34</v>
      </c>
      <c r="T105" s="326"/>
      <c r="U105" s="345"/>
      <c r="V105" s="324">
        <f>IF(N105&lt;&gt;0, IF(N105&gt;=P105,ROUNDDOWN(N105/P105*100,0),""),"")</f>
        <v>110</v>
      </c>
      <c r="W105" s="311"/>
      <c r="AR105" s="322"/>
      <c r="AS105" s="322"/>
      <c r="AT105" s="322"/>
      <c r="AU105" s="322"/>
      <c r="AV105" s="322"/>
      <c r="AW105" s="322"/>
      <c r="AX105" s="322"/>
      <c r="AY105" s="322"/>
      <c r="AZ105" s="322"/>
      <c r="BA105" s="322"/>
      <c r="BB105" s="322"/>
      <c r="BC105" s="322"/>
      <c r="BD105" s="322"/>
      <c r="BE105" s="322"/>
      <c r="BF105" s="322"/>
      <c r="BG105" s="322"/>
      <c r="BH105" s="322"/>
      <c r="BI105" s="322"/>
      <c r="BJ105" s="322"/>
      <c r="BK105" s="322"/>
      <c r="BL105" s="322"/>
      <c r="BM105" s="322"/>
      <c r="BN105" s="322"/>
      <c r="BO105" s="322"/>
      <c r="BP105" s="322"/>
      <c r="BQ105" s="322"/>
      <c r="BR105" s="322"/>
      <c r="BS105" s="322"/>
      <c r="BT105" s="322"/>
      <c r="BU105" s="322"/>
      <c r="BV105" s="322"/>
      <c r="BW105" s="322"/>
      <c r="BX105" s="322"/>
      <c r="BY105" s="322"/>
      <c r="BZ105" s="322"/>
      <c r="CA105" s="322"/>
      <c r="CB105" s="322"/>
      <c r="CC105" s="322"/>
      <c r="CD105" s="322"/>
      <c r="CE105" s="322"/>
      <c r="CF105" s="322"/>
      <c r="CG105" s="322"/>
      <c r="CH105" s="322"/>
      <c r="CI105" s="322"/>
      <c r="CJ105" s="322"/>
      <c r="CK105" s="322"/>
      <c r="CL105" s="322"/>
      <c r="CM105" s="322"/>
      <c r="CN105" s="322"/>
      <c r="CO105" s="322"/>
      <c r="CP105" s="322"/>
      <c r="CQ105" s="322"/>
      <c r="CR105" s="322"/>
      <c r="CS105" s="322"/>
      <c r="CT105" s="322"/>
      <c r="CU105" s="322"/>
      <c r="CV105" s="322"/>
      <c r="CW105" s="322"/>
      <c r="CX105" s="322"/>
      <c r="CY105" s="322"/>
      <c r="CZ105" s="322"/>
      <c r="DA105" s="322"/>
      <c r="DB105" s="322"/>
      <c r="DC105" s="322"/>
      <c r="DD105" s="322"/>
      <c r="DE105" s="322"/>
      <c r="DF105" s="322"/>
      <c r="DG105" s="322"/>
      <c r="DH105" s="322"/>
      <c r="DI105" s="322"/>
      <c r="DJ105" s="322"/>
      <c r="DK105" s="322"/>
    </row>
    <row r="106" spans="1:115" s="320" customFormat="1" ht="21" customHeight="1">
      <c r="A106" s="341"/>
      <c r="B106" s="340"/>
      <c r="C106" s="339"/>
      <c r="D106" s="333" t="s">
        <v>1170</v>
      </c>
      <c r="E106" s="332" t="s">
        <v>41</v>
      </c>
      <c r="F106" s="331">
        <v>2.9990000000000001</v>
      </c>
      <c r="G106" s="332">
        <v>375</v>
      </c>
      <c r="H106" s="331" t="s">
        <v>466</v>
      </c>
      <c r="I106" s="332" t="s">
        <v>71</v>
      </c>
      <c r="J106" s="331">
        <v>2652</v>
      </c>
      <c r="K106" s="326">
        <v>5812</v>
      </c>
      <c r="L106" s="326">
        <v>2995</v>
      </c>
      <c r="M106" s="326" t="s">
        <v>31</v>
      </c>
      <c r="N106" s="342">
        <v>10.8</v>
      </c>
      <c r="O106" s="337">
        <f>IF(N106&gt;0,1/N106*37.7*68.6,"")</f>
        <v>239.46481481481482</v>
      </c>
      <c r="P106" s="328">
        <v>9.51</v>
      </c>
      <c r="Q106" s="327" t="s">
        <v>43</v>
      </c>
      <c r="R106" s="326" t="s">
        <v>33</v>
      </c>
      <c r="S106" s="326" t="s">
        <v>34</v>
      </c>
      <c r="T106" s="326"/>
      <c r="U106" s="345"/>
      <c r="V106" s="324">
        <f>IF(N106&lt;&gt;0, IF(N106&gt;=P106,ROUNDDOWN(N106/P106*100,0),""),"")</f>
        <v>113</v>
      </c>
      <c r="W106" s="311"/>
      <c r="AR106" s="322"/>
      <c r="AS106" s="322"/>
      <c r="AT106" s="322"/>
      <c r="AU106" s="322"/>
      <c r="AV106" s="322"/>
      <c r="AW106" s="322"/>
      <c r="AX106" s="322"/>
      <c r="AY106" s="322"/>
      <c r="AZ106" s="322"/>
      <c r="BA106" s="322"/>
      <c r="BB106" s="322"/>
      <c r="BC106" s="322"/>
      <c r="BD106" s="322"/>
      <c r="BE106" s="322"/>
      <c r="BF106" s="322"/>
      <c r="BG106" s="322"/>
      <c r="BH106" s="322"/>
      <c r="BI106" s="322"/>
      <c r="BJ106" s="322"/>
      <c r="BK106" s="322"/>
      <c r="BL106" s="322"/>
      <c r="BM106" s="322"/>
      <c r="BN106" s="322"/>
      <c r="BO106" s="322"/>
      <c r="BP106" s="322"/>
      <c r="BQ106" s="322"/>
      <c r="BR106" s="322"/>
      <c r="BS106" s="322"/>
      <c r="BT106" s="322"/>
      <c r="BU106" s="322"/>
      <c r="BV106" s="322"/>
      <c r="BW106" s="322"/>
      <c r="BX106" s="322"/>
      <c r="BY106" s="322"/>
      <c r="BZ106" s="322"/>
      <c r="CA106" s="322"/>
      <c r="CB106" s="322"/>
      <c r="CC106" s="322"/>
      <c r="CD106" s="322"/>
      <c r="CE106" s="322"/>
      <c r="CF106" s="322"/>
      <c r="CG106" s="322"/>
      <c r="CH106" s="322"/>
      <c r="CI106" s="322"/>
      <c r="CJ106" s="322"/>
      <c r="CK106" s="322"/>
      <c r="CL106" s="322"/>
      <c r="CM106" s="322"/>
      <c r="CN106" s="322"/>
      <c r="CO106" s="322"/>
      <c r="CP106" s="322"/>
      <c r="CQ106" s="322"/>
      <c r="CR106" s="322"/>
      <c r="CS106" s="322"/>
      <c r="CT106" s="322"/>
      <c r="CU106" s="322"/>
      <c r="CV106" s="322"/>
      <c r="CW106" s="322"/>
      <c r="CX106" s="322"/>
      <c r="CY106" s="322"/>
      <c r="CZ106" s="322"/>
      <c r="DA106" s="322"/>
      <c r="DB106" s="322"/>
      <c r="DC106" s="322"/>
      <c r="DD106" s="322"/>
      <c r="DE106" s="322"/>
      <c r="DF106" s="322"/>
      <c r="DG106" s="322"/>
      <c r="DH106" s="322"/>
      <c r="DI106" s="322"/>
      <c r="DJ106" s="322"/>
      <c r="DK106" s="322"/>
    </row>
    <row r="107" spans="1:115" s="320" customFormat="1" ht="21" customHeight="1">
      <c r="A107" s="341"/>
      <c r="B107" s="340"/>
      <c r="C107" s="339"/>
      <c r="D107" s="333" t="s">
        <v>1170</v>
      </c>
      <c r="E107" s="332" t="s">
        <v>41</v>
      </c>
      <c r="F107" s="331">
        <v>2.9990000000000001</v>
      </c>
      <c r="G107" s="332">
        <v>375</v>
      </c>
      <c r="H107" s="331" t="s">
        <v>466</v>
      </c>
      <c r="I107" s="332" t="s">
        <v>42</v>
      </c>
      <c r="J107" s="331">
        <v>2652</v>
      </c>
      <c r="K107" s="326">
        <v>5812</v>
      </c>
      <c r="L107" s="326">
        <v>2995</v>
      </c>
      <c r="M107" s="326" t="s">
        <v>31</v>
      </c>
      <c r="N107" s="342">
        <v>10.8</v>
      </c>
      <c r="O107" s="337">
        <f>IF(N107&gt;0,1/N107*37.7*68.6,"")</f>
        <v>239.46481481481482</v>
      </c>
      <c r="P107" s="328">
        <v>9.51</v>
      </c>
      <c r="Q107" s="327" t="s">
        <v>63</v>
      </c>
      <c r="R107" s="326" t="s">
        <v>33</v>
      </c>
      <c r="S107" s="326" t="s">
        <v>34</v>
      </c>
      <c r="T107" s="326"/>
      <c r="U107" s="345"/>
      <c r="V107" s="324">
        <f>IF(N107&lt;&gt;0, IF(N107&gt;=P107,ROUNDDOWN(N107/P107*100,0),""),"")</f>
        <v>113</v>
      </c>
      <c r="W107" s="311"/>
      <c r="AR107" s="322"/>
      <c r="AS107" s="322"/>
      <c r="AT107" s="322"/>
      <c r="AU107" s="322"/>
      <c r="AV107" s="322"/>
      <c r="AW107" s="322"/>
      <c r="AX107" s="322"/>
      <c r="AY107" s="322"/>
      <c r="AZ107" s="322"/>
      <c r="BA107" s="322"/>
      <c r="BB107" s="322"/>
      <c r="BC107" s="322"/>
      <c r="BD107" s="322"/>
      <c r="BE107" s="322"/>
      <c r="BF107" s="322"/>
      <c r="BG107" s="322"/>
      <c r="BH107" s="322"/>
      <c r="BI107" s="322"/>
      <c r="BJ107" s="322"/>
      <c r="BK107" s="322"/>
      <c r="BL107" s="322"/>
      <c r="BM107" s="322"/>
      <c r="BN107" s="322"/>
      <c r="BO107" s="322"/>
      <c r="BP107" s="322"/>
      <c r="BQ107" s="322"/>
      <c r="BR107" s="322"/>
      <c r="BS107" s="322"/>
      <c r="BT107" s="322"/>
      <c r="BU107" s="322"/>
      <c r="BV107" s="322"/>
      <c r="BW107" s="322"/>
      <c r="BX107" s="322"/>
      <c r="BY107" s="322"/>
      <c r="BZ107" s="322"/>
      <c r="CA107" s="322"/>
      <c r="CB107" s="322"/>
      <c r="CC107" s="322"/>
      <c r="CD107" s="322"/>
      <c r="CE107" s="322"/>
      <c r="CF107" s="322"/>
      <c r="CG107" s="322"/>
      <c r="CH107" s="322"/>
      <c r="CI107" s="322"/>
      <c r="CJ107" s="322"/>
      <c r="CK107" s="322"/>
      <c r="CL107" s="322"/>
      <c r="CM107" s="322"/>
      <c r="CN107" s="322"/>
      <c r="CO107" s="322"/>
      <c r="CP107" s="322"/>
      <c r="CQ107" s="322"/>
      <c r="CR107" s="322"/>
      <c r="CS107" s="322"/>
      <c r="CT107" s="322"/>
      <c r="CU107" s="322"/>
      <c r="CV107" s="322"/>
      <c r="CW107" s="322"/>
      <c r="CX107" s="322"/>
      <c r="CY107" s="322"/>
      <c r="CZ107" s="322"/>
      <c r="DA107" s="322"/>
      <c r="DB107" s="322"/>
      <c r="DC107" s="322"/>
      <c r="DD107" s="322"/>
      <c r="DE107" s="322"/>
      <c r="DF107" s="322"/>
      <c r="DG107" s="322"/>
      <c r="DH107" s="322"/>
      <c r="DI107" s="322"/>
      <c r="DJ107" s="322"/>
      <c r="DK107" s="322"/>
    </row>
    <row r="108" spans="1:115" s="320" customFormat="1" ht="21" customHeight="1">
      <c r="A108" s="341"/>
      <c r="B108" s="340"/>
      <c r="C108" s="339"/>
      <c r="D108" s="333" t="s">
        <v>1170</v>
      </c>
      <c r="E108" s="332" t="s">
        <v>41</v>
      </c>
      <c r="F108" s="331">
        <v>2.9990000000000001</v>
      </c>
      <c r="G108" s="332">
        <v>375</v>
      </c>
      <c r="H108" s="331" t="s">
        <v>466</v>
      </c>
      <c r="I108" s="332" t="s">
        <v>71</v>
      </c>
      <c r="J108" s="331">
        <v>2652</v>
      </c>
      <c r="K108" s="326">
        <v>5812</v>
      </c>
      <c r="L108" s="326">
        <v>2995</v>
      </c>
      <c r="M108" s="326" t="s">
        <v>31</v>
      </c>
      <c r="N108" s="342">
        <v>10.6</v>
      </c>
      <c r="O108" s="337">
        <f>IF(N108&gt;0,1/N108*37.7*68.6,"")</f>
        <v>243.98301886792456</v>
      </c>
      <c r="P108" s="328">
        <v>9.51</v>
      </c>
      <c r="Q108" s="327" t="s">
        <v>63</v>
      </c>
      <c r="R108" s="326" t="s">
        <v>33</v>
      </c>
      <c r="S108" s="326" t="s">
        <v>34</v>
      </c>
      <c r="T108" s="326"/>
      <c r="U108" s="345"/>
      <c r="V108" s="324">
        <f>IF(N108&lt;&gt;0, IF(N108&gt;=P108,ROUNDDOWN(N108/P108*100,0),""),"")</f>
        <v>111</v>
      </c>
      <c r="W108" s="311"/>
      <c r="AR108" s="322"/>
      <c r="AS108" s="322"/>
      <c r="AT108" s="322"/>
      <c r="AU108" s="322"/>
      <c r="AV108" s="322"/>
      <c r="AW108" s="322"/>
      <c r="AX108" s="322"/>
      <c r="AY108" s="322"/>
      <c r="AZ108" s="322"/>
      <c r="BA108" s="322"/>
      <c r="BB108" s="322"/>
      <c r="BC108" s="322"/>
      <c r="BD108" s="322"/>
      <c r="BE108" s="322"/>
      <c r="BF108" s="322"/>
      <c r="BG108" s="322"/>
      <c r="BH108" s="322"/>
      <c r="BI108" s="322"/>
      <c r="BJ108" s="322"/>
      <c r="BK108" s="322"/>
      <c r="BL108" s="322"/>
      <c r="BM108" s="322"/>
      <c r="BN108" s="322"/>
      <c r="BO108" s="322"/>
      <c r="BP108" s="322"/>
      <c r="BQ108" s="322"/>
      <c r="BR108" s="322"/>
      <c r="BS108" s="322"/>
      <c r="BT108" s="322"/>
      <c r="BU108" s="322"/>
      <c r="BV108" s="322"/>
      <c r="BW108" s="322"/>
      <c r="BX108" s="322"/>
      <c r="BY108" s="322"/>
      <c r="BZ108" s="322"/>
      <c r="CA108" s="322"/>
      <c r="CB108" s="322"/>
      <c r="CC108" s="322"/>
      <c r="CD108" s="322"/>
      <c r="CE108" s="322"/>
      <c r="CF108" s="322"/>
      <c r="CG108" s="322"/>
      <c r="CH108" s="322"/>
      <c r="CI108" s="322"/>
      <c r="CJ108" s="322"/>
      <c r="CK108" s="322"/>
      <c r="CL108" s="322"/>
      <c r="CM108" s="322"/>
      <c r="CN108" s="322"/>
      <c r="CO108" s="322"/>
      <c r="CP108" s="322"/>
      <c r="CQ108" s="322"/>
      <c r="CR108" s="322"/>
      <c r="CS108" s="322"/>
      <c r="CT108" s="322"/>
      <c r="CU108" s="322"/>
      <c r="CV108" s="322"/>
      <c r="CW108" s="322"/>
      <c r="CX108" s="322"/>
      <c r="CY108" s="322"/>
      <c r="CZ108" s="322"/>
      <c r="DA108" s="322"/>
      <c r="DB108" s="322"/>
      <c r="DC108" s="322"/>
      <c r="DD108" s="322"/>
      <c r="DE108" s="322"/>
      <c r="DF108" s="322"/>
      <c r="DG108" s="322"/>
      <c r="DH108" s="322"/>
      <c r="DI108" s="322"/>
      <c r="DJ108" s="322"/>
      <c r="DK108" s="322"/>
    </row>
    <row r="109" spans="1:115" s="320" customFormat="1" ht="21" customHeight="1">
      <c r="A109" s="341"/>
      <c r="B109" s="340"/>
      <c r="C109" s="339"/>
      <c r="D109" s="333" t="s">
        <v>1169</v>
      </c>
      <c r="E109" s="332" t="s">
        <v>41</v>
      </c>
      <c r="F109" s="331">
        <v>2.9990000000000001</v>
      </c>
      <c r="G109" s="332">
        <v>375</v>
      </c>
      <c r="H109" s="331">
        <v>110</v>
      </c>
      <c r="I109" s="332" t="s">
        <v>71</v>
      </c>
      <c r="J109" s="331">
        <v>2356</v>
      </c>
      <c r="K109" s="326">
        <v>4521</v>
      </c>
      <c r="L109" s="326">
        <v>2000</v>
      </c>
      <c r="M109" s="326" t="s">
        <v>31</v>
      </c>
      <c r="N109" s="342">
        <v>11.8</v>
      </c>
      <c r="O109" s="337">
        <f>IF(N109&gt;0,1/N109*37.7*68.6,"")</f>
        <v>219.17118644067796</v>
      </c>
      <c r="P109" s="328">
        <v>10.35</v>
      </c>
      <c r="Q109" s="327" t="s">
        <v>43</v>
      </c>
      <c r="R109" s="326" t="s">
        <v>33</v>
      </c>
      <c r="S109" s="326" t="s">
        <v>34</v>
      </c>
      <c r="T109" s="326"/>
      <c r="U109" s="345"/>
      <c r="V109" s="324">
        <f>IF(N109&lt;&gt;0, IF(N109&gt;=P109,ROUNDDOWN(N109/P109*100,0),""),"")</f>
        <v>114</v>
      </c>
      <c r="W109" s="311"/>
      <c r="X109" s="323"/>
      <c r="Y109" s="311"/>
    </row>
    <row r="110" spans="1:115" s="320" customFormat="1" ht="21" customHeight="1">
      <c r="A110" s="341"/>
      <c r="B110" s="340"/>
      <c r="C110" s="339"/>
      <c r="D110" s="333" t="s">
        <v>1169</v>
      </c>
      <c r="E110" s="332" t="s">
        <v>41</v>
      </c>
      <c r="F110" s="331">
        <v>2.9990000000000001</v>
      </c>
      <c r="G110" s="332">
        <v>375</v>
      </c>
      <c r="H110" s="331">
        <v>110</v>
      </c>
      <c r="I110" s="332" t="s">
        <v>71</v>
      </c>
      <c r="J110" s="331">
        <v>2356</v>
      </c>
      <c r="K110" s="326">
        <v>4521</v>
      </c>
      <c r="L110" s="326">
        <v>2000</v>
      </c>
      <c r="M110" s="326" t="s">
        <v>31</v>
      </c>
      <c r="N110" s="342">
        <v>11.4</v>
      </c>
      <c r="O110" s="337">
        <f>IF(N110&gt;0,1/N110*37.7*68.6,"")</f>
        <v>226.8614035087719</v>
      </c>
      <c r="P110" s="328">
        <v>10.35</v>
      </c>
      <c r="Q110" s="327" t="s">
        <v>63</v>
      </c>
      <c r="R110" s="326" t="s">
        <v>33</v>
      </c>
      <c r="S110" s="326" t="s">
        <v>34</v>
      </c>
      <c r="T110" s="326"/>
      <c r="U110" s="345"/>
      <c r="V110" s="324">
        <f>IF(N110&lt;&gt;0, IF(N110&gt;=P110,ROUNDDOWN(N110/P110*100,0),""),"")</f>
        <v>110</v>
      </c>
      <c r="W110" s="311"/>
      <c r="X110" s="323"/>
      <c r="Y110" s="311"/>
    </row>
    <row r="111" spans="1:115" s="320" customFormat="1" ht="21" customHeight="1">
      <c r="A111" s="341"/>
      <c r="B111" s="340"/>
      <c r="C111" s="339"/>
      <c r="D111" s="333" t="s">
        <v>1169</v>
      </c>
      <c r="E111" s="332" t="s">
        <v>41</v>
      </c>
      <c r="F111" s="331">
        <v>2.9990000000000001</v>
      </c>
      <c r="G111" s="332">
        <v>375</v>
      </c>
      <c r="H111" s="331">
        <v>110</v>
      </c>
      <c r="I111" s="332" t="s">
        <v>71</v>
      </c>
      <c r="J111" s="331">
        <v>2652</v>
      </c>
      <c r="K111" s="326">
        <v>5812</v>
      </c>
      <c r="L111" s="326">
        <v>2995</v>
      </c>
      <c r="M111" s="326" t="s">
        <v>31</v>
      </c>
      <c r="N111" s="342">
        <v>10.8</v>
      </c>
      <c r="O111" s="337">
        <f>IF(N111&gt;0,1/N111*37.7*68.6,"")</f>
        <v>239.46481481481482</v>
      </c>
      <c r="P111" s="328">
        <v>9.51</v>
      </c>
      <c r="Q111" s="327" t="s">
        <v>43</v>
      </c>
      <c r="R111" s="326" t="s">
        <v>33</v>
      </c>
      <c r="S111" s="326" t="s">
        <v>34</v>
      </c>
      <c r="T111" s="326"/>
      <c r="U111" s="345"/>
      <c r="V111" s="324">
        <f>IF(N111&lt;&gt;0, IF(N111&gt;=P111,ROUNDDOWN(N111/P111*100,0),""),"")</f>
        <v>113</v>
      </c>
      <c r="W111" s="311"/>
      <c r="X111" s="323"/>
      <c r="Y111" s="311"/>
    </row>
    <row r="112" spans="1:115" s="320" customFormat="1" ht="21" customHeight="1">
      <c r="A112" s="341"/>
      <c r="B112" s="340"/>
      <c r="C112" s="339"/>
      <c r="D112" s="333" t="s">
        <v>1169</v>
      </c>
      <c r="E112" s="332" t="s">
        <v>41</v>
      </c>
      <c r="F112" s="331">
        <v>2.9990000000000001</v>
      </c>
      <c r="G112" s="332">
        <v>375</v>
      </c>
      <c r="H112" s="331">
        <v>110</v>
      </c>
      <c r="I112" s="332" t="s">
        <v>71</v>
      </c>
      <c r="J112" s="331">
        <v>2652</v>
      </c>
      <c r="K112" s="326">
        <v>5812</v>
      </c>
      <c r="L112" s="326">
        <v>2995</v>
      </c>
      <c r="M112" s="326" t="s">
        <v>31</v>
      </c>
      <c r="N112" s="342">
        <v>10.6</v>
      </c>
      <c r="O112" s="337">
        <f>IF(N112&gt;0,1/N112*37.7*68.6,"")</f>
        <v>243.98301886792456</v>
      </c>
      <c r="P112" s="328">
        <v>9.51</v>
      </c>
      <c r="Q112" s="327" t="s">
        <v>63</v>
      </c>
      <c r="R112" s="326" t="s">
        <v>33</v>
      </c>
      <c r="S112" s="326" t="s">
        <v>34</v>
      </c>
      <c r="T112" s="326"/>
      <c r="U112" s="345"/>
      <c r="V112" s="324">
        <f>IF(N112&lt;&gt;0, IF(N112&gt;=P112,ROUNDDOWN(N112/P112*100,0),""),"")</f>
        <v>111</v>
      </c>
      <c r="W112" s="311"/>
      <c r="X112" s="323"/>
      <c r="Y112" s="311"/>
    </row>
    <row r="113" spans="1:115" s="320" customFormat="1" ht="21" customHeight="1">
      <c r="A113" s="341"/>
      <c r="B113" s="340"/>
      <c r="C113" s="339"/>
      <c r="D113" s="333" t="s">
        <v>1168</v>
      </c>
      <c r="E113" s="332" t="s">
        <v>41</v>
      </c>
      <c r="F113" s="331">
        <v>2.9990000000000001</v>
      </c>
      <c r="G113" s="332">
        <v>375</v>
      </c>
      <c r="H113" s="331">
        <v>110</v>
      </c>
      <c r="I113" s="332" t="s">
        <v>71</v>
      </c>
      <c r="J113" s="331">
        <v>2356</v>
      </c>
      <c r="K113" s="326">
        <v>4521</v>
      </c>
      <c r="L113" s="326">
        <v>2000</v>
      </c>
      <c r="M113" s="326" t="s">
        <v>31</v>
      </c>
      <c r="N113" s="342">
        <v>11.8</v>
      </c>
      <c r="O113" s="337">
        <f>IF(N113&gt;0,1/N113*37.7*68.6,"")</f>
        <v>219.17118644067796</v>
      </c>
      <c r="P113" s="328">
        <v>10.35</v>
      </c>
      <c r="Q113" s="327" t="s">
        <v>43</v>
      </c>
      <c r="R113" s="326" t="s">
        <v>33</v>
      </c>
      <c r="S113" s="326" t="s">
        <v>34</v>
      </c>
      <c r="T113" s="326"/>
      <c r="U113" s="345"/>
      <c r="V113" s="324">
        <f>IF(N113&lt;&gt;0, IF(N113&gt;=P113,ROUNDDOWN(N113/P113*100,0),""),"")</f>
        <v>114</v>
      </c>
      <c r="W113" s="311"/>
      <c r="X113" s="323"/>
      <c r="Y113" s="311"/>
    </row>
    <row r="114" spans="1:115" s="320" customFormat="1" ht="21" customHeight="1">
      <c r="A114" s="341"/>
      <c r="B114" s="340"/>
      <c r="C114" s="339"/>
      <c r="D114" s="333" t="s">
        <v>1168</v>
      </c>
      <c r="E114" s="332" t="s">
        <v>41</v>
      </c>
      <c r="F114" s="331">
        <v>2.9990000000000001</v>
      </c>
      <c r="G114" s="332">
        <v>375</v>
      </c>
      <c r="H114" s="331">
        <v>110</v>
      </c>
      <c r="I114" s="332" t="s">
        <v>71</v>
      </c>
      <c r="J114" s="331">
        <v>2356</v>
      </c>
      <c r="K114" s="326">
        <v>4521</v>
      </c>
      <c r="L114" s="326">
        <v>2000</v>
      </c>
      <c r="M114" s="326" t="s">
        <v>31</v>
      </c>
      <c r="N114" s="342">
        <v>11.4</v>
      </c>
      <c r="O114" s="337">
        <f>IF(N114&gt;0,1/N114*37.7*68.6,"")</f>
        <v>226.8614035087719</v>
      </c>
      <c r="P114" s="328">
        <v>10.35</v>
      </c>
      <c r="Q114" s="327" t="s">
        <v>63</v>
      </c>
      <c r="R114" s="326" t="s">
        <v>33</v>
      </c>
      <c r="S114" s="326" t="s">
        <v>34</v>
      </c>
      <c r="T114" s="326"/>
      <c r="U114" s="345"/>
      <c r="V114" s="324">
        <f>IF(N114&lt;&gt;0, IF(N114&gt;=P114,ROUNDDOWN(N114/P114*100,0),""),"")</f>
        <v>110</v>
      </c>
      <c r="W114" s="311"/>
      <c r="X114" s="323"/>
      <c r="Y114" s="311"/>
    </row>
    <row r="115" spans="1:115" s="320" customFormat="1" ht="21" customHeight="1">
      <c r="A115" s="341"/>
      <c r="B115" s="340"/>
      <c r="C115" s="339"/>
      <c r="D115" s="333" t="s">
        <v>1167</v>
      </c>
      <c r="E115" s="332" t="s">
        <v>41</v>
      </c>
      <c r="F115" s="331">
        <v>2.9990000000000001</v>
      </c>
      <c r="G115" s="332">
        <v>375</v>
      </c>
      <c r="H115" s="331" t="s">
        <v>466</v>
      </c>
      <c r="I115" s="332" t="s">
        <v>42</v>
      </c>
      <c r="J115" s="331">
        <v>2356</v>
      </c>
      <c r="K115" s="326">
        <v>4521</v>
      </c>
      <c r="L115" s="326">
        <v>2000</v>
      </c>
      <c r="M115" s="326" t="s">
        <v>31</v>
      </c>
      <c r="N115" s="342">
        <v>11.8</v>
      </c>
      <c r="O115" s="337">
        <f>IF(N115&gt;0,1/N115*37.7*68.6,"")</f>
        <v>219.17118644067796</v>
      </c>
      <c r="P115" s="328">
        <v>10.35</v>
      </c>
      <c r="Q115" s="327" t="s">
        <v>63</v>
      </c>
      <c r="R115" s="326" t="s">
        <v>33</v>
      </c>
      <c r="S115" s="326" t="s">
        <v>34</v>
      </c>
      <c r="T115" s="326"/>
      <c r="U115" s="345"/>
      <c r="V115" s="324">
        <f>IF(N115&lt;&gt;0, IF(N115&gt;=P115,ROUNDDOWN(N115/P115*100,0),""),"")</f>
        <v>114</v>
      </c>
      <c r="W115" s="311"/>
      <c r="AR115" s="322"/>
      <c r="AS115" s="322"/>
      <c r="AT115" s="322"/>
      <c r="AU115" s="322"/>
      <c r="AV115" s="322"/>
      <c r="AW115" s="322"/>
      <c r="AX115" s="322"/>
      <c r="AY115" s="322"/>
      <c r="AZ115" s="322"/>
      <c r="BA115" s="322"/>
      <c r="BB115" s="322"/>
      <c r="BC115" s="322"/>
      <c r="BD115" s="322"/>
      <c r="BE115" s="322"/>
      <c r="BF115" s="322"/>
      <c r="BG115" s="322"/>
      <c r="BH115" s="322"/>
      <c r="BI115" s="322"/>
      <c r="BJ115" s="322"/>
      <c r="BK115" s="322"/>
      <c r="BL115" s="322"/>
      <c r="BM115" s="322"/>
      <c r="BN115" s="322"/>
      <c r="BO115" s="322"/>
      <c r="BP115" s="322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322"/>
      <c r="CV115" s="322"/>
      <c r="CW115" s="322"/>
      <c r="CX115" s="322"/>
      <c r="CY115" s="322"/>
      <c r="CZ115" s="322"/>
      <c r="DA115" s="322"/>
      <c r="DB115" s="322"/>
      <c r="DC115" s="322"/>
      <c r="DD115" s="322"/>
      <c r="DE115" s="322"/>
      <c r="DF115" s="322"/>
      <c r="DG115" s="322"/>
      <c r="DH115" s="322"/>
      <c r="DI115" s="322"/>
      <c r="DJ115" s="322"/>
      <c r="DK115" s="322"/>
    </row>
    <row r="116" spans="1:115" s="320" customFormat="1" ht="21" customHeight="1">
      <c r="A116" s="341"/>
      <c r="B116" s="340"/>
      <c r="C116" s="339"/>
      <c r="D116" s="333" t="s">
        <v>1167</v>
      </c>
      <c r="E116" s="332" t="s">
        <v>41</v>
      </c>
      <c r="F116" s="331">
        <v>2.9990000000000001</v>
      </c>
      <c r="G116" s="332">
        <v>375</v>
      </c>
      <c r="H116" s="331" t="s">
        <v>466</v>
      </c>
      <c r="I116" s="332" t="s">
        <v>71</v>
      </c>
      <c r="J116" s="331">
        <v>2356</v>
      </c>
      <c r="K116" s="326">
        <v>4521</v>
      </c>
      <c r="L116" s="326">
        <v>2000</v>
      </c>
      <c r="M116" s="326" t="s">
        <v>31</v>
      </c>
      <c r="N116" s="342">
        <v>11.4</v>
      </c>
      <c r="O116" s="337">
        <f>IF(N116&gt;0,1/N116*37.7*68.6,"")</f>
        <v>226.8614035087719</v>
      </c>
      <c r="P116" s="328">
        <v>10.35</v>
      </c>
      <c r="Q116" s="327" t="s">
        <v>63</v>
      </c>
      <c r="R116" s="326" t="s">
        <v>33</v>
      </c>
      <c r="S116" s="326" t="s">
        <v>34</v>
      </c>
      <c r="T116" s="326"/>
      <c r="U116" s="345"/>
      <c r="V116" s="324">
        <f>IF(N116&lt;&gt;0, IF(N116&gt;=P116,ROUNDDOWN(N116/P116*100,0),""),"")</f>
        <v>110</v>
      </c>
      <c r="W116" s="311"/>
      <c r="AR116" s="322"/>
      <c r="AS116" s="322"/>
      <c r="AT116" s="322"/>
      <c r="AU116" s="322"/>
      <c r="AV116" s="322"/>
      <c r="AW116" s="322"/>
      <c r="AX116" s="322"/>
      <c r="AY116" s="322"/>
      <c r="AZ116" s="322"/>
      <c r="BA116" s="322"/>
      <c r="BB116" s="322"/>
      <c r="BC116" s="322"/>
      <c r="BD116" s="322"/>
      <c r="BE116" s="322"/>
      <c r="BF116" s="322"/>
      <c r="BG116" s="322"/>
      <c r="BH116" s="322"/>
      <c r="BI116" s="322"/>
      <c r="BJ116" s="322"/>
      <c r="BK116" s="322"/>
      <c r="BL116" s="322"/>
      <c r="BM116" s="322"/>
      <c r="BN116" s="322"/>
      <c r="BO116" s="322"/>
      <c r="BP116" s="322"/>
      <c r="BQ116" s="322"/>
      <c r="BR116" s="322"/>
      <c r="BS116" s="322"/>
      <c r="BT116" s="322"/>
      <c r="BU116" s="322"/>
      <c r="BV116" s="322"/>
      <c r="BW116" s="322"/>
      <c r="BX116" s="322"/>
      <c r="BY116" s="322"/>
      <c r="BZ116" s="322"/>
      <c r="CA116" s="322"/>
      <c r="CB116" s="322"/>
      <c r="CC116" s="322"/>
      <c r="CD116" s="322"/>
      <c r="CE116" s="322"/>
      <c r="CF116" s="322"/>
      <c r="CG116" s="322"/>
      <c r="CH116" s="322"/>
      <c r="CI116" s="322"/>
      <c r="CJ116" s="322"/>
      <c r="CK116" s="322"/>
      <c r="CL116" s="322"/>
      <c r="CM116" s="322"/>
      <c r="CN116" s="322"/>
      <c r="CO116" s="322"/>
      <c r="CP116" s="322"/>
      <c r="CQ116" s="322"/>
      <c r="CR116" s="322"/>
      <c r="CS116" s="322"/>
      <c r="CT116" s="322"/>
      <c r="CU116" s="322"/>
      <c r="CV116" s="322"/>
      <c r="CW116" s="322"/>
      <c r="CX116" s="322"/>
      <c r="CY116" s="322"/>
      <c r="CZ116" s="322"/>
      <c r="DA116" s="322"/>
      <c r="DB116" s="322"/>
      <c r="DC116" s="322"/>
      <c r="DD116" s="322"/>
      <c r="DE116" s="322"/>
      <c r="DF116" s="322"/>
      <c r="DG116" s="322"/>
      <c r="DH116" s="322"/>
      <c r="DI116" s="322"/>
      <c r="DJ116" s="322"/>
      <c r="DK116" s="322"/>
    </row>
    <row r="117" spans="1:115" s="320" customFormat="1" ht="21" customHeight="1">
      <c r="A117" s="341"/>
      <c r="B117" s="340"/>
      <c r="C117" s="339"/>
      <c r="D117" s="333" t="s">
        <v>1167</v>
      </c>
      <c r="E117" s="332" t="s">
        <v>41</v>
      </c>
      <c r="F117" s="331">
        <v>2.9990000000000001</v>
      </c>
      <c r="G117" s="332">
        <v>375</v>
      </c>
      <c r="H117" s="331" t="s">
        <v>466</v>
      </c>
      <c r="I117" s="332" t="s">
        <v>42</v>
      </c>
      <c r="J117" s="331">
        <v>2652</v>
      </c>
      <c r="K117" s="326">
        <v>5812</v>
      </c>
      <c r="L117" s="326">
        <v>2995</v>
      </c>
      <c r="M117" s="326" t="s">
        <v>31</v>
      </c>
      <c r="N117" s="342">
        <v>10.8</v>
      </c>
      <c r="O117" s="337">
        <f>IF(N117&gt;0,1/N117*37.7*68.6,"")</f>
        <v>239.46481481481482</v>
      </c>
      <c r="P117" s="328">
        <v>9.51</v>
      </c>
      <c r="Q117" s="327" t="s">
        <v>63</v>
      </c>
      <c r="R117" s="326" t="s">
        <v>33</v>
      </c>
      <c r="S117" s="326" t="s">
        <v>34</v>
      </c>
      <c r="T117" s="326"/>
      <c r="U117" s="345"/>
      <c r="V117" s="324">
        <f>IF(N117&lt;&gt;0, IF(N117&gt;=P117,ROUNDDOWN(N117/P117*100,0),""),"")</f>
        <v>113</v>
      </c>
      <c r="W117" s="311"/>
      <c r="AR117" s="322"/>
      <c r="AS117" s="322"/>
      <c r="AT117" s="322"/>
      <c r="AU117" s="322"/>
      <c r="AV117" s="322"/>
      <c r="AW117" s="322"/>
      <c r="AX117" s="322"/>
      <c r="AY117" s="322"/>
      <c r="AZ117" s="322"/>
      <c r="BA117" s="322"/>
      <c r="BB117" s="322"/>
      <c r="BC117" s="322"/>
      <c r="BD117" s="322"/>
      <c r="BE117" s="322"/>
      <c r="BF117" s="322"/>
      <c r="BG117" s="322"/>
      <c r="BH117" s="322"/>
      <c r="BI117" s="322"/>
      <c r="BJ117" s="322"/>
      <c r="BK117" s="322"/>
      <c r="BL117" s="322"/>
      <c r="BM117" s="322"/>
      <c r="BN117" s="322"/>
      <c r="BO117" s="322"/>
      <c r="BP117" s="322"/>
      <c r="BQ117" s="322"/>
      <c r="BR117" s="322"/>
      <c r="BS117" s="322"/>
      <c r="BT117" s="322"/>
      <c r="BU117" s="322"/>
      <c r="BV117" s="322"/>
      <c r="BW117" s="322"/>
      <c r="BX117" s="322"/>
      <c r="BY117" s="322"/>
      <c r="BZ117" s="322"/>
      <c r="CA117" s="322"/>
      <c r="CB117" s="322"/>
      <c r="CC117" s="322"/>
      <c r="CD117" s="322"/>
      <c r="CE117" s="322"/>
      <c r="CF117" s="322"/>
      <c r="CG117" s="322"/>
      <c r="CH117" s="322"/>
      <c r="CI117" s="322"/>
      <c r="CJ117" s="322"/>
      <c r="CK117" s="322"/>
      <c r="CL117" s="322"/>
      <c r="CM117" s="322"/>
      <c r="CN117" s="322"/>
      <c r="CO117" s="322"/>
      <c r="CP117" s="322"/>
      <c r="CQ117" s="322"/>
      <c r="CR117" s="322"/>
      <c r="CS117" s="322"/>
      <c r="CT117" s="322"/>
      <c r="CU117" s="322"/>
      <c r="CV117" s="322"/>
      <c r="CW117" s="322"/>
      <c r="CX117" s="322"/>
      <c r="CY117" s="322"/>
      <c r="CZ117" s="322"/>
      <c r="DA117" s="322"/>
      <c r="DB117" s="322"/>
      <c r="DC117" s="322"/>
      <c r="DD117" s="322"/>
      <c r="DE117" s="322"/>
      <c r="DF117" s="322"/>
      <c r="DG117" s="322"/>
      <c r="DH117" s="322"/>
      <c r="DI117" s="322"/>
      <c r="DJ117" s="322"/>
      <c r="DK117" s="322"/>
    </row>
    <row r="118" spans="1:115" s="320" customFormat="1" ht="21" customHeight="1">
      <c r="A118" s="341"/>
      <c r="B118" s="340"/>
      <c r="C118" s="339"/>
      <c r="D118" s="333" t="s">
        <v>1167</v>
      </c>
      <c r="E118" s="332" t="s">
        <v>41</v>
      </c>
      <c r="F118" s="331">
        <v>2.9990000000000001</v>
      </c>
      <c r="G118" s="332">
        <v>375</v>
      </c>
      <c r="H118" s="331" t="s">
        <v>466</v>
      </c>
      <c r="I118" s="332" t="s">
        <v>71</v>
      </c>
      <c r="J118" s="331">
        <v>2652</v>
      </c>
      <c r="K118" s="326">
        <v>5812</v>
      </c>
      <c r="L118" s="326">
        <v>2995</v>
      </c>
      <c r="M118" s="326" t="s">
        <v>31</v>
      </c>
      <c r="N118" s="342">
        <v>10.6</v>
      </c>
      <c r="O118" s="337">
        <f>IF(N118&gt;0,1/N118*37.7*68.6,"")</f>
        <v>243.98301886792456</v>
      </c>
      <c r="P118" s="328">
        <v>9.51</v>
      </c>
      <c r="Q118" s="327" t="s">
        <v>63</v>
      </c>
      <c r="R118" s="326" t="s">
        <v>33</v>
      </c>
      <c r="S118" s="326" t="s">
        <v>34</v>
      </c>
      <c r="T118" s="326"/>
      <c r="U118" s="345"/>
      <c r="V118" s="324">
        <f>IF(N118&lt;&gt;0, IF(N118&gt;=P118,ROUNDDOWN(N118/P118*100,0),""),"")</f>
        <v>111</v>
      </c>
      <c r="W118" s="311"/>
      <c r="AR118" s="322"/>
      <c r="AS118" s="322"/>
      <c r="AT118" s="322"/>
      <c r="AU118" s="322"/>
      <c r="AV118" s="322"/>
      <c r="AW118" s="322"/>
      <c r="AX118" s="322"/>
      <c r="AY118" s="322"/>
      <c r="AZ118" s="322"/>
      <c r="BA118" s="322"/>
      <c r="BB118" s="322"/>
      <c r="BC118" s="322"/>
      <c r="BD118" s="322"/>
      <c r="BE118" s="322"/>
      <c r="BF118" s="322"/>
      <c r="BG118" s="322"/>
      <c r="BH118" s="322"/>
      <c r="BI118" s="322"/>
      <c r="BJ118" s="322"/>
      <c r="BK118" s="322"/>
      <c r="BL118" s="322"/>
      <c r="BM118" s="322"/>
      <c r="BN118" s="322"/>
      <c r="BO118" s="322"/>
      <c r="BP118" s="322"/>
      <c r="BQ118" s="322"/>
      <c r="BR118" s="322"/>
      <c r="BS118" s="322"/>
      <c r="BT118" s="322"/>
      <c r="BU118" s="322"/>
      <c r="BV118" s="322"/>
      <c r="BW118" s="322"/>
      <c r="BX118" s="322"/>
      <c r="BY118" s="322"/>
      <c r="BZ118" s="322"/>
      <c r="CA118" s="322"/>
      <c r="CB118" s="322"/>
      <c r="CC118" s="322"/>
      <c r="CD118" s="322"/>
      <c r="CE118" s="322"/>
      <c r="CF118" s="322"/>
      <c r="CG118" s="322"/>
      <c r="CH118" s="322"/>
      <c r="CI118" s="322"/>
      <c r="CJ118" s="322"/>
      <c r="CK118" s="322"/>
      <c r="CL118" s="322"/>
      <c r="CM118" s="322"/>
      <c r="CN118" s="322"/>
      <c r="CO118" s="322"/>
      <c r="CP118" s="322"/>
      <c r="CQ118" s="322"/>
      <c r="CR118" s="322"/>
      <c r="CS118" s="322"/>
      <c r="CT118" s="322"/>
      <c r="CU118" s="322"/>
      <c r="CV118" s="322"/>
      <c r="CW118" s="322"/>
      <c r="CX118" s="322"/>
      <c r="CY118" s="322"/>
      <c r="CZ118" s="322"/>
      <c r="DA118" s="322"/>
      <c r="DB118" s="322"/>
      <c r="DC118" s="322"/>
      <c r="DD118" s="322"/>
      <c r="DE118" s="322"/>
      <c r="DF118" s="322"/>
      <c r="DG118" s="322"/>
      <c r="DH118" s="322"/>
      <c r="DI118" s="322"/>
      <c r="DJ118" s="322"/>
      <c r="DK118" s="322"/>
    </row>
    <row r="119" spans="1:115" s="320" customFormat="1" ht="21" customHeight="1">
      <c r="A119" s="341"/>
      <c r="B119" s="340"/>
      <c r="C119" s="339"/>
      <c r="D119" s="333" t="s">
        <v>1166</v>
      </c>
      <c r="E119" s="332" t="s">
        <v>41</v>
      </c>
      <c r="F119" s="331">
        <v>2.9990000000000001</v>
      </c>
      <c r="G119" s="332">
        <v>375</v>
      </c>
      <c r="H119" s="331" t="s">
        <v>466</v>
      </c>
      <c r="I119" s="332" t="s">
        <v>71</v>
      </c>
      <c r="J119" s="331">
        <v>2356</v>
      </c>
      <c r="K119" s="326">
        <v>4521</v>
      </c>
      <c r="L119" s="326">
        <v>2000</v>
      </c>
      <c r="M119" s="326" t="s">
        <v>31</v>
      </c>
      <c r="N119" s="342">
        <v>11.8</v>
      </c>
      <c r="O119" s="337">
        <f>IF(N119&gt;0,1/N119*37.7*68.6,"")</f>
        <v>219.17118644067796</v>
      </c>
      <c r="P119" s="328">
        <v>10.35</v>
      </c>
      <c r="Q119" s="327" t="s">
        <v>43</v>
      </c>
      <c r="R119" s="326" t="s">
        <v>33</v>
      </c>
      <c r="S119" s="326" t="s">
        <v>34</v>
      </c>
      <c r="T119" s="326"/>
      <c r="U119" s="345"/>
      <c r="V119" s="324">
        <f>IF(N119&lt;&gt;0, IF(N119&gt;=P119,ROUNDDOWN(N119/P119*100,0),""),"")</f>
        <v>114</v>
      </c>
      <c r="W119" s="311"/>
      <c r="AR119" s="322"/>
      <c r="AS119" s="322"/>
      <c r="AT119" s="322"/>
      <c r="AU119" s="322"/>
      <c r="AV119" s="322"/>
      <c r="AW119" s="322"/>
      <c r="AX119" s="322"/>
      <c r="AY119" s="322"/>
      <c r="AZ119" s="322"/>
      <c r="BA119" s="322"/>
      <c r="BB119" s="322"/>
      <c r="BC119" s="322"/>
      <c r="BD119" s="322"/>
      <c r="BE119" s="322"/>
      <c r="BF119" s="322"/>
      <c r="BG119" s="322"/>
      <c r="BH119" s="322"/>
      <c r="BI119" s="322"/>
      <c r="BJ119" s="322"/>
      <c r="BK119" s="322"/>
      <c r="BL119" s="322"/>
      <c r="BM119" s="322"/>
      <c r="BN119" s="322"/>
      <c r="BO119" s="322"/>
      <c r="BP119" s="322"/>
      <c r="BQ119" s="322"/>
      <c r="BR119" s="322"/>
      <c r="BS119" s="322"/>
      <c r="BT119" s="322"/>
      <c r="BU119" s="322"/>
      <c r="BV119" s="322"/>
      <c r="BW119" s="322"/>
      <c r="BX119" s="322"/>
      <c r="BY119" s="322"/>
      <c r="BZ119" s="322"/>
      <c r="CA119" s="322"/>
      <c r="CB119" s="322"/>
      <c r="CC119" s="322"/>
      <c r="CD119" s="322"/>
      <c r="CE119" s="322"/>
      <c r="CF119" s="322"/>
      <c r="CG119" s="322"/>
      <c r="CH119" s="322"/>
      <c r="CI119" s="322"/>
      <c r="CJ119" s="322"/>
      <c r="CK119" s="322"/>
      <c r="CL119" s="322"/>
      <c r="CM119" s="322"/>
      <c r="CN119" s="322"/>
      <c r="CO119" s="322"/>
      <c r="CP119" s="322"/>
      <c r="CQ119" s="322"/>
      <c r="CR119" s="322"/>
      <c r="CS119" s="322"/>
      <c r="CT119" s="322"/>
      <c r="CU119" s="322"/>
      <c r="CV119" s="322"/>
      <c r="CW119" s="322"/>
      <c r="CX119" s="322"/>
      <c r="CY119" s="322"/>
      <c r="CZ119" s="322"/>
      <c r="DA119" s="322"/>
      <c r="DB119" s="322"/>
      <c r="DC119" s="322"/>
      <c r="DD119" s="322"/>
      <c r="DE119" s="322"/>
      <c r="DF119" s="322"/>
      <c r="DG119" s="322"/>
      <c r="DH119" s="322"/>
      <c r="DI119" s="322"/>
      <c r="DJ119" s="322"/>
      <c r="DK119" s="322"/>
    </row>
    <row r="120" spans="1:115" s="320" customFormat="1" ht="21" customHeight="1">
      <c r="A120" s="341"/>
      <c r="B120" s="340"/>
      <c r="C120" s="339"/>
      <c r="D120" s="333" t="s">
        <v>1166</v>
      </c>
      <c r="E120" s="332" t="s">
        <v>41</v>
      </c>
      <c r="F120" s="331">
        <v>2.9990000000000001</v>
      </c>
      <c r="G120" s="332">
        <v>375</v>
      </c>
      <c r="H120" s="331" t="s">
        <v>466</v>
      </c>
      <c r="I120" s="332" t="s">
        <v>42</v>
      </c>
      <c r="J120" s="331">
        <v>2356</v>
      </c>
      <c r="K120" s="326">
        <v>4521</v>
      </c>
      <c r="L120" s="326">
        <v>2000</v>
      </c>
      <c r="M120" s="326" t="s">
        <v>31</v>
      </c>
      <c r="N120" s="342">
        <v>11.8</v>
      </c>
      <c r="O120" s="337">
        <f>IF(N120&gt;0,1/N120*37.7*68.6,"")</f>
        <v>219.17118644067796</v>
      </c>
      <c r="P120" s="328">
        <v>10.35</v>
      </c>
      <c r="Q120" s="327" t="s">
        <v>63</v>
      </c>
      <c r="R120" s="326" t="s">
        <v>33</v>
      </c>
      <c r="S120" s="326" t="s">
        <v>34</v>
      </c>
      <c r="T120" s="326"/>
      <c r="U120" s="345"/>
      <c r="V120" s="324">
        <f>IF(N120&lt;&gt;0, IF(N120&gt;=P120,ROUNDDOWN(N120/P120*100,0),""),"")</f>
        <v>114</v>
      </c>
      <c r="W120" s="311"/>
      <c r="AR120" s="322"/>
      <c r="AS120" s="322"/>
      <c r="AT120" s="322"/>
      <c r="AU120" s="322"/>
      <c r="AV120" s="322"/>
      <c r="AW120" s="322"/>
      <c r="AX120" s="322"/>
      <c r="AY120" s="322"/>
      <c r="AZ120" s="322"/>
      <c r="BA120" s="322"/>
      <c r="BB120" s="322"/>
      <c r="BC120" s="322"/>
      <c r="BD120" s="322"/>
      <c r="BE120" s="322"/>
      <c r="BF120" s="322"/>
      <c r="BG120" s="322"/>
      <c r="BH120" s="322"/>
      <c r="BI120" s="322"/>
      <c r="BJ120" s="322"/>
      <c r="BK120" s="322"/>
      <c r="BL120" s="322"/>
      <c r="BM120" s="322"/>
      <c r="BN120" s="322"/>
      <c r="BO120" s="322"/>
      <c r="BP120" s="322"/>
      <c r="BQ120" s="322"/>
      <c r="BR120" s="322"/>
      <c r="BS120" s="322"/>
      <c r="BT120" s="322"/>
      <c r="BU120" s="322"/>
      <c r="BV120" s="322"/>
      <c r="BW120" s="322"/>
      <c r="BX120" s="322"/>
      <c r="BY120" s="322"/>
      <c r="BZ120" s="322"/>
      <c r="CA120" s="322"/>
      <c r="CB120" s="322"/>
      <c r="CC120" s="322"/>
      <c r="CD120" s="322"/>
      <c r="CE120" s="322"/>
      <c r="CF120" s="322"/>
      <c r="CG120" s="322"/>
      <c r="CH120" s="322"/>
      <c r="CI120" s="322"/>
      <c r="CJ120" s="322"/>
      <c r="CK120" s="322"/>
      <c r="CL120" s="322"/>
      <c r="CM120" s="322"/>
      <c r="CN120" s="322"/>
      <c r="CO120" s="322"/>
      <c r="CP120" s="322"/>
      <c r="CQ120" s="322"/>
      <c r="CR120" s="322"/>
      <c r="CS120" s="322"/>
      <c r="CT120" s="322"/>
      <c r="CU120" s="322"/>
      <c r="CV120" s="322"/>
      <c r="CW120" s="322"/>
      <c r="CX120" s="322"/>
      <c r="CY120" s="322"/>
      <c r="CZ120" s="322"/>
      <c r="DA120" s="322"/>
      <c r="DB120" s="322"/>
      <c r="DC120" s="322"/>
      <c r="DD120" s="322"/>
      <c r="DE120" s="322"/>
      <c r="DF120" s="322"/>
      <c r="DG120" s="322"/>
      <c r="DH120" s="322"/>
      <c r="DI120" s="322"/>
      <c r="DJ120" s="322"/>
      <c r="DK120" s="322"/>
    </row>
    <row r="121" spans="1:115" s="320" customFormat="1" ht="21" customHeight="1">
      <c r="A121" s="341"/>
      <c r="B121" s="340"/>
      <c r="C121" s="339"/>
      <c r="D121" s="333" t="s">
        <v>1166</v>
      </c>
      <c r="E121" s="332" t="s">
        <v>41</v>
      </c>
      <c r="F121" s="331">
        <v>2.9990000000000001</v>
      </c>
      <c r="G121" s="332">
        <v>375</v>
      </c>
      <c r="H121" s="331" t="s">
        <v>466</v>
      </c>
      <c r="I121" s="332" t="s">
        <v>71</v>
      </c>
      <c r="J121" s="331">
        <v>2356</v>
      </c>
      <c r="K121" s="326">
        <v>4521</v>
      </c>
      <c r="L121" s="326">
        <v>2000</v>
      </c>
      <c r="M121" s="326" t="s">
        <v>31</v>
      </c>
      <c r="N121" s="342">
        <v>11.4</v>
      </c>
      <c r="O121" s="337">
        <f>IF(N121&gt;0,1/N121*37.7*68.6,"")</f>
        <v>226.8614035087719</v>
      </c>
      <c r="P121" s="328">
        <v>10.35</v>
      </c>
      <c r="Q121" s="327" t="s">
        <v>63</v>
      </c>
      <c r="R121" s="326" t="s">
        <v>33</v>
      </c>
      <c r="S121" s="326" t="s">
        <v>34</v>
      </c>
      <c r="T121" s="326"/>
      <c r="U121" s="345"/>
      <c r="V121" s="324">
        <f>IF(N121&lt;&gt;0, IF(N121&gt;=P121,ROUNDDOWN(N121/P121*100,0),""),"")</f>
        <v>110</v>
      </c>
      <c r="W121" s="311"/>
      <c r="AR121" s="322"/>
      <c r="AS121" s="322"/>
      <c r="AT121" s="322"/>
      <c r="AU121" s="322"/>
      <c r="AV121" s="322"/>
      <c r="AW121" s="322"/>
      <c r="AX121" s="322"/>
      <c r="AY121" s="322"/>
      <c r="AZ121" s="322"/>
      <c r="BA121" s="322"/>
      <c r="BB121" s="322"/>
      <c r="BC121" s="322"/>
      <c r="BD121" s="322"/>
      <c r="BE121" s="322"/>
      <c r="BF121" s="322"/>
      <c r="BG121" s="322"/>
      <c r="BH121" s="322"/>
      <c r="BI121" s="322"/>
      <c r="BJ121" s="322"/>
      <c r="BK121" s="322"/>
      <c r="BL121" s="322"/>
      <c r="BM121" s="322"/>
      <c r="BN121" s="322"/>
      <c r="BO121" s="322"/>
      <c r="BP121" s="322"/>
      <c r="BQ121" s="322"/>
      <c r="BR121" s="322"/>
      <c r="BS121" s="322"/>
      <c r="BT121" s="322"/>
      <c r="BU121" s="322"/>
      <c r="BV121" s="322"/>
      <c r="BW121" s="322"/>
      <c r="BX121" s="322"/>
      <c r="BY121" s="322"/>
      <c r="BZ121" s="322"/>
      <c r="CA121" s="322"/>
      <c r="CB121" s="322"/>
      <c r="CC121" s="322"/>
      <c r="CD121" s="322"/>
      <c r="CE121" s="322"/>
      <c r="CF121" s="322"/>
      <c r="CG121" s="322"/>
      <c r="CH121" s="322"/>
      <c r="CI121" s="322"/>
      <c r="CJ121" s="322"/>
      <c r="CK121" s="322"/>
      <c r="CL121" s="322"/>
      <c r="CM121" s="322"/>
      <c r="CN121" s="322"/>
      <c r="CO121" s="322"/>
      <c r="CP121" s="322"/>
      <c r="CQ121" s="322"/>
      <c r="CR121" s="322"/>
      <c r="CS121" s="322"/>
      <c r="CT121" s="322"/>
      <c r="CU121" s="322"/>
      <c r="CV121" s="322"/>
      <c r="CW121" s="322"/>
      <c r="CX121" s="322"/>
      <c r="CY121" s="322"/>
      <c r="CZ121" s="322"/>
      <c r="DA121" s="322"/>
      <c r="DB121" s="322"/>
      <c r="DC121" s="322"/>
      <c r="DD121" s="322"/>
      <c r="DE121" s="322"/>
      <c r="DF121" s="322"/>
      <c r="DG121" s="322"/>
      <c r="DH121" s="322"/>
      <c r="DI121" s="322"/>
      <c r="DJ121" s="322"/>
      <c r="DK121" s="322"/>
    </row>
    <row r="122" spans="1:115" s="320" customFormat="1" ht="21" customHeight="1">
      <c r="A122" s="341"/>
      <c r="B122" s="340"/>
      <c r="C122" s="339"/>
      <c r="D122" s="333" t="s">
        <v>1166</v>
      </c>
      <c r="E122" s="332" t="s">
        <v>41</v>
      </c>
      <c r="F122" s="331">
        <v>2.9990000000000001</v>
      </c>
      <c r="G122" s="332">
        <v>375</v>
      </c>
      <c r="H122" s="331" t="s">
        <v>466</v>
      </c>
      <c r="I122" s="332" t="s">
        <v>71</v>
      </c>
      <c r="J122" s="331">
        <v>2652</v>
      </c>
      <c r="K122" s="326">
        <v>5812</v>
      </c>
      <c r="L122" s="326">
        <v>2995</v>
      </c>
      <c r="M122" s="326" t="s">
        <v>31</v>
      </c>
      <c r="N122" s="342">
        <v>10.8</v>
      </c>
      <c r="O122" s="337">
        <f>IF(N122&gt;0,1/N122*37.7*68.6,"")</f>
        <v>239.46481481481482</v>
      </c>
      <c r="P122" s="328">
        <v>9.51</v>
      </c>
      <c r="Q122" s="327" t="s">
        <v>43</v>
      </c>
      <c r="R122" s="326" t="s">
        <v>33</v>
      </c>
      <c r="S122" s="326" t="s">
        <v>34</v>
      </c>
      <c r="T122" s="326"/>
      <c r="U122" s="345"/>
      <c r="V122" s="324">
        <f>IF(N122&lt;&gt;0, IF(N122&gt;=P122,ROUNDDOWN(N122/P122*100,0),""),"")</f>
        <v>113</v>
      </c>
      <c r="W122" s="311"/>
      <c r="AR122" s="322"/>
      <c r="AS122" s="322"/>
      <c r="AT122" s="322"/>
      <c r="AU122" s="322"/>
      <c r="AV122" s="322"/>
      <c r="AW122" s="322"/>
      <c r="AX122" s="322"/>
      <c r="AY122" s="322"/>
      <c r="AZ122" s="322"/>
      <c r="BA122" s="322"/>
      <c r="BB122" s="322"/>
      <c r="BC122" s="322"/>
      <c r="BD122" s="322"/>
      <c r="BE122" s="322"/>
      <c r="BF122" s="322"/>
      <c r="BG122" s="322"/>
      <c r="BH122" s="322"/>
      <c r="BI122" s="322"/>
      <c r="BJ122" s="322"/>
      <c r="BK122" s="322"/>
      <c r="BL122" s="322"/>
      <c r="BM122" s="322"/>
      <c r="BN122" s="322"/>
      <c r="BO122" s="322"/>
      <c r="BP122" s="322"/>
      <c r="BQ122" s="322"/>
      <c r="BR122" s="322"/>
      <c r="BS122" s="322"/>
      <c r="BT122" s="322"/>
      <c r="BU122" s="322"/>
      <c r="BV122" s="322"/>
      <c r="BW122" s="322"/>
      <c r="BX122" s="322"/>
      <c r="BY122" s="322"/>
      <c r="BZ122" s="322"/>
      <c r="CA122" s="322"/>
      <c r="CB122" s="322"/>
      <c r="CC122" s="322"/>
      <c r="CD122" s="322"/>
      <c r="CE122" s="322"/>
      <c r="CF122" s="322"/>
      <c r="CG122" s="322"/>
      <c r="CH122" s="322"/>
      <c r="CI122" s="322"/>
      <c r="CJ122" s="322"/>
      <c r="CK122" s="322"/>
      <c r="CL122" s="322"/>
      <c r="CM122" s="322"/>
      <c r="CN122" s="322"/>
      <c r="CO122" s="322"/>
      <c r="CP122" s="322"/>
      <c r="CQ122" s="322"/>
      <c r="CR122" s="322"/>
      <c r="CS122" s="322"/>
      <c r="CT122" s="322"/>
      <c r="CU122" s="322"/>
      <c r="CV122" s="322"/>
      <c r="CW122" s="322"/>
      <c r="CX122" s="322"/>
      <c r="CY122" s="322"/>
      <c r="CZ122" s="322"/>
      <c r="DA122" s="322"/>
      <c r="DB122" s="322"/>
      <c r="DC122" s="322"/>
      <c r="DD122" s="322"/>
      <c r="DE122" s="322"/>
      <c r="DF122" s="322"/>
      <c r="DG122" s="322"/>
      <c r="DH122" s="322"/>
      <c r="DI122" s="322"/>
      <c r="DJ122" s="322"/>
      <c r="DK122" s="322"/>
    </row>
    <row r="123" spans="1:115" s="320" customFormat="1" ht="21" customHeight="1">
      <c r="A123" s="341"/>
      <c r="B123" s="340"/>
      <c r="C123" s="339"/>
      <c r="D123" s="333" t="s">
        <v>1166</v>
      </c>
      <c r="E123" s="332" t="s">
        <v>41</v>
      </c>
      <c r="F123" s="331">
        <v>2.9990000000000001</v>
      </c>
      <c r="G123" s="332">
        <v>375</v>
      </c>
      <c r="H123" s="331" t="s">
        <v>466</v>
      </c>
      <c r="I123" s="332" t="s">
        <v>42</v>
      </c>
      <c r="J123" s="331">
        <v>2652</v>
      </c>
      <c r="K123" s="326">
        <v>5812</v>
      </c>
      <c r="L123" s="326">
        <v>2995</v>
      </c>
      <c r="M123" s="326" t="s">
        <v>31</v>
      </c>
      <c r="N123" s="342">
        <v>10.8</v>
      </c>
      <c r="O123" s="337">
        <f>IF(N123&gt;0,1/N123*37.7*68.6,"")</f>
        <v>239.46481481481482</v>
      </c>
      <c r="P123" s="328">
        <v>9.51</v>
      </c>
      <c r="Q123" s="327" t="s">
        <v>63</v>
      </c>
      <c r="R123" s="326" t="s">
        <v>33</v>
      </c>
      <c r="S123" s="326" t="s">
        <v>34</v>
      </c>
      <c r="T123" s="326"/>
      <c r="U123" s="345"/>
      <c r="V123" s="324">
        <f>IF(N123&lt;&gt;0, IF(N123&gt;=P123,ROUNDDOWN(N123/P123*100,0),""),"")</f>
        <v>113</v>
      </c>
      <c r="W123" s="311"/>
      <c r="AR123" s="322"/>
      <c r="AS123" s="322"/>
      <c r="AT123" s="322"/>
      <c r="AU123" s="322"/>
      <c r="AV123" s="322"/>
      <c r="AW123" s="322"/>
      <c r="AX123" s="322"/>
      <c r="AY123" s="322"/>
      <c r="AZ123" s="322"/>
      <c r="BA123" s="322"/>
      <c r="BB123" s="322"/>
      <c r="BC123" s="322"/>
      <c r="BD123" s="322"/>
      <c r="BE123" s="322"/>
      <c r="BF123" s="322"/>
      <c r="BG123" s="322"/>
      <c r="BH123" s="322"/>
      <c r="BI123" s="322"/>
      <c r="BJ123" s="322"/>
      <c r="BK123" s="322"/>
      <c r="BL123" s="322"/>
      <c r="BM123" s="322"/>
      <c r="BN123" s="322"/>
      <c r="BO123" s="322"/>
      <c r="BP123" s="322"/>
      <c r="BQ123" s="322"/>
      <c r="BR123" s="322"/>
      <c r="BS123" s="322"/>
      <c r="BT123" s="322"/>
      <c r="BU123" s="322"/>
      <c r="BV123" s="322"/>
      <c r="BW123" s="322"/>
      <c r="BX123" s="322"/>
      <c r="BY123" s="322"/>
      <c r="BZ123" s="322"/>
      <c r="CA123" s="322"/>
      <c r="CB123" s="322"/>
      <c r="CC123" s="322"/>
      <c r="CD123" s="322"/>
      <c r="CE123" s="322"/>
      <c r="CF123" s="322"/>
      <c r="CG123" s="322"/>
      <c r="CH123" s="322"/>
      <c r="CI123" s="322"/>
      <c r="CJ123" s="322"/>
      <c r="CK123" s="322"/>
      <c r="CL123" s="322"/>
      <c r="CM123" s="322"/>
      <c r="CN123" s="322"/>
      <c r="CO123" s="322"/>
      <c r="CP123" s="322"/>
      <c r="CQ123" s="322"/>
      <c r="CR123" s="322"/>
      <c r="CS123" s="322"/>
      <c r="CT123" s="322"/>
      <c r="CU123" s="322"/>
      <c r="CV123" s="322"/>
      <c r="CW123" s="322"/>
      <c r="CX123" s="322"/>
      <c r="CY123" s="322"/>
      <c r="CZ123" s="322"/>
      <c r="DA123" s="322"/>
      <c r="DB123" s="322"/>
      <c r="DC123" s="322"/>
      <c r="DD123" s="322"/>
      <c r="DE123" s="322"/>
      <c r="DF123" s="322"/>
      <c r="DG123" s="322"/>
      <c r="DH123" s="322"/>
      <c r="DI123" s="322"/>
      <c r="DJ123" s="322"/>
      <c r="DK123" s="322"/>
    </row>
    <row r="124" spans="1:115" s="320" customFormat="1" ht="21" customHeight="1">
      <c r="A124" s="341"/>
      <c r="B124" s="340"/>
      <c r="C124" s="339"/>
      <c r="D124" s="333" t="s">
        <v>1166</v>
      </c>
      <c r="E124" s="332" t="s">
        <v>41</v>
      </c>
      <c r="F124" s="331">
        <v>2.9990000000000001</v>
      </c>
      <c r="G124" s="332">
        <v>375</v>
      </c>
      <c r="H124" s="331" t="s">
        <v>466</v>
      </c>
      <c r="I124" s="332" t="s">
        <v>71</v>
      </c>
      <c r="J124" s="331">
        <v>2652</v>
      </c>
      <c r="K124" s="326">
        <v>5812</v>
      </c>
      <c r="L124" s="326">
        <v>2995</v>
      </c>
      <c r="M124" s="326" t="s">
        <v>31</v>
      </c>
      <c r="N124" s="342">
        <v>10.6</v>
      </c>
      <c r="O124" s="337">
        <f>IF(N124&gt;0,1/N124*37.7*68.6,"")</f>
        <v>243.98301886792456</v>
      </c>
      <c r="P124" s="328">
        <v>9.51</v>
      </c>
      <c r="Q124" s="327" t="s">
        <v>63</v>
      </c>
      <c r="R124" s="326" t="s">
        <v>33</v>
      </c>
      <c r="S124" s="326" t="s">
        <v>34</v>
      </c>
      <c r="T124" s="326"/>
      <c r="U124" s="345"/>
      <c r="V124" s="324">
        <f>IF(N124&lt;&gt;0, IF(N124&gt;=P124,ROUNDDOWN(N124/P124*100,0),""),"")</f>
        <v>111</v>
      </c>
      <c r="W124" s="311"/>
      <c r="AR124" s="322"/>
      <c r="AS124" s="322"/>
      <c r="AT124" s="322"/>
      <c r="AU124" s="322"/>
      <c r="AV124" s="322"/>
      <c r="AW124" s="322"/>
      <c r="AX124" s="322"/>
      <c r="AY124" s="322"/>
      <c r="AZ124" s="322"/>
      <c r="BA124" s="322"/>
      <c r="BB124" s="322"/>
      <c r="BC124" s="322"/>
      <c r="BD124" s="322"/>
      <c r="BE124" s="322"/>
      <c r="BF124" s="322"/>
      <c r="BG124" s="322"/>
      <c r="BH124" s="322"/>
      <c r="BI124" s="322"/>
      <c r="BJ124" s="322"/>
      <c r="BK124" s="322"/>
      <c r="BL124" s="322"/>
      <c r="BM124" s="322"/>
      <c r="BN124" s="322"/>
      <c r="BO124" s="322"/>
      <c r="BP124" s="322"/>
      <c r="BQ124" s="322"/>
      <c r="BR124" s="322"/>
      <c r="BS124" s="322"/>
      <c r="BT124" s="322"/>
      <c r="BU124" s="322"/>
      <c r="BV124" s="322"/>
      <c r="BW124" s="322"/>
      <c r="BX124" s="322"/>
      <c r="BY124" s="322"/>
      <c r="BZ124" s="322"/>
      <c r="CA124" s="322"/>
      <c r="CB124" s="322"/>
      <c r="CC124" s="322"/>
      <c r="CD124" s="322"/>
      <c r="CE124" s="322"/>
      <c r="CF124" s="322"/>
      <c r="CG124" s="322"/>
      <c r="CH124" s="322"/>
      <c r="CI124" s="322"/>
      <c r="CJ124" s="322"/>
      <c r="CK124" s="322"/>
      <c r="CL124" s="322"/>
      <c r="CM124" s="322"/>
      <c r="CN124" s="322"/>
      <c r="CO124" s="322"/>
      <c r="CP124" s="322"/>
      <c r="CQ124" s="322"/>
      <c r="CR124" s="322"/>
      <c r="CS124" s="322"/>
      <c r="CT124" s="322"/>
      <c r="CU124" s="322"/>
      <c r="CV124" s="322"/>
      <c r="CW124" s="322"/>
      <c r="CX124" s="322"/>
      <c r="CY124" s="322"/>
      <c r="CZ124" s="322"/>
      <c r="DA124" s="322"/>
      <c r="DB124" s="322"/>
      <c r="DC124" s="322"/>
      <c r="DD124" s="322"/>
      <c r="DE124" s="322"/>
      <c r="DF124" s="322"/>
      <c r="DG124" s="322"/>
      <c r="DH124" s="322"/>
      <c r="DI124" s="322"/>
      <c r="DJ124" s="322"/>
      <c r="DK124" s="322"/>
    </row>
    <row r="125" spans="1:115" s="320" customFormat="1" ht="21" customHeight="1">
      <c r="A125" s="341"/>
      <c r="B125" s="340"/>
      <c r="C125" s="339"/>
      <c r="D125" s="333" t="s">
        <v>1166</v>
      </c>
      <c r="E125" s="332" t="s">
        <v>41</v>
      </c>
      <c r="F125" s="331">
        <v>2.9990000000000001</v>
      </c>
      <c r="G125" s="332">
        <v>375</v>
      </c>
      <c r="H125" s="331" t="s">
        <v>466</v>
      </c>
      <c r="I125" s="332" t="s">
        <v>42</v>
      </c>
      <c r="J125" s="331">
        <v>2979</v>
      </c>
      <c r="K125" s="326">
        <v>6893</v>
      </c>
      <c r="L125" s="326">
        <v>3749</v>
      </c>
      <c r="M125" s="326" t="s">
        <v>31</v>
      </c>
      <c r="N125" s="342">
        <v>9.1999999999999993</v>
      </c>
      <c r="O125" s="337">
        <f>IF(N125&gt;0,1/N125*37.7*68.6,"")</f>
        <v>281.1108695652174</v>
      </c>
      <c r="P125" s="328">
        <v>8.1199999999999992</v>
      </c>
      <c r="Q125" s="327" t="s">
        <v>43</v>
      </c>
      <c r="R125" s="326" t="s">
        <v>33</v>
      </c>
      <c r="S125" s="326" t="s">
        <v>34</v>
      </c>
      <c r="T125" s="326"/>
      <c r="U125" s="345"/>
      <c r="V125" s="324">
        <f>IF(N125&lt;&gt;0, IF(N125&gt;=P125,ROUNDDOWN(N125/P125*100,0),""),"")</f>
        <v>113</v>
      </c>
      <c r="W125" s="311"/>
      <c r="AR125" s="322"/>
      <c r="AS125" s="322"/>
      <c r="AT125" s="322"/>
      <c r="AU125" s="322"/>
      <c r="AV125" s="322"/>
      <c r="AW125" s="322"/>
      <c r="AX125" s="322"/>
      <c r="AY125" s="322"/>
      <c r="AZ125" s="322"/>
      <c r="BA125" s="322"/>
      <c r="BB125" s="322"/>
      <c r="BC125" s="322"/>
      <c r="BD125" s="322"/>
      <c r="BE125" s="322"/>
      <c r="BF125" s="322"/>
      <c r="BG125" s="322"/>
      <c r="BH125" s="322"/>
      <c r="BI125" s="322"/>
      <c r="BJ125" s="322"/>
      <c r="BK125" s="322"/>
      <c r="BL125" s="322"/>
      <c r="BM125" s="322"/>
      <c r="BN125" s="322"/>
      <c r="BO125" s="322"/>
      <c r="BP125" s="322"/>
      <c r="BQ125" s="322"/>
      <c r="BR125" s="322"/>
      <c r="BS125" s="322"/>
      <c r="BT125" s="322"/>
      <c r="BU125" s="322"/>
      <c r="BV125" s="322"/>
      <c r="BW125" s="322"/>
      <c r="BX125" s="322"/>
      <c r="BY125" s="322"/>
      <c r="BZ125" s="322"/>
      <c r="CA125" s="322"/>
      <c r="CB125" s="322"/>
      <c r="CC125" s="322"/>
      <c r="CD125" s="322"/>
      <c r="CE125" s="322"/>
      <c r="CF125" s="322"/>
      <c r="CG125" s="322"/>
      <c r="CH125" s="322"/>
      <c r="CI125" s="322"/>
      <c r="CJ125" s="322"/>
      <c r="CK125" s="322"/>
      <c r="CL125" s="322"/>
      <c r="CM125" s="322"/>
      <c r="CN125" s="322"/>
      <c r="CO125" s="322"/>
      <c r="CP125" s="322"/>
      <c r="CQ125" s="322"/>
      <c r="CR125" s="322"/>
      <c r="CS125" s="322"/>
      <c r="CT125" s="322"/>
      <c r="CU125" s="322"/>
      <c r="CV125" s="322"/>
      <c r="CW125" s="322"/>
      <c r="CX125" s="322"/>
      <c r="CY125" s="322"/>
      <c r="CZ125" s="322"/>
      <c r="DA125" s="322"/>
      <c r="DB125" s="322"/>
      <c r="DC125" s="322"/>
      <c r="DD125" s="322"/>
      <c r="DE125" s="322"/>
      <c r="DF125" s="322"/>
      <c r="DG125" s="322"/>
      <c r="DH125" s="322"/>
      <c r="DI125" s="322"/>
      <c r="DJ125" s="322"/>
      <c r="DK125" s="322"/>
    </row>
    <row r="126" spans="1:115" s="320" customFormat="1" ht="21" customHeight="1">
      <c r="A126" s="341"/>
      <c r="B126" s="340"/>
      <c r="C126" s="339"/>
      <c r="D126" s="333" t="s">
        <v>1166</v>
      </c>
      <c r="E126" s="332" t="s">
        <v>41</v>
      </c>
      <c r="F126" s="331">
        <v>2.9990000000000001</v>
      </c>
      <c r="G126" s="332">
        <v>375</v>
      </c>
      <c r="H126" s="331" t="s">
        <v>466</v>
      </c>
      <c r="I126" s="332" t="s">
        <v>71</v>
      </c>
      <c r="J126" s="331">
        <v>2979</v>
      </c>
      <c r="K126" s="326">
        <v>6893</v>
      </c>
      <c r="L126" s="326">
        <v>3749</v>
      </c>
      <c r="M126" s="326" t="s">
        <v>31</v>
      </c>
      <c r="N126" s="342">
        <v>9</v>
      </c>
      <c r="O126" s="337">
        <f>IF(N126&gt;0,1/N126*37.7*68.6,"")</f>
        <v>287.35777777777776</v>
      </c>
      <c r="P126" s="328">
        <v>8.1199999999999992</v>
      </c>
      <c r="Q126" s="327" t="s">
        <v>43</v>
      </c>
      <c r="R126" s="326" t="s">
        <v>33</v>
      </c>
      <c r="S126" s="326" t="s">
        <v>34</v>
      </c>
      <c r="T126" s="326"/>
      <c r="U126" s="345"/>
      <c r="V126" s="324">
        <f>IF(N126&lt;&gt;0, IF(N126&gt;=P126,ROUNDDOWN(N126/P126*100,0),""),"")</f>
        <v>110</v>
      </c>
      <c r="W126" s="311"/>
      <c r="AR126" s="322"/>
      <c r="AS126" s="322"/>
      <c r="AT126" s="322"/>
      <c r="AU126" s="322"/>
      <c r="AV126" s="322"/>
      <c r="AW126" s="322"/>
      <c r="AX126" s="322"/>
      <c r="AY126" s="322"/>
      <c r="AZ126" s="322"/>
      <c r="BA126" s="322"/>
      <c r="BB126" s="322"/>
      <c r="BC126" s="322"/>
      <c r="BD126" s="322"/>
      <c r="BE126" s="322"/>
      <c r="BF126" s="322"/>
      <c r="BG126" s="322"/>
      <c r="BH126" s="322"/>
      <c r="BI126" s="322"/>
      <c r="BJ126" s="322"/>
      <c r="BK126" s="322"/>
      <c r="BL126" s="322"/>
      <c r="BM126" s="322"/>
      <c r="BN126" s="322"/>
      <c r="BO126" s="322"/>
      <c r="BP126" s="322"/>
      <c r="BQ126" s="322"/>
      <c r="BR126" s="322"/>
      <c r="BS126" s="322"/>
      <c r="BT126" s="322"/>
      <c r="BU126" s="322"/>
      <c r="BV126" s="322"/>
      <c r="BW126" s="322"/>
      <c r="BX126" s="322"/>
      <c r="BY126" s="322"/>
      <c r="BZ126" s="322"/>
      <c r="CA126" s="322"/>
      <c r="CB126" s="322"/>
      <c r="CC126" s="322"/>
      <c r="CD126" s="322"/>
      <c r="CE126" s="322"/>
      <c r="CF126" s="322"/>
      <c r="CG126" s="322"/>
      <c r="CH126" s="322"/>
      <c r="CI126" s="322"/>
      <c r="CJ126" s="322"/>
      <c r="CK126" s="322"/>
      <c r="CL126" s="322"/>
      <c r="CM126" s="322"/>
      <c r="CN126" s="322"/>
      <c r="CO126" s="322"/>
      <c r="CP126" s="322"/>
      <c r="CQ126" s="322"/>
      <c r="CR126" s="322"/>
      <c r="CS126" s="322"/>
      <c r="CT126" s="322"/>
      <c r="CU126" s="322"/>
      <c r="CV126" s="322"/>
      <c r="CW126" s="322"/>
      <c r="CX126" s="322"/>
      <c r="CY126" s="322"/>
      <c r="CZ126" s="322"/>
      <c r="DA126" s="322"/>
      <c r="DB126" s="322"/>
      <c r="DC126" s="322"/>
      <c r="DD126" s="322"/>
      <c r="DE126" s="322"/>
      <c r="DF126" s="322"/>
      <c r="DG126" s="322"/>
      <c r="DH126" s="322"/>
      <c r="DI126" s="322"/>
      <c r="DJ126" s="322"/>
      <c r="DK126" s="322"/>
    </row>
    <row r="127" spans="1:115" s="320" customFormat="1" ht="21" customHeight="1">
      <c r="A127" s="341"/>
      <c r="B127" s="340"/>
      <c r="C127" s="339"/>
      <c r="D127" s="333" t="s">
        <v>1166</v>
      </c>
      <c r="E127" s="332" t="s">
        <v>41</v>
      </c>
      <c r="F127" s="331">
        <v>2.9990000000000001</v>
      </c>
      <c r="G127" s="332">
        <v>375</v>
      </c>
      <c r="H127" s="331" t="s">
        <v>466</v>
      </c>
      <c r="I127" s="332" t="s">
        <v>42</v>
      </c>
      <c r="J127" s="331">
        <v>2979</v>
      </c>
      <c r="K127" s="326">
        <v>6893</v>
      </c>
      <c r="L127" s="326">
        <v>3749</v>
      </c>
      <c r="M127" s="326" t="s">
        <v>31</v>
      </c>
      <c r="N127" s="342">
        <v>9</v>
      </c>
      <c r="O127" s="337">
        <f>IF(N127&gt;0,1/N127*37.7*68.6,"")</f>
        <v>287.35777777777776</v>
      </c>
      <c r="P127" s="328">
        <v>8.1199999999999992</v>
      </c>
      <c r="Q127" s="327" t="s">
        <v>63</v>
      </c>
      <c r="R127" s="326" t="s">
        <v>33</v>
      </c>
      <c r="S127" s="326" t="s">
        <v>34</v>
      </c>
      <c r="T127" s="326"/>
      <c r="U127" s="345"/>
      <c r="V127" s="324">
        <f>IF(N127&lt;&gt;0, IF(N127&gt;=P127,ROUNDDOWN(N127/P127*100,0),""),"")</f>
        <v>110</v>
      </c>
      <c r="W127" s="311"/>
      <c r="AR127" s="322"/>
      <c r="AS127" s="322"/>
      <c r="AT127" s="322"/>
      <c r="AU127" s="322"/>
      <c r="AV127" s="322"/>
      <c r="AW127" s="322"/>
      <c r="AX127" s="322"/>
      <c r="AY127" s="322"/>
      <c r="AZ127" s="322"/>
      <c r="BA127" s="322"/>
      <c r="BB127" s="322"/>
      <c r="BC127" s="322"/>
      <c r="BD127" s="322"/>
      <c r="BE127" s="322"/>
      <c r="BF127" s="322"/>
      <c r="BG127" s="322"/>
      <c r="BH127" s="322"/>
      <c r="BI127" s="322"/>
      <c r="BJ127" s="322"/>
      <c r="BK127" s="322"/>
      <c r="BL127" s="322"/>
      <c r="BM127" s="322"/>
      <c r="BN127" s="322"/>
      <c r="BO127" s="322"/>
      <c r="BP127" s="322"/>
      <c r="BQ127" s="322"/>
      <c r="BR127" s="322"/>
      <c r="BS127" s="322"/>
      <c r="BT127" s="322"/>
      <c r="BU127" s="322"/>
      <c r="BV127" s="322"/>
      <c r="BW127" s="322"/>
      <c r="BX127" s="322"/>
      <c r="BY127" s="322"/>
      <c r="BZ127" s="322"/>
      <c r="CA127" s="322"/>
      <c r="CB127" s="322"/>
      <c r="CC127" s="322"/>
      <c r="CD127" s="322"/>
      <c r="CE127" s="322"/>
      <c r="CF127" s="322"/>
      <c r="CG127" s="322"/>
      <c r="CH127" s="322"/>
      <c r="CI127" s="322"/>
      <c r="CJ127" s="322"/>
      <c r="CK127" s="322"/>
      <c r="CL127" s="322"/>
      <c r="CM127" s="322"/>
      <c r="CN127" s="322"/>
      <c r="CO127" s="322"/>
      <c r="CP127" s="322"/>
      <c r="CQ127" s="322"/>
      <c r="CR127" s="322"/>
      <c r="CS127" s="322"/>
      <c r="CT127" s="322"/>
      <c r="CU127" s="322"/>
      <c r="CV127" s="322"/>
      <c r="CW127" s="322"/>
      <c r="CX127" s="322"/>
      <c r="CY127" s="322"/>
      <c r="CZ127" s="322"/>
      <c r="DA127" s="322"/>
      <c r="DB127" s="322"/>
      <c r="DC127" s="322"/>
      <c r="DD127" s="322"/>
      <c r="DE127" s="322"/>
      <c r="DF127" s="322"/>
      <c r="DG127" s="322"/>
      <c r="DH127" s="322"/>
      <c r="DI127" s="322"/>
      <c r="DJ127" s="322"/>
      <c r="DK127" s="322"/>
    </row>
    <row r="128" spans="1:115" s="320" customFormat="1" ht="21" customHeight="1">
      <c r="A128" s="341"/>
      <c r="B128" s="340"/>
      <c r="C128" s="339"/>
      <c r="D128" s="333" t="s">
        <v>1165</v>
      </c>
      <c r="E128" s="332" t="s">
        <v>41</v>
      </c>
      <c r="F128" s="331">
        <v>2.9990000000000001</v>
      </c>
      <c r="G128" s="332">
        <v>375</v>
      </c>
      <c r="H128" s="331" t="s">
        <v>466</v>
      </c>
      <c r="I128" s="332" t="s">
        <v>42</v>
      </c>
      <c r="J128" s="331">
        <v>2356</v>
      </c>
      <c r="K128" s="326">
        <v>4521</v>
      </c>
      <c r="L128" s="326">
        <v>2000</v>
      </c>
      <c r="M128" s="326" t="s">
        <v>31</v>
      </c>
      <c r="N128" s="338">
        <v>11.8</v>
      </c>
      <c r="O128" s="344">
        <f>IF(N128&gt;0,1/N128*37.7*68.6,"")</f>
        <v>219.17118644067796</v>
      </c>
      <c r="P128" s="328">
        <v>10.35</v>
      </c>
      <c r="Q128" s="327" t="s">
        <v>63</v>
      </c>
      <c r="R128" s="326" t="s">
        <v>33</v>
      </c>
      <c r="S128" s="326" t="s">
        <v>34</v>
      </c>
      <c r="T128" s="326"/>
      <c r="U128" s="345"/>
      <c r="V128" s="324">
        <f>IF(N128&lt;&gt;0, IF(N128&gt;=P128,ROUNDDOWN(N128/P128*100,0),""),"")</f>
        <v>114</v>
      </c>
      <c r="W128" s="311"/>
      <c r="AR128" s="322"/>
      <c r="AS128" s="322"/>
      <c r="AT128" s="322"/>
      <c r="AU128" s="322"/>
      <c r="AV128" s="322"/>
      <c r="AW128" s="322"/>
      <c r="AX128" s="322"/>
      <c r="AY128" s="322"/>
      <c r="AZ128" s="322"/>
      <c r="BA128" s="322"/>
      <c r="BB128" s="322"/>
      <c r="BC128" s="322"/>
      <c r="BD128" s="322"/>
      <c r="BE128" s="322"/>
      <c r="BF128" s="322"/>
      <c r="BG128" s="322"/>
      <c r="BH128" s="322"/>
      <c r="BI128" s="322"/>
      <c r="BJ128" s="322"/>
      <c r="BK128" s="322"/>
      <c r="BL128" s="322"/>
      <c r="BM128" s="322"/>
      <c r="BN128" s="322"/>
      <c r="BO128" s="322"/>
      <c r="BP128" s="322"/>
      <c r="BQ128" s="322"/>
      <c r="BR128" s="322"/>
      <c r="BS128" s="322"/>
      <c r="BT128" s="322"/>
      <c r="BU128" s="322"/>
      <c r="BV128" s="322"/>
      <c r="BW128" s="322"/>
      <c r="BX128" s="322"/>
      <c r="BY128" s="322"/>
      <c r="BZ128" s="322"/>
      <c r="CA128" s="322"/>
      <c r="CB128" s="322"/>
      <c r="CC128" s="322"/>
      <c r="CD128" s="322"/>
      <c r="CE128" s="322"/>
      <c r="CF128" s="322"/>
      <c r="CG128" s="322"/>
      <c r="CH128" s="322"/>
      <c r="CI128" s="322"/>
      <c r="CJ128" s="322"/>
      <c r="CK128" s="322"/>
      <c r="CL128" s="322"/>
      <c r="CM128" s="322"/>
      <c r="CN128" s="322"/>
      <c r="CO128" s="322"/>
      <c r="CP128" s="322"/>
      <c r="CQ128" s="322"/>
      <c r="CR128" s="322"/>
      <c r="CS128" s="322"/>
      <c r="CT128" s="322"/>
      <c r="CU128" s="322"/>
      <c r="CV128" s="322"/>
      <c r="CW128" s="322"/>
      <c r="CX128" s="322"/>
      <c r="CY128" s="322"/>
      <c r="CZ128" s="322"/>
      <c r="DA128" s="322"/>
      <c r="DB128" s="322"/>
      <c r="DC128" s="322"/>
      <c r="DD128" s="322"/>
      <c r="DE128" s="322"/>
      <c r="DF128" s="322"/>
      <c r="DG128" s="322"/>
      <c r="DH128" s="322"/>
      <c r="DI128" s="322"/>
      <c r="DJ128" s="322"/>
      <c r="DK128" s="322"/>
    </row>
    <row r="129" spans="1:115" s="320" customFormat="1" ht="21" customHeight="1">
      <c r="A129" s="341"/>
      <c r="B129" s="340"/>
      <c r="C129" s="339"/>
      <c r="D129" s="333" t="s">
        <v>1165</v>
      </c>
      <c r="E129" s="332" t="s">
        <v>41</v>
      </c>
      <c r="F129" s="331">
        <v>2.9990000000000001</v>
      </c>
      <c r="G129" s="332">
        <v>375</v>
      </c>
      <c r="H129" s="331" t="s">
        <v>466</v>
      </c>
      <c r="I129" s="332" t="s">
        <v>71</v>
      </c>
      <c r="J129" s="331">
        <v>2356</v>
      </c>
      <c r="K129" s="326">
        <v>4521</v>
      </c>
      <c r="L129" s="326">
        <v>2000</v>
      </c>
      <c r="M129" s="326" t="s">
        <v>31</v>
      </c>
      <c r="N129" s="342">
        <v>11.4</v>
      </c>
      <c r="O129" s="337">
        <f>IF(N129&gt;0,1/N129*37.7*68.6,"")</f>
        <v>226.8614035087719</v>
      </c>
      <c r="P129" s="328">
        <v>10.35</v>
      </c>
      <c r="Q129" s="327" t="s">
        <v>63</v>
      </c>
      <c r="R129" s="326" t="s">
        <v>33</v>
      </c>
      <c r="S129" s="326" t="s">
        <v>34</v>
      </c>
      <c r="T129" s="326"/>
      <c r="U129" s="345"/>
      <c r="V129" s="324">
        <f>IF(N129&lt;&gt;0, IF(N129&gt;=P129,ROUNDDOWN(N129/P129*100,0),""),"")</f>
        <v>110</v>
      </c>
      <c r="W129" s="311"/>
      <c r="AR129" s="322"/>
      <c r="AS129" s="322"/>
      <c r="AT129" s="322"/>
      <c r="AU129" s="322"/>
      <c r="AV129" s="322"/>
      <c r="AW129" s="322"/>
      <c r="AX129" s="322"/>
      <c r="AY129" s="322"/>
      <c r="AZ129" s="322"/>
      <c r="BA129" s="322"/>
      <c r="BB129" s="322"/>
      <c r="BC129" s="322"/>
      <c r="BD129" s="322"/>
      <c r="BE129" s="322"/>
      <c r="BF129" s="322"/>
      <c r="BG129" s="322"/>
      <c r="BH129" s="322"/>
      <c r="BI129" s="322"/>
      <c r="BJ129" s="322"/>
      <c r="BK129" s="322"/>
      <c r="BL129" s="322"/>
      <c r="BM129" s="322"/>
      <c r="BN129" s="322"/>
      <c r="BO129" s="322"/>
      <c r="BP129" s="322"/>
      <c r="BQ129" s="322"/>
      <c r="BR129" s="322"/>
      <c r="BS129" s="322"/>
      <c r="BT129" s="322"/>
      <c r="BU129" s="322"/>
      <c r="BV129" s="322"/>
      <c r="BW129" s="322"/>
      <c r="BX129" s="322"/>
      <c r="BY129" s="322"/>
      <c r="BZ129" s="322"/>
      <c r="CA129" s="322"/>
      <c r="CB129" s="322"/>
      <c r="CC129" s="322"/>
      <c r="CD129" s="322"/>
      <c r="CE129" s="322"/>
      <c r="CF129" s="322"/>
      <c r="CG129" s="322"/>
      <c r="CH129" s="322"/>
      <c r="CI129" s="322"/>
      <c r="CJ129" s="322"/>
      <c r="CK129" s="322"/>
      <c r="CL129" s="322"/>
      <c r="CM129" s="322"/>
      <c r="CN129" s="322"/>
      <c r="CO129" s="322"/>
      <c r="CP129" s="322"/>
      <c r="CQ129" s="322"/>
      <c r="CR129" s="322"/>
      <c r="CS129" s="322"/>
      <c r="CT129" s="322"/>
      <c r="CU129" s="322"/>
      <c r="CV129" s="322"/>
      <c r="CW129" s="322"/>
      <c r="CX129" s="322"/>
      <c r="CY129" s="322"/>
      <c r="CZ129" s="322"/>
      <c r="DA129" s="322"/>
      <c r="DB129" s="322"/>
      <c r="DC129" s="322"/>
      <c r="DD129" s="322"/>
      <c r="DE129" s="322"/>
      <c r="DF129" s="322"/>
      <c r="DG129" s="322"/>
      <c r="DH129" s="322"/>
      <c r="DI129" s="322"/>
      <c r="DJ129" s="322"/>
      <c r="DK129" s="322"/>
    </row>
    <row r="130" spans="1:115" s="320" customFormat="1" ht="21" customHeight="1">
      <c r="A130" s="341"/>
      <c r="B130" s="340"/>
      <c r="C130" s="339"/>
      <c r="D130" s="333" t="s">
        <v>1165</v>
      </c>
      <c r="E130" s="332" t="s">
        <v>41</v>
      </c>
      <c r="F130" s="331">
        <v>2.9990000000000001</v>
      </c>
      <c r="G130" s="332">
        <v>375</v>
      </c>
      <c r="H130" s="331" t="s">
        <v>466</v>
      </c>
      <c r="I130" s="332" t="s">
        <v>71</v>
      </c>
      <c r="J130" s="331">
        <v>2652</v>
      </c>
      <c r="K130" s="326">
        <v>5812</v>
      </c>
      <c r="L130" s="326">
        <v>2995</v>
      </c>
      <c r="M130" s="326" t="s">
        <v>31</v>
      </c>
      <c r="N130" s="342">
        <v>10.8</v>
      </c>
      <c r="O130" s="337">
        <f>IF(N130&gt;0,1/N130*37.7*68.6,"")</f>
        <v>239.46481481481482</v>
      </c>
      <c r="P130" s="328">
        <v>9.51</v>
      </c>
      <c r="Q130" s="327" t="s">
        <v>43</v>
      </c>
      <c r="R130" s="326" t="s">
        <v>33</v>
      </c>
      <c r="S130" s="326" t="s">
        <v>34</v>
      </c>
      <c r="T130" s="326"/>
      <c r="U130" s="345"/>
      <c r="V130" s="324">
        <f>IF(N130&lt;&gt;0, IF(N130&gt;=P130,ROUNDDOWN(N130/P130*100,0),""),"")</f>
        <v>113</v>
      </c>
      <c r="W130" s="311"/>
      <c r="AR130" s="322"/>
      <c r="AS130" s="322"/>
      <c r="AT130" s="322"/>
      <c r="AU130" s="322"/>
      <c r="AV130" s="322"/>
      <c r="AW130" s="322"/>
      <c r="AX130" s="322"/>
      <c r="AY130" s="322"/>
      <c r="AZ130" s="322"/>
      <c r="BA130" s="322"/>
      <c r="BB130" s="322"/>
      <c r="BC130" s="322"/>
      <c r="BD130" s="322"/>
      <c r="BE130" s="322"/>
      <c r="BF130" s="322"/>
      <c r="BG130" s="322"/>
      <c r="BH130" s="322"/>
      <c r="BI130" s="322"/>
      <c r="BJ130" s="322"/>
      <c r="BK130" s="322"/>
      <c r="BL130" s="322"/>
      <c r="BM130" s="322"/>
      <c r="BN130" s="322"/>
      <c r="BO130" s="322"/>
      <c r="BP130" s="322"/>
      <c r="BQ130" s="322"/>
      <c r="BR130" s="322"/>
      <c r="BS130" s="322"/>
      <c r="BT130" s="322"/>
      <c r="BU130" s="322"/>
      <c r="BV130" s="322"/>
      <c r="BW130" s="322"/>
      <c r="BX130" s="322"/>
      <c r="BY130" s="322"/>
      <c r="BZ130" s="322"/>
      <c r="CA130" s="322"/>
      <c r="CB130" s="322"/>
      <c r="CC130" s="322"/>
      <c r="CD130" s="322"/>
      <c r="CE130" s="322"/>
      <c r="CF130" s="322"/>
      <c r="CG130" s="322"/>
      <c r="CH130" s="322"/>
      <c r="CI130" s="322"/>
      <c r="CJ130" s="322"/>
      <c r="CK130" s="322"/>
      <c r="CL130" s="322"/>
      <c r="CM130" s="322"/>
      <c r="CN130" s="322"/>
      <c r="CO130" s="322"/>
      <c r="CP130" s="322"/>
      <c r="CQ130" s="322"/>
      <c r="CR130" s="322"/>
      <c r="CS130" s="322"/>
      <c r="CT130" s="322"/>
      <c r="CU130" s="322"/>
      <c r="CV130" s="322"/>
      <c r="CW130" s="322"/>
      <c r="CX130" s="322"/>
      <c r="CY130" s="322"/>
      <c r="CZ130" s="322"/>
      <c r="DA130" s="322"/>
      <c r="DB130" s="322"/>
      <c r="DC130" s="322"/>
      <c r="DD130" s="322"/>
      <c r="DE130" s="322"/>
      <c r="DF130" s="322"/>
      <c r="DG130" s="322"/>
      <c r="DH130" s="322"/>
      <c r="DI130" s="322"/>
      <c r="DJ130" s="322"/>
      <c r="DK130" s="322"/>
    </row>
    <row r="131" spans="1:115" s="320" customFormat="1" ht="21" customHeight="1">
      <c r="A131" s="341"/>
      <c r="B131" s="340"/>
      <c r="C131" s="339"/>
      <c r="D131" s="333" t="s">
        <v>1165</v>
      </c>
      <c r="E131" s="332" t="s">
        <v>41</v>
      </c>
      <c r="F131" s="331">
        <v>2.9990000000000001</v>
      </c>
      <c r="G131" s="332">
        <v>375</v>
      </c>
      <c r="H131" s="331" t="s">
        <v>466</v>
      </c>
      <c r="I131" s="332" t="s">
        <v>42</v>
      </c>
      <c r="J131" s="331">
        <v>2652</v>
      </c>
      <c r="K131" s="326">
        <v>5812</v>
      </c>
      <c r="L131" s="326">
        <v>2995</v>
      </c>
      <c r="M131" s="326" t="s">
        <v>31</v>
      </c>
      <c r="N131" s="342">
        <v>10.8</v>
      </c>
      <c r="O131" s="337">
        <f>IF(N131&gt;0,1/N131*37.7*68.6,"")</f>
        <v>239.46481481481482</v>
      </c>
      <c r="P131" s="328">
        <v>9.51</v>
      </c>
      <c r="Q131" s="327" t="s">
        <v>63</v>
      </c>
      <c r="R131" s="326" t="s">
        <v>33</v>
      </c>
      <c r="S131" s="326" t="s">
        <v>34</v>
      </c>
      <c r="T131" s="326"/>
      <c r="U131" s="345"/>
      <c r="V131" s="324">
        <f>IF(N131&lt;&gt;0, IF(N131&gt;=P131,ROUNDDOWN(N131/P131*100,0),""),"")</f>
        <v>113</v>
      </c>
      <c r="W131" s="311"/>
      <c r="AR131" s="322"/>
      <c r="AS131" s="322"/>
      <c r="AT131" s="322"/>
      <c r="AU131" s="322"/>
      <c r="AV131" s="322"/>
      <c r="AW131" s="322"/>
      <c r="AX131" s="322"/>
      <c r="AY131" s="322"/>
      <c r="AZ131" s="322"/>
      <c r="BA131" s="322"/>
      <c r="BB131" s="322"/>
      <c r="BC131" s="322"/>
      <c r="BD131" s="322"/>
      <c r="BE131" s="322"/>
      <c r="BF131" s="322"/>
      <c r="BG131" s="322"/>
      <c r="BH131" s="322"/>
      <c r="BI131" s="322"/>
      <c r="BJ131" s="322"/>
      <c r="BK131" s="322"/>
      <c r="BL131" s="322"/>
      <c r="BM131" s="322"/>
      <c r="BN131" s="322"/>
      <c r="BO131" s="322"/>
      <c r="BP131" s="322"/>
      <c r="BQ131" s="322"/>
      <c r="BR131" s="322"/>
      <c r="BS131" s="322"/>
      <c r="BT131" s="322"/>
      <c r="BU131" s="322"/>
      <c r="BV131" s="322"/>
      <c r="BW131" s="322"/>
      <c r="BX131" s="322"/>
      <c r="BY131" s="322"/>
      <c r="BZ131" s="322"/>
      <c r="CA131" s="322"/>
      <c r="CB131" s="322"/>
      <c r="CC131" s="322"/>
      <c r="CD131" s="322"/>
      <c r="CE131" s="322"/>
      <c r="CF131" s="322"/>
      <c r="CG131" s="322"/>
      <c r="CH131" s="322"/>
      <c r="CI131" s="322"/>
      <c r="CJ131" s="322"/>
      <c r="CK131" s="322"/>
      <c r="CL131" s="322"/>
      <c r="CM131" s="322"/>
      <c r="CN131" s="322"/>
      <c r="CO131" s="322"/>
      <c r="CP131" s="322"/>
      <c r="CQ131" s="322"/>
      <c r="CR131" s="322"/>
      <c r="CS131" s="322"/>
      <c r="CT131" s="322"/>
      <c r="CU131" s="322"/>
      <c r="CV131" s="322"/>
      <c r="CW131" s="322"/>
      <c r="CX131" s="322"/>
      <c r="CY131" s="322"/>
      <c r="CZ131" s="322"/>
      <c r="DA131" s="322"/>
      <c r="DB131" s="322"/>
      <c r="DC131" s="322"/>
      <c r="DD131" s="322"/>
      <c r="DE131" s="322"/>
      <c r="DF131" s="322"/>
      <c r="DG131" s="322"/>
      <c r="DH131" s="322"/>
      <c r="DI131" s="322"/>
      <c r="DJ131" s="322"/>
      <c r="DK131" s="322"/>
    </row>
    <row r="132" spans="1:115" s="320" customFormat="1" ht="21" customHeight="1">
      <c r="A132" s="341"/>
      <c r="B132" s="340"/>
      <c r="C132" s="339"/>
      <c r="D132" s="333" t="s">
        <v>1165</v>
      </c>
      <c r="E132" s="332" t="s">
        <v>41</v>
      </c>
      <c r="F132" s="331">
        <v>2.9990000000000001</v>
      </c>
      <c r="G132" s="332">
        <v>375</v>
      </c>
      <c r="H132" s="331" t="s">
        <v>466</v>
      </c>
      <c r="I132" s="332" t="s">
        <v>71</v>
      </c>
      <c r="J132" s="331">
        <v>2652</v>
      </c>
      <c r="K132" s="326">
        <v>5812</v>
      </c>
      <c r="L132" s="326">
        <v>2995</v>
      </c>
      <c r="M132" s="326" t="s">
        <v>31</v>
      </c>
      <c r="N132" s="342">
        <v>10.6</v>
      </c>
      <c r="O132" s="337">
        <f>IF(N132&gt;0,1/N132*37.7*68.6,"")</f>
        <v>243.98301886792456</v>
      </c>
      <c r="P132" s="328">
        <v>9.51</v>
      </c>
      <c r="Q132" s="327" t="s">
        <v>63</v>
      </c>
      <c r="R132" s="326" t="s">
        <v>33</v>
      </c>
      <c r="S132" s="326" t="s">
        <v>34</v>
      </c>
      <c r="T132" s="326"/>
      <c r="U132" s="345"/>
      <c r="V132" s="324">
        <f>IF(N132&lt;&gt;0, IF(N132&gt;=P132,ROUNDDOWN(N132/P132*100,0),""),"")</f>
        <v>111</v>
      </c>
      <c r="W132" s="311"/>
      <c r="AR132" s="322"/>
      <c r="AS132" s="322"/>
      <c r="AT132" s="322"/>
      <c r="AU132" s="322"/>
      <c r="AV132" s="322"/>
      <c r="AW132" s="322"/>
      <c r="AX132" s="322"/>
      <c r="AY132" s="322"/>
      <c r="AZ132" s="322"/>
      <c r="BA132" s="322"/>
      <c r="BB132" s="322"/>
      <c r="BC132" s="322"/>
      <c r="BD132" s="322"/>
      <c r="BE132" s="322"/>
      <c r="BF132" s="322"/>
      <c r="BG132" s="322"/>
      <c r="BH132" s="322"/>
      <c r="BI132" s="322"/>
      <c r="BJ132" s="322"/>
      <c r="BK132" s="322"/>
      <c r="BL132" s="322"/>
      <c r="BM132" s="322"/>
      <c r="BN132" s="322"/>
      <c r="BO132" s="322"/>
      <c r="BP132" s="322"/>
      <c r="BQ132" s="322"/>
      <c r="BR132" s="322"/>
      <c r="BS132" s="322"/>
      <c r="BT132" s="322"/>
      <c r="BU132" s="322"/>
      <c r="BV132" s="322"/>
      <c r="BW132" s="322"/>
      <c r="BX132" s="322"/>
      <c r="BY132" s="322"/>
      <c r="BZ132" s="322"/>
      <c r="CA132" s="322"/>
      <c r="CB132" s="322"/>
      <c r="CC132" s="322"/>
      <c r="CD132" s="322"/>
      <c r="CE132" s="322"/>
      <c r="CF132" s="322"/>
      <c r="CG132" s="322"/>
      <c r="CH132" s="322"/>
      <c r="CI132" s="322"/>
      <c r="CJ132" s="322"/>
      <c r="CK132" s="322"/>
      <c r="CL132" s="322"/>
      <c r="CM132" s="322"/>
      <c r="CN132" s="322"/>
      <c r="CO132" s="322"/>
      <c r="CP132" s="322"/>
      <c r="CQ132" s="322"/>
      <c r="CR132" s="322"/>
      <c r="CS132" s="322"/>
      <c r="CT132" s="322"/>
      <c r="CU132" s="322"/>
      <c r="CV132" s="322"/>
      <c r="CW132" s="322"/>
      <c r="CX132" s="322"/>
      <c r="CY132" s="322"/>
      <c r="CZ132" s="322"/>
      <c r="DA132" s="322"/>
      <c r="DB132" s="322"/>
      <c r="DC132" s="322"/>
      <c r="DD132" s="322"/>
      <c r="DE132" s="322"/>
      <c r="DF132" s="322"/>
      <c r="DG132" s="322"/>
      <c r="DH132" s="322"/>
      <c r="DI132" s="322"/>
      <c r="DJ132" s="322"/>
      <c r="DK132" s="322"/>
    </row>
    <row r="133" spans="1:115" s="320" customFormat="1" ht="21" customHeight="1">
      <c r="A133" s="341"/>
      <c r="B133" s="340"/>
      <c r="C133" s="339"/>
      <c r="D133" s="333" t="s">
        <v>1165</v>
      </c>
      <c r="E133" s="332" t="s">
        <v>41</v>
      </c>
      <c r="F133" s="331">
        <v>2.9990000000000001</v>
      </c>
      <c r="G133" s="332">
        <v>375</v>
      </c>
      <c r="H133" s="331" t="s">
        <v>466</v>
      </c>
      <c r="I133" s="332" t="s">
        <v>42</v>
      </c>
      <c r="J133" s="331">
        <v>2979</v>
      </c>
      <c r="K133" s="326">
        <v>6893</v>
      </c>
      <c r="L133" s="326">
        <v>3749</v>
      </c>
      <c r="M133" s="326" t="s">
        <v>31</v>
      </c>
      <c r="N133" s="342">
        <v>9.1999999999999993</v>
      </c>
      <c r="O133" s="337">
        <f>IF(N133&gt;0,1/N133*37.7*68.6,"")</f>
        <v>281.1108695652174</v>
      </c>
      <c r="P133" s="328">
        <v>8.1199999999999992</v>
      </c>
      <c r="Q133" s="327" t="s">
        <v>43</v>
      </c>
      <c r="R133" s="326" t="s">
        <v>33</v>
      </c>
      <c r="S133" s="326" t="s">
        <v>34</v>
      </c>
      <c r="T133" s="326"/>
      <c r="U133" s="345"/>
      <c r="V133" s="324">
        <f>IF(N133&lt;&gt;0, IF(N133&gt;=P133,ROUNDDOWN(N133/P133*100,0),""),"")</f>
        <v>113</v>
      </c>
      <c r="W133" s="311"/>
      <c r="AR133" s="322"/>
      <c r="AS133" s="322"/>
      <c r="AT133" s="322"/>
      <c r="AU133" s="322"/>
      <c r="AV133" s="322"/>
      <c r="AW133" s="322"/>
      <c r="AX133" s="322"/>
      <c r="AY133" s="322"/>
      <c r="AZ133" s="322"/>
      <c r="BA133" s="322"/>
      <c r="BB133" s="322"/>
      <c r="BC133" s="322"/>
      <c r="BD133" s="322"/>
      <c r="BE133" s="322"/>
      <c r="BF133" s="322"/>
      <c r="BG133" s="322"/>
      <c r="BH133" s="322"/>
      <c r="BI133" s="322"/>
      <c r="BJ133" s="322"/>
      <c r="BK133" s="322"/>
      <c r="BL133" s="322"/>
      <c r="BM133" s="322"/>
      <c r="BN133" s="322"/>
      <c r="BO133" s="322"/>
      <c r="BP133" s="322"/>
      <c r="BQ133" s="322"/>
      <c r="BR133" s="322"/>
      <c r="BS133" s="322"/>
      <c r="BT133" s="322"/>
      <c r="BU133" s="322"/>
      <c r="BV133" s="322"/>
      <c r="BW133" s="322"/>
      <c r="BX133" s="322"/>
      <c r="BY133" s="322"/>
      <c r="BZ133" s="322"/>
      <c r="CA133" s="322"/>
      <c r="CB133" s="322"/>
      <c r="CC133" s="322"/>
      <c r="CD133" s="322"/>
      <c r="CE133" s="322"/>
      <c r="CF133" s="322"/>
      <c r="CG133" s="322"/>
      <c r="CH133" s="322"/>
      <c r="CI133" s="322"/>
      <c r="CJ133" s="322"/>
      <c r="CK133" s="322"/>
      <c r="CL133" s="322"/>
      <c r="CM133" s="322"/>
      <c r="CN133" s="322"/>
      <c r="CO133" s="322"/>
      <c r="CP133" s="322"/>
      <c r="CQ133" s="322"/>
      <c r="CR133" s="322"/>
      <c r="CS133" s="322"/>
      <c r="CT133" s="322"/>
      <c r="CU133" s="322"/>
      <c r="CV133" s="322"/>
      <c r="CW133" s="322"/>
      <c r="CX133" s="322"/>
      <c r="CY133" s="322"/>
      <c r="CZ133" s="322"/>
      <c r="DA133" s="322"/>
      <c r="DB133" s="322"/>
      <c r="DC133" s="322"/>
      <c r="DD133" s="322"/>
      <c r="DE133" s="322"/>
      <c r="DF133" s="322"/>
      <c r="DG133" s="322"/>
      <c r="DH133" s="322"/>
      <c r="DI133" s="322"/>
      <c r="DJ133" s="322"/>
      <c r="DK133" s="322"/>
    </row>
    <row r="134" spans="1:115" s="320" customFormat="1" ht="21" customHeight="1">
      <c r="A134" s="341"/>
      <c r="B134" s="340"/>
      <c r="C134" s="339"/>
      <c r="D134" s="333" t="s">
        <v>1165</v>
      </c>
      <c r="E134" s="332" t="s">
        <v>41</v>
      </c>
      <c r="F134" s="331">
        <v>2.9990000000000001</v>
      </c>
      <c r="G134" s="332">
        <v>375</v>
      </c>
      <c r="H134" s="331" t="s">
        <v>466</v>
      </c>
      <c r="I134" s="332" t="s">
        <v>71</v>
      </c>
      <c r="J134" s="331">
        <v>2979</v>
      </c>
      <c r="K134" s="326">
        <v>6893</v>
      </c>
      <c r="L134" s="326">
        <v>3749</v>
      </c>
      <c r="M134" s="326" t="s">
        <v>31</v>
      </c>
      <c r="N134" s="342">
        <v>9</v>
      </c>
      <c r="O134" s="337">
        <f>IF(N134&gt;0,1/N134*37.7*68.6,"")</f>
        <v>287.35777777777776</v>
      </c>
      <c r="P134" s="328">
        <v>8.1199999999999992</v>
      </c>
      <c r="Q134" s="327" t="s">
        <v>43</v>
      </c>
      <c r="R134" s="326" t="s">
        <v>33</v>
      </c>
      <c r="S134" s="326" t="s">
        <v>34</v>
      </c>
      <c r="T134" s="326"/>
      <c r="U134" s="345"/>
      <c r="V134" s="324">
        <f>IF(N134&lt;&gt;0, IF(N134&gt;=P134,ROUNDDOWN(N134/P134*100,0),""),"")</f>
        <v>110</v>
      </c>
      <c r="W134" s="311"/>
      <c r="AR134" s="322"/>
      <c r="AS134" s="322"/>
      <c r="AT134" s="322"/>
      <c r="AU134" s="322"/>
      <c r="AV134" s="322"/>
      <c r="AW134" s="322"/>
      <c r="AX134" s="322"/>
      <c r="AY134" s="322"/>
      <c r="AZ134" s="322"/>
      <c r="BA134" s="322"/>
      <c r="BB134" s="322"/>
      <c r="BC134" s="322"/>
      <c r="BD134" s="322"/>
      <c r="BE134" s="322"/>
      <c r="BF134" s="322"/>
      <c r="BG134" s="322"/>
      <c r="BH134" s="322"/>
      <c r="BI134" s="322"/>
      <c r="BJ134" s="322"/>
      <c r="BK134" s="322"/>
      <c r="BL134" s="322"/>
      <c r="BM134" s="322"/>
      <c r="BN134" s="322"/>
      <c r="BO134" s="322"/>
      <c r="BP134" s="322"/>
      <c r="BQ134" s="322"/>
      <c r="BR134" s="322"/>
      <c r="BS134" s="322"/>
      <c r="BT134" s="322"/>
      <c r="BU134" s="322"/>
      <c r="BV134" s="322"/>
      <c r="BW134" s="322"/>
      <c r="BX134" s="322"/>
      <c r="BY134" s="322"/>
      <c r="BZ134" s="322"/>
      <c r="CA134" s="322"/>
      <c r="CB134" s="322"/>
      <c r="CC134" s="322"/>
      <c r="CD134" s="322"/>
      <c r="CE134" s="322"/>
      <c r="CF134" s="322"/>
      <c r="CG134" s="322"/>
      <c r="CH134" s="322"/>
      <c r="CI134" s="322"/>
      <c r="CJ134" s="322"/>
      <c r="CK134" s="322"/>
      <c r="CL134" s="322"/>
      <c r="CM134" s="322"/>
      <c r="CN134" s="322"/>
      <c r="CO134" s="322"/>
      <c r="CP134" s="322"/>
      <c r="CQ134" s="322"/>
      <c r="CR134" s="322"/>
      <c r="CS134" s="322"/>
      <c r="CT134" s="322"/>
      <c r="CU134" s="322"/>
      <c r="CV134" s="322"/>
      <c r="CW134" s="322"/>
      <c r="CX134" s="322"/>
      <c r="CY134" s="322"/>
      <c r="CZ134" s="322"/>
      <c r="DA134" s="322"/>
      <c r="DB134" s="322"/>
      <c r="DC134" s="322"/>
      <c r="DD134" s="322"/>
      <c r="DE134" s="322"/>
      <c r="DF134" s="322"/>
      <c r="DG134" s="322"/>
      <c r="DH134" s="322"/>
      <c r="DI134" s="322"/>
      <c r="DJ134" s="322"/>
      <c r="DK134" s="322"/>
    </row>
    <row r="135" spans="1:115" s="320" customFormat="1" ht="21" customHeight="1">
      <c r="A135" s="341"/>
      <c r="B135" s="340"/>
      <c r="C135" s="339"/>
      <c r="D135" s="333" t="s">
        <v>1165</v>
      </c>
      <c r="E135" s="332" t="s">
        <v>41</v>
      </c>
      <c r="F135" s="331">
        <v>2.9990000000000001</v>
      </c>
      <c r="G135" s="332">
        <v>375</v>
      </c>
      <c r="H135" s="331" t="s">
        <v>466</v>
      </c>
      <c r="I135" s="332" t="s">
        <v>42</v>
      </c>
      <c r="J135" s="331">
        <v>2979</v>
      </c>
      <c r="K135" s="326">
        <v>6893</v>
      </c>
      <c r="L135" s="326">
        <v>3749</v>
      </c>
      <c r="M135" s="326" t="s">
        <v>31</v>
      </c>
      <c r="N135" s="342">
        <v>9</v>
      </c>
      <c r="O135" s="337">
        <f>IF(N135&gt;0,1/N135*37.7*68.6,"")</f>
        <v>287.35777777777776</v>
      </c>
      <c r="P135" s="328">
        <v>8.1199999999999992</v>
      </c>
      <c r="Q135" s="327" t="s">
        <v>63</v>
      </c>
      <c r="R135" s="326" t="s">
        <v>33</v>
      </c>
      <c r="S135" s="326" t="s">
        <v>34</v>
      </c>
      <c r="T135" s="326"/>
      <c r="U135" s="345"/>
      <c r="V135" s="324">
        <f>IF(N135&lt;&gt;0, IF(N135&gt;=P135,ROUNDDOWN(N135/P135*100,0),""),"")</f>
        <v>110</v>
      </c>
      <c r="W135" s="311"/>
      <c r="AR135" s="322"/>
      <c r="AS135" s="322"/>
      <c r="AT135" s="322"/>
      <c r="AU135" s="322"/>
      <c r="AV135" s="322"/>
      <c r="AW135" s="322"/>
      <c r="AX135" s="322"/>
      <c r="AY135" s="322"/>
      <c r="AZ135" s="322"/>
      <c r="BA135" s="322"/>
      <c r="BB135" s="322"/>
      <c r="BC135" s="322"/>
      <c r="BD135" s="322"/>
      <c r="BE135" s="322"/>
      <c r="BF135" s="322"/>
      <c r="BG135" s="322"/>
      <c r="BH135" s="322"/>
      <c r="BI135" s="322"/>
      <c r="BJ135" s="322"/>
      <c r="BK135" s="322"/>
      <c r="BL135" s="322"/>
      <c r="BM135" s="322"/>
      <c r="BN135" s="322"/>
      <c r="BO135" s="322"/>
      <c r="BP135" s="322"/>
      <c r="BQ135" s="322"/>
      <c r="BR135" s="322"/>
      <c r="BS135" s="322"/>
      <c r="BT135" s="322"/>
      <c r="BU135" s="322"/>
      <c r="BV135" s="322"/>
      <c r="BW135" s="322"/>
      <c r="BX135" s="322"/>
      <c r="BY135" s="322"/>
      <c r="BZ135" s="322"/>
      <c r="CA135" s="322"/>
      <c r="CB135" s="322"/>
      <c r="CC135" s="322"/>
      <c r="CD135" s="322"/>
      <c r="CE135" s="322"/>
      <c r="CF135" s="322"/>
      <c r="CG135" s="322"/>
      <c r="CH135" s="322"/>
      <c r="CI135" s="322"/>
      <c r="CJ135" s="322"/>
      <c r="CK135" s="322"/>
      <c r="CL135" s="322"/>
      <c r="CM135" s="322"/>
      <c r="CN135" s="322"/>
      <c r="CO135" s="322"/>
      <c r="CP135" s="322"/>
      <c r="CQ135" s="322"/>
      <c r="CR135" s="322"/>
      <c r="CS135" s="322"/>
      <c r="CT135" s="322"/>
      <c r="CU135" s="322"/>
      <c r="CV135" s="322"/>
      <c r="CW135" s="322"/>
      <c r="CX135" s="322"/>
      <c r="CY135" s="322"/>
      <c r="CZ135" s="322"/>
      <c r="DA135" s="322"/>
      <c r="DB135" s="322"/>
      <c r="DC135" s="322"/>
      <c r="DD135" s="322"/>
      <c r="DE135" s="322"/>
      <c r="DF135" s="322"/>
      <c r="DG135" s="322"/>
      <c r="DH135" s="322"/>
      <c r="DI135" s="322"/>
      <c r="DJ135" s="322"/>
      <c r="DK135" s="322"/>
    </row>
    <row r="136" spans="1:115" s="320" customFormat="1" ht="21" customHeight="1">
      <c r="A136" s="341"/>
      <c r="B136" s="340"/>
      <c r="C136" s="339"/>
      <c r="D136" s="333" t="s">
        <v>1164</v>
      </c>
      <c r="E136" s="332" t="s">
        <v>41</v>
      </c>
      <c r="F136" s="331">
        <v>2.9990000000000001</v>
      </c>
      <c r="G136" s="332">
        <v>375</v>
      </c>
      <c r="H136" s="331">
        <v>110</v>
      </c>
      <c r="I136" s="332" t="s">
        <v>71</v>
      </c>
      <c r="J136" s="331">
        <v>2356</v>
      </c>
      <c r="K136" s="326">
        <v>4521</v>
      </c>
      <c r="L136" s="326">
        <v>2000</v>
      </c>
      <c r="M136" s="326" t="s">
        <v>31</v>
      </c>
      <c r="N136" s="342">
        <v>11.8</v>
      </c>
      <c r="O136" s="337">
        <f>IF(N136&gt;0,1/N136*37.7*68.6,"")</f>
        <v>219.17118644067796</v>
      </c>
      <c r="P136" s="328">
        <v>10.35</v>
      </c>
      <c r="Q136" s="327" t="s">
        <v>43</v>
      </c>
      <c r="R136" s="326" t="s">
        <v>33</v>
      </c>
      <c r="S136" s="326" t="s">
        <v>34</v>
      </c>
      <c r="T136" s="326"/>
      <c r="U136" s="345"/>
      <c r="V136" s="324">
        <f>IF(N136&lt;&gt;0, IF(N136&gt;=P136,ROUNDDOWN(N136/P136*100,0),""),"")</f>
        <v>114</v>
      </c>
      <c r="W136" s="311"/>
      <c r="X136" s="323"/>
      <c r="Y136" s="311"/>
    </row>
    <row r="137" spans="1:115" s="320" customFormat="1" ht="21" customHeight="1">
      <c r="A137" s="341"/>
      <c r="B137" s="340"/>
      <c r="C137" s="339"/>
      <c r="D137" s="333" t="s">
        <v>1164</v>
      </c>
      <c r="E137" s="332" t="s">
        <v>41</v>
      </c>
      <c r="F137" s="331">
        <v>2.9990000000000001</v>
      </c>
      <c r="G137" s="332">
        <v>375</v>
      </c>
      <c r="H137" s="331">
        <v>110</v>
      </c>
      <c r="I137" s="332" t="s">
        <v>71</v>
      </c>
      <c r="J137" s="331">
        <v>2356</v>
      </c>
      <c r="K137" s="326">
        <v>4521</v>
      </c>
      <c r="L137" s="326">
        <v>2000</v>
      </c>
      <c r="M137" s="326" t="s">
        <v>31</v>
      </c>
      <c r="N137" s="342">
        <v>11.4</v>
      </c>
      <c r="O137" s="337">
        <f>IF(N137&gt;0,1/N137*37.7*68.6,"")</f>
        <v>226.8614035087719</v>
      </c>
      <c r="P137" s="328">
        <v>10.35</v>
      </c>
      <c r="Q137" s="327" t="s">
        <v>63</v>
      </c>
      <c r="R137" s="326" t="s">
        <v>33</v>
      </c>
      <c r="S137" s="326" t="s">
        <v>34</v>
      </c>
      <c r="T137" s="326"/>
      <c r="U137" s="345"/>
      <c r="V137" s="324">
        <f>IF(N137&lt;&gt;0, IF(N137&gt;=P137,ROUNDDOWN(N137/P137*100,0),""),"")</f>
        <v>110</v>
      </c>
      <c r="W137" s="311"/>
      <c r="X137" s="323"/>
      <c r="Y137" s="311"/>
    </row>
    <row r="138" spans="1:115" s="320" customFormat="1" ht="21" customHeight="1">
      <c r="A138" s="341"/>
      <c r="B138" s="340"/>
      <c r="C138" s="339"/>
      <c r="D138" s="333" t="s">
        <v>1164</v>
      </c>
      <c r="E138" s="332" t="s">
        <v>41</v>
      </c>
      <c r="F138" s="331">
        <v>2.9990000000000001</v>
      </c>
      <c r="G138" s="332">
        <v>375</v>
      </c>
      <c r="H138" s="331">
        <v>110</v>
      </c>
      <c r="I138" s="332" t="s">
        <v>71</v>
      </c>
      <c r="J138" s="331">
        <v>2652</v>
      </c>
      <c r="K138" s="326">
        <v>5812</v>
      </c>
      <c r="L138" s="326">
        <v>2995</v>
      </c>
      <c r="M138" s="326" t="s">
        <v>31</v>
      </c>
      <c r="N138" s="342">
        <v>10.8</v>
      </c>
      <c r="O138" s="337">
        <f>IF(N138&gt;0,1/N138*37.7*68.6,"")</f>
        <v>239.46481481481482</v>
      </c>
      <c r="P138" s="328">
        <v>9.51</v>
      </c>
      <c r="Q138" s="327" t="s">
        <v>43</v>
      </c>
      <c r="R138" s="326" t="s">
        <v>33</v>
      </c>
      <c r="S138" s="326" t="s">
        <v>34</v>
      </c>
      <c r="T138" s="326"/>
      <c r="U138" s="345"/>
      <c r="V138" s="324">
        <f>IF(N138&lt;&gt;0, IF(N138&gt;=P138,ROUNDDOWN(N138/P138*100,0),""),"")</f>
        <v>113</v>
      </c>
      <c r="W138" s="311"/>
      <c r="X138" s="323"/>
      <c r="Y138" s="311"/>
    </row>
    <row r="139" spans="1:115" s="320" customFormat="1" ht="21" customHeight="1">
      <c r="A139" s="341"/>
      <c r="B139" s="340"/>
      <c r="C139" s="339"/>
      <c r="D139" s="333" t="s">
        <v>1164</v>
      </c>
      <c r="E139" s="332" t="s">
        <v>41</v>
      </c>
      <c r="F139" s="331">
        <v>2.9990000000000001</v>
      </c>
      <c r="G139" s="332">
        <v>375</v>
      </c>
      <c r="H139" s="331">
        <v>110</v>
      </c>
      <c r="I139" s="332" t="s">
        <v>71</v>
      </c>
      <c r="J139" s="331">
        <v>2652</v>
      </c>
      <c r="K139" s="326">
        <v>5812</v>
      </c>
      <c r="L139" s="326">
        <v>2995</v>
      </c>
      <c r="M139" s="326" t="s">
        <v>31</v>
      </c>
      <c r="N139" s="342">
        <v>10.6</v>
      </c>
      <c r="O139" s="337">
        <f>IF(N139&gt;0,1/N139*37.7*68.6,"")</f>
        <v>243.98301886792456</v>
      </c>
      <c r="P139" s="328">
        <v>9.51</v>
      </c>
      <c r="Q139" s="327" t="s">
        <v>63</v>
      </c>
      <c r="R139" s="326" t="s">
        <v>33</v>
      </c>
      <c r="S139" s="326" t="s">
        <v>34</v>
      </c>
      <c r="T139" s="326"/>
      <c r="U139" s="345"/>
      <c r="V139" s="324">
        <f>IF(N139&lt;&gt;0, IF(N139&gt;=P139,ROUNDDOWN(N139/P139*100,0),""),"")</f>
        <v>111</v>
      </c>
      <c r="W139" s="311"/>
      <c r="X139" s="323"/>
      <c r="Y139" s="311"/>
    </row>
    <row r="140" spans="1:115" s="320" customFormat="1" ht="21" customHeight="1">
      <c r="A140" s="341"/>
      <c r="B140" s="340"/>
      <c r="C140" s="339"/>
      <c r="D140" s="333" t="s">
        <v>1164</v>
      </c>
      <c r="E140" s="332" t="s">
        <v>41</v>
      </c>
      <c r="F140" s="331">
        <v>2.9990000000000001</v>
      </c>
      <c r="G140" s="332">
        <v>375</v>
      </c>
      <c r="H140" s="331">
        <v>110</v>
      </c>
      <c r="I140" s="332" t="s">
        <v>71</v>
      </c>
      <c r="J140" s="331">
        <v>2979</v>
      </c>
      <c r="K140" s="326">
        <v>6893</v>
      </c>
      <c r="L140" s="326">
        <v>3749</v>
      </c>
      <c r="M140" s="326" t="s">
        <v>31</v>
      </c>
      <c r="N140" s="342">
        <v>9.1</v>
      </c>
      <c r="O140" s="337">
        <f>IF(N140&gt;0,1/N140*37.7*68.6,"")</f>
        <v>284.2</v>
      </c>
      <c r="P140" s="328">
        <v>8.1199999999999992</v>
      </c>
      <c r="Q140" s="327" t="s">
        <v>43</v>
      </c>
      <c r="R140" s="326" t="s">
        <v>33</v>
      </c>
      <c r="S140" s="326" t="s">
        <v>34</v>
      </c>
      <c r="T140" s="326"/>
      <c r="U140" s="345"/>
      <c r="V140" s="324">
        <f>IF(N140&lt;&gt;0, IF(N140&gt;=P140,ROUNDDOWN(N140/P140*100,0),""),"")</f>
        <v>112</v>
      </c>
      <c r="W140" s="311"/>
      <c r="X140" s="323"/>
      <c r="Y140" s="311"/>
    </row>
    <row r="141" spans="1:115" s="320" customFormat="1" ht="21" customHeight="1">
      <c r="A141" s="341"/>
      <c r="B141" s="340"/>
      <c r="C141" s="339"/>
      <c r="D141" s="333" t="s">
        <v>1163</v>
      </c>
      <c r="E141" s="332" t="s">
        <v>41</v>
      </c>
      <c r="F141" s="331">
        <v>2.9990000000000001</v>
      </c>
      <c r="G141" s="332" t="s">
        <v>467</v>
      </c>
      <c r="H141" s="331" t="s">
        <v>466</v>
      </c>
      <c r="I141" s="332" t="s">
        <v>70</v>
      </c>
      <c r="J141" s="331">
        <v>2356</v>
      </c>
      <c r="K141" s="326">
        <v>4521</v>
      </c>
      <c r="L141" s="326">
        <v>2000</v>
      </c>
      <c r="M141" s="326" t="s">
        <v>31</v>
      </c>
      <c r="N141" s="342">
        <v>11.8</v>
      </c>
      <c r="O141" s="337">
        <f>IF(N141&gt;0,1/N141*37.7*68.6,"")</f>
        <v>219.17118644067796</v>
      </c>
      <c r="P141" s="328">
        <v>10.35</v>
      </c>
      <c r="Q141" s="327" t="s">
        <v>43</v>
      </c>
      <c r="R141" s="326" t="s">
        <v>33</v>
      </c>
      <c r="S141" s="326" t="s">
        <v>34</v>
      </c>
      <c r="T141" s="326"/>
      <c r="U141" s="345"/>
      <c r="V141" s="324">
        <f>IF(N141&lt;&gt;0, IF(N141&gt;=P141,ROUNDDOWN(N141/P141*100,0),""),"")</f>
        <v>114</v>
      </c>
      <c r="W141" s="311"/>
      <c r="AR141" s="322"/>
      <c r="AS141" s="322"/>
      <c r="AT141" s="322"/>
      <c r="AU141" s="322"/>
      <c r="AV141" s="322"/>
      <c r="AW141" s="322"/>
      <c r="AX141" s="322"/>
      <c r="AY141" s="322"/>
      <c r="AZ141" s="322"/>
      <c r="BA141" s="322"/>
      <c r="BB141" s="322"/>
      <c r="BC141" s="322"/>
      <c r="BD141" s="322"/>
      <c r="BE141" s="322"/>
      <c r="BF141" s="322"/>
      <c r="BG141" s="322"/>
      <c r="BH141" s="322"/>
      <c r="BI141" s="322"/>
      <c r="BJ141" s="322"/>
      <c r="BK141" s="322"/>
      <c r="BL141" s="322"/>
      <c r="BM141" s="322"/>
      <c r="BN141" s="322"/>
      <c r="BO141" s="322"/>
      <c r="BP141" s="322"/>
      <c r="BQ141" s="322"/>
      <c r="BR141" s="322"/>
      <c r="BS141" s="322"/>
      <c r="BT141" s="322"/>
      <c r="BU141" s="322"/>
      <c r="BV141" s="322"/>
      <c r="BW141" s="322"/>
      <c r="BX141" s="322"/>
      <c r="BY141" s="322"/>
      <c r="BZ141" s="322"/>
      <c r="CA141" s="322"/>
      <c r="CB141" s="322"/>
      <c r="CC141" s="322"/>
      <c r="CD141" s="322"/>
      <c r="CE141" s="322"/>
      <c r="CF141" s="322"/>
      <c r="CG141" s="322"/>
      <c r="CH141" s="322"/>
      <c r="CI141" s="322"/>
      <c r="CJ141" s="322"/>
      <c r="CK141" s="322"/>
      <c r="CL141" s="322"/>
      <c r="CM141" s="322"/>
      <c r="CN141" s="322"/>
      <c r="CO141" s="322"/>
      <c r="CP141" s="322"/>
      <c r="CQ141" s="322"/>
      <c r="CR141" s="322"/>
      <c r="CS141" s="322"/>
      <c r="CT141" s="322"/>
      <c r="CU141" s="322"/>
      <c r="CV141" s="322"/>
      <c r="CW141" s="322"/>
      <c r="CX141" s="322"/>
      <c r="CY141" s="322"/>
      <c r="CZ141" s="322"/>
      <c r="DA141" s="322"/>
      <c r="DB141" s="322"/>
      <c r="DC141" s="322"/>
      <c r="DD141" s="322"/>
      <c r="DE141" s="322"/>
      <c r="DF141" s="322"/>
      <c r="DG141" s="322"/>
      <c r="DH141" s="322"/>
      <c r="DI141" s="322"/>
      <c r="DJ141" s="322"/>
      <c r="DK141" s="322"/>
    </row>
    <row r="142" spans="1:115" s="320" customFormat="1" ht="21" customHeight="1">
      <c r="A142" s="341"/>
      <c r="B142" s="340"/>
      <c r="C142" s="339"/>
      <c r="D142" s="333" t="s">
        <v>1163</v>
      </c>
      <c r="E142" s="332" t="s">
        <v>41</v>
      </c>
      <c r="F142" s="331">
        <v>2.9990000000000001</v>
      </c>
      <c r="G142" s="332" t="s">
        <v>467</v>
      </c>
      <c r="H142" s="331" t="s">
        <v>466</v>
      </c>
      <c r="I142" s="332" t="s">
        <v>42</v>
      </c>
      <c r="J142" s="331">
        <v>2356</v>
      </c>
      <c r="K142" s="326">
        <v>4521</v>
      </c>
      <c r="L142" s="326">
        <v>2000</v>
      </c>
      <c r="M142" s="326" t="s">
        <v>31</v>
      </c>
      <c r="N142" s="342">
        <v>11.8</v>
      </c>
      <c r="O142" s="337">
        <f>IF(N142&gt;0,1/N142*37.7*68.6,"")</f>
        <v>219.17118644067796</v>
      </c>
      <c r="P142" s="328">
        <v>10.35</v>
      </c>
      <c r="Q142" s="327" t="s">
        <v>63</v>
      </c>
      <c r="R142" s="326" t="s">
        <v>33</v>
      </c>
      <c r="S142" s="326" t="s">
        <v>34</v>
      </c>
      <c r="T142" s="326"/>
      <c r="U142" s="345"/>
      <c r="V142" s="324">
        <f>IF(N142&lt;&gt;0, IF(N142&gt;=P142,ROUNDDOWN(N142/P142*100,0),""),"")</f>
        <v>114</v>
      </c>
      <c r="W142" s="311"/>
      <c r="AR142" s="322"/>
      <c r="AS142" s="322"/>
      <c r="AT142" s="322"/>
      <c r="AU142" s="322"/>
      <c r="AV142" s="322"/>
      <c r="AW142" s="322"/>
      <c r="AX142" s="322"/>
      <c r="AY142" s="322"/>
      <c r="AZ142" s="322"/>
      <c r="BA142" s="322"/>
      <c r="BB142" s="322"/>
      <c r="BC142" s="322"/>
      <c r="BD142" s="322"/>
      <c r="BE142" s="322"/>
      <c r="BF142" s="322"/>
      <c r="BG142" s="322"/>
      <c r="BH142" s="322"/>
      <c r="BI142" s="322"/>
      <c r="BJ142" s="322"/>
      <c r="BK142" s="322"/>
      <c r="BL142" s="322"/>
      <c r="BM142" s="322"/>
      <c r="BN142" s="322"/>
      <c r="BO142" s="322"/>
      <c r="BP142" s="322"/>
      <c r="BQ142" s="322"/>
      <c r="BR142" s="322"/>
      <c r="BS142" s="322"/>
      <c r="BT142" s="322"/>
      <c r="BU142" s="322"/>
      <c r="BV142" s="322"/>
      <c r="BW142" s="322"/>
      <c r="BX142" s="322"/>
      <c r="BY142" s="322"/>
      <c r="BZ142" s="322"/>
      <c r="CA142" s="322"/>
      <c r="CB142" s="322"/>
      <c r="CC142" s="322"/>
      <c r="CD142" s="322"/>
      <c r="CE142" s="322"/>
      <c r="CF142" s="322"/>
      <c r="CG142" s="322"/>
      <c r="CH142" s="322"/>
      <c r="CI142" s="322"/>
      <c r="CJ142" s="322"/>
      <c r="CK142" s="322"/>
      <c r="CL142" s="322"/>
      <c r="CM142" s="322"/>
      <c r="CN142" s="322"/>
      <c r="CO142" s="322"/>
      <c r="CP142" s="322"/>
      <c r="CQ142" s="322"/>
      <c r="CR142" s="322"/>
      <c r="CS142" s="322"/>
      <c r="CT142" s="322"/>
      <c r="CU142" s="322"/>
      <c r="CV142" s="322"/>
      <c r="CW142" s="322"/>
      <c r="CX142" s="322"/>
      <c r="CY142" s="322"/>
      <c r="CZ142" s="322"/>
      <c r="DA142" s="322"/>
      <c r="DB142" s="322"/>
      <c r="DC142" s="322"/>
      <c r="DD142" s="322"/>
      <c r="DE142" s="322"/>
      <c r="DF142" s="322"/>
      <c r="DG142" s="322"/>
      <c r="DH142" s="322"/>
      <c r="DI142" s="322"/>
      <c r="DJ142" s="322"/>
      <c r="DK142" s="322"/>
    </row>
    <row r="143" spans="1:115" s="320" customFormat="1" ht="21" customHeight="1">
      <c r="A143" s="341"/>
      <c r="B143" s="340"/>
      <c r="C143" s="339"/>
      <c r="D143" s="333" t="s">
        <v>1163</v>
      </c>
      <c r="E143" s="332" t="s">
        <v>41</v>
      </c>
      <c r="F143" s="331">
        <v>2.9990000000000001</v>
      </c>
      <c r="G143" s="332" t="s">
        <v>467</v>
      </c>
      <c r="H143" s="331" t="s">
        <v>466</v>
      </c>
      <c r="I143" s="332" t="s">
        <v>70</v>
      </c>
      <c r="J143" s="331">
        <v>2356</v>
      </c>
      <c r="K143" s="326">
        <v>4521</v>
      </c>
      <c r="L143" s="326">
        <v>2000</v>
      </c>
      <c r="M143" s="326" t="s">
        <v>31</v>
      </c>
      <c r="N143" s="342">
        <v>11.4</v>
      </c>
      <c r="O143" s="337">
        <f>IF(N143&gt;0,1/N143*37.7*68.6,"")</f>
        <v>226.8614035087719</v>
      </c>
      <c r="P143" s="328">
        <v>10.35</v>
      </c>
      <c r="Q143" s="327" t="s">
        <v>63</v>
      </c>
      <c r="R143" s="326" t="s">
        <v>33</v>
      </c>
      <c r="S143" s="326" t="s">
        <v>34</v>
      </c>
      <c r="T143" s="326"/>
      <c r="U143" s="345"/>
      <c r="V143" s="324">
        <f>IF(N143&lt;&gt;0, IF(N143&gt;=P143,ROUNDDOWN(N143/P143*100,0),""),"")</f>
        <v>110</v>
      </c>
      <c r="W143" s="311"/>
      <c r="AR143" s="322"/>
      <c r="AS143" s="322"/>
      <c r="AT143" s="322"/>
      <c r="AU143" s="322"/>
      <c r="AV143" s="322"/>
      <c r="AW143" s="322"/>
      <c r="AX143" s="322"/>
      <c r="AY143" s="322"/>
      <c r="AZ143" s="322"/>
      <c r="BA143" s="322"/>
      <c r="BB143" s="322"/>
      <c r="BC143" s="322"/>
      <c r="BD143" s="322"/>
      <c r="BE143" s="322"/>
      <c r="BF143" s="322"/>
      <c r="BG143" s="322"/>
      <c r="BH143" s="322"/>
      <c r="BI143" s="322"/>
      <c r="BJ143" s="322"/>
      <c r="BK143" s="322"/>
      <c r="BL143" s="322"/>
      <c r="BM143" s="322"/>
      <c r="BN143" s="322"/>
      <c r="BO143" s="322"/>
      <c r="BP143" s="322"/>
      <c r="BQ143" s="322"/>
      <c r="BR143" s="322"/>
      <c r="BS143" s="322"/>
      <c r="BT143" s="322"/>
      <c r="BU143" s="322"/>
      <c r="BV143" s="322"/>
      <c r="BW143" s="322"/>
      <c r="BX143" s="322"/>
      <c r="BY143" s="322"/>
      <c r="BZ143" s="322"/>
      <c r="CA143" s="322"/>
      <c r="CB143" s="322"/>
      <c r="CC143" s="322"/>
      <c r="CD143" s="322"/>
      <c r="CE143" s="322"/>
      <c r="CF143" s="322"/>
      <c r="CG143" s="322"/>
      <c r="CH143" s="322"/>
      <c r="CI143" s="322"/>
      <c r="CJ143" s="322"/>
      <c r="CK143" s="322"/>
      <c r="CL143" s="322"/>
      <c r="CM143" s="322"/>
      <c r="CN143" s="322"/>
      <c r="CO143" s="322"/>
      <c r="CP143" s="322"/>
      <c r="CQ143" s="322"/>
      <c r="CR143" s="322"/>
      <c r="CS143" s="322"/>
      <c r="CT143" s="322"/>
      <c r="CU143" s="322"/>
      <c r="CV143" s="322"/>
      <c r="CW143" s="322"/>
      <c r="CX143" s="322"/>
      <c r="CY143" s="322"/>
      <c r="CZ143" s="322"/>
      <c r="DA143" s="322"/>
      <c r="DB143" s="322"/>
      <c r="DC143" s="322"/>
      <c r="DD143" s="322"/>
      <c r="DE143" s="322"/>
      <c r="DF143" s="322"/>
      <c r="DG143" s="322"/>
      <c r="DH143" s="322"/>
      <c r="DI143" s="322"/>
      <c r="DJ143" s="322"/>
      <c r="DK143" s="322"/>
    </row>
    <row r="144" spans="1:115" s="320" customFormat="1" ht="21" customHeight="1">
      <c r="A144" s="341"/>
      <c r="B144" s="340"/>
      <c r="C144" s="339"/>
      <c r="D144" s="333" t="s">
        <v>1162</v>
      </c>
      <c r="E144" s="332" t="s">
        <v>41</v>
      </c>
      <c r="F144" s="331">
        <v>2.9990000000000001</v>
      </c>
      <c r="G144" s="332" t="s">
        <v>467</v>
      </c>
      <c r="H144" s="331" t="s">
        <v>466</v>
      </c>
      <c r="I144" s="332" t="s">
        <v>70</v>
      </c>
      <c r="J144" s="331">
        <v>2356</v>
      </c>
      <c r="K144" s="326">
        <v>4521</v>
      </c>
      <c r="L144" s="326">
        <v>2000</v>
      </c>
      <c r="M144" s="326" t="s">
        <v>31</v>
      </c>
      <c r="N144" s="342">
        <v>11.8</v>
      </c>
      <c r="O144" s="337">
        <f>IF(N144&gt;0,1/N144*37.7*68.6,"")</f>
        <v>219.17118644067796</v>
      </c>
      <c r="P144" s="328">
        <v>10.35</v>
      </c>
      <c r="Q144" s="327" t="s">
        <v>43</v>
      </c>
      <c r="R144" s="326" t="s">
        <v>33</v>
      </c>
      <c r="S144" s="326" t="s">
        <v>34</v>
      </c>
      <c r="T144" s="326"/>
      <c r="U144" s="345"/>
      <c r="V144" s="324">
        <f>IF(N144&lt;&gt;0, IF(N144&gt;=P144,ROUNDDOWN(N144/P144*100,0),""),"")</f>
        <v>114</v>
      </c>
      <c r="W144" s="311"/>
      <c r="AR144" s="322"/>
      <c r="AS144" s="322"/>
      <c r="AT144" s="322"/>
      <c r="AU144" s="322"/>
      <c r="AV144" s="322"/>
      <c r="AW144" s="322"/>
      <c r="AX144" s="322"/>
      <c r="AY144" s="322"/>
      <c r="AZ144" s="322"/>
      <c r="BA144" s="322"/>
      <c r="BB144" s="322"/>
      <c r="BC144" s="322"/>
      <c r="BD144" s="322"/>
      <c r="BE144" s="322"/>
      <c r="BF144" s="322"/>
      <c r="BG144" s="322"/>
      <c r="BH144" s="322"/>
      <c r="BI144" s="322"/>
      <c r="BJ144" s="322"/>
      <c r="BK144" s="322"/>
      <c r="BL144" s="322"/>
      <c r="BM144" s="322"/>
      <c r="BN144" s="322"/>
      <c r="BO144" s="322"/>
      <c r="BP144" s="322"/>
      <c r="BQ144" s="322"/>
      <c r="BR144" s="322"/>
      <c r="BS144" s="322"/>
      <c r="BT144" s="322"/>
      <c r="BU144" s="322"/>
      <c r="BV144" s="322"/>
      <c r="BW144" s="322"/>
      <c r="BX144" s="322"/>
      <c r="BY144" s="322"/>
      <c r="BZ144" s="322"/>
      <c r="CA144" s="322"/>
      <c r="CB144" s="322"/>
      <c r="CC144" s="322"/>
      <c r="CD144" s="322"/>
      <c r="CE144" s="322"/>
      <c r="CF144" s="322"/>
      <c r="CG144" s="322"/>
      <c r="CH144" s="322"/>
      <c r="CI144" s="322"/>
      <c r="CJ144" s="322"/>
      <c r="CK144" s="322"/>
      <c r="CL144" s="322"/>
      <c r="CM144" s="322"/>
      <c r="CN144" s="322"/>
      <c r="CO144" s="322"/>
      <c r="CP144" s="322"/>
      <c r="CQ144" s="322"/>
      <c r="CR144" s="322"/>
      <c r="CS144" s="322"/>
      <c r="CT144" s="322"/>
      <c r="CU144" s="322"/>
      <c r="CV144" s="322"/>
      <c r="CW144" s="322"/>
      <c r="CX144" s="322"/>
      <c r="CY144" s="322"/>
      <c r="CZ144" s="322"/>
      <c r="DA144" s="322"/>
      <c r="DB144" s="322"/>
      <c r="DC144" s="322"/>
      <c r="DD144" s="322"/>
      <c r="DE144" s="322"/>
      <c r="DF144" s="322"/>
      <c r="DG144" s="322"/>
      <c r="DH144" s="322"/>
      <c r="DI144" s="322"/>
      <c r="DJ144" s="322"/>
      <c r="DK144" s="322"/>
    </row>
    <row r="145" spans="1:115" s="320" customFormat="1" ht="21" customHeight="1">
      <c r="A145" s="341"/>
      <c r="B145" s="340"/>
      <c r="C145" s="339"/>
      <c r="D145" s="333" t="s">
        <v>1162</v>
      </c>
      <c r="E145" s="332" t="s">
        <v>41</v>
      </c>
      <c r="F145" s="331">
        <v>2.9990000000000001</v>
      </c>
      <c r="G145" s="332" t="s">
        <v>467</v>
      </c>
      <c r="H145" s="331" t="s">
        <v>466</v>
      </c>
      <c r="I145" s="332" t="s">
        <v>42</v>
      </c>
      <c r="J145" s="331">
        <v>2356</v>
      </c>
      <c r="K145" s="326">
        <v>4521</v>
      </c>
      <c r="L145" s="326">
        <v>2000</v>
      </c>
      <c r="M145" s="326" t="s">
        <v>31</v>
      </c>
      <c r="N145" s="342">
        <v>11.8</v>
      </c>
      <c r="O145" s="337">
        <f>IF(N145&gt;0,1/N145*37.7*68.6,"")</f>
        <v>219.17118644067796</v>
      </c>
      <c r="P145" s="328">
        <v>10.35</v>
      </c>
      <c r="Q145" s="327" t="s">
        <v>63</v>
      </c>
      <c r="R145" s="326" t="s">
        <v>33</v>
      </c>
      <c r="S145" s="326" t="s">
        <v>34</v>
      </c>
      <c r="T145" s="326"/>
      <c r="U145" s="345"/>
      <c r="V145" s="324">
        <f>IF(N145&lt;&gt;0, IF(N145&gt;=P145,ROUNDDOWN(N145/P145*100,0),""),"")</f>
        <v>114</v>
      </c>
      <c r="W145" s="311"/>
      <c r="AR145" s="322"/>
      <c r="AS145" s="322"/>
      <c r="AT145" s="322"/>
      <c r="AU145" s="322"/>
      <c r="AV145" s="322"/>
      <c r="AW145" s="322"/>
      <c r="AX145" s="322"/>
      <c r="AY145" s="322"/>
      <c r="AZ145" s="322"/>
      <c r="BA145" s="322"/>
      <c r="BB145" s="322"/>
      <c r="BC145" s="322"/>
      <c r="BD145" s="322"/>
      <c r="BE145" s="322"/>
      <c r="BF145" s="322"/>
      <c r="BG145" s="322"/>
      <c r="BH145" s="322"/>
      <c r="BI145" s="322"/>
      <c r="BJ145" s="322"/>
      <c r="BK145" s="322"/>
      <c r="BL145" s="322"/>
      <c r="BM145" s="322"/>
      <c r="BN145" s="322"/>
      <c r="BO145" s="322"/>
      <c r="BP145" s="322"/>
      <c r="BQ145" s="322"/>
      <c r="BR145" s="322"/>
      <c r="BS145" s="322"/>
      <c r="BT145" s="322"/>
      <c r="BU145" s="322"/>
      <c r="BV145" s="322"/>
      <c r="BW145" s="322"/>
      <c r="BX145" s="322"/>
      <c r="BY145" s="322"/>
      <c r="BZ145" s="322"/>
      <c r="CA145" s="322"/>
      <c r="CB145" s="322"/>
      <c r="CC145" s="322"/>
      <c r="CD145" s="322"/>
      <c r="CE145" s="322"/>
      <c r="CF145" s="322"/>
      <c r="CG145" s="322"/>
      <c r="CH145" s="322"/>
      <c r="CI145" s="322"/>
      <c r="CJ145" s="322"/>
      <c r="CK145" s="322"/>
      <c r="CL145" s="322"/>
      <c r="CM145" s="322"/>
      <c r="CN145" s="322"/>
      <c r="CO145" s="322"/>
      <c r="CP145" s="322"/>
      <c r="CQ145" s="322"/>
      <c r="CR145" s="322"/>
      <c r="CS145" s="322"/>
      <c r="CT145" s="322"/>
      <c r="CU145" s="322"/>
      <c r="CV145" s="322"/>
      <c r="CW145" s="322"/>
      <c r="CX145" s="322"/>
      <c r="CY145" s="322"/>
      <c r="CZ145" s="322"/>
      <c r="DA145" s="322"/>
      <c r="DB145" s="322"/>
      <c r="DC145" s="322"/>
      <c r="DD145" s="322"/>
      <c r="DE145" s="322"/>
      <c r="DF145" s="322"/>
      <c r="DG145" s="322"/>
      <c r="DH145" s="322"/>
      <c r="DI145" s="322"/>
      <c r="DJ145" s="322"/>
      <c r="DK145" s="322"/>
    </row>
    <row r="146" spans="1:115" s="320" customFormat="1" ht="21" customHeight="1">
      <c r="A146" s="341"/>
      <c r="B146" s="340"/>
      <c r="C146" s="339"/>
      <c r="D146" s="333" t="s">
        <v>1162</v>
      </c>
      <c r="E146" s="332" t="s">
        <v>41</v>
      </c>
      <c r="F146" s="331">
        <v>2.9990000000000001</v>
      </c>
      <c r="G146" s="332" t="s">
        <v>467</v>
      </c>
      <c r="H146" s="331" t="s">
        <v>466</v>
      </c>
      <c r="I146" s="332" t="s">
        <v>70</v>
      </c>
      <c r="J146" s="331">
        <v>2356</v>
      </c>
      <c r="K146" s="326">
        <v>4521</v>
      </c>
      <c r="L146" s="326">
        <v>2000</v>
      </c>
      <c r="M146" s="326" t="s">
        <v>31</v>
      </c>
      <c r="N146" s="342">
        <v>11.4</v>
      </c>
      <c r="O146" s="337">
        <f>IF(N146&gt;0,1/N146*37.7*68.6,"")</f>
        <v>226.8614035087719</v>
      </c>
      <c r="P146" s="328">
        <v>10.35</v>
      </c>
      <c r="Q146" s="327" t="s">
        <v>63</v>
      </c>
      <c r="R146" s="326" t="s">
        <v>33</v>
      </c>
      <c r="S146" s="326" t="s">
        <v>34</v>
      </c>
      <c r="T146" s="326"/>
      <c r="U146" s="345"/>
      <c r="V146" s="324">
        <f>IF(N146&lt;&gt;0, IF(N146&gt;=P146,ROUNDDOWN(N146/P146*100,0),""),"")</f>
        <v>110</v>
      </c>
      <c r="W146" s="311"/>
      <c r="AR146" s="322"/>
      <c r="AS146" s="322"/>
      <c r="AT146" s="322"/>
      <c r="AU146" s="322"/>
      <c r="AV146" s="322"/>
      <c r="AW146" s="322"/>
      <c r="AX146" s="322"/>
      <c r="AY146" s="322"/>
      <c r="AZ146" s="322"/>
      <c r="BA146" s="322"/>
      <c r="BB146" s="322"/>
      <c r="BC146" s="322"/>
      <c r="BD146" s="322"/>
      <c r="BE146" s="322"/>
      <c r="BF146" s="322"/>
      <c r="BG146" s="322"/>
      <c r="BH146" s="322"/>
      <c r="BI146" s="322"/>
      <c r="BJ146" s="322"/>
      <c r="BK146" s="322"/>
      <c r="BL146" s="322"/>
      <c r="BM146" s="322"/>
      <c r="BN146" s="322"/>
      <c r="BO146" s="322"/>
      <c r="BP146" s="322"/>
      <c r="BQ146" s="322"/>
      <c r="BR146" s="322"/>
      <c r="BS146" s="322"/>
      <c r="BT146" s="322"/>
      <c r="BU146" s="322"/>
      <c r="BV146" s="322"/>
      <c r="BW146" s="322"/>
      <c r="BX146" s="322"/>
      <c r="BY146" s="322"/>
      <c r="BZ146" s="322"/>
      <c r="CA146" s="322"/>
      <c r="CB146" s="322"/>
      <c r="CC146" s="322"/>
      <c r="CD146" s="322"/>
      <c r="CE146" s="322"/>
      <c r="CF146" s="322"/>
      <c r="CG146" s="322"/>
      <c r="CH146" s="322"/>
      <c r="CI146" s="322"/>
      <c r="CJ146" s="322"/>
      <c r="CK146" s="322"/>
      <c r="CL146" s="322"/>
      <c r="CM146" s="322"/>
      <c r="CN146" s="322"/>
      <c r="CO146" s="322"/>
      <c r="CP146" s="322"/>
      <c r="CQ146" s="322"/>
      <c r="CR146" s="322"/>
      <c r="CS146" s="322"/>
      <c r="CT146" s="322"/>
      <c r="CU146" s="322"/>
      <c r="CV146" s="322"/>
      <c r="CW146" s="322"/>
      <c r="CX146" s="322"/>
      <c r="CY146" s="322"/>
      <c r="CZ146" s="322"/>
      <c r="DA146" s="322"/>
      <c r="DB146" s="322"/>
      <c r="DC146" s="322"/>
      <c r="DD146" s="322"/>
      <c r="DE146" s="322"/>
      <c r="DF146" s="322"/>
      <c r="DG146" s="322"/>
      <c r="DH146" s="322"/>
      <c r="DI146" s="322"/>
      <c r="DJ146" s="322"/>
      <c r="DK146" s="322"/>
    </row>
    <row r="147" spans="1:115" s="320" customFormat="1" ht="21" customHeight="1">
      <c r="A147" s="341"/>
      <c r="B147" s="340"/>
      <c r="C147" s="339"/>
      <c r="D147" s="333" t="s">
        <v>1161</v>
      </c>
      <c r="E147" s="332" t="s">
        <v>41</v>
      </c>
      <c r="F147" s="331">
        <v>2.9990000000000001</v>
      </c>
      <c r="G147" s="332">
        <v>375</v>
      </c>
      <c r="H147" s="331">
        <v>110</v>
      </c>
      <c r="I147" s="332" t="s">
        <v>70</v>
      </c>
      <c r="J147" s="331">
        <v>2356</v>
      </c>
      <c r="K147" s="326">
        <v>4521</v>
      </c>
      <c r="L147" s="326">
        <v>2000</v>
      </c>
      <c r="M147" s="326" t="s">
        <v>31</v>
      </c>
      <c r="N147" s="342">
        <v>11.8</v>
      </c>
      <c r="O147" s="337">
        <f>IF(N147&gt;0,1/N147*37.7*68.6,"")</f>
        <v>219.17118644067796</v>
      </c>
      <c r="P147" s="328">
        <v>10.35</v>
      </c>
      <c r="Q147" s="327" t="s">
        <v>43</v>
      </c>
      <c r="R147" s="326" t="s">
        <v>33</v>
      </c>
      <c r="S147" s="326" t="s">
        <v>34</v>
      </c>
      <c r="T147" s="326"/>
      <c r="U147" s="345"/>
      <c r="V147" s="324">
        <f>IF(N147&lt;&gt;0, IF(N147&gt;=P147,ROUNDDOWN(N147/P147*100,0),""),"")</f>
        <v>114</v>
      </c>
      <c r="W147" s="311"/>
      <c r="X147" s="323"/>
      <c r="Y147" s="311"/>
    </row>
    <row r="148" spans="1:115" s="320" customFormat="1" ht="21" customHeight="1">
      <c r="A148" s="341"/>
      <c r="B148" s="340"/>
      <c r="C148" s="339"/>
      <c r="D148" s="333" t="s">
        <v>1161</v>
      </c>
      <c r="E148" s="332" t="s">
        <v>41</v>
      </c>
      <c r="F148" s="331">
        <v>2.9990000000000001</v>
      </c>
      <c r="G148" s="332">
        <v>375</v>
      </c>
      <c r="H148" s="331">
        <v>110</v>
      </c>
      <c r="I148" s="332" t="s">
        <v>71</v>
      </c>
      <c r="J148" s="331">
        <v>2356</v>
      </c>
      <c r="K148" s="326">
        <v>4521</v>
      </c>
      <c r="L148" s="326">
        <v>2000</v>
      </c>
      <c r="M148" s="326" t="s">
        <v>31</v>
      </c>
      <c r="N148" s="342">
        <v>11.8</v>
      </c>
      <c r="O148" s="337">
        <f>IF(N148&gt;0,1/N148*37.7*68.6,"")</f>
        <v>219.17118644067796</v>
      </c>
      <c r="P148" s="328">
        <v>10.35</v>
      </c>
      <c r="Q148" s="327" t="s">
        <v>43</v>
      </c>
      <c r="R148" s="326" t="s">
        <v>33</v>
      </c>
      <c r="S148" s="326" t="s">
        <v>34</v>
      </c>
      <c r="T148" s="326"/>
      <c r="U148" s="345"/>
      <c r="V148" s="324">
        <f>IF(N148&lt;&gt;0, IF(N148&gt;=P148,ROUNDDOWN(N148/P148*100,0),""),"")</f>
        <v>114</v>
      </c>
      <c r="W148" s="311"/>
      <c r="X148" s="323"/>
      <c r="Y148" s="311"/>
    </row>
    <row r="149" spans="1:115" s="320" customFormat="1" ht="21" customHeight="1">
      <c r="A149" s="341"/>
      <c r="B149" s="340"/>
      <c r="C149" s="339"/>
      <c r="D149" s="333" t="s">
        <v>1161</v>
      </c>
      <c r="E149" s="332" t="s">
        <v>41</v>
      </c>
      <c r="F149" s="331">
        <v>2.9990000000000001</v>
      </c>
      <c r="G149" s="332">
        <v>375</v>
      </c>
      <c r="H149" s="331">
        <v>110</v>
      </c>
      <c r="I149" s="332" t="s">
        <v>70</v>
      </c>
      <c r="J149" s="331">
        <v>2356</v>
      </c>
      <c r="K149" s="326">
        <v>4521</v>
      </c>
      <c r="L149" s="326">
        <v>2000</v>
      </c>
      <c r="M149" s="326" t="s">
        <v>31</v>
      </c>
      <c r="N149" s="342">
        <v>11.4</v>
      </c>
      <c r="O149" s="337">
        <f>IF(N149&gt;0,1/N149*37.7*68.6,"")</f>
        <v>226.8614035087719</v>
      </c>
      <c r="P149" s="328">
        <v>10.35</v>
      </c>
      <c r="Q149" s="327" t="s">
        <v>63</v>
      </c>
      <c r="R149" s="326" t="s">
        <v>33</v>
      </c>
      <c r="S149" s="326" t="s">
        <v>34</v>
      </c>
      <c r="T149" s="326"/>
      <c r="U149" s="345"/>
      <c r="V149" s="324">
        <f>IF(N149&lt;&gt;0, IF(N149&gt;=P149,ROUNDDOWN(N149/P149*100,0),""),"")</f>
        <v>110</v>
      </c>
      <c r="W149" s="311"/>
      <c r="X149" s="323"/>
      <c r="Y149" s="311"/>
    </row>
    <row r="150" spans="1:115" s="320" customFormat="1" ht="21" customHeight="1">
      <c r="A150" s="341"/>
      <c r="B150" s="340"/>
      <c r="C150" s="339"/>
      <c r="D150" s="333" t="s">
        <v>1161</v>
      </c>
      <c r="E150" s="332" t="s">
        <v>41</v>
      </c>
      <c r="F150" s="331">
        <v>2.9990000000000001</v>
      </c>
      <c r="G150" s="332">
        <v>375</v>
      </c>
      <c r="H150" s="331">
        <v>110</v>
      </c>
      <c r="I150" s="332" t="s">
        <v>71</v>
      </c>
      <c r="J150" s="331">
        <v>2356</v>
      </c>
      <c r="K150" s="326">
        <v>4521</v>
      </c>
      <c r="L150" s="326">
        <v>2000</v>
      </c>
      <c r="M150" s="326" t="s">
        <v>31</v>
      </c>
      <c r="N150" s="342">
        <v>11.4</v>
      </c>
      <c r="O150" s="337">
        <f>IF(N150&gt;0,1/N150*37.7*68.6,"")</f>
        <v>226.8614035087719</v>
      </c>
      <c r="P150" s="328">
        <v>10.35</v>
      </c>
      <c r="Q150" s="327" t="s">
        <v>63</v>
      </c>
      <c r="R150" s="326" t="s">
        <v>33</v>
      </c>
      <c r="S150" s="326" t="s">
        <v>34</v>
      </c>
      <c r="T150" s="326"/>
      <c r="U150" s="345"/>
      <c r="V150" s="324">
        <f>IF(N150&lt;&gt;0, IF(N150&gt;=P150,ROUNDDOWN(N150/P150*100,0),""),"")</f>
        <v>110</v>
      </c>
      <c r="W150" s="311"/>
      <c r="X150" s="323"/>
      <c r="Y150" s="311"/>
    </row>
    <row r="151" spans="1:115" s="320" customFormat="1" ht="21" customHeight="1">
      <c r="A151" s="341"/>
      <c r="B151" s="340"/>
      <c r="C151" s="339"/>
      <c r="D151" s="333" t="s">
        <v>1160</v>
      </c>
      <c r="E151" s="332" t="s">
        <v>41</v>
      </c>
      <c r="F151" s="331">
        <v>2.9990000000000001</v>
      </c>
      <c r="G151" s="332">
        <v>375</v>
      </c>
      <c r="H151" s="331">
        <v>110</v>
      </c>
      <c r="I151" s="332" t="s">
        <v>70</v>
      </c>
      <c r="J151" s="331">
        <v>2356</v>
      </c>
      <c r="K151" s="326">
        <v>4521</v>
      </c>
      <c r="L151" s="326">
        <v>2000</v>
      </c>
      <c r="M151" s="326" t="s">
        <v>31</v>
      </c>
      <c r="N151" s="342">
        <v>11.8</v>
      </c>
      <c r="O151" s="337">
        <f>IF(N151&gt;0,1/N151*37.7*68.6,"")</f>
        <v>219.17118644067796</v>
      </c>
      <c r="P151" s="328">
        <v>10.35</v>
      </c>
      <c r="Q151" s="327" t="s">
        <v>43</v>
      </c>
      <c r="R151" s="326" t="s">
        <v>33</v>
      </c>
      <c r="S151" s="326" t="s">
        <v>34</v>
      </c>
      <c r="T151" s="326"/>
      <c r="U151" s="345"/>
      <c r="V151" s="324">
        <f>IF(N151&lt;&gt;0, IF(N151&gt;=P151,ROUNDDOWN(N151/P151*100,0),""),"")</f>
        <v>114</v>
      </c>
      <c r="W151" s="311"/>
      <c r="X151" s="323"/>
      <c r="Y151" s="311"/>
    </row>
    <row r="152" spans="1:115" s="320" customFormat="1" ht="21" customHeight="1">
      <c r="A152" s="341"/>
      <c r="B152" s="340"/>
      <c r="C152" s="339"/>
      <c r="D152" s="333" t="s">
        <v>1160</v>
      </c>
      <c r="E152" s="332" t="s">
        <v>41</v>
      </c>
      <c r="F152" s="331">
        <v>2.9990000000000001</v>
      </c>
      <c r="G152" s="332">
        <v>375</v>
      </c>
      <c r="H152" s="331">
        <v>110</v>
      </c>
      <c r="I152" s="332" t="s">
        <v>71</v>
      </c>
      <c r="J152" s="331">
        <v>2356</v>
      </c>
      <c r="K152" s="326">
        <v>4521</v>
      </c>
      <c r="L152" s="326">
        <v>2000</v>
      </c>
      <c r="M152" s="326" t="s">
        <v>31</v>
      </c>
      <c r="N152" s="342">
        <v>11.8</v>
      </c>
      <c r="O152" s="337">
        <f>IF(N152&gt;0,1/N152*37.7*68.6,"")</f>
        <v>219.17118644067796</v>
      </c>
      <c r="P152" s="328">
        <v>10.35</v>
      </c>
      <c r="Q152" s="327" t="s">
        <v>43</v>
      </c>
      <c r="R152" s="326" t="s">
        <v>33</v>
      </c>
      <c r="S152" s="326" t="s">
        <v>34</v>
      </c>
      <c r="T152" s="326"/>
      <c r="U152" s="345"/>
      <c r="V152" s="324">
        <f>IF(N152&lt;&gt;0, IF(N152&gt;=P152,ROUNDDOWN(N152/P152*100,0),""),"")</f>
        <v>114</v>
      </c>
      <c r="W152" s="311"/>
      <c r="X152" s="323"/>
      <c r="Y152" s="311"/>
    </row>
    <row r="153" spans="1:115" s="320" customFormat="1" ht="21" customHeight="1">
      <c r="A153" s="341"/>
      <c r="B153" s="340"/>
      <c r="C153" s="339"/>
      <c r="D153" s="333" t="s">
        <v>1160</v>
      </c>
      <c r="E153" s="332" t="s">
        <v>41</v>
      </c>
      <c r="F153" s="331">
        <v>2.9990000000000001</v>
      </c>
      <c r="G153" s="332">
        <v>375</v>
      </c>
      <c r="H153" s="331">
        <v>110</v>
      </c>
      <c r="I153" s="332" t="s">
        <v>70</v>
      </c>
      <c r="J153" s="331">
        <v>2356</v>
      </c>
      <c r="K153" s="326">
        <v>4521</v>
      </c>
      <c r="L153" s="326">
        <v>2000</v>
      </c>
      <c r="M153" s="326" t="s">
        <v>31</v>
      </c>
      <c r="N153" s="342">
        <v>11.4</v>
      </c>
      <c r="O153" s="337">
        <f>IF(N153&gt;0,1/N153*37.7*68.6,"")</f>
        <v>226.8614035087719</v>
      </c>
      <c r="P153" s="328">
        <v>10.35</v>
      </c>
      <c r="Q153" s="327" t="s">
        <v>63</v>
      </c>
      <c r="R153" s="326" t="s">
        <v>33</v>
      </c>
      <c r="S153" s="326" t="s">
        <v>34</v>
      </c>
      <c r="T153" s="326"/>
      <c r="U153" s="345"/>
      <c r="V153" s="324">
        <f>IF(N153&lt;&gt;0, IF(N153&gt;=P153,ROUNDDOWN(N153/P153*100,0),""),"")</f>
        <v>110</v>
      </c>
      <c r="W153" s="311"/>
      <c r="X153" s="323"/>
      <c r="Y153" s="311"/>
    </row>
    <row r="154" spans="1:115" s="320" customFormat="1" ht="21" customHeight="1">
      <c r="A154" s="341"/>
      <c r="B154" s="340"/>
      <c r="C154" s="339"/>
      <c r="D154" s="333" t="s">
        <v>1160</v>
      </c>
      <c r="E154" s="332" t="s">
        <v>41</v>
      </c>
      <c r="F154" s="331">
        <v>2.9990000000000001</v>
      </c>
      <c r="G154" s="332">
        <v>375</v>
      </c>
      <c r="H154" s="331">
        <v>110</v>
      </c>
      <c r="I154" s="332" t="s">
        <v>71</v>
      </c>
      <c r="J154" s="331">
        <v>2356</v>
      </c>
      <c r="K154" s="326">
        <v>4521</v>
      </c>
      <c r="L154" s="326">
        <v>2000</v>
      </c>
      <c r="M154" s="326" t="s">
        <v>31</v>
      </c>
      <c r="N154" s="342">
        <v>11.4</v>
      </c>
      <c r="O154" s="337">
        <f>IF(N154&gt;0,1/N154*37.7*68.6,"")</f>
        <v>226.8614035087719</v>
      </c>
      <c r="P154" s="328">
        <v>10.35</v>
      </c>
      <c r="Q154" s="327" t="s">
        <v>63</v>
      </c>
      <c r="R154" s="326" t="s">
        <v>33</v>
      </c>
      <c r="S154" s="326" t="s">
        <v>34</v>
      </c>
      <c r="T154" s="326"/>
      <c r="U154" s="345"/>
      <c r="V154" s="324">
        <f>IF(N154&lt;&gt;0, IF(N154&gt;=P154,ROUNDDOWN(N154/P154*100,0),""),"")</f>
        <v>110</v>
      </c>
      <c r="W154" s="311"/>
      <c r="X154" s="323"/>
      <c r="Y154" s="311"/>
    </row>
    <row r="155" spans="1:115" s="320" customFormat="1" ht="21" customHeight="1">
      <c r="A155" s="341"/>
      <c r="B155" s="340"/>
      <c r="C155" s="339"/>
      <c r="D155" s="333" t="s">
        <v>1159</v>
      </c>
      <c r="E155" s="332" t="s">
        <v>41</v>
      </c>
      <c r="F155" s="331">
        <v>2.9990000000000001</v>
      </c>
      <c r="G155" s="332">
        <v>375</v>
      </c>
      <c r="H155" s="331">
        <v>110</v>
      </c>
      <c r="I155" s="332" t="s">
        <v>70</v>
      </c>
      <c r="J155" s="331">
        <v>2356</v>
      </c>
      <c r="K155" s="326">
        <v>4521</v>
      </c>
      <c r="L155" s="326">
        <v>2000</v>
      </c>
      <c r="M155" s="326" t="s">
        <v>31</v>
      </c>
      <c r="N155" s="342">
        <v>11.8</v>
      </c>
      <c r="O155" s="337">
        <f>IF(N155&gt;0,1/N155*37.7*68.6,"")</f>
        <v>219.17118644067796</v>
      </c>
      <c r="P155" s="328">
        <v>10.35</v>
      </c>
      <c r="Q155" s="327" t="s">
        <v>43</v>
      </c>
      <c r="R155" s="326" t="s">
        <v>33</v>
      </c>
      <c r="S155" s="326" t="s">
        <v>34</v>
      </c>
      <c r="T155" s="326"/>
      <c r="U155" s="345"/>
      <c r="V155" s="324">
        <f>IF(N155&lt;&gt;0, IF(N155&gt;=P155,ROUNDDOWN(N155/P155*100,0),""),"")</f>
        <v>114</v>
      </c>
      <c r="W155" s="311"/>
      <c r="X155" s="323"/>
      <c r="Y155" s="311"/>
    </row>
    <row r="156" spans="1:115" s="320" customFormat="1" ht="21" customHeight="1">
      <c r="A156" s="341"/>
      <c r="B156" s="340"/>
      <c r="C156" s="339"/>
      <c r="D156" s="333" t="s">
        <v>1159</v>
      </c>
      <c r="E156" s="332" t="s">
        <v>41</v>
      </c>
      <c r="F156" s="331">
        <v>2.9990000000000001</v>
      </c>
      <c r="G156" s="332">
        <v>375</v>
      </c>
      <c r="H156" s="331">
        <v>110</v>
      </c>
      <c r="I156" s="332" t="s">
        <v>71</v>
      </c>
      <c r="J156" s="331">
        <v>2356</v>
      </c>
      <c r="K156" s="326">
        <v>4521</v>
      </c>
      <c r="L156" s="326">
        <v>2000</v>
      </c>
      <c r="M156" s="326" t="s">
        <v>31</v>
      </c>
      <c r="N156" s="342">
        <v>11.8</v>
      </c>
      <c r="O156" s="337">
        <f>IF(N156&gt;0,1/N156*37.7*68.6,"")</f>
        <v>219.17118644067796</v>
      </c>
      <c r="P156" s="328">
        <v>10.35</v>
      </c>
      <c r="Q156" s="327" t="s">
        <v>43</v>
      </c>
      <c r="R156" s="326" t="s">
        <v>33</v>
      </c>
      <c r="S156" s="326" t="s">
        <v>34</v>
      </c>
      <c r="T156" s="326"/>
      <c r="U156" s="345"/>
      <c r="V156" s="324">
        <f>IF(N156&lt;&gt;0, IF(N156&gt;=P156,ROUNDDOWN(N156/P156*100,0),""),"")</f>
        <v>114</v>
      </c>
      <c r="W156" s="311"/>
      <c r="X156" s="323"/>
      <c r="Y156" s="311"/>
    </row>
    <row r="157" spans="1:115" s="320" customFormat="1" ht="21" customHeight="1">
      <c r="A157" s="341"/>
      <c r="B157" s="340"/>
      <c r="C157" s="339"/>
      <c r="D157" s="333" t="s">
        <v>1159</v>
      </c>
      <c r="E157" s="332" t="s">
        <v>41</v>
      </c>
      <c r="F157" s="331">
        <v>2.9990000000000001</v>
      </c>
      <c r="G157" s="332">
        <v>375</v>
      </c>
      <c r="H157" s="331">
        <v>110</v>
      </c>
      <c r="I157" s="332" t="s">
        <v>70</v>
      </c>
      <c r="J157" s="331">
        <v>2356</v>
      </c>
      <c r="K157" s="326">
        <v>4521</v>
      </c>
      <c r="L157" s="326">
        <v>2000</v>
      </c>
      <c r="M157" s="326" t="s">
        <v>31</v>
      </c>
      <c r="N157" s="342">
        <v>11.4</v>
      </c>
      <c r="O157" s="337">
        <f>IF(N157&gt;0,1/N157*37.7*68.6,"")</f>
        <v>226.8614035087719</v>
      </c>
      <c r="P157" s="328">
        <v>10.35</v>
      </c>
      <c r="Q157" s="327" t="s">
        <v>63</v>
      </c>
      <c r="R157" s="326" t="s">
        <v>33</v>
      </c>
      <c r="S157" s="326" t="s">
        <v>34</v>
      </c>
      <c r="T157" s="326"/>
      <c r="U157" s="345"/>
      <c r="V157" s="324">
        <f>IF(N157&lt;&gt;0, IF(N157&gt;=P157,ROUNDDOWN(N157/P157*100,0),""),"")</f>
        <v>110</v>
      </c>
      <c r="W157" s="311"/>
      <c r="X157" s="323"/>
      <c r="Y157" s="311"/>
    </row>
    <row r="158" spans="1:115" s="320" customFormat="1" ht="21" customHeight="1">
      <c r="A158" s="341"/>
      <c r="B158" s="340"/>
      <c r="C158" s="339"/>
      <c r="D158" s="333" t="s">
        <v>1159</v>
      </c>
      <c r="E158" s="332" t="s">
        <v>41</v>
      </c>
      <c r="F158" s="331">
        <v>2.9990000000000001</v>
      </c>
      <c r="G158" s="332">
        <v>375</v>
      </c>
      <c r="H158" s="331">
        <v>110</v>
      </c>
      <c r="I158" s="332" t="s">
        <v>71</v>
      </c>
      <c r="J158" s="331">
        <v>2356</v>
      </c>
      <c r="K158" s="326">
        <v>4521</v>
      </c>
      <c r="L158" s="326">
        <v>2000</v>
      </c>
      <c r="M158" s="326" t="s">
        <v>31</v>
      </c>
      <c r="N158" s="338">
        <v>11.4</v>
      </c>
      <c r="O158" s="344">
        <f>IF(N158&gt;0,1/N158*37.7*68.6,"")</f>
        <v>226.8614035087719</v>
      </c>
      <c r="P158" s="328">
        <v>10.35</v>
      </c>
      <c r="Q158" s="327" t="s">
        <v>63</v>
      </c>
      <c r="R158" s="326" t="s">
        <v>33</v>
      </c>
      <c r="S158" s="326" t="s">
        <v>34</v>
      </c>
      <c r="T158" s="326"/>
      <c r="U158" s="345"/>
      <c r="V158" s="324">
        <f>IF(N158&lt;&gt;0, IF(N158&gt;=P158,ROUNDDOWN(N158/P158*100,0),""),"")</f>
        <v>110</v>
      </c>
      <c r="W158" s="311"/>
      <c r="X158" s="323"/>
      <c r="Y158" s="311"/>
    </row>
    <row r="159" spans="1:115" s="320" customFormat="1" ht="21" customHeight="1">
      <c r="A159" s="341"/>
      <c r="B159" s="340"/>
      <c r="C159" s="339"/>
      <c r="D159" s="333" t="s">
        <v>1158</v>
      </c>
      <c r="E159" s="332" t="s">
        <v>41</v>
      </c>
      <c r="F159" s="331">
        <v>2.9990000000000001</v>
      </c>
      <c r="G159" s="332">
        <v>375</v>
      </c>
      <c r="H159" s="331">
        <v>110</v>
      </c>
      <c r="I159" s="332" t="s">
        <v>70</v>
      </c>
      <c r="J159" s="331">
        <v>2356</v>
      </c>
      <c r="K159" s="326">
        <v>4521</v>
      </c>
      <c r="L159" s="326">
        <v>2000</v>
      </c>
      <c r="M159" s="326" t="s">
        <v>31</v>
      </c>
      <c r="N159" s="342">
        <v>11.8</v>
      </c>
      <c r="O159" s="337">
        <f>IF(N159&gt;0,1/N159*37.7*68.6,"")</f>
        <v>219.17118644067796</v>
      </c>
      <c r="P159" s="328">
        <v>10.35</v>
      </c>
      <c r="Q159" s="327" t="s">
        <v>43</v>
      </c>
      <c r="R159" s="326" t="s">
        <v>33</v>
      </c>
      <c r="S159" s="326" t="s">
        <v>66</v>
      </c>
      <c r="T159" s="326"/>
      <c r="U159" s="345"/>
      <c r="V159" s="324">
        <f>IF(N159&lt;&gt;0, IF(N159&gt;=P159,ROUNDDOWN(N159/P159*100,0),""),"")</f>
        <v>114</v>
      </c>
      <c r="W159" s="311"/>
      <c r="X159" s="323"/>
      <c r="Y159" s="311"/>
    </row>
    <row r="160" spans="1:115" s="320" customFormat="1" ht="21" customHeight="1">
      <c r="A160" s="341"/>
      <c r="B160" s="340"/>
      <c r="C160" s="339"/>
      <c r="D160" s="333" t="s">
        <v>1158</v>
      </c>
      <c r="E160" s="332" t="s">
        <v>41</v>
      </c>
      <c r="F160" s="331">
        <v>2.9990000000000001</v>
      </c>
      <c r="G160" s="332">
        <v>375</v>
      </c>
      <c r="H160" s="331">
        <v>110</v>
      </c>
      <c r="I160" s="332" t="s">
        <v>70</v>
      </c>
      <c r="J160" s="331">
        <v>2356</v>
      </c>
      <c r="K160" s="326">
        <v>4521</v>
      </c>
      <c r="L160" s="326">
        <v>2000</v>
      </c>
      <c r="M160" s="326" t="s">
        <v>31</v>
      </c>
      <c r="N160" s="342">
        <v>11.4</v>
      </c>
      <c r="O160" s="337">
        <f>IF(N160&gt;0,1/N160*37.7*68.6,"")</f>
        <v>226.8614035087719</v>
      </c>
      <c r="P160" s="328">
        <v>10.35</v>
      </c>
      <c r="Q160" s="327" t="s">
        <v>63</v>
      </c>
      <c r="R160" s="326" t="s">
        <v>33</v>
      </c>
      <c r="S160" s="326" t="s">
        <v>66</v>
      </c>
      <c r="T160" s="326"/>
      <c r="U160" s="345"/>
      <c r="V160" s="324">
        <f>IF(N160&lt;&gt;0, IF(N160&gt;=P160,ROUNDDOWN(N160/P160*100,0),""),"")</f>
        <v>110</v>
      </c>
      <c r="W160" s="311"/>
      <c r="X160" s="323"/>
      <c r="Y160" s="311"/>
    </row>
    <row r="161" spans="1:115" s="320" customFormat="1" ht="21" customHeight="1">
      <c r="A161" s="341"/>
      <c r="B161" s="340"/>
      <c r="C161" s="339"/>
      <c r="D161" s="333" t="s">
        <v>1157</v>
      </c>
      <c r="E161" s="332" t="s">
        <v>41</v>
      </c>
      <c r="F161" s="331">
        <v>2.9990000000000001</v>
      </c>
      <c r="G161" s="332">
        <v>375</v>
      </c>
      <c r="H161" s="331">
        <v>110</v>
      </c>
      <c r="I161" s="332" t="s">
        <v>70</v>
      </c>
      <c r="J161" s="331">
        <v>2356</v>
      </c>
      <c r="K161" s="326">
        <v>4521</v>
      </c>
      <c r="L161" s="326">
        <v>2000</v>
      </c>
      <c r="M161" s="326" t="s">
        <v>31</v>
      </c>
      <c r="N161" s="342">
        <v>11.8</v>
      </c>
      <c r="O161" s="337">
        <f>IF(N161&gt;0,1/N161*37.7*68.6,"")</f>
        <v>219.17118644067796</v>
      </c>
      <c r="P161" s="328">
        <v>10.35</v>
      </c>
      <c r="Q161" s="327" t="s">
        <v>43</v>
      </c>
      <c r="R161" s="326" t="s">
        <v>33</v>
      </c>
      <c r="S161" s="326" t="s">
        <v>66</v>
      </c>
      <c r="T161" s="326"/>
      <c r="U161" s="345"/>
      <c r="V161" s="324">
        <f>IF(N161&lt;&gt;0, IF(N161&gt;=P161,ROUNDDOWN(N161/P161*100,0),""),"")</f>
        <v>114</v>
      </c>
      <c r="W161" s="311"/>
      <c r="X161" s="323"/>
      <c r="Y161" s="311"/>
    </row>
    <row r="162" spans="1:115" s="320" customFormat="1" ht="21" customHeight="1">
      <c r="A162" s="341"/>
      <c r="B162" s="340"/>
      <c r="C162" s="339"/>
      <c r="D162" s="333" t="s">
        <v>1157</v>
      </c>
      <c r="E162" s="332" t="s">
        <v>41</v>
      </c>
      <c r="F162" s="331">
        <v>2.9990000000000001</v>
      </c>
      <c r="G162" s="332">
        <v>375</v>
      </c>
      <c r="H162" s="331">
        <v>110</v>
      </c>
      <c r="I162" s="332" t="s">
        <v>70</v>
      </c>
      <c r="J162" s="331">
        <v>2356</v>
      </c>
      <c r="K162" s="326">
        <v>4521</v>
      </c>
      <c r="L162" s="326">
        <v>2000</v>
      </c>
      <c r="M162" s="326" t="s">
        <v>31</v>
      </c>
      <c r="N162" s="342">
        <v>11.4</v>
      </c>
      <c r="O162" s="337">
        <f>IF(N162&gt;0,1/N162*37.7*68.6,"")</f>
        <v>226.8614035087719</v>
      </c>
      <c r="P162" s="328">
        <v>10.35</v>
      </c>
      <c r="Q162" s="327" t="s">
        <v>63</v>
      </c>
      <c r="R162" s="326" t="s">
        <v>33</v>
      </c>
      <c r="S162" s="326" t="s">
        <v>66</v>
      </c>
      <c r="T162" s="326"/>
      <c r="U162" s="345"/>
      <c r="V162" s="324">
        <f>IF(N162&lt;&gt;0, IF(N162&gt;=P162,ROUNDDOWN(N162/P162*100,0),""),"")</f>
        <v>110</v>
      </c>
      <c r="W162" s="311"/>
      <c r="X162" s="323"/>
      <c r="Y162" s="311"/>
    </row>
    <row r="163" spans="1:115" s="320" customFormat="1" ht="21" customHeight="1">
      <c r="A163" s="341"/>
      <c r="B163" s="340"/>
      <c r="C163" s="339"/>
      <c r="D163" s="333" t="s">
        <v>1156</v>
      </c>
      <c r="E163" s="332" t="s">
        <v>41</v>
      </c>
      <c r="F163" s="331">
        <v>2.9990000000000001</v>
      </c>
      <c r="G163" s="332" t="s">
        <v>467</v>
      </c>
      <c r="H163" s="331" t="s">
        <v>466</v>
      </c>
      <c r="I163" s="332" t="s">
        <v>71</v>
      </c>
      <c r="J163" s="331">
        <v>2356</v>
      </c>
      <c r="K163" s="326">
        <v>4521</v>
      </c>
      <c r="L163" s="326">
        <v>2000</v>
      </c>
      <c r="M163" s="326" t="s">
        <v>31</v>
      </c>
      <c r="N163" s="342">
        <v>11.8</v>
      </c>
      <c r="O163" s="337">
        <f>IF(N163&gt;0,1/N163*37.7*68.6,"")</f>
        <v>219.17118644067796</v>
      </c>
      <c r="P163" s="328">
        <v>10.35</v>
      </c>
      <c r="Q163" s="327" t="s">
        <v>43</v>
      </c>
      <c r="R163" s="326" t="s">
        <v>33</v>
      </c>
      <c r="S163" s="326" t="s">
        <v>34</v>
      </c>
      <c r="T163" s="326"/>
      <c r="U163" s="345"/>
      <c r="V163" s="324">
        <f>IF(N163&lt;&gt;0, IF(N163&gt;=P163,ROUNDDOWN(N163/P163*100,0),""),"")</f>
        <v>114</v>
      </c>
      <c r="W163" s="311"/>
      <c r="AR163" s="322"/>
      <c r="AS163" s="322"/>
      <c r="AT163" s="322"/>
      <c r="AU163" s="322"/>
      <c r="AV163" s="322"/>
      <c r="AW163" s="322"/>
      <c r="AX163" s="322"/>
      <c r="AY163" s="322"/>
      <c r="AZ163" s="322"/>
      <c r="BA163" s="322"/>
      <c r="BB163" s="322"/>
      <c r="BC163" s="322"/>
      <c r="BD163" s="322"/>
      <c r="BE163" s="322"/>
      <c r="BF163" s="322"/>
      <c r="BG163" s="322"/>
      <c r="BH163" s="322"/>
      <c r="BI163" s="322"/>
      <c r="BJ163" s="322"/>
      <c r="BK163" s="322"/>
      <c r="BL163" s="322"/>
      <c r="BM163" s="322"/>
      <c r="BN163" s="322"/>
      <c r="BO163" s="322"/>
      <c r="BP163" s="322"/>
      <c r="BQ163" s="322"/>
      <c r="BR163" s="322"/>
      <c r="BS163" s="322"/>
      <c r="BT163" s="322"/>
      <c r="BU163" s="322"/>
      <c r="BV163" s="322"/>
      <c r="BW163" s="322"/>
      <c r="BX163" s="322"/>
      <c r="BY163" s="322"/>
      <c r="BZ163" s="322"/>
      <c r="CA163" s="322"/>
      <c r="CB163" s="322"/>
      <c r="CC163" s="322"/>
      <c r="CD163" s="322"/>
      <c r="CE163" s="322"/>
      <c r="CF163" s="322"/>
      <c r="CG163" s="322"/>
      <c r="CH163" s="322"/>
      <c r="CI163" s="322"/>
      <c r="CJ163" s="322"/>
      <c r="CK163" s="322"/>
      <c r="CL163" s="322"/>
      <c r="CM163" s="322"/>
      <c r="CN163" s="322"/>
      <c r="CO163" s="322"/>
      <c r="CP163" s="322"/>
      <c r="CQ163" s="322"/>
      <c r="CR163" s="322"/>
      <c r="CS163" s="322"/>
      <c r="CT163" s="322"/>
      <c r="CU163" s="322"/>
      <c r="CV163" s="322"/>
      <c r="CW163" s="322"/>
      <c r="CX163" s="322"/>
      <c r="CY163" s="322"/>
      <c r="CZ163" s="322"/>
      <c r="DA163" s="322"/>
      <c r="DB163" s="322"/>
      <c r="DC163" s="322"/>
      <c r="DD163" s="322"/>
      <c r="DE163" s="322"/>
      <c r="DF163" s="322"/>
      <c r="DG163" s="322"/>
      <c r="DH163" s="322"/>
      <c r="DI163" s="322"/>
      <c r="DJ163" s="322"/>
      <c r="DK163" s="322"/>
    </row>
    <row r="164" spans="1:115" s="320" customFormat="1" ht="21" customHeight="1">
      <c r="A164" s="341"/>
      <c r="B164" s="340"/>
      <c r="C164" s="339"/>
      <c r="D164" s="333" t="s">
        <v>1156</v>
      </c>
      <c r="E164" s="332" t="s">
        <v>41</v>
      </c>
      <c r="F164" s="331">
        <v>2.9990000000000001</v>
      </c>
      <c r="G164" s="332" t="s">
        <v>467</v>
      </c>
      <c r="H164" s="331" t="s">
        <v>466</v>
      </c>
      <c r="I164" s="332" t="s">
        <v>42</v>
      </c>
      <c r="J164" s="331">
        <v>2356</v>
      </c>
      <c r="K164" s="326">
        <v>4521</v>
      </c>
      <c r="L164" s="326">
        <v>2000</v>
      </c>
      <c r="M164" s="326" t="s">
        <v>31</v>
      </c>
      <c r="N164" s="342">
        <v>11.8</v>
      </c>
      <c r="O164" s="337">
        <f>IF(N164&gt;0,1/N164*37.7*68.6,"")</f>
        <v>219.17118644067796</v>
      </c>
      <c r="P164" s="328">
        <v>10.35</v>
      </c>
      <c r="Q164" s="327" t="s">
        <v>63</v>
      </c>
      <c r="R164" s="326" t="s">
        <v>33</v>
      </c>
      <c r="S164" s="326" t="s">
        <v>34</v>
      </c>
      <c r="T164" s="326"/>
      <c r="U164" s="345"/>
      <c r="V164" s="324">
        <f>IF(N164&lt;&gt;0, IF(N164&gt;=P164,ROUNDDOWN(N164/P164*100,0),""),"")</f>
        <v>114</v>
      </c>
      <c r="W164" s="311"/>
      <c r="AR164" s="322"/>
      <c r="AS164" s="322"/>
      <c r="AT164" s="322"/>
      <c r="AU164" s="322"/>
      <c r="AV164" s="322"/>
      <c r="AW164" s="322"/>
      <c r="AX164" s="322"/>
      <c r="AY164" s="322"/>
      <c r="AZ164" s="322"/>
      <c r="BA164" s="322"/>
      <c r="BB164" s="322"/>
      <c r="BC164" s="322"/>
      <c r="BD164" s="322"/>
      <c r="BE164" s="322"/>
      <c r="BF164" s="322"/>
      <c r="BG164" s="322"/>
      <c r="BH164" s="322"/>
      <c r="BI164" s="322"/>
      <c r="BJ164" s="322"/>
      <c r="BK164" s="322"/>
      <c r="BL164" s="322"/>
      <c r="BM164" s="322"/>
      <c r="BN164" s="322"/>
      <c r="BO164" s="322"/>
      <c r="BP164" s="322"/>
      <c r="BQ164" s="322"/>
      <c r="BR164" s="322"/>
      <c r="BS164" s="322"/>
      <c r="BT164" s="322"/>
      <c r="BU164" s="322"/>
      <c r="BV164" s="322"/>
      <c r="BW164" s="322"/>
      <c r="BX164" s="322"/>
      <c r="BY164" s="322"/>
      <c r="BZ164" s="322"/>
      <c r="CA164" s="322"/>
      <c r="CB164" s="322"/>
      <c r="CC164" s="322"/>
      <c r="CD164" s="322"/>
      <c r="CE164" s="322"/>
      <c r="CF164" s="322"/>
      <c r="CG164" s="322"/>
      <c r="CH164" s="322"/>
      <c r="CI164" s="322"/>
      <c r="CJ164" s="322"/>
      <c r="CK164" s="322"/>
      <c r="CL164" s="322"/>
      <c r="CM164" s="322"/>
      <c r="CN164" s="322"/>
      <c r="CO164" s="322"/>
      <c r="CP164" s="322"/>
      <c r="CQ164" s="322"/>
      <c r="CR164" s="322"/>
      <c r="CS164" s="322"/>
      <c r="CT164" s="322"/>
      <c r="CU164" s="322"/>
      <c r="CV164" s="322"/>
      <c r="CW164" s="322"/>
      <c r="CX164" s="322"/>
      <c r="CY164" s="322"/>
      <c r="CZ164" s="322"/>
      <c r="DA164" s="322"/>
      <c r="DB164" s="322"/>
      <c r="DC164" s="322"/>
      <c r="DD164" s="322"/>
      <c r="DE164" s="322"/>
      <c r="DF164" s="322"/>
      <c r="DG164" s="322"/>
      <c r="DH164" s="322"/>
      <c r="DI164" s="322"/>
      <c r="DJ164" s="322"/>
      <c r="DK164" s="322"/>
    </row>
    <row r="165" spans="1:115" s="320" customFormat="1" ht="21" customHeight="1">
      <c r="A165" s="341"/>
      <c r="B165" s="340"/>
      <c r="C165" s="339"/>
      <c r="D165" s="333" t="s">
        <v>1156</v>
      </c>
      <c r="E165" s="332" t="s">
        <v>41</v>
      </c>
      <c r="F165" s="331">
        <v>2.9990000000000001</v>
      </c>
      <c r="G165" s="332" t="s">
        <v>467</v>
      </c>
      <c r="H165" s="331" t="s">
        <v>466</v>
      </c>
      <c r="I165" s="332" t="s">
        <v>71</v>
      </c>
      <c r="J165" s="331">
        <v>2356</v>
      </c>
      <c r="K165" s="326">
        <v>4521</v>
      </c>
      <c r="L165" s="326">
        <v>2000</v>
      </c>
      <c r="M165" s="326" t="s">
        <v>31</v>
      </c>
      <c r="N165" s="342">
        <v>11.4</v>
      </c>
      <c r="O165" s="337">
        <f>IF(N165&gt;0,1/N165*37.7*68.6,"")</f>
        <v>226.8614035087719</v>
      </c>
      <c r="P165" s="328">
        <v>10.35</v>
      </c>
      <c r="Q165" s="327" t="s">
        <v>63</v>
      </c>
      <c r="R165" s="326" t="s">
        <v>33</v>
      </c>
      <c r="S165" s="326" t="s">
        <v>34</v>
      </c>
      <c r="T165" s="326"/>
      <c r="U165" s="345"/>
      <c r="V165" s="324">
        <f>IF(N165&lt;&gt;0, IF(N165&gt;=P165,ROUNDDOWN(N165/P165*100,0),""),"")</f>
        <v>110</v>
      </c>
      <c r="W165" s="311"/>
      <c r="AR165" s="322"/>
      <c r="AS165" s="322"/>
      <c r="AT165" s="322"/>
      <c r="AU165" s="322"/>
      <c r="AV165" s="322"/>
      <c r="AW165" s="322"/>
      <c r="AX165" s="322"/>
      <c r="AY165" s="322"/>
      <c r="AZ165" s="322"/>
      <c r="BA165" s="322"/>
      <c r="BB165" s="322"/>
      <c r="BC165" s="322"/>
      <c r="BD165" s="322"/>
      <c r="BE165" s="322"/>
      <c r="BF165" s="322"/>
      <c r="BG165" s="322"/>
      <c r="BH165" s="322"/>
      <c r="BI165" s="322"/>
      <c r="BJ165" s="322"/>
      <c r="BK165" s="322"/>
      <c r="BL165" s="322"/>
      <c r="BM165" s="322"/>
      <c r="BN165" s="322"/>
      <c r="BO165" s="322"/>
      <c r="BP165" s="322"/>
      <c r="BQ165" s="322"/>
      <c r="BR165" s="322"/>
      <c r="BS165" s="322"/>
      <c r="BT165" s="322"/>
      <c r="BU165" s="322"/>
      <c r="BV165" s="322"/>
      <c r="BW165" s="322"/>
      <c r="BX165" s="322"/>
      <c r="BY165" s="322"/>
      <c r="BZ165" s="322"/>
      <c r="CA165" s="322"/>
      <c r="CB165" s="322"/>
      <c r="CC165" s="322"/>
      <c r="CD165" s="322"/>
      <c r="CE165" s="322"/>
      <c r="CF165" s="322"/>
      <c r="CG165" s="322"/>
      <c r="CH165" s="322"/>
      <c r="CI165" s="322"/>
      <c r="CJ165" s="322"/>
      <c r="CK165" s="322"/>
      <c r="CL165" s="322"/>
      <c r="CM165" s="322"/>
      <c r="CN165" s="322"/>
      <c r="CO165" s="322"/>
      <c r="CP165" s="322"/>
      <c r="CQ165" s="322"/>
      <c r="CR165" s="322"/>
      <c r="CS165" s="322"/>
      <c r="CT165" s="322"/>
      <c r="CU165" s="322"/>
      <c r="CV165" s="322"/>
      <c r="CW165" s="322"/>
      <c r="CX165" s="322"/>
      <c r="CY165" s="322"/>
      <c r="CZ165" s="322"/>
      <c r="DA165" s="322"/>
      <c r="DB165" s="322"/>
      <c r="DC165" s="322"/>
      <c r="DD165" s="322"/>
      <c r="DE165" s="322"/>
      <c r="DF165" s="322"/>
      <c r="DG165" s="322"/>
      <c r="DH165" s="322"/>
      <c r="DI165" s="322"/>
      <c r="DJ165" s="322"/>
      <c r="DK165" s="322"/>
    </row>
    <row r="166" spans="1:115" s="320" customFormat="1" ht="21" customHeight="1">
      <c r="A166" s="341"/>
      <c r="B166" s="340"/>
      <c r="C166" s="339"/>
      <c r="D166" s="333" t="s">
        <v>1156</v>
      </c>
      <c r="E166" s="332" t="s">
        <v>41</v>
      </c>
      <c r="F166" s="331">
        <v>2.9990000000000001</v>
      </c>
      <c r="G166" s="332" t="s">
        <v>467</v>
      </c>
      <c r="H166" s="331" t="s">
        <v>466</v>
      </c>
      <c r="I166" s="332" t="s">
        <v>71</v>
      </c>
      <c r="J166" s="331">
        <v>2652</v>
      </c>
      <c r="K166" s="326">
        <v>5812</v>
      </c>
      <c r="L166" s="326">
        <v>2995</v>
      </c>
      <c r="M166" s="326" t="s">
        <v>31</v>
      </c>
      <c r="N166" s="342">
        <v>10.8</v>
      </c>
      <c r="O166" s="337">
        <f>IF(N166&gt;0,1/N166*37.7*68.6,"")</f>
        <v>239.46481481481482</v>
      </c>
      <c r="P166" s="328">
        <v>9.51</v>
      </c>
      <c r="Q166" s="327" t="s">
        <v>43</v>
      </c>
      <c r="R166" s="326" t="s">
        <v>33</v>
      </c>
      <c r="S166" s="326" t="s">
        <v>34</v>
      </c>
      <c r="T166" s="326"/>
      <c r="U166" s="345"/>
      <c r="V166" s="324">
        <f>IF(N166&lt;&gt;0, IF(N166&gt;=P166,ROUNDDOWN(N166/P166*100,0),""),"")</f>
        <v>113</v>
      </c>
      <c r="W166" s="311"/>
      <c r="AR166" s="322"/>
      <c r="AS166" s="322"/>
      <c r="AT166" s="322"/>
      <c r="AU166" s="322"/>
      <c r="AV166" s="322"/>
      <c r="AW166" s="322"/>
      <c r="AX166" s="322"/>
      <c r="AY166" s="322"/>
      <c r="AZ166" s="322"/>
      <c r="BA166" s="322"/>
      <c r="BB166" s="322"/>
      <c r="BC166" s="322"/>
      <c r="BD166" s="322"/>
      <c r="BE166" s="322"/>
      <c r="BF166" s="322"/>
      <c r="BG166" s="322"/>
      <c r="BH166" s="322"/>
      <c r="BI166" s="322"/>
      <c r="BJ166" s="322"/>
      <c r="BK166" s="322"/>
      <c r="BL166" s="322"/>
      <c r="BM166" s="322"/>
      <c r="BN166" s="322"/>
      <c r="BO166" s="322"/>
      <c r="BP166" s="322"/>
      <c r="BQ166" s="322"/>
      <c r="BR166" s="322"/>
      <c r="BS166" s="322"/>
      <c r="BT166" s="322"/>
      <c r="BU166" s="322"/>
      <c r="BV166" s="322"/>
      <c r="BW166" s="322"/>
      <c r="BX166" s="322"/>
      <c r="BY166" s="322"/>
      <c r="BZ166" s="322"/>
      <c r="CA166" s="322"/>
      <c r="CB166" s="322"/>
      <c r="CC166" s="322"/>
      <c r="CD166" s="322"/>
      <c r="CE166" s="322"/>
      <c r="CF166" s="322"/>
      <c r="CG166" s="322"/>
      <c r="CH166" s="322"/>
      <c r="CI166" s="322"/>
      <c r="CJ166" s="322"/>
      <c r="CK166" s="322"/>
      <c r="CL166" s="322"/>
      <c r="CM166" s="322"/>
      <c r="CN166" s="322"/>
      <c r="CO166" s="322"/>
      <c r="CP166" s="322"/>
      <c r="CQ166" s="322"/>
      <c r="CR166" s="322"/>
      <c r="CS166" s="322"/>
      <c r="CT166" s="322"/>
      <c r="CU166" s="322"/>
      <c r="CV166" s="322"/>
      <c r="CW166" s="322"/>
      <c r="CX166" s="322"/>
      <c r="CY166" s="322"/>
      <c r="CZ166" s="322"/>
      <c r="DA166" s="322"/>
      <c r="DB166" s="322"/>
      <c r="DC166" s="322"/>
      <c r="DD166" s="322"/>
      <c r="DE166" s="322"/>
      <c r="DF166" s="322"/>
      <c r="DG166" s="322"/>
      <c r="DH166" s="322"/>
      <c r="DI166" s="322"/>
      <c r="DJ166" s="322"/>
      <c r="DK166" s="322"/>
    </row>
    <row r="167" spans="1:115" s="320" customFormat="1" ht="21" customHeight="1">
      <c r="A167" s="341"/>
      <c r="B167" s="340"/>
      <c r="C167" s="339"/>
      <c r="D167" s="333" t="s">
        <v>1156</v>
      </c>
      <c r="E167" s="332" t="s">
        <v>41</v>
      </c>
      <c r="F167" s="331">
        <v>2.9990000000000001</v>
      </c>
      <c r="G167" s="332" t="s">
        <v>467</v>
      </c>
      <c r="H167" s="331" t="s">
        <v>466</v>
      </c>
      <c r="I167" s="332" t="s">
        <v>42</v>
      </c>
      <c r="J167" s="331">
        <v>2652</v>
      </c>
      <c r="K167" s="326">
        <v>5812</v>
      </c>
      <c r="L167" s="326">
        <v>2995</v>
      </c>
      <c r="M167" s="326" t="s">
        <v>31</v>
      </c>
      <c r="N167" s="342">
        <v>10.8</v>
      </c>
      <c r="O167" s="337">
        <f>IF(N167&gt;0,1/N167*37.7*68.6,"")</f>
        <v>239.46481481481482</v>
      </c>
      <c r="P167" s="328">
        <v>9.51</v>
      </c>
      <c r="Q167" s="327" t="s">
        <v>63</v>
      </c>
      <c r="R167" s="326" t="s">
        <v>33</v>
      </c>
      <c r="S167" s="326" t="s">
        <v>34</v>
      </c>
      <c r="T167" s="326"/>
      <c r="U167" s="345"/>
      <c r="V167" s="324">
        <f>IF(N167&lt;&gt;0, IF(N167&gt;=P167,ROUNDDOWN(N167/P167*100,0),""),"")</f>
        <v>113</v>
      </c>
      <c r="W167" s="311"/>
      <c r="AR167" s="322"/>
      <c r="AS167" s="322"/>
      <c r="AT167" s="322"/>
      <c r="AU167" s="322"/>
      <c r="AV167" s="322"/>
      <c r="AW167" s="322"/>
      <c r="AX167" s="322"/>
      <c r="AY167" s="322"/>
      <c r="AZ167" s="322"/>
      <c r="BA167" s="322"/>
      <c r="BB167" s="322"/>
      <c r="BC167" s="322"/>
      <c r="BD167" s="322"/>
      <c r="BE167" s="322"/>
      <c r="BF167" s="322"/>
      <c r="BG167" s="322"/>
      <c r="BH167" s="322"/>
      <c r="BI167" s="322"/>
      <c r="BJ167" s="322"/>
      <c r="BK167" s="322"/>
      <c r="BL167" s="322"/>
      <c r="BM167" s="322"/>
      <c r="BN167" s="322"/>
      <c r="BO167" s="322"/>
      <c r="BP167" s="322"/>
      <c r="BQ167" s="322"/>
      <c r="BR167" s="322"/>
      <c r="BS167" s="322"/>
      <c r="BT167" s="322"/>
      <c r="BU167" s="322"/>
      <c r="BV167" s="322"/>
      <c r="BW167" s="322"/>
      <c r="BX167" s="322"/>
      <c r="BY167" s="322"/>
      <c r="BZ167" s="322"/>
      <c r="CA167" s="322"/>
      <c r="CB167" s="322"/>
      <c r="CC167" s="322"/>
      <c r="CD167" s="322"/>
      <c r="CE167" s="322"/>
      <c r="CF167" s="322"/>
      <c r="CG167" s="322"/>
      <c r="CH167" s="322"/>
      <c r="CI167" s="322"/>
      <c r="CJ167" s="322"/>
      <c r="CK167" s="322"/>
      <c r="CL167" s="322"/>
      <c r="CM167" s="322"/>
      <c r="CN167" s="322"/>
      <c r="CO167" s="322"/>
      <c r="CP167" s="322"/>
      <c r="CQ167" s="322"/>
      <c r="CR167" s="322"/>
      <c r="CS167" s="322"/>
      <c r="CT167" s="322"/>
      <c r="CU167" s="322"/>
      <c r="CV167" s="322"/>
      <c r="CW167" s="322"/>
      <c r="CX167" s="322"/>
      <c r="CY167" s="322"/>
      <c r="CZ167" s="322"/>
      <c r="DA167" s="322"/>
      <c r="DB167" s="322"/>
      <c r="DC167" s="322"/>
      <c r="DD167" s="322"/>
      <c r="DE167" s="322"/>
      <c r="DF167" s="322"/>
      <c r="DG167" s="322"/>
      <c r="DH167" s="322"/>
      <c r="DI167" s="322"/>
      <c r="DJ167" s="322"/>
      <c r="DK167" s="322"/>
    </row>
    <row r="168" spans="1:115" s="320" customFormat="1" ht="21" customHeight="1">
      <c r="A168" s="341"/>
      <c r="B168" s="340"/>
      <c r="C168" s="339"/>
      <c r="D168" s="333" t="s">
        <v>1156</v>
      </c>
      <c r="E168" s="332" t="s">
        <v>41</v>
      </c>
      <c r="F168" s="331">
        <v>2.9990000000000001</v>
      </c>
      <c r="G168" s="332" t="s">
        <v>467</v>
      </c>
      <c r="H168" s="331" t="s">
        <v>466</v>
      </c>
      <c r="I168" s="332" t="s">
        <v>71</v>
      </c>
      <c r="J168" s="331">
        <v>2652</v>
      </c>
      <c r="K168" s="326">
        <v>5812</v>
      </c>
      <c r="L168" s="326">
        <v>2995</v>
      </c>
      <c r="M168" s="326" t="s">
        <v>31</v>
      </c>
      <c r="N168" s="342">
        <v>10.6</v>
      </c>
      <c r="O168" s="337">
        <f>IF(N168&gt;0,1/N168*37.7*68.6,"")</f>
        <v>243.98301886792456</v>
      </c>
      <c r="P168" s="328">
        <v>9.51</v>
      </c>
      <c r="Q168" s="327" t="s">
        <v>63</v>
      </c>
      <c r="R168" s="326" t="s">
        <v>33</v>
      </c>
      <c r="S168" s="326" t="s">
        <v>34</v>
      </c>
      <c r="T168" s="326"/>
      <c r="U168" s="345"/>
      <c r="V168" s="324">
        <f>IF(N168&lt;&gt;0, IF(N168&gt;=P168,ROUNDDOWN(N168/P168*100,0),""),"")</f>
        <v>111</v>
      </c>
      <c r="W168" s="311"/>
      <c r="AR168" s="322"/>
      <c r="AS168" s="322"/>
      <c r="AT168" s="322"/>
      <c r="AU168" s="322"/>
      <c r="AV168" s="322"/>
      <c r="AW168" s="322"/>
      <c r="AX168" s="322"/>
      <c r="AY168" s="322"/>
      <c r="AZ168" s="322"/>
      <c r="BA168" s="322"/>
      <c r="BB168" s="322"/>
      <c r="BC168" s="322"/>
      <c r="BD168" s="322"/>
      <c r="BE168" s="322"/>
      <c r="BF168" s="322"/>
      <c r="BG168" s="322"/>
      <c r="BH168" s="322"/>
      <c r="BI168" s="322"/>
      <c r="BJ168" s="322"/>
      <c r="BK168" s="322"/>
      <c r="BL168" s="322"/>
      <c r="BM168" s="322"/>
      <c r="BN168" s="322"/>
      <c r="BO168" s="322"/>
      <c r="BP168" s="322"/>
      <c r="BQ168" s="322"/>
      <c r="BR168" s="322"/>
      <c r="BS168" s="322"/>
      <c r="BT168" s="322"/>
      <c r="BU168" s="322"/>
      <c r="BV168" s="322"/>
      <c r="BW168" s="322"/>
      <c r="BX168" s="322"/>
      <c r="BY168" s="322"/>
      <c r="BZ168" s="322"/>
      <c r="CA168" s="322"/>
      <c r="CB168" s="322"/>
      <c r="CC168" s="322"/>
      <c r="CD168" s="322"/>
      <c r="CE168" s="322"/>
      <c r="CF168" s="322"/>
      <c r="CG168" s="322"/>
      <c r="CH168" s="322"/>
      <c r="CI168" s="322"/>
      <c r="CJ168" s="322"/>
      <c r="CK168" s="322"/>
      <c r="CL168" s="322"/>
      <c r="CM168" s="322"/>
      <c r="CN168" s="322"/>
      <c r="CO168" s="322"/>
      <c r="CP168" s="322"/>
      <c r="CQ168" s="322"/>
      <c r="CR168" s="322"/>
      <c r="CS168" s="322"/>
      <c r="CT168" s="322"/>
      <c r="CU168" s="322"/>
      <c r="CV168" s="322"/>
      <c r="CW168" s="322"/>
      <c r="CX168" s="322"/>
      <c r="CY168" s="322"/>
      <c r="CZ168" s="322"/>
      <c r="DA168" s="322"/>
      <c r="DB168" s="322"/>
      <c r="DC168" s="322"/>
      <c r="DD168" s="322"/>
      <c r="DE168" s="322"/>
      <c r="DF168" s="322"/>
      <c r="DG168" s="322"/>
      <c r="DH168" s="322"/>
      <c r="DI168" s="322"/>
      <c r="DJ168" s="322"/>
      <c r="DK168" s="322"/>
    </row>
    <row r="169" spans="1:115" s="320" customFormat="1" ht="21" customHeight="1">
      <c r="A169" s="341"/>
      <c r="B169" s="340"/>
      <c r="C169" s="339"/>
      <c r="D169" s="333" t="s">
        <v>1155</v>
      </c>
      <c r="E169" s="332" t="s">
        <v>41</v>
      </c>
      <c r="F169" s="331">
        <v>2.9990000000000001</v>
      </c>
      <c r="G169" s="332" t="s">
        <v>467</v>
      </c>
      <c r="H169" s="331" t="s">
        <v>466</v>
      </c>
      <c r="I169" s="332" t="s">
        <v>71</v>
      </c>
      <c r="J169" s="331">
        <v>2356</v>
      </c>
      <c r="K169" s="326">
        <v>4521</v>
      </c>
      <c r="L169" s="326">
        <v>2000</v>
      </c>
      <c r="M169" s="326" t="s">
        <v>31</v>
      </c>
      <c r="N169" s="342">
        <v>11.8</v>
      </c>
      <c r="O169" s="337">
        <f>IF(N169&gt;0,1/N169*37.7*68.6,"")</f>
        <v>219.17118644067796</v>
      </c>
      <c r="P169" s="328">
        <v>10.35</v>
      </c>
      <c r="Q169" s="327" t="s">
        <v>43</v>
      </c>
      <c r="R169" s="326" t="s">
        <v>33</v>
      </c>
      <c r="S169" s="326" t="s">
        <v>34</v>
      </c>
      <c r="T169" s="326"/>
      <c r="U169" s="345"/>
      <c r="V169" s="324">
        <f>IF(N169&lt;&gt;0, IF(N169&gt;=P169,ROUNDDOWN(N169/P169*100,0),""),"")</f>
        <v>114</v>
      </c>
      <c r="W169" s="311"/>
      <c r="AR169" s="322"/>
      <c r="AS169" s="322"/>
      <c r="AT169" s="322"/>
      <c r="AU169" s="322"/>
      <c r="AV169" s="322"/>
      <c r="AW169" s="322"/>
      <c r="AX169" s="322"/>
      <c r="AY169" s="322"/>
      <c r="AZ169" s="322"/>
      <c r="BA169" s="322"/>
      <c r="BB169" s="322"/>
      <c r="BC169" s="322"/>
      <c r="BD169" s="322"/>
      <c r="BE169" s="322"/>
      <c r="BF169" s="322"/>
      <c r="BG169" s="322"/>
      <c r="BH169" s="322"/>
      <c r="BI169" s="322"/>
      <c r="BJ169" s="322"/>
      <c r="BK169" s="322"/>
      <c r="BL169" s="322"/>
      <c r="BM169" s="322"/>
      <c r="BN169" s="322"/>
      <c r="BO169" s="322"/>
      <c r="BP169" s="322"/>
      <c r="BQ169" s="322"/>
      <c r="BR169" s="322"/>
      <c r="BS169" s="322"/>
      <c r="BT169" s="322"/>
      <c r="BU169" s="322"/>
      <c r="BV169" s="322"/>
      <c r="BW169" s="322"/>
      <c r="BX169" s="322"/>
      <c r="BY169" s="322"/>
      <c r="BZ169" s="322"/>
      <c r="CA169" s="322"/>
      <c r="CB169" s="322"/>
      <c r="CC169" s="322"/>
      <c r="CD169" s="322"/>
      <c r="CE169" s="322"/>
      <c r="CF169" s="322"/>
      <c r="CG169" s="322"/>
      <c r="CH169" s="322"/>
      <c r="CI169" s="322"/>
      <c r="CJ169" s="322"/>
      <c r="CK169" s="322"/>
      <c r="CL169" s="322"/>
      <c r="CM169" s="322"/>
      <c r="CN169" s="322"/>
      <c r="CO169" s="322"/>
      <c r="CP169" s="322"/>
      <c r="CQ169" s="322"/>
      <c r="CR169" s="322"/>
      <c r="CS169" s="322"/>
      <c r="CT169" s="322"/>
      <c r="CU169" s="322"/>
      <c r="CV169" s="322"/>
      <c r="CW169" s="322"/>
      <c r="CX169" s="322"/>
      <c r="CY169" s="322"/>
      <c r="CZ169" s="322"/>
      <c r="DA169" s="322"/>
      <c r="DB169" s="322"/>
      <c r="DC169" s="322"/>
      <c r="DD169" s="322"/>
      <c r="DE169" s="322"/>
      <c r="DF169" s="322"/>
      <c r="DG169" s="322"/>
      <c r="DH169" s="322"/>
      <c r="DI169" s="322"/>
      <c r="DJ169" s="322"/>
      <c r="DK169" s="322"/>
    </row>
    <row r="170" spans="1:115" s="320" customFormat="1" ht="21" customHeight="1">
      <c r="A170" s="341"/>
      <c r="B170" s="340"/>
      <c r="C170" s="339"/>
      <c r="D170" s="333" t="s">
        <v>1155</v>
      </c>
      <c r="E170" s="332" t="s">
        <v>41</v>
      </c>
      <c r="F170" s="331">
        <v>2.9990000000000001</v>
      </c>
      <c r="G170" s="332" t="s">
        <v>467</v>
      </c>
      <c r="H170" s="331" t="s">
        <v>466</v>
      </c>
      <c r="I170" s="332" t="s">
        <v>42</v>
      </c>
      <c r="J170" s="331">
        <v>2356</v>
      </c>
      <c r="K170" s="326">
        <v>4521</v>
      </c>
      <c r="L170" s="326">
        <v>2000</v>
      </c>
      <c r="M170" s="326" t="s">
        <v>31</v>
      </c>
      <c r="N170" s="342">
        <v>11.8</v>
      </c>
      <c r="O170" s="337">
        <f>IF(N170&gt;0,1/N170*37.7*68.6,"")</f>
        <v>219.17118644067796</v>
      </c>
      <c r="P170" s="328">
        <v>10.35</v>
      </c>
      <c r="Q170" s="327" t="s">
        <v>63</v>
      </c>
      <c r="R170" s="326" t="s">
        <v>33</v>
      </c>
      <c r="S170" s="326" t="s">
        <v>34</v>
      </c>
      <c r="T170" s="326"/>
      <c r="U170" s="345"/>
      <c r="V170" s="324">
        <f>IF(N170&lt;&gt;0, IF(N170&gt;=P170,ROUNDDOWN(N170/P170*100,0),""),"")</f>
        <v>114</v>
      </c>
      <c r="W170" s="311"/>
      <c r="AR170" s="322"/>
      <c r="AS170" s="322"/>
      <c r="AT170" s="322"/>
      <c r="AU170" s="322"/>
      <c r="AV170" s="322"/>
      <c r="AW170" s="322"/>
      <c r="AX170" s="322"/>
      <c r="AY170" s="322"/>
      <c r="AZ170" s="322"/>
      <c r="BA170" s="322"/>
      <c r="BB170" s="322"/>
      <c r="BC170" s="322"/>
      <c r="BD170" s="322"/>
      <c r="BE170" s="322"/>
      <c r="BF170" s="322"/>
      <c r="BG170" s="322"/>
      <c r="BH170" s="322"/>
      <c r="BI170" s="322"/>
      <c r="BJ170" s="322"/>
      <c r="BK170" s="322"/>
      <c r="BL170" s="322"/>
      <c r="BM170" s="322"/>
      <c r="BN170" s="322"/>
      <c r="BO170" s="322"/>
      <c r="BP170" s="322"/>
      <c r="BQ170" s="322"/>
      <c r="BR170" s="322"/>
      <c r="BS170" s="322"/>
      <c r="BT170" s="322"/>
      <c r="BU170" s="322"/>
      <c r="BV170" s="322"/>
      <c r="BW170" s="322"/>
      <c r="BX170" s="322"/>
      <c r="BY170" s="322"/>
      <c r="BZ170" s="322"/>
      <c r="CA170" s="322"/>
      <c r="CB170" s="322"/>
      <c r="CC170" s="322"/>
      <c r="CD170" s="322"/>
      <c r="CE170" s="322"/>
      <c r="CF170" s="322"/>
      <c r="CG170" s="322"/>
      <c r="CH170" s="322"/>
      <c r="CI170" s="322"/>
      <c r="CJ170" s="322"/>
      <c r="CK170" s="322"/>
      <c r="CL170" s="322"/>
      <c r="CM170" s="322"/>
      <c r="CN170" s="322"/>
      <c r="CO170" s="322"/>
      <c r="CP170" s="322"/>
      <c r="CQ170" s="322"/>
      <c r="CR170" s="322"/>
      <c r="CS170" s="322"/>
      <c r="CT170" s="322"/>
      <c r="CU170" s="322"/>
      <c r="CV170" s="322"/>
      <c r="CW170" s="322"/>
      <c r="CX170" s="322"/>
      <c r="CY170" s="322"/>
      <c r="CZ170" s="322"/>
      <c r="DA170" s="322"/>
      <c r="DB170" s="322"/>
      <c r="DC170" s="322"/>
      <c r="DD170" s="322"/>
      <c r="DE170" s="322"/>
      <c r="DF170" s="322"/>
      <c r="DG170" s="322"/>
      <c r="DH170" s="322"/>
      <c r="DI170" s="322"/>
      <c r="DJ170" s="322"/>
      <c r="DK170" s="322"/>
    </row>
    <row r="171" spans="1:115" s="320" customFormat="1" ht="21" customHeight="1">
      <c r="A171" s="341"/>
      <c r="B171" s="340"/>
      <c r="C171" s="339"/>
      <c r="D171" s="333" t="s">
        <v>1155</v>
      </c>
      <c r="E171" s="332" t="s">
        <v>41</v>
      </c>
      <c r="F171" s="331">
        <v>2.9990000000000001</v>
      </c>
      <c r="G171" s="332" t="s">
        <v>467</v>
      </c>
      <c r="H171" s="331" t="s">
        <v>466</v>
      </c>
      <c r="I171" s="332" t="s">
        <v>71</v>
      </c>
      <c r="J171" s="331">
        <v>2356</v>
      </c>
      <c r="K171" s="326">
        <v>4521</v>
      </c>
      <c r="L171" s="326">
        <v>2000</v>
      </c>
      <c r="M171" s="326" t="s">
        <v>31</v>
      </c>
      <c r="N171" s="338">
        <v>11.4</v>
      </c>
      <c r="O171" s="344">
        <f>IF(N171&gt;0,1/N171*37.7*68.6,"")</f>
        <v>226.8614035087719</v>
      </c>
      <c r="P171" s="328">
        <v>10.35</v>
      </c>
      <c r="Q171" s="327" t="s">
        <v>63</v>
      </c>
      <c r="R171" s="326" t="s">
        <v>33</v>
      </c>
      <c r="S171" s="326" t="s">
        <v>34</v>
      </c>
      <c r="T171" s="326"/>
      <c r="U171" s="345"/>
      <c r="V171" s="324">
        <f>IF(N171&lt;&gt;0, IF(N171&gt;=P171,ROUNDDOWN(N171/P171*100,0),""),"")</f>
        <v>110</v>
      </c>
      <c r="W171" s="311"/>
      <c r="AR171" s="322"/>
      <c r="AS171" s="322"/>
      <c r="AT171" s="322"/>
      <c r="AU171" s="322"/>
      <c r="AV171" s="322"/>
      <c r="AW171" s="322"/>
      <c r="AX171" s="322"/>
      <c r="AY171" s="322"/>
      <c r="AZ171" s="322"/>
      <c r="BA171" s="322"/>
      <c r="BB171" s="322"/>
      <c r="BC171" s="322"/>
      <c r="BD171" s="322"/>
      <c r="BE171" s="322"/>
      <c r="BF171" s="322"/>
      <c r="BG171" s="322"/>
      <c r="BH171" s="322"/>
      <c r="BI171" s="322"/>
      <c r="BJ171" s="322"/>
      <c r="BK171" s="322"/>
      <c r="BL171" s="322"/>
      <c r="BM171" s="322"/>
      <c r="BN171" s="322"/>
      <c r="BO171" s="322"/>
      <c r="BP171" s="322"/>
      <c r="BQ171" s="322"/>
      <c r="BR171" s="322"/>
      <c r="BS171" s="322"/>
      <c r="BT171" s="322"/>
      <c r="BU171" s="322"/>
      <c r="BV171" s="322"/>
      <c r="BW171" s="322"/>
      <c r="BX171" s="322"/>
      <c r="BY171" s="322"/>
      <c r="BZ171" s="322"/>
      <c r="CA171" s="322"/>
      <c r="CB171" s="322"/>
      <c r="CC171" s="322"/>
      <c r="CD171" s="322"/>
      <c r="CE171" s="322"/>
      <c r="CF171" s="322"/>
      <c r="CG171" s="322"/>
      <c r="CH171" s="322"/>
      <c r="CI171" s="322"/>
      <c r="CJ171" s="322"/>
      <c r="CK171" s="322"/>
      <c r="CL171" s="322"/>
      <c r="CM171" s="322"/>
      <c r="CN171" s="322"/>
      <c r="CO171" s="322"/>
      <c r="CP171" s="322"/>
      <c r="CQ171" s="322"/>
      <c r="CR171" s="322"/>
      <c r="CS171" s="322"/>
      <c r="CT171" s="322"/>
      <c r="CU171" s="322"/>
      <c r="CV171" s="322"/>
      <c r="CW171" s="322"/>
      <c r="CX171" s="322"/>
      <c r="CY171" s="322"/>
      <c r="CZ171" s="322"/>
      <c r="DA171" s="322"/>
      <c r="DB171" s="322"/>
      <c r="DC171" s="322"/>
      <c r="DD171" s="322"/>
      <c r="DE171" s="322"/>
      <c r="DF171" s="322"/>
      <c r="DG171" s="322"/>
      <c r="DH171" s="322"/>
      <c r="DI171" s="322"/>
      <c r="DJ171" s="322"/>
      <c r="DK171" s="322"/>
    </row>
    <row r="172" spans="1:115" s="320" customFormat="1" ht="21" customHeight="1">
      <c r="A172" s="341"/>
      <c r="B172" s="340"/>
      <c r="C172" s="339"/>
      <c r="D172" s="333" t="s">
        <v>1155</v>
      </c>
      <c r="E172" s="332" t="s">
        <v>41</v>
      </c>
      <c r="F172" s="331">
        <v>2.9990000000000001</v>
      </c>
      <c r="G172" s="332" t="s">
        <v>467</v>
      </c>
      <c r="H172" s="331" t="s">
        <v>466</v>
      </c>
      <c r="I172" s="332" t="s">
        <v>71</v>
      </c>
      <c r="J172" s="331">
        <v>2652</v>
      </c>
      <c r="K172" s="326">
        <v>5812</v>
      </c>
      <c r="L172" s="326">
        <v>2995</v>
      </c>
      <c r="M172" s="326" t="s">
        <v>31</v>
      </c>
      <c r="N172" s="338">
        <v>10.8</v>
      </c>
      <c r="O172" s="344">
        <f>IF(N172&gt;0,1/N172*37.7*68.6,"")</f>
        <v>239.46481481481482</v>
      </c>
      <c r="P172" s="328">
        <v>9.51</v>
      </c>
      <c r="Q172" s="327" t="s">
        <v>43</v>
      </c>
      <c r="R172" s="326" t="s">
        <v>33</v>
      </c>
      <c r="S172" s="326" t="s">
        <v>34</v>
      </c>
      <c r="T172" s="326"/>
      <c r="U172" s="345"/>
      <c r="V172" s="324">
        <f>IF(N172&lt;&gt;0, IF(N172&gt;=P172,ROUNDDOWN(N172/P172*100,0),""),"")</f>
        <v>113</v>
      </c>
      <c r="W172" s="311"/>
      <c r="AR172" s="322"/>
      <c r="AS172" s="322"/>
      <c r="AT172" s="322"/>
      <c r="AU172" s="322"/>
      <c r="AV172" s="322"/>
      <c r="AW172" s="322"/>
      <c r="AX172" s="322"/>
      <c r="AY172" s="322"/>
      <c r="AZ172" s="322"/>
      <c r="BA172" s="322"/>
      <c r="BB172" s="322"/>
      <c r="BC172" s="322"/>
      <c r="BD172" s="322"/>
      <c r="BE172" s="322"/>
      <c r="BF172" s="322"/>
      <c r="BG172" s="322"/>
      <c r="BH172" s="322"/>
      <c r="BI172" s="322"/>
      <c r="BJ172" s="322"/>
      <c r="BK172" s="322"/>
      <c r="BL172" s="322"/>
      <c r="BM172" s="322"/>
      <c r="BN172" s="322"/>
      <c r="BO172" s="322"/>
      <c r="BP172" s="322"/>
      <c r="BQ172" s="322"/>
      <c r="BR172" s="322"/>
      <c r="BS172" s="322"/>
      <c r="BT172" s="322"/>
      <c r="BU172" s="322"/>
      <c r="BV172" s="322"/>
      <c r="BW172" s="322"/>
      <c r="BX172" s="322"/>
      <c r="BY172" s="322"/>
      <c r="BZ172" s="322"/>
      <c r="CA172" s="322"/>
      <c r="CB172" s="322"/>
      <c r="CC172" s="322"/>
      <c r="CD172" s="322"/>
      <c r="CE172" s="322"/>
      <c r="CF172" s="322"/>
      <c r="CG172" s="322"/>
      <c r="CH172" s="322"/>
      <c r="CI172" s="322"/>
      <c r="CJ172" s="322"/>
      <c r="CK172" s="322"/>
      <c r="CL172" s="322"/>
      <c r="CM172" s="322"/>
      <c r="CN172" s="322"/>
      <c r="CO172" s="322"/>
      <c r="CP172" s="322"/>
      <c r="CQ172" s="322"/>
      <c r="CR172" s="322"/>
      <c r="CS172" s="322"/>
      <c r="CT172" s="322"/>
      <c r="CU172" s="322"/>
      <c r="CV172" s="322"/>
      <c r="CW172" s="322"/>
      <c r="CX172" s="322"/>
      <c r="CY172" s="322"/>
      <c r="CZ172" s="322"/>
      <c r="DA172" s="322"/>
      <c r="DB172" s="322"/>
      <c r="DC172" s="322"/>
      <c r="DD172" s="322"/>
      <c r="DE172" s="322"/>
      <c r="DF172" s="322"/>
      <c r="DG172" s="322"/>
      <c r="DH172" s="322"/>
      <c r="DI172" s="322"/>
      <c r="DJ172" s="322"/>
      <c r="DK172" s="322"/>
    </row>
    <row r="173" spans="1:115" s="320" customFormat="1" ht="21" customHeight="1">
      <c r="A173" s="341"/>
      <c r="B173" s="340"/>
      <c r="C173" s="339"/>
      <c r="D173" s="333" t="s">
        <v>1155</v>
      </c>
      <c r="E173" s="332" t="s">
        <v>41</v>
      </c>
      <c r="F173" s="331">
        <v>2.9990000000000001</v>
      </c>
      <c r="G173" s="332" t="s">
        <v>467</v>
      </c>
      <c r="H173" s="331" t="s">
        <v>466</v>
      </c>
      <c r="I173" s="332" t="s">
        <v>42</v>
      </c>
      <c r="J173" s="331">
        <v>2652</v>
      </c>
      <c r="K173" s="326">
        <v>5812</v>
      </c>
      <c r="L173" s="326">
        <v>2995</v>
      </c>
      <c r="M173" s="326" t="s">
        <v>31</v>
      </c>
      <c r="N173" s="338">
        <v>10.8</v>
      </c>
      <c r="O173" s="344">
        <f>IF(N173&gt;0,1/N173*37.7*68.6,"")</f>
        <v>239.46481481481482</v>
      </c>
      <c r="P173" s="328">
        <v>9.51</v>
      </c>
      <c r="Q173" s="327" t="s">
        <v>63</v>
      </c>
      <c r="R173" s="326" t="s">
        <v>33</v>
      </c>
      <c r="S173" s="326" t="s">
        <v>34</v>
      </c>
      <c r="T173" s="326"/>
      <c r="U173" s="345"/>
      <c r="V173" s="324">
        <f>IF(N173&lt;&gt;0, IF(N173&gt;=P173,ROUNDDOWN(N173/P173*100,0),""),"")</f>
        <v>113</v>
      </c>
      <c r="W173" s="311"/>
      <c r="AR173" s="322"/>
      <c r="AS173" s="322"/>
      <c r="AT173" s="322"/>
      <c r="AU173" s="322"/>
      <c r="AV173" s="322"/>
      <c r="AW173" s="322"/>
      <c r="AX173" s="322"/>
      <c r="AY173" s="322"/>
      <c r="AZ173" s="322"/>
      <c r="BA173" s="322"/>
      <c r="BB173" s="322"/>
      <c r="BC173" s="322"/>
      <c r="BD173" s="322"/>
      <c r="BE173" s="322"/>
      <c r="BF173" s="322"/>
      <c r="BG173" s="322"/>
      <c r="BH173" s="322"/>
      <c r="BI173" s="322"/>
      <c r="BJ173" s="322"/>
      <c r="BK173" s="322"/>
      <c r="BL173" s="322"/>
      <c r="BM173" s="322"/>
      <c r="BN173" s="322"/>
      <c r="BO173" s="322"/>
      <c r="BP173" s="322"/>
      <c r="BQ173" s="322"/>
      <c r="BR173" s="322"/>
      <c r="BS173" s="322"/>
      <c r="BT173" s="322"/>
      <c r="BU173" s="322"/>
      <c r="BV173" s="322"/>
      <c r="BW173" s="322"/>
      <c r="BX173" s="322"/>
      <c r="BY173" s="322"/>
      <c r="BZ173" s="322"/>
      <c r="CA173" s="322"/>
      <c r="CB173" s="322"/>
      <c r="CC173" s="322"/>
      <c r="CD173" s="322"/>
      <c r="CE173" s="322"/>
      <c r="CF173" s="322"/>
      <c r="CG173" s="322"/>
      <c r="CH173" s="322"/>
      <c r="CI173" s="322"/>
      <c r="CJ173" s="322"/>
      <c r="CK173" s="322"/>
      <c r="CL173" s="322"/>
      <c r="CM173" s="322"/>
      <c r="CN173" s="322"/>
      <c r="CO173" s="322"/>
      <c r="CP173" s="322"/>
      <c r="CQ173" s="322"/>
      <c r="CR173" s="322"/>
      <c r="CS173" s="322"/>
      <c r="CT173" s="322"/>
      <c r="CU173" s="322"/>
      <c r="CV173" s="322"/>
      <c r="CW173" s="322"/>
      <c r="CX173" s="322"/>
      <c r="CY173" s="322"/>
      <c r="CZ173" s="322"/>
      <c r="DA173" s="322"/>
      <c r="DB173" s="322"/>
      <c r="DC173" s="322"/>
      <c r="DD173" s="322"/>
      <c r="DE173" s="322"/>
      <c r="DF173" s="322"/>
      <c r="DG173" s="322"/>
      <c r="DH173" s="322"/>
      <c r="DI173" s="322"/>
      <c r="DJ173" s="322"/>
      <c r="DK173" s="322"/>
    </row>
    <row r="174" spans="1:115" s="320" customFormat="1" ht="21" customHeight="1">
      <c r="A174" s="341"/>
      <c r="B174" s="340"/>
      <c r="C174" s="339"/>
      <c r="D174" s="333" t="s">
        <v>1155</v>
      </c>
      <c r="E174" s="332" t="s">
        <v>41</v>
      </c>
      <c r="F174" s="331">
        <v>2.9990000000000001</v>
      </c>
      <c r="G174" s="332" t="s">
        <v>467</v>
      </c>
      <c r="H174" s="331" t="s">
        <v>466</v>
      </c>
      <c r="I174" s="332" t="s">
        <v>71</v>
      </c>
      <c r="J174" s="331">
        <v>2652</v>
      </c>
      <c r="K174" s="326">
        <v>5812</v>
      </c>
      <c r="L174" s="326">
        <v>2995</v>
      </c>
      <c r="M174" s="326" t="s">
        <v>31</v>
      </c>
      <c r="N174" s="338">
        <v>10.6</v>
      </c>
      <c r="O174" s="344">
        <f>IF(N174&gt;0,1/N174*37.7*68.6,"")</f>
        <v>243.98301886792456</v>
      </c>
      <c r="P174" s="328">
        <v>9.51</v>
      </c>
      <c r="Q174" s="327" t="s">
        <v>63</v>
      </c>
      <c r="R174" s="326" t="s">
        <v>33</v>
      </c>
      <c r="S174" s="326" t="s">
        <v>34</v>
      </c>
      <c r="T174" s="326"/>
      <c r="U174" s="345"/>
      <c r="V174" s="324">
        <f>IF(N174&lt;&gt;0, IF(N174&gt;=P174,ROUNDDOWN(N174/P174*100,0),""),"")</f>
        <v>111</v>
      </c>
      <c r="W174" s="311"/>
      <c r="AR174" s="322"/>
      <c r="AS174" s="322"/>
      <c r="AT174" s="322"/>
      <c r="AU174" s="322"/>
      <c r="AV174" s="322"/>
      <c r="AW174" s="322"/>
      <c r="AX174" s="322"/>
      <c r="AY174" s="322"/>
      <c r="AZ174" s="322"/>
      <c r="BA174" s="322"/>
      <c r="BB174" s="322"/>
      <c r="BC174" s="322"/>
      <c r="BD174" s="322"/>
      <c r="BE174" s="322"/>
      <c r="BF174" s="322"/>
      <c r="BG174" s="322"/>
      <c r="BH174" s="322"/>
      <c r="BI174" s="322"/>
      <c r="BJ174" s="322"/>
      <c r="BK174" s="322"/>
      <c r="BL174" s="322"/>
      <c r="BM174" s="322"/>
      <c r="BN174" s="322"/>
      <c r="BO174" s="322"/>
      <c r="BP174" s="322"/>
      <c r="BQ174" s="322"/>
      <c r="BR174" s="322"/>
      <c r="BS174" s="322"/>
      <c r="BT174" s="322"/>
      <c r="BU174" s="322"/>
      <c r="BV174" s="322"/>
      <c r="BW174" s="322"/>
      <c r="BX174" s="322"/>
      <c r="BY174" s="322"/>
      <c r="BZ174" s="322"/>
      <c r="CA174" s="322"/>
      <c r="CB174" s="322"/>
      <c r="CC174" s="322"/>
      <c r="CD174" s="322"/>
      <c r="CE174" s="322"/>
      <c r="CF174" s="322"/>
      <c r="CG174" s="322"/>
      <c r="CH174" s="322"/>
      <c r="CI174" s="322"/>
      <c r="CJ174" s="322"/>
      <c r="CK174" s="322"/>
      <c r="CL174" s="322"/>
      <c r="CM174" s="322"/>
      <c r="CN174" s="322"/>
      <c r="CO174" s="322"/>
      <c r="CP174" s="322"/>
      <c r="CQ174" s="322"/>
      <c r="CR174" s="322"/>
      <c r="CS174" s="322"/>
      <c r="CT174" s="322"/>
      <c r="CU174" s="322"/>
      <c r="CV174" s="322"/>
      <c r="CW174" s="322"/>
      <c r="CX174" s="322"/>
      <c r="CY174" s="322"/>
      <c r="CZ174" s="322"/>
      <c r="DA174" s="322"/>
      <c r="DB174" s="322"/>
      <c r="DC174" s="322"/>
      <c r="DD174" s="322"/>
      <c r="DE174" s="322"/>
      <c r="DF174" s="322"/>
      <c r="DG174" s="322"/>
      <c r="DH174" s="322"/>
      <c r="DI174" s="322"/>
      <c r="DJ174" s="322"/>
      <c r="DK174" s="322"/>
    </row>
    <row r="175" spans="1:115" s="322" customFormat="1" ht="21" customHeight="1">
      <c r="A175" s="341"/>
      <c r="B175" s="340"/>
      <c r="C175" s="339"/>
      <c r="D175" s="333" t="s">
        <v>1154</v>
      </c>
      <c r="E175" s="326" t="s">
        <v>41</v>
      </c>
      <c r="F175" s="331">
        <v>2.9990000000000001</v>
      </c>
      <c r="G175" s="332">
        <v>375</v>
      </c>
      <c r="H175" s="331">
        <v>110</v>
      </c>
      <c r="I175" s="332" t="s">
        <v>71</v>
      </c>
      <c r="J175" s="331">
        <v>2356</v>
      </c>
      <c r="K175" s="326">
        <v>4521</v>
      </c>
      <c r="L175" s="326">
        <v>2000</v>
      </c>
      <c r="M175" s="326" t="s">
        <v>31</v>
      </c>
      <c r="N175" s="338">
        <v>11.8</v>
      </c>
      <c r="O175" s="344">
        <f>IF(N175&gt;0,1/N175*37.7*68.6,"")</f>
        <v>219.17118644067796</v>
      </c>
      <c r="P175" s="328">
        <v>10.35</v>
      </c>
      <c r="Q175" s="327" t="s">
        <v>43</v>
      </c>
      <c r="R175" s="326" t="s">
        <v>33</v>
      </c>
      <c r="S175" s="326" t="s">
        <v>34</v>
      </c>
      <c r="T175" s="326"/>
      <c r="U175" s="325"/>
      <c r="V175" s="324">
        <f>IF(N175&lt;&gt;0, IF(N175&gt;=P175,ROUNDDOWN(N175/P175*100,0),""),"")</f>
        <v>114</v>
      </c>
      <c r="W175" s="311"/>
      <c r="X175" s="323"/>
      <c r="Y175" s="311"/>
      <c r="Z175" s="320"/>
      <c r="AA175" s="320"/>
      <c r="AB175" s="320"/>
      <c r="AC175" s="320"/>
      <c r="AD175" s="320"/>
      <c r="AE175" s="320"/>
      <c r="AF175" s="320"/>
      <c r="AG175" s="320"/>
      <c r="AH175" s="320"/>
      <c r="AI175" s="320"/>
      <c r="AJ175" s="320"/>
      <c r="AK175" s="320"/>
      <c r="AL175" s="320"/>
      <c r="AM175" s="320"/>
      <c r="AN175" s="320"/>
      <c r="AO175" s="320"/>
      <c r="AP175" s="320"/>
      <c r="AQ175" s="320"/>
      <c r="AR175" s="320"/>
      <c r="AS175" s="320"/>
      <c r="AT175" s="320"/>
      <c r="AU175" s="320"/>
      <c r="AV175" s="320"/>
      <c r="AW175" s="320"/>
      <c r="AX175" s="320"/>
      <c r="AY175" s="320"/>
      <c r="AZ175" s="320"/>
      <c r="BA175" s="320"/>
      <c r="BB175" s="320"/>
      <c r="BC175" s="320"/>
      <c r="BD175" s="320"/>
      <c r="BE175" s="320"/>
      <c r="BF175" s="320"/>
      <c r="BG175" s="320"/>
      <c r="BH175" s="320"/>
      <c r="BI175" s="320"/>
      <c r="BJ175" s="320"/>
      <c r="BK175" s="320"/>
      <c r="BL175" s="320"/>
      <c r="BM175" s="320"/>
      <c r="BN175" s="320"/>
      <c r="BO175" s="320"/>
      <c r="BP175" s="320"/>
      <c r="BQ175" s="320"/>
      <c r="BR175" s="320"/>
      <c r="BS175" s="320"/>
      <c r="BT175" s="320"/>
      <c r="BU175" s="320"/>
      <c r="BV175" s="320"/>
      <c r="BW175" s="320"/>
      <c r="BX175" s="320"/>
      <c r="BY175" s="320"/>
      <c r="BZ175" s="320"/>
      <c r="CA175" s="320"/>
      <c r="CB175" s="320"/>
      <c r="CC175" s="320"/>
      <c r="CD175" s="320"/>
      <c r="CE175" s="320"/>
      <c r="CF175" s="320"/>
      <c r="CG175" s="320"/>
      <c r="CH175" s="320"/>
      <c r="CI175" s="320"/>
      <c r="CJ175" s="320"/>
      <c r="CK175" s="320"/>
      <c r="CL175" s="320"/>
      <c r="CM175" s="320"/>
      <c r="CN175" s="320"/>
      <c r="CO175" s="320"/>
      <c r="CP175" s="320"/>
      <c r="CQ175" s="320"/>
      <c r="CR175" s="320"/>
      <c r="CS175" s="320"/>
      <c r="CT175" s="320"/>
      <c r="CU175" s="320"/>
      <c r="CV175" s="320"/>
      <c r="CW175" s="320"/>
      <c r="CX175" s="320"/>
      <c r="CY175" s="320"/>
      <c r="CZ175" s="320"/>
      <c r="DA175" s="320"/>
      <c r="DB175" s="320"/>
      <c r="DC175" s="320"/>
      <c r="DD175" s="320"/>
      <c r="DE175" s="320"/>
      <c r="DF175" s="320"/>
      <c r="DG175" s="320"/>
      <c r="DH175" s="320"/>
      <c r="DI175" s="320"/>
      <c r="DJ175" s="320"/>
      <c r="DK175" s="320"/>
    </row>
    <row r="176" spans="1:115" s="322" customFormat="1" ht="21" customHeight="1">
      <c r="A176" s="341"/>
      <c r="B176" s="340"/>
      <c r="C176" s="339"/>
      <c r="D176" s="333" t="s">
        <v>1154</v>
      </c>
      <c r="E176" s="326" t="s">
        <v>41</v>
      </c>
      <c r="F176" s="331">
        <v>2.9990000000000001</v>
      </c>
      <c r="G176" s="332">
        <v>375</v>
      </c>
      <c r="H176" s="331">
        <v>110</v>
      </c>
      <c r="I176" s="332" t="s">
        <v>71</v>
      </c>
      <c r="J176" s="331">
        <v>2356</v>
      </c>
      <c r="K176" s="326">
        <v>4521</v>
      </c>
      <c r="L176" s="326">
        <v>2000</v>
      </c>
      <c r="M176" s="326" t="s">
        <v>31</v>
      </c>
      <c r="N176" s="342">
        <v>11.4</v>
      </c>
      <c r="O176" s="337">
        <f>IF(N176&gt;0,1/N176*37.7*68.6,"")</f>
        <v>226.8614035087719</v>
      </c>
      <c r="P176" s="328">
        <v>10.35</v>
      </c>
      <c r="Q176" s="327" t="s">
        <v>63</v>
      </c>
      <c r="R176" s="326" t="s">
        <v>33</v>
      </c>
      <c r="S176" s="326" t="s">
        <v>34</v>
      </c>
      <c r="T176" s="326"/>
      <c r="U176" s="325"/>
      <c r="V176" s="324">
        <f>IF(N176&lt;&gt;0, IF(N176&gt;=P176,ROUNDDOWN(N176/P176*100,0),""),"")</f>
        <v>110</v>
      </c>
      <c r="W176" s="311"/>
      <c r="X176" s="323"/>
      <c r="Y176" s="311"/>
      <c r="Z176" s="320"/>
      <c r="AA176" s="320"/>
      <c r="AB176" s="320"/>
      <c r="AC176" s="320"/>
      <c r="AD176" s="320"/>
      <c r="AE176" s="320"/>
      <c r="AF176" s="320"/>
      <c r="AG176" s="320"/>
      <c r="AH176" s="320"/>
      <c r="AI176" s="320"/>
      <c r="AJ176" s="320"/>
      <c r="AK176" s="320"/>
      <c r="AL176" s="320"/>
      <c r="AM176" s="320"/>
      <c r="AN176" s="320"/>
      <c r="AO176" s="320"/>
      <c r="AP176" s="320"/>
      <c r="AQ176" s="320"/>
      <c r="AR176" s="320"/>
      <c r="AS176" s="320"/>
      <c r="AT176" s="320"/>
      <c r="AU176" s="320"/>
      <c r="AV176" s="320"/>
      <c r="AW176" s="320"/>
      <c r="AX176" s="320"/>
      <c r="AY176" s="320"/>
      <c r="AZ176" s="320"/>
      <c r="BA176" s="320"/>
      <c r="BB176" s="320"/>
      <c r="BC176" s="320"/>
      <c r="BD176" s="320"/>
      <c r="BE176" s="320"/>
      <c r="BF176" s="320"/>
      <c r="BG176" s="320"/>
      <c r="BH176" s="320"/>
      <c r="BI176" s="320"/>
      <c r="BJ176" s="320"/>
      <c r="BK176" s="320"/>
      <c r="BL176" s="320"/>
      <c r="BM176" s="320"/>
      <c r="BN176" s="320"/>
      <c r="BO176" s="320"/>
      <c r="BP176" s="320"/>
      <c r="BQ176" s="320"/>
      <c r="BR176" s="320"/>
      <c r="BS176" s="320"/>
      <c r="BT176" s="320"/>
      <c r="BU176" s="320"/>
      <c r="BV176" s="320"/>
      <c r="BW176" s="320"/>
      <c r="BX176" s="320"/>
      <c r="BY176" s="320"/>
      <c r="BZ176" s="320"/>
      <c r="CA176" s="320"/>
      <c r="CB176" s="320"/>
      <c r="CC176" s="320"/>
      <c r="CD176" s="320"/>
      <c r="CE176" s="320"/>
      <c r="CF176" s="320"/>
      <c r="CG176" s="320"/>
      <c r="CH176" s="320"/>
      <c r="CI176" s="320"/>
      <c r="CJ176" s="320"/>
      <c r="CK176" s="320"/>
      <c r="CL176" s="320"/>
      <c r="CM176" s="320"/>
      <c r="CN176" s="320"/>
      <c r="CO176" s="320"/>
      <c r="CP176" s="320"/>
      <c r="CQ176" s="320"/>
      <c r="CR176" s="320"/>
      <c r="CS176" s="320"/>
      <c r="CT176" s="320"/>
      <c r="CU176" s="320"/>
      <c r="CV176" s="320"/>
      <c r="CW176" s="320"/>
      <c r="CX176" s="320"/>
      <c r="CY176" s="320"/>
      <c r="CZ176" s="320"/>
      <c r="DA176" s="320"/>
      <c r="DB176" s="320"/>
      <c r="DC176" s="320"/>
      <c r="DD176" s="320"/>
      <c r="DE176" s="320"/>
      <c r="DF176" s="320"/>
      <c r="DG176" s="320"/>
      <c r="DH176" s="320"/>
      <c r="DI176" s="320"/>
      <c r="DJ176" s="320"/>
      <c r="DK176" s="320"/>
    </row>
    <row r="177" spans="1:115" s="322" customFormat="1" ht="21" customHeight="1">
      <c r="A177" s="341"/>
      <c r="B177" s="340"/>
      <c r="C177" s="339"/>
      <c r="D177" s="333" t="s">
        <v>1154</v>
      </c>
      <c r="E177" s="326" t="s">
        <v>41</v>
      </c>
      <c r="F177" s="331">
        <v>2.9990000000000001</v>
      </c>
      <c r="G177" s="332">
        <v>375</v>
      </c>
      <c r="H177" s="331">
        <v>110</v>
      </c>
      <c r="I177" s="332" t="s">
        <v>71</v>
      </c>
      <c r="J177" s="331">
        <v>2652</v>
      </c>
      <c r="K177" s="326">
        <v>5812</v>
      </c>
      <c r="L177" s="326">
        <v>2995</v>
      </c>
      <c r="M177" s="326" t="s">
        <v>31</v>
      </c>
      <c r="N177" s="342">
        <v>10.8</v>
      </c>
      <c r="O177" s="337">
        <f>IF(N177&gt;0,1/N177*37.7*68.6,"")</f>
        <v>239.46481481481482</v>
      </c>
      <c r="P177" s="328">
        <v>9.51</v>
      </c>
      <c r="Q177" s="327" t="s">
        <v>43</v>
      </c>
      <c r="R177" s="326" t="s">
        <v>33</v>
      </c>
      <c r="S177" s="326" t="s">
        <v>34</v>
      </c>
      <c r="T177" s="326"/>
      <c r="U177" s="325"/>
      <c r="V177" s="324">
        <f>IF(N177&lt;&gt;0, IF(N177&gt;=P177,ROUNDDOWN(N177/P177*100,0),""),"")</f>
        <v>113</v>
      </c>
      <c r="W177" s="311"/>
      <c r="X177" s="323"/>
      <c r="Y177" s="311"/>
      <c r="Z177" s="320"/>
      <c r="AA177" s="320"/>
      <c r="AB177" s="320"/>
      <c r="AC177" s="320"/>
      <c r="AD177" s="320"/>
      <c r="AE177" s="320"/>
      <c r="AF177" s="320"/>
      <c r="AG177" s="320"/>
      <c r="AH177" s="320"/>
      <c r="AI177" s="320"/>
      <c r="AJ177" s="320"/>
      <c r="AK177" s="320"/>
      <c r="AL177" s="320"/>
      <c r="AM177" s="320"/>
      <c r="AN177" s="320"/>
      <c r="AO177" s="320"/>
      <c r="AP177" s="320"/>
      <c r="AQ177" s="320"/>
      <c r="AR177" s="320"/>
      <c r="AS177" s="320"/>
      <c r="AT177" s="320"/>
      <c r="AU177" s="320"/>
      <c r="AV177" s="320"/>
      <c r="AW177" s="320"/>
      <c r="AX177" s="320"/>
      <c r="AY177" s="320"/>
      <c r="AZ177" s="320"/>
      <c r="BA177" s="320"/>
      <c r="BB177" s="320"/>
      <c r="BC177" s="320"/>
      <c r="BD177" s="320"/>
      <c r="BE177" s="320"/>
      <c r="BF177" s="320"/>
      <c r="BG177" s="320"/>
      <c r="BH177" s="320"/>
      <c r="BI177" s="320"/>
      <c r="BJ177" s="320"/>
      <c r="BK177" s="320"/>
      <c r="BL177" s="320"/>
      <c r="BM177" s="320"/>
      <c r="BN177" s="320"/>
      <c r="BO177" s="320"/>
      <c r="BP177" s="320"/>
      <c r="BQ177" s="320"/>
      <c r="BR177" s="320"/>
      <c r="BS177" s="320"/>
      <c r="BT177" s="320"/>
      <c r="BU177" s="320"/>
      <c r="BV177" s="320"/>
      <c r="BW177" s="320"/>
      <c r="BX177" s="320"/>
      <c r="BY177" s="320"/>
      <c r="BZ177" s="320"/>
      <c r="CA177" s="320"/>
      <c r="CB177" s="320"/>
      <c r="CC177" s="320"/>
      <c r="CD177" s="320"/>
      <c r="CE177" s="320"/>
      <c r="CF177" s="320"/>
      <c r="CG177" s="320"/>
      <c r="CH177" s="320"/>
      <c r="CI177" s="320"/>
      <c r="CJ177" s="320"/>
      <c r="CK177" s="320"/>
      <c r="CL177" s="320"/>
      <c r="CM177" s="320"/>
      <c r="CN177" s="320"/>
      <c r="CO177" s="320"/>
      <c r="CP177" s="320"/>
      <c r="CQ177" s="320"/>
      <c r="CR177" s="320"/>
      <c r="CS177" s="320"/>
      <c r="CT177" s="320"/>
      <c r="CU177" s="320"/>
      <c r="CV177" s="320"/>
      <c r="CW177" s="320"/>
      <c r="CX177" s="320"/>
      <c r="CY177" s="320"/>
      <c r="CZ177" s="320"/>
      <c r="DA177" s="320"/>
      <c r="DB177" s="320"/>
      <c r="DC177" s="320"/>
      <c r="DD177" s="320"/>
      <c r="DE177" s="320"/>
      <c r="DF177" s="320"/>
      <c r="DG177" s="320"/>
      <c r="DH177" s="320"/>
      <c r="DI177" s="320"/>
      <c r="DJ177" s="320"/>
      <c r="DK177" s="320"/>
    </row>
    <row r="178" spans="1:115" s="322" customFormat="1" ht="21" customHeight="1">
      <c r="A178" s="341"/>
      <c r="B178" s="340"/>
      <c r="C178" s="339"/>
      <c r="D178" s="333" t="s">
        <v>1154</v>
      </c>
      <c r="E178" s="326" t="s">
        <v>41</v>
      </c>
      <c r="F178" s="331">
        <v>2.9990000000000001</v>
      </c>
      <c r="G178" s="332">
        <v>375</v>
      </c>
      <c r="H178" s="331">
        <v>110</v>
      </c>
      <c r="I178" s="332" t="s">
        <v>71</v>
      </c>
      <c r="J178" s="331">
        <v>2652</v>
      </c>
      <c r="K178" s="326">
        <v>5812</v>
      </c>
      <c r="L178" s="326">
        <v>2995</v>
      </c>
      <c r="M178" s="326" t="s">
        <v>31</v>
      </c>
      <c r="N178" s="342">
        <v>10.6</v>
      </c>
      <c r="O178" s="337">
        <f>IF(N178&gt;0,1/N178*37.7*68.6,"")</f>
        <v>243.98301886792456</v>
      </c>
      <c r="P178" s="328">
        <v>9.51</v>
      </c>
      <c r="Q178" s="327" t="s">
        <v>63</v>
      </c>
      <c r="R178" s="326" t="s">
        <v>33</v>
      </c>
      <c r="S178" s="326" t="s">
        <v>34</v>
      </c>
      <c r="T178" s="326"/>
      <c r="U178" s="325"/>
      <c r="V178" s="324">
        <f>IF(N178&lt;&gt;0, IF(N178&gt;=P178,ROUNDDOWN(N178/P178*100,0),""),"")</f>
        <v>111</v>
      </c>
      <c r="W178" s="311"/>
      <c r="X178" s="323"/>
      <c r="Y178" s="311"/>
      <c r="Z178" s="320"/>
      <c r="AA178" s="320"/>
      <c r="AB178" s="320"/>
      <c r="AC178" s="320"/>
      <c r="AD178" s="320"/>
      <c r="AE178" s="320"/>
      <c r="AF178" s="320"/>
      <c r="AG178" s="320"/>
      <c r="AH178" s="320"/>
      <c r="AI178" s="320"/>
      <c r="AJ178" s="320"/>
      <c r="AK178" s="320"/>
      <c r="AL178" s="320"/>
      <c r="AM178" s="320"/>
      <c r="AN178" s="320"/>
      <c r="AO178" s="320"/>
      <c r="AP178" s="320"/>
      <c r="AQ178" s="320"/>
      <c r="AR178" s="320"/>
      <c r="AS178" s="320"/>
      <c r="AT178" s="320"/>
      <c r="AU178" s="320"/>
      <c r="AV178" s="320"/>
      <c r="AW178" s="320"/>
      <c r="AX178" s="320"/>
      <c r="AY178" s="320"/>
      <c r="AZ178" s="320"/>
      <c r="BA178" s="320"/>
      <c r="BB178" s="320"/>
      <c r="BC178" s="320"/>
      <c r="BD178" s="320"/>
      <c r="BE178" s="320"/>
      <c r="BF178" s="320"/>
      <c r="BG178" s="320"/>
      <c r="BH178" s="320"/>
      <c r="BI178" s="320"/>
      <c r="BJ178" s="320"/>
      <c r="BK178" s="320"/>
      <c r="BL178" s="320"/>
      <c r="BM178" s="320"/>
      <c r="BN178" s="320"/>
      <c r="BO178" s="320"/>
      <c r="BP178" s="320"/>
      <c r="BQ178" s="320"/>
      <c r="BR178" s="320"/>
      <c r="BS178" s="320"/>
      <c r="BT178" s="320"/>
      <c r="BU178" s="320"/>
      <c r="BV178" s="320"/>
      <c r="BW178" s="320"/>
      <c r="BX178" s="320"/>
      <c r="BY178" s="320"/>
      <c r="BZ178" s="320"/>
      <c r="CA178" s="320"/>
      <c r="CB178" s="320"/>
      <c r="CC178" s="320"/>
      <c r="CD178" s="320"/>
      <c r="CE178" s="320"/>
      <c r="CF178" s="320"/>
      <c r="CG178" s="320"/>
      <c r="CH178" s="320"/>
      <c r="CI178" s="320"/>
      <c r="CJ178" s="320"/>
      <c r="CK178" s="320"/>
      <c r="CL178" s="320"/>
      <c r="CM178" s="320"/>
      <c r="CN178" s="320"/>
      <c r="CO178" s="320"/>
      <c r="CP178" s="320"/>
      <c r="CQ178" s="320"/>
      <c r="CR178" s="320"/>
      <c r="CS178" s="320"/>
      <c r="CT178" s="320"/>
      <c r="CU178" s="320"/>
      <c r="CV178" s="320"/>
      <c r="CW178" s="320"/>
      <c r="CX178" s="320"/>
      <c r="CY178" s="320"/>
      <c r="CZ178" s="320"/>
      <c r="DA178" s="320"/>
      <c r="DB178" s="320"/>
      <c r="DC178" s="320"/>
      <c r="DD178" s="320"/>
      <c r="DE178" s="320"/>
      <c r="DF178" s="320"/>
      <c r="DG178" s="320"/>
      <c r="DH178" s="320"/>
      <c r="DI178" s="320"/>
      <c r="DJ178" s="320"/>
      <c r="DK178" s="320"/>
    </row>
    <row r="179" spans="1:115" s="322" customFormat="1" ht="21" customHeight="1">
      <c r="A179" s="341"/>
      <c r="B179" s="340"/>
      <c r="C179" s="339"/>
      <c r="D179" s="333" t="s">
        <v>1153</v>
      </c>
      <c r="E179" s="326" t="s">
        <v>41</v>
      </c>
      <c r="F179" s="331">
        <v>2.9990000000000001</v>
      </c>
      <c r="G179" s="332">
        <v>375</v>
      </c>
      <c r="H179" s="331">
        <v>110</v>
      </c>
      <c r="I179" s="332" t="s">
        <v>71</v>
      </c>
      <c r="J179" s="331">
        <v>2356</v>
      </c>
      <c r="K179" s="326">
        <v>4521</v>
      </c>
      <c r="L179" s="326">
        <v>2000</v>
      </c>
      <c r="M179" s="326" t="s">
        <v>31</v>
      </c>
      <c r="N179" s="342">
        <v>11.8</v>
      </c>
      <c r="O179" s="337">
        <f>IF(N179&gt;0,1/N179*37.7*68.6,"")</f>
        <v>219.17118644067796</v>
      </c>
      <c r="P179" s="328">
        <v>10.35</v>
      </c>
      <c r="Q179" s="327" t="s">
        <v>43</v>
      </c>
      <c r="R179" s="326" t="s">
        <v>33</v>
      </c>
      <c r="S179" s="326" t="s">
        <v>34</v>
      </c>
      <c r="T179" s="326"/>
      <c r="U179" s="325"/>
      <c r="V179" s="324">
        <f>IF(N179&lt;&gt;0, IF(N179&gt;=P179,ROUNDDOWN(N179/P179*100,0),""),"")</f>
        <v>114</v>
      </c>
      <c r="W179" s="311"/>
      <c r="X179" s="323"/>
      <c r="Y179" s="311"/>
      <c r="Z179" s="320"/>
      <c r="AA179" s="320"/>
      <c r="AB179" s="320"/>
      <c r="AC179" s="320"/>
      <c r="AD179" s="320"/>
      <c r="AE179" s="320"/>
      <c r="AF179" s="320"/>
      <c r="AG179" s="320"/>
      <c r="AH179" s="320"/>
      <c r="AI179" s="320"/>
      <c r="AJ179" s="320"/>
      <c r="AK179" s="320"/>
      <c r="AL179" s="320"/>
      <c r="AM179" s="320"/>
      <c r="AN179" s="320"/>
      <c r="AO179" s="320"/>
      <c r="AP179" s="320"/>
      <c r="AQ179" s="320"/>
      <c r="AR179" s="320"/>
      <c r="AS179" s="320"/>
      <c r="AT179" s="320"/>
      <c r="AU179" s="320"/>
      <c r="AV179" s="320"/>
      <c r="AW179" s="320"/>
      <c r="AX179" s="320"/>
      <c r="AY179" s="320"/>
      <c r="AZ179" s="320"/>
      <c r="BA179" s="320"/>
      <c r="BB179" s="320"/>
      <c r="BC179" s="320"/>
      <c r="BD179" s="320"/>
      <c r="BE179" s="320"/>
      <c r="BF179" s="320"/>
      <c r="BG179" s="320"/>
      <c r="BH179" s="320"/>
      <c r="BI179" s="320"/>
      <c r="BJ179" s="320"/>
      <c r="BK179" s="320"/>
      <c r="BL179" s="320"/>
      <c r="BM179" s="320"/>
      <c r="BN179" s="320"/>
      <c r="BO179" s="320"/>
      <c r="BP179" s="320"/>
      <c r="BQ179" s="320"/>
      <c r="BR179" s="320"/>
      <c r="BS179" s="320"/>
      <c r="BT179" s="320"/>
      <c r="BU179" s="320"/>
      <c r="BV179" s="320"/>
      <c r="BW179" s="320"/>
      <c r="BX179" s="320"/>
      <c r="BY179" s="320"/>
      <c r="BZ179" s="320"/>
      <c r="CA179" s="320"/>
      <c r="CB179" s="320"/>
      <c r="CC179" s="320"/>
      <c r="CD179" s="320"/>
      <c r="CE179" s="320"/>
      <c r="CF179" s="320"/>
      <c r="CG179" s="320"/>
      <c r="CH179" s="320"/>
      <c r="CI179" s="320"/>
      <c r="CJ179" s="320"/>
      <c r="CK179" s="320"/>
      <c r="CL179" s="320"/>
      <c r="CM179" s="320"/>
      <c r="CN179" s="320"/>
      <c r="CO179" s="320"/>
      <c r="CP179" s="320"/>
      <c r="CQ179" s="320"/>
      <c r="CR179" s="320"/>
      <c r="CS179" s="320"/>
      <c r="CT179" s="320"/>
      <c r="CU179" s="320"/>
      <c r="CV179" s="320"/>
      <c r="CW179" s="320"/>
      <c r="CX179" s="320"/>
      <c r="CY179" s="320"/>
      <c r="CZ179" s="320"/>
      <c r="DA179" s="320"/>
      <c r="DB179" s="320"/>
      <c r="DC179" s="320"/>
      <c r="DD179" s="320"/>
      <c r="DE179" s="320"/>
      <c r="DF179" s="320"/>
      <c r="DG179" s="320"/>
      <c r="DH179" s="320"/>
      <c r="DI179" s="320"/>
      <c r="DJ179" s="320"/>
      <c r="DK179" s="320"/>
    </row>
    <row r="180" spans="1:115" s="322" customFormat="1" ht="21" customHeight="1">
      <c r="A180" s="341"/>
      <c r="B180" s="340"/>
      <c r="C180" s="339"/>
      <c r="D180" s="333" t="s">
        <v>1153</v>
      </c>
      <c r="E180" s="326" t="s">
        <v>41</v>
      </c>
      <c r="F180" s="331">
        <v>2.9990000000000001</v>
      </c>
      <c r="G180" s="332">
        <v>375</v>
      </c>
      <c r="H180" s="331">
        <v>110</v>
      </c>
      <c r="I180" s="332" t="s">
        <v>71</v>
      </c>
      <c r="J180" s="331">
        <v>2356</v>
      </c>
      <c r="K180" s="326">
        <v>4521</v>
      </c>
      <c r="L180" s="326">
        <v>2000</v>
      </c>
      <c r="M180" s="326" t="s">
        <v>31</v>
      </c>
      <c r="N180" s="342">
        <v>11.4</v>
      </c>
      <c r="O180" s="337">
        <f>IF(N180&gt;0,1/N180*37.7*68.6,"")</f>
        <v>226.8614035087719</v>
      </c>
      <c r="P180" s="328">
        <v>10.35</v>
      </c>
      <c r="Q180" s="327" t="s">
        <v>63</v>
      </c>
      <c r="R180" s="326" t="s">
        <v>33</v>
      </c>
      <c r="S180" s="326" t="s">
        <v>34</v>
      </c>
      <c r="T180" s="326"/>
      <c r="U180" s="325"/>
      <c r="V180" s="324">
        <f>IF(N180&lt;&gt;0, IF(N180&gt;=P180,ROUNDDOWN(N180/P180*100,0),""),"")</f>
        <v>110</v>
      </c>
      <c r="W180" s="311"/>
      <c r="X180" s="323"/>
      <c r="Y180" s="311"/>
      <c r="Z180" s="320"/>
      <c r="AA180" s="320"/>
      <c r="AB180" s="320"/>
      <c r="AC180" s="320"/>
      <c r="AD180" s="320"/>
      <c r="AE180" s="320"/>
      <c r="AF180" s="320"/>
      <c r="AG180" s="320"/>
      <c r="AH180" s="320"/>
      <c r="AI180" s="320"/>
      <c r="AJ180" s="320"/>
      <c r="AK180" s="320"/>
      <c r="AL180" s="320"/>
      <c r="AM180" s="320"/>
      <c r="AN180" s="320"/>
      <c r="AO180" s="320"/>
      <c r="AP180" s="320"/>
      <c r="AQ180" s="320"/>
      <c r="AR180" s="320"/>
      <c r="AS180" s="320"/>
      <c r="AT180" s="320"/>
      <c r="AU180" s="320"/>
      <c r="AV180" s="320"/>
      <c r="AW180" s="320"/>
      <c r="AX180" s="320"/>
      <c r="AY180" s="320"/>
      <c r="AZ180" s="320"/>
      <c r="BA180" s="320"/>
      <c r="BB180" s="320"/>
      <c r="BC180" s="320"/>
      <c r="BD180" s="320"/>
      <c r="BE180" s="320"/>
      <c r="BF180" s="320"/>
      <c r="BG180" s="320"/>
      <c r="BH180" s="320"/>
      <c r="BI180" s="320"/>
      <c r="BJ180" s="320"/>
      <c r="BK180" s="320"/>
      <c r="BL180" s="320"/>
      <c r="BM180" s="320"/>
      <c r="BN180" s="320"/>
      <c r="BO180" s="320"/>
      <c r="BP180" s="320"/>
      <c r="BQ180" s="320"/>
      <c r="BR180" s="320"/>
      <c r="BS180" s="320"/>
      <c r="BT180" s="320"/>
      <c r="BU180" s="320"/>
      <c r="BV180" s="320"/>
      <c r="BW180" s="320"/>
      <c r="BX180" s="320"/>
      <c r="BY180" s="320"/>
      <c r="BZ180" s="320"/>
      <c r="CA180" s="320"/>
      <c r="CB180" s="320"/>
      <c r="CC180" s="320"/>
      <c r="CD180" s="320"/>
      <c r="CE180" s="320"/>
      <c r="CF180" s="320"/>
      <c r="CG180" s="320"/>
      <c r="CH180" s="320"/>
      <c r="CI180" s="320"/>
      <c r="CJ180" s="320"/>
      <c r="CK180" s="320"/>
      <c r="CL180" s="320"/>
      <c r="CM180" s="320"/>
      <c r="CN180" s="320"/>
      <c r="CO180" s="320"/>
      <c r="CP180" s="320"/>
      <c r="CQ180" s="320"/>
      <c r="CR180" s="320"/>
      <c r="CS180" s="320"/>
      <c r="CT180" s="320"/>
      <c r="CU180" s="320"/>
      <c r="CV180" s="320"/>
      <c r="CW180" s="320"/>
      <c r="CX180" s="320"/>
      <c r="CY180" s="320"/>
      <c r="CZ180" s="320"/>
      <c r="DA180" s="320"/>
      <c r="DB180" s="320"/>
      <c r="DC180" s="320"/>
      <c r="DD180" s="320"/>
      <c r="DE180" s="320"/>
      <c r="DF180" s="320"/>
      <c r="DG180" s="320"/>
      <c r="DH180" s="320"/>
      <c r="DI180" s="320"/>
      <c r="DJ180" s="320"/>
      <c r="DK180" s="320"/>
    </row>
    <row r="181" spans="1:115" s="322" customFormat="1" ht="21" customHeight="1">
      <c r="A181" s="341"/>
      <c r="B181" s="340"/>
      <c r="C181" s="339"/>
      <c r="D181" s="333" t="s">
        <v>1153</v>
      </c>
      <c r="E181" s="326" t="s">
        <v>41</v>
      </c>
      <c r="F181" s="331">
        <v>2.9990000000000001</v>
      </c>
      <c r="G181" s="332">
        <v>375</v>
      </c>
      <c r="H181" s="331">
        <v>110</v>
      </c>
      <c r="I181" s="332" t="s">
        <v>71</v>
      </c>
      <c r="J181" s="331">
        <v>2652</v>
      </c>
      <c r="K181" s="326">
        <v>5812</v>
      </c>
      <c r="L181" s="326">
        <v>2995</v>
      </c>
      <c r="M181" s="326" t="s">
        <v>31</v>
      </c>
      <c r="N181" s="342">
        <v>10.8</v>
      </c>
      <c r="O181" s="337">
        <f>IF(N181&gt;0,1/N181*37.7*68.6,"")</f>
        <v>239.46481481481482</v>
      </c>
      <c r="P181" s="328">
        <v>9.51</v>
      </c>
      <c r="Q181" s="327" t="s">
        <v>43</v>
      </c>
      <c r="R181" s="326" t="s">
        <v>33</v>
      </c>
      <c r="S181" s="326" t="s">
        <v>34</v>
      </c>
      <c r="T181" s="326"/>
      <c r="U181" s="325"/>
      <c r="V181" s="324">
        <f>IF(N181&lt;&gt;0, IF(N181&gt;=P181,ROUNDDOWN(N181/P181*100,0),""),"")</f>
        <v>113</v>
      </c>
      <c r="W181" s="311"/>
      <c r="X181" s="323"/>
      <c r="Y181" s="311"/>
      <c r="Z181" s="320"/>
      <c r="AA181" s="320"/>
      <c r="AB181" s="320"/>
      <c r="AC181" s="320"/>
      <c r="AD181" s="320"/>
      <c r="AE181" s="320"/>
      <c r="AF181" s="320"/>
      <c r="AG181" s="320"/>
      <c r="AH181" s="320"/>
      <c r="AI181" s="320"/>
      <c r="AJ181" s="320"/>
      <c r="AK181" s="320"/>
      <c r="AL181" s="320"/>
      <c r="AM181" s="320"/>
      <c r="AN181" s="320"/>
      <c r="AO181" s="320"/>
      <c r="AP181" s="320"/>
      <c r="AQ181" s="320"/>
      <c r="AR181" s="320"/>
      <c r="AS181" s="320"/>
      <c r="AT181" s="320"/>
      <c r="AU181" s="320"/>
      <c r="AV181" s="320"/>
      <c r="AW181" s="320"/>
      <c r="AX181" s="320"/>
      <c r="AY181" s="320"/>
      <c r="AZ181" s="320"/>
      <c r="BA181" s="320"/>
      <c r="BB181" s="320"/>
      <c r="BC181" s="320"/>
      <c r="BD181" s="320"/>
      <c r="BE181" s="320"/>
      <c r="BF181" s="320"/>
      <c r="BG181" s="320"/>
      <c r="BH181" s="320"/>
      <c r="BI181" s="320"/>
      <c r="BJ181" s="320"/>
      <c r="BK181" s="320"/>
      <c r="BL181" s="320"/>
      <c r="BM181" s="320"/>
      <c r="BN181" s="320"/>
      <c r="BO181" s="320"/>
      <c r="BP181" s="320"/>
      <c r="BQ181" s="320"/>
      <c r="BR181" s="320"/>
      <c r="BS181" s="320"/>
      <c r="BT181" s="320"/>
      <c r="BU181" s="320"/>
      <c r="BV181" s="320"/>
      <c r="BW181" s="320"/>
      <c r="BX181" s="320"/>
      <c r="BY181" s="320"/>
      <c r="BZ181" s="320"/>
      <c r="CA181" s="320"/>
      <c r="CB181" s="320"/>
      <c r="CC181" s="320"/>
      <c r="CD181" s="320"/>
      <c r="CE181" s="320"/>
      <c r="CF181" s="320"/>
      <c r="CG181" s="320"/>
      <c r="CH181" s="320"/>
      <c r="CI181" s="320"/>
      <c r="CJ181" s="320"/>
      <c r="CK181" s="320"/>
      <c r="CL181" s="320"/>
      <c r="CM181" s="320"/>
      <c r="CN181" s="320"/>
      <c r="CO181" s="320"/>
      <c r="CP181" s="320"/>
      <c r="CQ181" s="320"/>
      <c r="CR181" s="320"/>
      <c r="CS181" s="320"/>
      <c r="CT181" s="320"/>
      <c r="CU181" s="320"/>
      <c r="CV181" s="320"/>
      <c r="CW181" s="320"/>
      <c r="CX181" s="320"/>
      <c r="CY181" s="320"/>
      <c r="CZ181" s="320"/>
      <c r="DA181" s="320"/>
      <c r="DB181" s="320"/>
      <c r="DC181" s="320"/>
      <c r="DD181" s="320"/>
      <c r="DE181" s="320"/>
      <c r="DF181" s="320"/>
      <c r="DG181" s="320"/>
      <c r="DH181" s="320"/>
      <c r="DI181" s="320"/>
      <c r="DJ181" s="320"/>
      <c r="DK181" s="320"/>
    </row>
    <row r="182" spans="1:115" s="322" customFormat="1" ht="21" customHeight="1">
      <c r="A182" s="341"/>
      <c r="B182" s="340"/>
      <c r="C182" s="339"/>
      <c r="D182" s="333" t="s">
        <v>1153</v>
      </c>
      <c r="E182" s="326" t="s">
        <v>41</v>
      </c>
      <c r="F182" s="331">
        <v>2.9990000000000001</v>
      </c>
      <c r="G182" s="332">
        <v>375</v>
      </c>
      <c r="H182" s="331">
        <v>110</v>
      </c>
      <c r="I182" s="332" t="s">
        <v>71</v>
      </c>
      <c r="J182" s="331">
        <v>2652</v>
      </c>
      <c r="K182" s="326">
        <v>5812</v>
      </c>
      <c r="L182" s="326">
        <v>2995</v>
      </c>
      <c r="M182" s="326" t="s">
        <v>31</v>
      </c>
      <c r="N182" s="342">
        <v>10.6</v>
      </c>
      <c r="O182" s="337">
        <f>IF(N182&gt;0,1/N182*37.7*68.6,"")</f>
        <v>243.98301886792456</v>
      </c>
      <c r="P182" s="328">
        <v>9.51</v>
      </c>
      <c r="Q182" s="327" t="s">
        <v>63</v>
      </c>
      <c r="R182" s="326" t="s">
        <v>33</v>
      </c>
      <c r="S182" s="326" t="s">
        <v>34</v>
      </c>
      <c r="T182" s="326"/>
      <c r="U182" s="325"/>
      <c r="V182" s="324">
        <f>IF(N182&lt;&gt;0, IF(N182&gt;=P182,ROUNDDOWN(N182/P182*100,0),""),"")</f>
        <v>111</v>
      </c>
      <c r="W182" s="311"/>
      <c r="X182" s="323"/>
      <c r="Y182" s="311"/>
      <c r="Z182" s="320"/>
      <c r="AA182" s="320"/>
      <c r="AB182" s="320"/>
      <c r="AC182" s="320"/>
      <c r="AD182" s="320"/>
      <c r="AE182" s="320"/>
      <c r="AF182" s="320"/>
      <c r="AG182" s="320"/>
      <c r="AH182" s="320"/>
      <c r="AI182" s="320"/>
      <c r="AJ182" s="320"/>
      <c r="AK182" s="320"/>
      <c r="AL182" s="320"/>
      <c r="AM182" s="320"/>
      <c r="AN182" s="320"/>
      <c r="AO182" s="320"/>
      <c r="AP182" s="320"/>
      <c r="AQ182" s="320"/>
      <c r="AR182" s="320"/>
      <c r="AS182" s="320"/>
      <c r="AT182" s="320"/>
      <c r="AU182" s="320"/>
      <c r="AV182" s="320"/>
      <c r="AW182" s="320"/>
      <c r="AX182" s="320"/>
      <c r="AY182" s="320"/>
      <c r="AZ182" s="320"/>
      <c r="BA182" s="320"/>
      <c r="BB182" s="320"/>
      <c r="BC182" s="320"/>
      <c r="BD182" s="320"/>
      <c r="BE182" s="320"/>
      <c r="BF182" s="320"/>
      <c r="BG182" s="320"/>
      <c r="BH182" s="320"/>
      <c r="BI182" s="320"/>
      <c r="BJ182" s="320"/>
      <c r="BK182" s="320"/>
      <c r="BL182" s="320"/>
      <c r="BM182" s="320"/>
      <c r="BN182" s="320"/>
      <c r="BO182" s="320"/>
      <c r="BP182" s="320"/>
      <c r="BQ182" s="320"/>
      <c r="BR182" s="320"/>
      <c r="BS182" s="320"/>
      <c r="BT182" s="320"/>
      <c r="BU182" s="320"/>
      <c r="BV182" s="320"/>
      <c r="BW182" s="320"/>
      <c r="BX182" s="320"/>
      <c r="BY182" s="320"/>
      <c r="BZ182" s="320"/>
      <c r="CA182" s="320"/>
      <c r="CB182" s="320"/>
      <c r="CC182" s="320"/>
      <c r="CD182" s="320"/>
      <c r="CE182" s="320"/>
      <c r="CF182" s="320"/>
      <c r="CG182" s="320"/>
      <c r="CH182" s="320"/>
      <c r="CI182" s="320"/>
      <c r="CJ182" s="320"/>
      <c r="CK182" s="320"/>
      <c r="CL182" s="320"/>
      <c r="CM182" s="320"/>
      <c r="CN182" s="320"/>
      <c r="CO182" s="320"/>
      <c r="CP182" s="320"/>
      <c r="CQ182" s="320"/>
      <c r="CR182" s="320"/>
      <c r="CS182" s="320"/>
      <c r="CT182" s="320"/>
      <c r="CU182" s="320"/>
      <c r="CV182" s="320"/>
      <c r="CW182" s="320"/>
      <c r="CX182" s="320"/>
      <c r="CY182" s="320"/>
      <c r="CZ182" s="320"/>
      <c r="DA182" s="320"/>
      <c r="DB182" s="320"/>
      <c r="DC182" s="320"/>
      <c r="DD182" s="320"/>
      <c r="DE182" s="320"/>
      <c r="DF182" s="320"/>
      <c r="DG182" s="320"/>
      <c r="DH182" s="320"/>
      <c r="DI182" s="320"/>
      <c r="DJ182" s="320"/>
      <c r="DK182" s="320"/>
    </row>
    <row r="183" spans="1:115" s="322" customFormat="1" ht="21" customHeight="1">
      <c r="A183" s="341"/>
      <c r="B183" s="340"/>
      <c r="C183" s="339"/>
      <c r="D183" s="333" t="s">
        <v>1152</v>
      </c>
      <c r="E183" s="326" t="s">
        <v>41</v>
      </c>
      <c r="F183" s="331">
        <v>2.9990000000000001</v>
      </c>
      <c r="G183" s="332" t="s">
        <v>467</v>
      </c>
      <c r="H183" s="331" t="s">
        <v>466</v>
      </c>
      <c r="I183" s="332" t="s">
        <v>71</v>
      </c>
      <c r="J183" s="331">
        <v>2356</v>
      </c>
      <c r="K183" s="326">
        <v>4521</v>
      </c>
      <c r="L183" s="326">
        <v>2000</v>
      </c>
      <c r="M183" s="326" t="s">
        <v>31</v>
      </c>
      <c r="N183" s="342">
        <v>11.8</v>
      </c>
      <c r="O183" s="337">
        <f>IF(N183&gt;0,1/N183*37.7*68.6,"")</f>
        <v>219.17118644067796</v>
      </c>
      <c r="P183" s="328">
        <v>10.35</v>
      </c>
      <c r="Q183" s="327" t="s">
        <v>43</v>
      </c>
      <c r="R183" s="326" t="s">
        <v>33</v>
      </c>
      <c r="S183" s="326" t="s">
        <v>34</v>
      </c>
      <c r="T183" s="326"/>
      <c r="U183" s="325"/>
      <c r="V183" s="324">
        <f>IF(N183&lt;&gt;0, IF(N183&gt;=P183,ROUNDDOWN(N183/P183*100,0),""),"")</f>
        <v>114</v>
      </c>
      <c r="W183" s="311"/>
      <c r="X183" s="320"/>
      <c r="Y183" s="320"/>
      <c r="Z183" s="320"/>
      <c r="AA183" s="320"/>
      <c r="AB183" s="320"/>
      <c r="AC183" s="320"/>
      <c r="AD183" s="320"/>
      <c r="AE183" s="320"/>
      <c r="AF183" s="320"/>
      <c r="AG183" s="320"/>
      <c r="AH183" s="320"/>
      <c r="AI183" s="320"/>
      <c r="AJ183" s="320"/>
      <c r="AK183" s="320"/>
      <c r="AL183" s="320"/>
      <c r="AM183" s="320"/>
      <c r="AN183" s="320"/>
      <c r="AO183" s="320"/>
      <c r="AP183" s="320"/>
      <c r="AQ183" s="320"/>
    </row>
    <row r="184" spans="1:115" s="322" customFormat="1" ht="21" customHeight="1">
      <c r="A184" s="341"/>
      <c r="B184" s="340"/>
      <c r="C184" s="339"/>
      <c r="D184" s="333" t="s">
        <v>1152</v>
      </c>
      <c r="E184" s="326" t="s">
        <v>41</v>
      </c>
      <c r="F184" s="331">
        <v>2.9990000000000001</v>
      </c>
      <c r="G184" s="332" t="s">
        <v>467</v>
      </c>
      <c r="H184" s="331" t="s">
        <v>466</v>
      </c>
      <c r="I184" s="332" t="s">
        <v>42</v>
      </c>
      <c r="J184" s="331">
        <v>2356</v>
      </c>
      <c r="K184" s="326">
        <v>4521</v>
      </c>
      <c r="L184" s="326">
        <v>2000</v>
      </c>
      <c r="M184" s="326" t="s">
        <v>31</v>
      </c>
      <c r="N184" s="342">
        <v>11.8</v>
      </c>
      <c r="O184" s="337">
        <f>IF(N184&gt;0,1/N184*37.7*68.6,"")</f>
        <v>219.17118644067796</v>
      </c>
      <c r="P184" s="328">
        <v>10.35</v>
      </c>
      <c r="Q184" s="327" t="s">
        <v>63</v>
      </c>
      <c r="R184" s="326" t="s">
        <v>33</v>
      </c>
      <c r="S184" s="326" t="s">
        <v>34</v>
      </c>
      <c r="T184" s="326"/>
      <c r="U184" s="325"/>
      <c r="V184" s="324">
        <f>IF(N184&lt;&gt;0, IF(N184&gt;=P184,ROUNDDOWN(N184/P184*100,0),""),"")</f>
        <v>114</v>
      </c>
      <c r="W184" s="311"/>
      <c r="X184" s="320"/>
      <c r="Y184" s="320"/>
      <c r="Z184" s="320"/>
      <c r="AA184" s="320"/>
      <c r="AB184" s="320"/>
      <c r="AC184" s="320"/>
      <c r="AD184" s="320"/>
      <c r="AE184" s="320"/>
      <c r="AF184" s="320"/>
      <c r="AG184" s="320"/>
      <c r="AH184" s="320"/>
      <c r="AI184" s="320"/>
      <c r="AJ184" s="320"/>
      <c r="AK184" s="320"/>
      <c r="AL184" s="320"/>
      <c r="AM184" s="320"/>
      <c r="AN184" s="320"/>
      <c r="AO184" s="320"/>
      <c r="AP184" s="320"/>
      <c r="AQ184" s="320"/>
    </row>
    <row r="185" spans="1:115" s="322" customFormat="1" ht="21" customHeight="1">
      <c r="A185" s="341"/>
      <c r="B185" s="340"/>
      <c r="C185" s="339"/>
      <c r="D185" s="333" t="s">
        <v>1152</v>
      </c>
      <c r="E185" s="326" t="s">
        <v>41</v>
      </c>
      <c r="F185" s="331">
        <v>2.9990000000000001</v>
      </c>
      <c r="G185" s="332" t="s">
        <v>467</v>
      </c>
      <c r="H185" s="331" t="s">
        <v>466</v>
      </c>
      <c r="I185" s="332" t="s">
        <v>71</v>
      </c>
      <c r="J185" s="331">
        <v>2356</v>
      </c>
      <c r="K185" s="326">
        <v>4521</v>
      </c>
      <c r="L185" s="326">
        <v>2000</v>
      </c>
      <c r="M185" s="326" t="s">
        <v>31</v>
      </c>
      <c r="N185" s="342">
        <v>11.4</v>
      </c>
      <c r="O185" s="337">
        <f>IF(N185&gt;0,1/N185*37.7*68.6,"")</f>
        <v>226.8614035087719</v>
      </c>
      <c r="P185" s="328">
        <v>10.35</v>
      </c>
      <c r="Q185" s="327" t="s">
        <v>63</v>
      </c>
      <c r="R185" s="326" t="s">
        <v>33</v>
      </c>
      <c r="S185" s="326" t="s">
        <v>34</v>
      </c>
      <c r="T185" s="326"/>
      <c r="U185" s="325"/>
      <c r="V185" s="324">
        <f>IF(N185&lt;&gt;0, IF(N185&gt;=P185,ROUNDDOWN(N185/P185*100,0),""),"")</f>
        <v>110</v>
      </c>
      <c r="W185" s="311"/>
      <c r="X185" s="320"/>
      <c r="Y185" s="320"/>
      <c r="Z185" s="320"/>
      <c r="AA185" s="320"/>
      <c r="AB185" s="320"/>
      <c r="AC185" s="320"/>
      <c r="AD185" s="320"/>
      <c r="AE185" s="320"/>
      <c r="AF185" s="320"/>
      <c r="AG185" s="320"/>
      <c r="AH185" s="320"/>
      <c r="AI185" s="320"/>
      <c r="AJ185" s="320"/>
      <c r="AK185" s="320"/>
      <c r="AL185" s="320"/>
      <c r="AM185" s="320"/>
      <c r="AN185" s="320"/>
      <c r="AO185" s="320"/>
      <c r="AP185" s="320"/>
      <c r="AQ185" s="320"/>
    </row>
    <row r="186" spans="1:115" s="322" customFormat="1" ht="21" customHeight="1">
      <c r="A186" s="341"/>
      <c r="B186" s="340"/>
      <c r="C186" s="339"/>
      <c r="D186" s="333" t="s">
        <v>1152</v>
      </c>
      <c r="E186" s="326" t="s">
        <v>41</v>
      </c>
      <c r="F186" s="331">
        <v>2.9990000000000001</v>
      </c>
      <c r="G186" s="332" t="s">
        <v>467</v>
      </c>
      <c r="H186" s="331" t="s">
        <v>466</v>
      </c>
      <c r="I186" s="332" t="s">
        <v>71</v>
      </c>
      <c r="J186" s="331">
        <v>2652</v>
      </c>
      <c r="K186" s="326">
        <v>5812</v>
      </c>
      <c r="L186" s="326">
        <v>2995</v>
      </c>
      <c r="M186" s="326" t="s">
        <v>31</v>
      </c>
      <c r="N186" s="342">
        <v>10.8</v>
      </c>
      <c r="O186" s="337">
        <f>IF(N186&gt;0,1/N186*37.7*68.6,"")</f>
        <v>239.46481481481482</v>
      </c>
      <c r="P186" s="328">
        <v>9.51</v>
      </c>
      <c r="Q186" s="327" t="s">
        <v>43</v>
      </c>
      <c r="R186" s="326" t="s">
        <v>33</v>
      </c>
      <c r="S186" s="326" t="s">
        <v>34</v>
      </c>
      <c r="T186" s="326"/>
      <c r="U186" s="325"/>
      <c r="V186" s="324">
        <f>IF(N186&lt;&gt;0, IF(N186&gt;=P186,ROUNDDOWN(N186/P186*100,0),""),"")</f>
        <v>113</v>
      </c>
      <c r="W186" s="311"/>
      <c r="X186" s="320"/>
      <c r="Y186" s="320"/>
      <c r="Z186" s="320"/>
      <c r="AA186" s="320"/>
      <c r="AB186" s="320"/>
      <c r="AC186" s="320"/>
      <c r="AD186" s="320"/>
      <c r="AE186" s="320"/>
      <c r="AF186" s="320"/>
      <c r="AG186" s="320"/>
      <c r="AH186" s="320"/>
      <c r="AI186" s="320"/>
      <c r="AJ186" s="320"/>
      <c r="AK186" s="320"/>
      <c r="AL186" s="320"/>
      <c r="AM186" s="320"/>
      <c r="AN186" s="320"/>
      <c r="AO186" s="320"/>
      <c r="AP186" s="320"/>
      <c r="AQ186" s="320"/>
    </row>
    <row r="187" spans="1:115" s="322" customFormat="1" ht="21" customHeight="1">
      <c r="A187" s="341"/>
      <c r="B187" s="340"/>
      <c r="C187" s="339"/>
      <c r="D187" s="333" t="s">
        <v>1152</v>
      </c>
      <c r="E187" s="326" t="s">
        <v>41</v>
      </c>
      <c r="F187" s="331">
        <v>2.9990000000000001</v>
      </c>
      <c r="G187" s="332" t="s">
        <v>467</v>
      </c>
      <c r="H187" s="331" t="s">
        <v>466</v>
      </c>
      <c r="I187" s="332" t="s">
        <v>42</v>
      </c>
      <c r="J187" s="331">
        <v>2652</v>
      </c>
      <c r="K187" s="326">
        <v>5812</v>
      </c>
      <c r="L187" s="326">
        <v>2995</v>
      </c>
      <c r="M187" s="326" t="s">
        <v>31</v>
      </c>
      <c r="N187" s="342">
        <v>10.8</v>
      </c>
      <c r="O187" s="337">
        <f>IF(N187&gt;0,1/N187*37.7*68.6,"")</f>
        <v>239.46481481481482</v>
      </c>
      <c r="P187" s="328">
        <v>9.51</v>
      </c>
      <c r="Q187" s="327" t="s">
        <v>63</v>
      </c>
      <c r="R187" s="326" t="s">
        <v>33</v>
      </c>
      <c r="S187" s="326" t="s">
        <v>34</v>
      </c>
      <c r="T187" s="326"/>
      <c r="U187" s="325"/>
      <c r="V187" s="324">
        <f>IF(N187&lt;&gt;0, IF(N187&gt;=P187,ROUNDDOWN(N187/P187*100,0),""),"")</f>
        <v>113</v>
      </c>
      <c r="W187" s="311"/>
      <c r="X187" s="320"/>
      <c r="Y187" s="320"/>
      <c r="Z187" s="320"/>
      <c r="AA187" s="320"/>
      <c r="AB187" s="320"/>
      <c r="AC187" s="320"/>
      <c r="AD187" s="320"/>
      <c r="AE187" s="320"/>
      <c r="AF187" s="320"/>
      <c r="AG187" s="320"/>
      <c r="AH187" s="320"/>
      <c r="AI187" s="320"/>
      <c r="AJ187" s="320"/>
      <c r="AK187" s="320"/>
      <c r="AL187" s="320"/>
      <c r="AM187" s="320"/>
      <c r="AN187" s="320"/>
      <c r="AO187" s="320"/>
      <c r="AP187" s="320"/>
      <c r="AQ187" s="320"/>
    </row>
    <row r="188" spans="1:115" s="322" customFormat="1" ht="21" customHeight="1">
      <c r="A188" s="341"/>
      <c r="B188" s="340"/>
      <c r="C188" s="339"/>
      <c r="D188" s="333" t="s">
        <v>1152</v>
      </c>
      <c r="E188" s="326" t="s">
        <v>41</v>
      </c>
      <c r="F188" s="331">
        <v>2.9990000000000001</v>
      </c>
      <c r="G188" s="332" t="s">
        <v>467</v>
      </c>
      <c r="H188" s="331" t="s">
        <v>466</v>
      </c>
      <c r="I188" s="332" t="s">
        <v>71</v>
      </c>
      <c r="J188" s="331">
        <v>2652</v>
      </c>
      <c r="K188" s="326">
        <v>5812</v>
      </c>
      <c r="L188" s="326">
        <v>2995</v>
      </c>
      <c r="M188" s="326" t="s">
        <v>31</v>
      </c>
      <c r="N188" s="342">
        <v>10.6</v>
      </c>
      <c r="O188" s="337">
        <f>IF(N188&gt;0,1/N188*37.7*68.6,"")</f>
        <v>243.98301886792456</v>
      </c>
      <c r="P188" s="328">
        <v>9.51</v>
      </c>
      <c r="Q188" s="327" t="s">
        <v>63</v>
      </c>
      <c r="R188" s="326" t="s">
        <v>33</v>
      </c>
      <c r="S188" s="326" t="s">
        <v>34</v>
      </c>
      <c r="T188" s="326"/>
      <c r="U188" s="325"/>
      <c r="V188" s="324">
        <f>IF(N188&lt;&gt;0, IF(N188&gt;=P188,ROUNDDOWN(N188/P188*100,0),""),"")</f>
        <v>111</v>
      </c>
      <c r="W188" s="311"/>
      <c r="X188" s="320"/>
      <c r="Y188" s="320"/>
      <c r="Z188" s="320"/>
      <c r="AA188" s="320"/>
      <c r="AB188" s="320"/>
      <c r="AC188" s="320"/>
      <c r="AD188" s="320"/>
      <c r="AE188" s="320"/>
      <c r="AF188" s="320"/>
      <c r="AG188" s="320"/>
      <c r="AH188" s="320"/>
      <c r="AI188" s="320"/>
      <c r="AJ188" s="320"/>
      <c r="AK188" s="320"/>
      <c r="AL188" s="320"/>
      <c r="AM188" s="320"/>
      <c r="AN188" s="320"/>
      <c r="AO188" s="320"/>
      <c r="AP188" s="320"/>
      <c r="AQ188" s="320"/>
    </row>
    <row r="189" spans="1:115" s="322" customFormat="1" ht="21" customHeight="1">
      <c r="A189" s="341"/>
      <c r="B189" s="340"/>
      <c r="C189" s="339"/>
      <c r="D189" s="333" t="s">
        <v>1152</v>
      </c>
      <c r="E189" s="326" t="s">
        <v>41</v>
      </c>
      <c r="F189" s="331">
        <v>2.9990000000000001</v>
      </c>
      <c r="G189" s="332" t="s">
        <v>467</v>
      </c>
      <c r="H189" s="331" t="s">
        <v>466</v>
      </c>
      <c r="I189" s="332" t="s">
        <v>42</v>
      </c>
      <c r="J189" s="331">
        <v>2979</v>
      </c>
      <c r="K189" s="326">
        <v>6893</v>
      </c>
      <c r="L189" s="326">
        <v>3749</v>
      </c>
      <c r="M189" s="326" t="s">
        <v>31</v>
      </c>
      <c r="N189" s="342">
        <v>9.1999999999999993</v>
      </c>
      <c r="O189" s="337">
        <f>IF(N189&gt;0,1/N189*37.7*68.6,"")</f>
        <v>281.1108695652174</v>
      </c>
      <c r="P189" s="328">
        <v>8.1199999999999992</v>
      </c>
      <c r="Q189" s="327" t="s">
        <v>43</v>
      </c>
      <c r="R189" s="326" t="s">
        <v>33</v>
      </c>
      <c r="S189" s="326" t="s">
        <v>34</v>
      </c>
      <c r="T189" s="326"/>
      <c r="U189" s="325"/>
      <c r="V189" s="324">
        <f>IF(N189&lt;&gt;0, IF(N189&gt;=P189,ROUNDDOWN(N189/P189*100,0),""),"")</f>
        <v>113</v>
      </c>
      <c r="W189" s="311"/>
      <c r="X189" s="320"/>
      <c r="Y189" s="320"/>
      <c r="Z189" s="320"/>
      <c r="AA189" s="320"/>
      <c r="AB189" s="320"/>
      <c r="AC189" s="320"/>
      <c r="AD189" s="320"/>
      <c r="AE189" s="320"/>
      <c r="AF189" s="320"/>
      <c r="AG189" s="320"/>
      <c r="AH189" s="320"/>
      <c r="AI189" s="320"/>
      <c r="AJ189" s="320"/>
      <c r="AK189" s="320"/>
      <c r="AL189" s="320"/>
      <c r="AM189" s="320"/>
      <c r="AN189" s="320"/>
      <c r="AO189" s="320"/>
      <c r="AP189" s="320"/>
      <c r="AQ189" s="320"/>
    </row>
    <row r="190" spans="1:115" s="322" customFormat="1" ht="21" customHeight="1">
      <c r="A190" s="341"/>
      <c r="B190" s="340"/>
      <c r="C190" s="339"/>
      <c r="D190" s="333" t="s">
        <v>1152</v>
      </c>
      <c r="E190" s="326" t="s">
        <v>41</v>
      </c>
      <c r="F190" s="331">
        <v>2.9990000000000001</v>
      </c>
      <c r="G190" s="332" t="s">
        <v>467</v>
      </c>
      <c r="H190" s="331" t="s">
        <v>466</v>
      </c>
      <c r="I190" s="332" t="s">
        <v>71</v>
      </c>
      <c r="J190" s="331">
        <v>2979</v>
      </c>
      <c r="K190" s="326">
        <v>6893</v>
      </c>
      <c r="L190" s="326">
        <v>3749</v>
      </c>
      <c r="M190" s="326" t="s">
        <v>31</v>
      </c>
      <c r="N190" s="342">
        <v>9</v>
      </c>
      <c r="O190" s="337">
        <f>IF(N190&gt;0,1/N190*37.7*68.6,"")</f>
        <v>287.35777777777776</v>
      </c>
      <c r="P190" s="328">
        <v>8.1199999999999992</v>
      </c>
      <c r="Q190" s="327" t="s">
        <v>43</v>
      </c>
      <c r="R190" s="326" t="s">
        <v>33</v>
      </c>
      <c r="S190" s="326" t="s">
        <v>34</v>
      </c>
      <c r="T190" s="326"/>
      <c r="U190" s="325"/>
      <c r="V190" s="324">
        <f>IF(N190&lt;&gt;0, IF(N190&gt;=P190,ROUNDDOWN(N190/P190*100,0),""),"")</f>
        <v>110</v>
      </c>
      <c r="W190" s="311"/>
      <c r="X190" s="320"/>
      <c r="Y190" s="320"/>
      <c r="Z190" s="320"/>
      <c r="AA190" s="320"/>
      <c r="AB190" s="320"/>
      <c r="AC190" s="320"/>
      <c r="AD190" s="320"/>
      <c r="AE190" s="320"/>
      <c r="AF190" s="320"/>
      <c r="AG190" s="320"/>
      <c r="AH190" s="320"/>
      <c r="AI190" s="320"/>
      <c r="AJ190" s="320"/>
      <c r="AK190" s="320"/>
      <c r="AL190" s="320"/>
      <c r="AM190" s="320"/>
      <c r="AN190" s="320"/>
      <c r="AO190" s="320"/>
      <c r="AP190" s="320"/>
      <c r="AQ190" s="320"/>
    </row>
    <row r="191" spans="1:115" s="322" customFormat="1" ht="21" customHeight="1">
      <c r="A191" s="341"/>
      <c r="B191" s="340"/>
      <c r="C191" s="339"/>
      <c r="D191" s="333" t="s">
        <v>1152</v>
      </c>
      <c r="E191" s="326" t="s">
        <v>41</v>
      </c>
      <c r="F191" s="331">
        <v>2.9990000000000001</v>
      </c>
      <c r="G191" s="332" t="s">
        <v>467</v>
      </c>
      <c r="H191" s="331" t="s">
        <v>466</v>
      </c>
      <c r="I191" s="332" t="s">
        <v>42</v>
      </c>
      <c r="J191" s="331">
        <v>2979</v>
      </c>
      <c r="K191" s="326">
        <v>6893</v>
      </c>
      <c r="L191" s="326">
        <v>3749</v>
      </c>
      <c r="M191" s="326" t="s">
        <v>31</v>
      </c>
      <c r="N191" s="342">
        <v>9</v>
      </c>
      <c r="O191" s="337">
        <f>IF(N191&gt;0,1/N191*37.7*68.6,"")</f>
        <v>287.35777777777776</v>
      </c>
      <c r="P191" s="328">
        <v>8.1199999999999992</v>
      </c>
      <c r="Q191" s="327" t="s">
        <v>63</v>
      </c>
      <c r="R191" s="326" t="s">
        <v>33</v>
      </c>
      <c r="S191" s="326" t="s">
        <v>34</v>
      </c>
      <c r="T191" s="326"/>
      <c r="U191" s="325"/>
      <c r="V191" s="324">
        <f>IF(N191&lt;&gt;0, IF(N191&gt;=P191,ROUNDDOWN(N191/P191*100,0),""),"")</f>
        <v>110</v>
      </c>
      <c r="W191" s="311"/>
      <c r="X191" s="320"/>
      <c r="Y191" s="320"/>
      <c r="Z191" s="320"/>
      <c r="AA191" s="320"/>
      <c r="AB191" s="320"/>
      <c r="AC191" s="320"/>
      <c r="AD191" s="320"/>
      <c r="AE191" s="320"/>
      <c r="AF191" s="320"/>
      <c r="AG191" s="320"/>
      <c r="AH191" s="320"/>
      <c r="AI191" s="320"/>
      <c r="AJ191" s="320"/>
      <c r="AK191" s="320"/>
      <c r="AL191" s="320"/>
      <c r="AM191" s="320"/>
      <c r="AN191" s="320"/>
      <c r="AO191" s="320"/>
      <c r="AP191" s="320"/>
      <c r="AQ191" s="320"/>
    </row>
    <row r="192" spans="1:115" s="322" customFormat="1" ht="21" customHeight="1">
      <c r="A192" s="341"/>
      <c r="B192" s="340"/>
      <c r="C192" s="339"/>
      <c r="D192" s="333" t="s">
        <v>1151</v>
      </c>
      <c r="E192" s="326" t="s">
        <v>41</v>
      </c>
      <c r="F192" s="331">
        <v>2.9990000000000001</v>
      </c>
      <c r="G192" s="332" t="s">
        <v>467</v>
      </c>
      <c r="H192" s="331" t="s">
        <v>466</v>
      </c>
      <c r="I192" s="332" t="s">
        <v>71</v>
      </c>
      <c r="J192" s="331">
        <v>2356</v>
      </c>
      <c r="K192" s="326">
        <v>4521</v>
      </c>
      <c r="L192" s="326">
        <v>2000</v>
      </c>
      <c r="M192" s="326" t="s">
        <v>31</v>
      </c>
      <c r="N192" s="342">
        <v>11.8</v>
      </c>
      <c r="O192" s="337">
        <f>IF(N192&gt;0,1/N192*37.7*68.6,"")</f>
        <v>219.17118644067796</v>
      </c>
      <c r="P192" s="328">
        <v>10.35</v>
      </c>
      <c r="Q192" s="327" t="s">
        <v>43</v>
      </c>
      <c r="R192" s="326" t="s">
        <v>33</v>
      </c>
      <c r="S192" s="326" t="s">
        <v>34</v>
      </c>
      <c r="T192" s="326"/>
      <c r="U192" s="325"/>
      <c r="V192" s="324">
        <f>IF(N192&lt;&gt;0, IF(N192&gt;=P192,ROUNDDOWN(N192/P192*100,0),""),"")</f>
        <v>114</v>
      </c>
      <c r="W192" s="311"/>
      <c r="X192" s="320"/>
      <c r="Y192" s="320"/>
      <c r="Z192" s="320"/>
      <c r="AA192" s="320"/>
      <c r="AB192" s="320"/>
      <c r="AC192" s="320"/>
      <c r="AD192" s="320"/>
      <c r="AE192" s="320"/>
      <c r="AF192" s="320"/>
      <c r="AG192" s="320"/>
      <c r="AH192" s="320"/>
      <c r="AI192" s="320"/>
      <c r="AJ192" s="320"/>
      <c r="AK192" s="320"/>
      <c r="AL192" s="320"/>
      <c r="AM192" s="320"/>
      <c r="AN192" s="320"/>
      <c r="AO192" s="320"/>
      <c r="AP192" s="320"/>
      <c r="AQ192" s="320"/>
    </row>
    <row r="193" spans="1:115" s="322" customFormat="1" ht="21" customHeight="1">
      <c r="A193" s="341"/>
      <c r="B193" s="340"/>
      <c r="C193" s="339"/>
      <c r="D193" s="333" t="s">
        <v>1151</v>
      </c>
      <c r="E193" s="326" t="s">
        <v>41</v>
      </c>
      <c r="F193" s="331">
        <v>2.9990000000000001</v>
      </c>
      <c r="G193" s="332" t="s">
        <v>467</v>
      </c>
      <c r="H193" s="331" t="s">
        <v>466</v>
      </c>
      <c r="I193" s="332" t="s">
        <v>42</v>
      </c>
      <c r="J193" s="331">
        <v>2356</v>
      </c>
      <c r="K193" s="326">
        <v>4521</v>
      </c>
      <c r="L193" s="326">
        <v>2000</v>
      </c>
      <c r="M193" s="326" t="s">
        <v>31</v>
      </c>
      <c r="N193" s="342">
        <v>11.8</v>
      </c>
      <c r="O193" s="337">
        <f>IF(N193&gt;0,1/N193*37.7*68.6,"")</f>
        <v>219.17118644067796</v>
      </c>
      <c r="P193" s="328">
        <v>10.35</v>
      </c>
      <c r="Q193" s="327" t="s">
        <v>63</v>
      </c>
      <c r="R193" s="326" t="s">
        <v>33</v>
      </c>
      <c r="S193" s="326" t="s">
        <v>34</v>
      </c>
      <c r="T193" s="326"/>
      <c r="U193" s="325"/>
      <c r="V193" s="324">
        <f>IF(N193&lt;&gt;0, IF(N193&gt;=P193,ROUNDDOWN(N193/P193*100,0),""),"")</f>
        <v>114</v>
      </c>
      <c r="W193" s="311"/>
      <c r="X193" s="320"/>
      <c r="Y193" s="320"/>
      <c r="Z193" s="320"/>
      <c r="AA193" s="320"/>
      <c r="AB193" s="320"/>
      <c r="AC193" s="320"/>
      <c r="AD193" s="320"/>
      <c r="AE193" s="320"/>
      <c r="AF193" s="320"/>
      <c r="AG193" s="320"/>
      <c r="AH193" s="320"/>
      <c r="AI193" s="320"/>
      <c r="AJ193" s="320"/>
      <c r="AK193" s="320"/>
      <c r="AL193" s="320"/>
      <c r="AM193" s="320"/>
      <c r="AN193" s="320"/>
      <c r="AO193" s="320"/>
      <c r="AP193" s="320"/>
      <c r="AQ193" s="320"/>
    </row>
    <row r="194" spans="1:115" s="322" customFormat="1" ht="21" customHeight="1">
      <c r="A194" s="341"/>
      <c r="B194" s="340"/>
      <c r="C194" s="339"/>
      <c r="D194" s="333" t="s">
        <v>1151</v>
      </c>
      <c r="E194" s="326" t="s">
        <v>41</v>
      </c>
      <c r="F194" s="331">
        <v>2.9990000000000001</v>
      </c>
      <c r="G194" s="332" t="s">
        <v>467</v>
      </c>
      <c r="H194" s="331" t="s">
        <v>466</v>
      </c>
      <c r="I194" s="332" t="s">
        <v>71</v>
      </c>
      <c r="J194" s="331">
        <v>2356</v>
      </c>
      <c r="K194" s="326">
        <v>4521</v>
      </c>
      <c r="L194" s="326">
        <v>2000</v>
      </c>
      <c r="M194" s="326" t="s">
        <v>31</v>
      </c>
      <c r="N194" s="342">
        <v>11.4</v>
      </c>
      <c r="O194" s="337">
        <f>IF(N194&gt;0,1/N194*37.7*68.6,"")</f>
        <v>226.8614035087719</v>
      </c>
      <c r="P194" s="328">
        <v>10.35</v>
      </c>
      <c r="Q194" s="327" t="s">
        <v>63</v>
      </c>
      <c r="R194" s="326" t="s">
        <v>33</v>
      </c>
      <c r="S194" s="326" t="s">
        <v>34</v>
      </c>
      <c r="T194" s="326"/>
      <c r="U194" s="325"/>
      <c r="V194" s="324">
        <f>IF(N194&lt;&gt;0, IF(N194&gt;=P194,ROUNDDOWN(N194/P194*100,0),""),"")</f>
        <v>110</v>
      </c>
      <c r="W194" s="311"/>
      <c r="X194" s="320"/>
      <c r="Y194" s="320"/>
      <c r="Z194" s="320"/>
      <c r="AA194" s="320"/>
      <c r="AB194" s="320"/>
      <c r="AC194" s="320"/>
      <c r="AD194" s="320"/>
      <c r="AE194" s="320"/>
      <c r="AF194" s="320"/>
      <c r="AG194" s="320"/>
      <c r="AH194" s="320"/>
      <c r="AI194" s="320"/>
      <c r="AJ194" s="320"/>
      <c r="AK194" s="320"/>
      <c r="AL194" s="320"/>
      <c r="AM194" s="320"/>
      <c r="AN194" s="320"/>
      <c r="AO194" s="320"/>
      <c r="AP194" s="320"/>
      <c r="AQ194" s="320"/>
    </row>
    <row r="195" spans="1:115" s="322" customFormat="1" ht="21" customHeight="1">
      <c r="A195" s="341"/>
      <c r="B195" s="340"/>
      <c r="C195" s="339"/>
      <c r="D195" s="333" t="s">
        <v>1151</v>
      </c>
      <c r="E195" s="326" t="s">
        <v>41</v>
      </c>
      <c r="F195" s="331">
        <v>2.9990000000000001</v>
      </c>
      <c r="G195" s="332" t="s">
        <v>467</v>
      </c>
      <c r="H195" s="331" t="s">
        <v>466</v>
      </c>
      <c r="I195" s="332" t="s">
        <v>71</v>
      </c>
      <c r="J195" s="331">
        <v>2652</v>
      </c>
      <c r="K195" s="326">
        <v>5812</v>
      </c>
      <c r="L195" s="326">
        <v>2995</v>
      </c>
      <c r="M195" s="326" t="s">
        <v>31</v>
      </c>
      <c r="N195" s="342">
        <v>10.8</v>
      </c>
      <c r="O195" s="337">
        <f>IF(N195&gt;0,1/N195*37.7*68.6,"")</f>
        <v>239.46481481481482</v>
      </c>
      <c r="P195" s="328">
        <v>9.51</v>
      </c>
      <c r="Q195" s="327" t="s">
        <v>43</v>
      </c>
      <c r="R195" s="326" t="s">
        <v>33</v>
      </c>
      <c r="S195" s="326" t="s">
        <v>34</v>
      </c>
      <c r="T195" s="326"/>
      <c r="U195" s="325"/>
      <c r="V195" s="324">
        <f>IF(N195&lt;&gt;0, IF(N195&gt;=P195,ROUNDDOWN(N195/P195*100,0),""),"")</f>
        <v>113</v>
      </c>
      <c r="W195" s="311"/>
      <c r="X195" s="320"/>
      <c r="Y195" s="320"/>
      <c r="Z195" s="320"/>
      <c r="AA195" s="320"/>
      <c r="AB195" s="320"/>
      <c r="AC195" s="320"/>
      <c r="AD195" s="320"/>
      <c r="AE195" s="320"/>
      <c r="AF195" s="320"/>
      <c r="AG195" s="320"/>
      <c r="AH195" s="320"/>
      <c r="AI195" s="320"/>
      <c r="AJ195" s="320"/>
      <c r="AK195" s="320"/>
      <c r="AL195" s="320"/>
      <c r="AM195" s="320"/>
      <c r="AN195" s="320"/>
      <c r="AO195" s="320"/>
      <c r="AP195" s="320"/>
      <c r="AQ195" s="320"/>
    </row>
    <row r="196" spans="1:115" s="322" customFormat="1" ht="21" customHeight="1">
      <c r="A196" s="341"/>
      <c r="B196" s="340"/>
      <c r="C196" s="339"/>
      <c r="D196" s="333" t="s">
        <v>1151</v>
      </c>
      <c r="E196" s="326" t="s">
        <v>41</v>
      </c>
      <c r="F196" s="331">
        <v>2.9990000000000001</v>
      </c>
      <c r="G196" s="332" t="s">
        <v>467</v>
      </c>
      <c r="H196" s="331" t="s">
        <v>466</v>
      </c>
      <c r="I196" s="332" t="s">
        <v>42</v>
      </c>
      <c r="J196" s="331">
        <v>2652</v>
      </c>
      <c r="K196" s="326">
        <v>5812</v>
      </c>
      <c r="L196" s="326">
        <v>2995</v>
      </c>
      <c r="M196" s="326" t="s">
        <v>31</v>
      </c>
      <c r="N196" s="342">
        <v>10.8</v>
      </c>
      <c r="O196" s="337">
        <f>IF(N196&gt;0,1/N196*37.7*68.6,"")</f>
        <v>239.46481481481482</v>
      </c>
      <c r="P196" s="328">
        <v>9.51</v>
      </c>
      <c r="Q196" s="327" t="s">
        <v>63</v>
      </c>
      <c r="R196" s="326" t="s">
        <v>33</v>
      </c>
      <c r="S196" s="326" t="s">
        <v>34</v>
      </c>
      <c r="T196" s="326"/>
      <c r="U196" s="325"/>
      <c r="V196" s="324">
        <f>IF(N196&lt;&gt;0, IF(N196&gt;=P196,ROUNDDOWN(N196/P196*100,0),""),"")</f>
        <v>113</v>
      </c>
      <c r="W196" s="311"/>
      <c r="X196" s="320"/>
      <c r="Y196" s="320"/>
      <c r="Z196" s="320"/>
      <c r="AA196" s="320"/>
      <c r="AB196" s="320"/>
      <c r="AC196" s="320"/>
      <c r="AD196" s="320"/>
      <c r="AE196" s="320"/>
      <c r="AF196" s="320"/>
      <c r="AG196" s="320"/>
      <c r="AH196" s="320"/>
      <c r="AI196" s="320"/>
      <c r="AJ196" s="320"/>
      <c r="AK196" s="320"/>
      <c r="AL196" s="320"/>
      <c r="AM196" s="320"/>
      <c r="AN196" s="320"/>
      <c r="AO196" s="320"/>
      <c r="AP196" s="320"/>
      <c r="AQ196" s="320"/>
    </row>
    <row r="197" spans="1:115" s="322" customFormat="1" ht="21" customHeight="1">
      <c r="A197" s="341"/>
      <c r="B197" s="340"/>
      <c r="C197" s="339"/>
      <c r="D197" s="333" t="s">
        <v>1151</v>
      </c>
      <c r="E197" s="326" t="s">
        <v>41</v>
      </c>
      <c r="F197" s="331">
        <v>2.9990000000000001</v>
      </c>
      <c r="G197" s="332" t="s">
        <v>467</v>
      </c>
      <c r="H197" s="331" t="s">
        <v>466</v>
      </c>
      <c r="I197" s="332" t="s">
        <v>71</v>
      </c>
      <c r="J197" s="331">
        <v>2652</v>
      </c>
      <c r="K197" s="326">
        <v>5812</v>
      </c>
      <c r="L197" s="326">
        <v>2995</v>
      </c>
      <c r="M197" s="326" t="s">
        <v>31</v>
      </c>
      <c r="N197" s="342">
        <v>10.6</v>
      </c>
      <c r="O197" s="337">
        <f>IF(N197&gt;0,1/N197*37.7*68.6,"")</f>
        <v>243.98301886792456</v>
      </c>
      <c r="P197" s="328">
        <v>9.51</v>
      </c>
      <c r="Q197" s="327" t="s">
        <v>63</v>
      </c>
      <c r="R197" s="326" t="s">
        <v>33</v>
      </c>
      <c r="S197" s="326" t="s">
        <v>34</v>
      </c>
      <c r="T197" s="326"/>
      <c r="U197" s="325"/>
      <c r="V197" s="324">
        <f>IF(N197&lt;&gt;0, IF(N197&gt;=P197,ROUNDDOWN(N197/P197*100,0),""),"")</f>
        <v>111</v>
      </c>
      <c r="W197" s="311"/>
      <c r="X197" s="320"/>
      <c r="Y197" s="320"/>
      <c r="Z197" s="320"/>
      <c r="AA197" s="320"/>
      <c r="AB197" s="320"/>
      <c r="AC197" s="320"/>
      <c r="AD197" s="320"/>
      <c r="AE197" s="320"/>
      <c r="AF197" s="320"/>
      <c r="AG197" s="320"/>
      <c r="AH197" s="320"/>
      <c r="AI197" s="320"/>
      <c r="AJ197" s="320"/>
      <c r="AK197" s="320"/>
      <c r="AL197" s="320"/>
      <c r="AM197" s="320"/>
      <c r="AN197" s="320"/>
      <c r="AO197" s="320"/>
      <c r="AP197" s="320"/>
      <c r="AQ197" s="320"/>
    </row>
    <row r="198" spans="1:115" s="322" customFormat="1" ht="21" customHeight="1">
      <c r="A198" s="341"/>
      <c r="B198" s="340"/>
      <c r="C198" s="339"/>
      <c r="D198" s="333" t="s">
        <v>1151</v>
      </c>
      <c r="E198" s="326" t="s">
        <v>41</v>
      </c>
      <c r="F198" s="331">
        <v>2.9990000000000001</v>
      </c>
      <c r="G198" s="332" t="s">
        <v>467</v>
      </c>
      <c r="H198" s="331" t="s">
        <v>466</v>
      </c>
      <c r="I198" s="332" t="s">
        <v>42</v>
      </c>
      <c r="J198" s="331">
        <v>2979</v>
      </c>
      <c r="K198" s="326">
        <v>6893</v>
      </c>
      <c r="L198" s="326">
        <v>3749</v>
      </c>
      <c r="M198" s="326" t="s">
        <v>31</v>
      </c>
      <c r="N198" s="342">
        <v>9.1999999999999993</v>
      </c>
      <c r="O198" s="337">
        <f>IF(N198&gt;0,1/N198*37.7*68.6,"")</f>
        <v>281.1108695652174</v>
      </c>
      <c r="P198" s="328">
        <v>8.1199999999999992</v>
      </c>
      <c r="Q198" s="327" t="s">
        <v>43</v>
      </c>
      <c r="R198" s="326" t="s">
        <v>33</v>
      </c>
      <c r="S198" s="326" t="s">
        <v>34</v>
      </c>
      <c r="T198" s="326"/>
      <c r="U198" s="325"/>
      <c r="V198" s="324">
        <f>IF(N198&lt;&gt;0, IF(N198&gt;=P198,ROUNDDOWN(N198/P198*100,0),""),"")</f>
        <v>113</v>
      </c>
      <c r="W198" s="311"/>
      <c r="X198" s="320"/>
      <c r="Y198" s="320"/>
      <c r="Z198" s="320"/>
      <c r="AA198" s="320"/>
      <c r="AB198" s="320"/>
      <c r="AC198" s="320"/>
      <c r="AD198" s="320"/>
      <c r="AE198" s="320"/>
      <c r="AF198" s="320"/>
      <c r="AG198" s="320"/>
      <c r="AH198" s="320"/>
      <c r="AI198" s="320"/>
      <c r="AJ198" s="320"/>
      <c r="AK198" s="320"/>
      <c r="AL198" s="320"/>
      <c r="AM198" s="320"/>
      <c r="AN198" s="320"/>
      <c r="AO198" s="320"/>
      <c r="AP198" s="320"/>
      <c r="AQ198" s="320"/>
    </row>
    <row r="199" spans="1:115" s="322" customFormat="1" ht="21" customHeight="1">
      <c r="A199" s="341"/>
      <c r="B199" s="340"/>
      <c r="C199" s="339"/>
      <c r="D199" s="333" t="s">
        <v>1151</v>
      </c>
      <c r="E199" s="326" t="s">
        <v>41</v>
      </c>
      <c r="F199" s="331">
        <v>2.9990000000000001</v>
      </c>
      <c r="G199" s="332" t="s">
        <v>467</v>
      </c>
      <c r="H199" s="331" t="s">
        <v>466</v>
      </c>
      <c r="I199" s="332" t="s">
        <v>71</v>
      </c>
      <c r="J199" s="331">
        <v>2979</v>
      </c>
      <c r="K199" s="326">
        <v>6893</v>
      </c>
      <c r="L199" s="326">
        <v>3749</v>
      </c>
      <c r="M199" s="326" t="s">
        <v>31</v>
      </c>
      <c r="N199" s="342">
        <v>9</v>
      </c>
      <c r="O199" s="337">
        <f>IF(N199&gt;0,1/N199*37.7*68.6,"")</f>
        <v>287.35777777777776</v>
      </c>
      <c r="P199" s="328">
        <v>8.1199999999999992</v>
      </c>
      <c r="Q199" s="327" t="s">
        <v>43</v>
      </c>
      <c r="R199" s="326" t="s">
        <v>33</v>
      </c>
      <c r="S199" s="326" t="s">
        <v>34</v>
      </c>
      <c r="T199" s="326"/>
      <c r="U199" s="325"/>
      <c r="V199" s="324">
        <f>IF(N199&lt;&gt;0, IF(N199&gt;=P199,ROUNDDOWN(N199/P199*100,0),""),"")</f>
        <v>110</v>
      </c>
      <c r="W199" s="311"/>
      <c r="X199" s="320"/>
      <c r="Y199" s="320"/>
      <c r="Z199" s="320"/>
      <c r="AA199" s="320"/>
      <c r="AB199" s="320"/>
      <c r="AC199" s="320"/>
      <c r="AD199" s="320"/>
      <c r="AE199" s="320"/>
      <c r="AF199" s="320"/>
      <c r="AG199" s="320"/>
      <c r="AH199" s="320"/>
      <c r="AI199" s="320"/>
      <c r="AJ199" s="320"/>
      <c r="AK199" s="320"/>
      <c r="AL199" s="320"/>
      <c r="AM199" s="320"/>
      <c r="AN199" s="320"/>
      <c r="AO199" s="320"/>
      <c r="AP199" s="320"/>
      <c r="AQ199" s="320"/>
    </row>
    <row r="200" spans="1:115" s="322" customFormat="1" ht="21" customHeight="1">
      <c r="A200" s="341"/>
      <c r="B200" s="340"/>
      <c r="C200" s="339"/>
      <c r="D200" s="333" t="s">
        <v>1151</v>
      </c>
      <c r="E200" s="326" t="s">
        <v>41</v>
      </c>
      <c r="F200" s="331">
        <v>2.9990000000000001</v>
      </c>
      <c r="G200" s="332" t="s">
        <v>467</v>
      </c>
      <c r="H200" s="331" t="s">
        <v>466</v>
      </c>
      <c r="I200" s="332" t="s">
        <v>42</v>
      </c>
      <c r="J200" s="331">
        <v>2979</v>
      </c>
      <c r="K200" s="326">
        <v>6893</v>
      </c>
      <c r="L200" s="326">
        <v>3749</v>
      </c>
      <c r="M200" s="326" t="s">
        <v>31</v>
      </c>
      <c r="N200" s="342">
        <v>9</v>
      </c>
      <c r="O200" s="337">
        <f>IF(N200&gt;0,1/N200*37.7*68.6,"")</f>
        <v>287.35777777777776</v>
      </c>
      <c r="P200" s="328">
        <v>8.1199999999999992</v>
      </c>
      <c r="Q200" s="327" t="s">
        <v>63</v>
      </c>
      <c r="R200" s="326" t="s">
        <v>33</v>
      </c>
      <c r="S200" s="326" t="s">
        <v>34</v>
      </c>
      <c r="T200" s="326"/>
      <c r="U200" s="325"/>
      <c r="V200" s="324">
        <f>IF(N200&lt;&gt;0, IF(N200&gt;=P200,ROUNDDOWN(N200/P200*100,0),""),"")</f>
        <v>110</v>
      </c>
      <c r="W200" s="311"/>
      <c r="X200" s="320"/>
      <c r="Y200" s="320"/>
      <c r="Z200" s="320"/>
      <c r="AA200" s="320"/>
      <c r="AB200" s="320"/>
      <c r="AC200" s="320"/>
      <c r="AD200" s="320"/>
      <c r="AE200" s="320"/>
      <c r="AF200" s="320"/>
      <c r="AG200" s="320"/>
      <c r="AH200" s="320"/>
      <c r="AI200" s="320"/>
      <c r="AJ200" s="320"/>
      <c r="AK200" s="320"/>
      <c r="AL200" s="320"/>
      <c r="AM200" s="320"/>
      <c r="AN200" s="320"/>
      <c r="AO200" s="320"/>
      <c r="AP200" s="320"/>
      <c r="AQ200" s="320"/>
    </row>
    <row r="201" spans="1:115" s="322" customFormat="1" ht="21" customHeight="1">
      <c r="A201" s="341"/>
      <c r="B201" s="340"/>
      <c r="C201" s="339"/>
      <c r="D201" s="333" t="s">
        <v>1150</v>
      </c>
      <c r="E201" s="326" t="s">
        <v>41</v>
      </c>
      <c r="F201" s="331">
        <v>2.9990000000000001</v>
      </c>
      <c r="G201" s="332">
        <v>375</v>
      </c>
      <c r="H201" s="331">
        <v>110</v>
      </c>
      <c r="I201" s="332" t="s">
        <v>71</v>
      </c>
      <c r="J201" s="331">
        <v>2356</v>
      </c>
      <c r="K201" s="326">
        <v>4521</v>
      </c>
      <c r="L201" s="326">
        <v>2000</v>
      </c>
      <c r="M201" s="326" t="s">
        <v>31</v>
      </c>
      <c r="N201" s="342">
        <v>11.8</v>
      </c>
      <c r="O201" s="337">
        <f>IF(N201&gt;0,1/N201*37.7*68.6,"")</f>
        <v>219.17118644067796</v>
      </c>
      <c r="P201" s="328">
        <v>10.35</v>
      </c>
      <c r="Q201" s="327" t="s">
        <v>43</v>
      </c>
      <c r="R201" s="326" t="s">
        <v>33</v>
      </c>
      <c r="S201" s="326" t="s">
        <v>34</v>
      </c>
      <c r="T201" s="326"/>
      <c r="U201" s="325"/>
      <c r="V201" s="324">
        <f>IF(N201&lt;&gt;0, IF(N201&gt;=P201,ROUNDDOWN(N201/P201*100,0),""),"")</f>
        <v>114</v>
      </c>
      <c r="W201" s="311"/>
      <c r="X201" s="323"/>
      <c r="Y201" s="311"/>
      <c r="Z201" s="320"/>
      <c r="AA201" s="320"/>
      <c r="AB201" s="320"/>
      <c r="AC201" s="320"/>
      <c r="AD201" s="320"/>
      <c r="AE201" s="320"/>
      <c r="AF201" s="320"/>
      <c r="AG201" s="320"/>
      <c r="AH201" s="320"/>
      <c r="AI201" s="320"/>
      <c r="AJ201" s="320"/>
      <c r="AK201" s="320"/>
      <c r="AL201" s="320"/>
      <c r="AM201" s="320"/>
      <c r="AN201" s="320"/>
      <c r="AO201" s="320"/>
      <c r="AP201" s="320"/>
      <c r="AQ201" s="320"/>
      <c r="AR201" s="320"/>
      <c r="AS201" s="320"/>
      <c r="AT201" s="320"/>
      <c r="AU201" s="320"/>
      <c r="AV201" s="320"/>
      <c r="AW201" s="320"/>
      <c r="AX201" s="320"/>
      <c r="AY201" s="320"/>
      <c r="AZ201" s="320"/>
      <c r="BA201" s="320"/>
      <c r="BB201" s="320"/>
      <c r="BC201" s="320"/>
      <c r="BD201" s="320"/>
      <c r="BE201" s="320"/>
      <c r="BF201" s="320"/>
      <c r="BG201" s="320"/>
      <c r="BH201" s="320"/>
      <c r="BI201" s="320"/>
      <c r="BJ201" s="320"/>
      <c r="BK201" s="320"/>
      <c r="BL201" s="320"/>
      <c r="BM201" s="320"/>
      <c r="BN201" s="320"/>
      <c r="BO201" s="320"/>
      <c r="BP201" s="320"/>
      <c r="BQ201" s="320"/>
      <c r="BR201" s="320"/>
      <c r="BS201" s="320"/>
      <c r="BT201" s="320"/>
      <c r="BU201" s="320"/>
      <c r="BV201" s="320"/>
      <c r="BW201" s="320"/>
      <c r="BX201" s="320"/>
      <c r="BY201" s="320"/>
      <c r="BZ201" s="320"/>
      <c r="CA201" s="320"/>
      <c r="CB201" s="320"/>
      <c r="CC201" s="320"/>
      <c r="CD201" s="320"/>
      <c r="CE201" s="320"/>
      <c r="CF201" s="320"/>
      <c r="CG201" s="320"/>
      <c r="CH201" s="320"/>
      <c r="CI201" s="320"/>
      <c r="CJ201" s="320"/>
      <c r="CK201" s="320"/>
      <c r="CL201" s="320"/>
      <c r="CM201" s="320"/>
      <c r="CN201" s="320"/>
      <c r="CO201" s="320"/>
      <c r="CP201" s="320"/>
      <c r="CQ201" s="320"/>
      <c r="CR201" s="320"/>
      <c r="CS201" s="320"/>
      <c r="CT201" s="320"/>
      <c r="CU201" s="320"/>
      <c r="CV201" s="320"/>
      <c r="CW201" s="320"/>
      <c r="CX201" s="320"/>
      <c r="CY201" s="320"/>
      <c r="CZ201" s="320"/>
      <c r="DA201" s="320"/>
      <c r="DB201" s="320"/>
      <c r="DC201" s="320"/>
      <c r="DD201" s="320"/>
      <c r="DE201" s="320"/>
      <c r="DF201" s="320"/>
      <c r="DG201" s="320"/>
      <c r="DH201" s="320"/>
      <c r="DI201" s="320"/>
      <c r="DJ201" s="320"/>
      <c r="DK201" s="320"/>
    </row>
    <row r="202" spans="1:115" s="322" customFormat="1" ht="21" customHeight="1">
      <c r="A202" s="341"/>
      <c r="B202" s="340"/>
      <c r="C202" s="339"/>
      <c r="D202" s="333" t="s">
        <v>1150</v>
      </c>
      <c r="E202" s="326" t="s">
        <v>41</v>
      </c>
      <c r="F202" s="331">
        <v>2.9990000000000001</v>
      </c>
      <c r="G202" s="332">
        <v>375</v>
      </c>
      <c r="H202" s="331">
        <v>110</v>
      </c>
      <c r="I202" s="332" t="s">
        <v>71</v>
      </c>
      <c r="J202" s="331">
        <v>2356</v>
      </c>
      <c r="K202" s="326">
        <v>4521</v>
      </c>
      <c r="L202" s="326">
        <v>2000</v>
      </c>
      <c r="M202" s="326" t="s">
        <v>31</v>
      </c>
      <c r="N202" s="342">
        <v>11.4</v>
      </c>
      <c r="O202" s="337">
        <f>IF(N202&gt;0,1/N202*37.7*68.6,"")</f>
        <v>226.8614035087719</v>
      </c>
      <c r="P202" s="328">
        <v>10.35</v>
      </c>
      <c r="Q202" s="327" t="s">
        <v>63</v>
      </c>
      <c r="R202" s="326" t="s">
        <v>33</v>
      </c>
      <c r="S202" s="326" t="s">
        <v>34</v>
      </c>
      <c r="T202" s="326"/>
      <c r="U202" s="325"/>
      <c r="V202" s="324">
        <f>IF(N202&lt;&gt;0, IF(N202&gt;=P202,ROUNDDOWN(N202/P202*100,0),""),"")</f>
        <v>110</v>
      </c>
      <c r="W202" s="311"/>
      <c r="X202" s="323"/>
      <c r="Y202" s="311"/>
      <c r="Z202" s="320"/>
      <c r="AA202" s="320"/>
      <c r="AB202" s="320"/>
      <c r="AC202" s="320"/>
      <c r="AD202" s="320"/>
      <c r="AE202" s="320"/>
      <c r="AF202" s="320"/>
      <c r="AG202" s="320"/>
      <c r="AH202" s="320"/>
      <c r="AI202" s="320"/>
      <c r="AJ202" s="320"/>
      <c r="AK202" s="320"/>
      <c r="AL202" s="320"/>
      <c r="AM202" s="320"/>
      <c r="AN202" s="320"/>
      <c r="AO202" s="320"/>
      <c r="AP202" s="320"/>
      <c r="AQ202" s="320"/>
      <c r="AR202" s="320"/>
      <c r="AS202" s="320"/>
      <c r="AT202" s="320"/>
      <c r="AU202" s="320"/>
      <c r="AV202" s="320"/>
      <c r="AW202" s="320"/>
      <c r="AX202" s="320"/>
      <c r="AY202" s="320"/>
      <c r="AZ202" s="320"/>
      <c r="BA202" s="320"/>
      <c r="BB202" s="320"/>
      <c r="BC202" s="320"/>
      <c r="BD202" s="320"/>
      <c r="BE202" s="320"/>
      <c r="BF202" s="320"/>
      <c r="BG202" s="320"/>
      <c r="BH202" s="320"/>
      <c r="BI202" s="320"/>
      <c r="BJ202" s="320"/>
      <c r="BK202" s="320"/>
      <c r="BL202" s="320"/>
      <c r="BM202" s="320"/>
      <c r="BN202" s="320"/>
      <c r="BO202" s="320"/>
      <c r="BP202" s="320"/>
      <c r="BQ202" s="320"/>
      <c r="BR202" s="320"/>
      <c r="BS202" s="320"/>
      <c r="BT202" s="320"/>
      <c r="BU202" s="320"/>
      <c r="BV202" s="320"/>
      <c r="BW202" s="320"/>
      <c r="BX202" s="320"/>
      <c r="BY202" s="320"/>
      <c r="BZ202" s="320"/>
      <c r="CA202" s="320"/>
      <c r="CB202" s="320"/>
      <c r="CC202" s="320"/>
      <c r="CD202" s="320"/>
      <c r="CE202" s="320"/>
      <c r="CF202" s="320"/>
      <c r="CG202" s="320"/>
      <c r="CH202" s="320"/>
      <c r="CI202" s="320"/>
      <c r="CJ202" s="320"/>
      <c r="CK202" s="320"/>
      <c r="CL202" s="320"/>
      <c r="CM202" s="320"/>
      <c r="CN202" s="320"/>
      <c r="CO202" s="320"/>
      <c r="CP202" s="320"/>
      <c r="CQ202" s="320"/>
      <c r="CR202" s="320"/>
      <c r="CS202" s="320"/>
      <c r="CT202" s="320"/>
      <c r="CU202" s="320"/>
      <c r="CV202" s="320"/>
      <c r="CW202" s="320"/>
      <c r="CX202" s="320"/>
      <c r="CY202" s="320"/>
      <c r="CZ202" s="320"/>
      <c r="DA202" s="320"/>
      <c r="DB202" s="320"/>
      <c r="DC202" s="320"/>
      <c r="DD202" s="320"/>
      <c r="DE202" s="320"/>
      <c r="DF202" s="320"/>
      <c r="DG202" s="320"/>
      <c r="DH202" s="320"/>
      <c r="DI202" s="320"/>
      <c r="DJ202" s="320"/>
      <c r="DK202" s="320"/>
    </row>
    <row r="203" spans="1:115" s="322" customFormat="1" ht="21" customHeight="1">
      <c r="A203" s="341"/>
      <c r="B203" s="340"/>
      <c r="C203" s="339"/>
      <c r="D203" s="333" t="s">
        <v>1150</v>
      </c>
      <c r="E203" s="326" t="s">
        <v>41</v>
      </c>
      <c r="F203" s="331">
        <v>2.9990000000000001</v>
      </c>
      <c r="G203" s="332">
        <v>375</v>
      </c>
      <c r="H203" s="331">
        <v>110</v>
      </c>
      <c r="I203" s="332" t="s">
        <v>71</v>
      </c>
      <c r="J203" s="331">
        <v>2652</v>
      </c>
      <c r="K203" s="326">
        <v>5812</v>
      </c>
      <c r="L203" s="326">
        <v>2995</v>
      </c>
      <c r="M203" s="326" t="s">
        <v>31</v>
      </c>
      <c r="N203" s="342">
        <v>10.8</v>
      </c>
      <c r="O203" s="337">
        <f>IF(N203&gt;0,1/N203*37.7*68.6,"")</f>
        <v>239.46481481481482</v>
      </c>
      <c r="P203" s="328">
        <v>9.51</v>
      </c>
      <c r="Q203" s="327" t="s">
        <v>43</v>
      </c>
      <c r="R203" s="326" t="s">
        <v>33</v>
      </c>
      <c r="S203" s="326" t="s">
        <v>34</v>
      </c>
      <c r="T203" s="326"/>
      <c r="U203" s="325"/>
      <c r="V203" s="324">
        <f>IF(N203&lt;&gt;0, IF(N203&gt;=P203,ROUNDDOWN(N203/P203*100,0),""),"")</f>
        <v>113</v>
      </c>
      <c r="W203" s="311"/>
      <c r="X203" s="323"/>
      <c r="Y203" s="311"/>
      <c r="Z203" s="320"/>
      <c r="AA203" s="320"/>
      <c r="AB203" s="320"/>
      <c r="AC203" s="320"/>
      <c r="AD203" s="320"/>
      <c r="AE203" s="320"/>
      <c r="AF203" s="320"/>
      <c r="AG203" s="320"/>
      <c r="AH203" s="320"/>
      <c r="AI203" s="320"/>
      <c r="AJ203" s="320"/>
      <c r="AK203" s="320"/>
      <c r="AL203" s="320"/>
      <c r="AM203" s="320"/>
      <c r="AN203" s="320"/>
      <c r="AO203" s="320"/>
      <c r="AP203" s="320"/>
      <c r="AQ203" s="320"/>
      <c r="AR203" s="320"/>
      <c r="AS203" s="320"/>
      <c r="AT203" s="320"/>
      <c r="AU203" s="320"/>
      <c r="AV203" s="320"/>
      <c r="AW203" s="320"/>
      <c r="AX203" s="320"/>
      <c r="AY203" s="320"/>
      <c r="AZ203" s="320"/>
      <c r="BA203" s="320"/>
      <c r="BB203" s="320"/>
      <c r="BC203" s="320"/>
      <c r="BD203" s="320"/>
      <c r="BE203" s="320"/>
      <c r="BF203" s="320"/>
      <c r="BG203" s="320"/>
      <c r="BH203" s="320"/>
      <c r="BI203" s="320"/>
      <c r="BJ203" s="320"/>
      <c r="BK203" s="320"/>
      <c r="BL203" s="320"/>
      <c r="BM203" s="320"/>
      <c r="BN203" s="320"/>
      <c r="BO203" s="320"/>
      <c r="BP203" s="320"/>
      <c r="BQ203" s="320"/>
      <c r="BR203" s="320"/>
      <c r="BS203" s="320"/>
      <c r="BT203" s="320"/>
      <c r="BU203" s="320"/>
      <c r="BV203" s="320"/>
      <c r="BW203" s="320"/>
      <c r="BX203" s="320"/>
      <c r="BY203" s="320"/>
      <c r="BZ203" s="320"/>
      <c r="CA203" s="320"/>
      <c r="CB203" s="320"/>
      <c r="CC203" s="320"/>
      <c r="CD203" s="320"/>
      <c r="CE203" s="320"/>
      <c r="CF203" s="320"/>
      <c r="CG203" s="320"/>
      <c r="CH203" s="320"/>
      <c r="CI203" s="320"/>
      <c r="CJ203" s="320"/>
      <c r="CK203" s="320"/>
      <c r="CL203" s="320"/>
      <c r="CM203" s="320"/>
      <c r="CN203" s="320"/>
      <c r="CO203" s="320"/>
      <c r="CP203" s="320"/>
      <c r="CQ203" s="320"/>
      <c r="CR203" s="320"/>
      <c r="CS203" s="320"/>
      <c r="CT203" s="320"/>
      <c r="CU203" s="320"/>
      <c r="CV203" s="320"/>
      <c r="CW203" s="320"/>
      <c r="CX203" s="320"/>
      <c r="CY203" s="320"/>
      <c r="CZ203" s="320"/>
      <c r="DA203" s="320"/>
      <c r="DB203" s="320"/>
      <c r="DC203" s="320"/>
      <c r="DD203" s="320"/>
      <c r="DE203" s="320"/>
      <c r="DF203" s="320"/>
      <c r="DG203" s="320"/>
      <c r="DH203" s="320"/>
      <c r="DI203" s="320"/>
      <c r="DJ203" s="320"/>
      <c r="DK203" s="320"/>
    </row>
    <row r="204" spans="1:115" s="322" customFormat="1" ht="21" customHeight="1">
      <c r="A204" s="341"/>
      <c r="B204" s="340"/>
      <c r="C204" s="339"/>
      <c r="D204" s="333" t="s">
        <v>1150</v>
      </c>
      <c r="E204" s="326" t="s">
        <v>41</v>
      </c>
      <c r="F204" s="331">
        <v>2.9990000000000001</v>
      </c>
      <c r="G204" s="332">
        <v>375</v>
      </c>
      <c r="H204" s="331">
        <v>110</v>
      </c>
      <c r="I204" s="332" t="s">
        <v>71</v>
      </c>
      <c r="J204" s="331">
        <v>2652</v>
      </c>
      <c r="K204" s="326">
        <v>5812</v>
      </c>
      <c r="L204" s="326">
        <v>2995</v>
      </c>
      <c r="M204" s="326" t="s">
        <v>31</v>
      </c>
      <c r="N204" s="342">
        <v>10.6</v>
      </c>
      <c r="O204" s="337">
        <f>IF(N204&gt;0,1/N204*37.7*68.6,"")</f>
        <v>243.98301886792456</v>
      </c>
      <c r="P204" s="328">
        <v>9.51</v>
      </c>
      <c r="Q204" s="327" t="s">
        <v>63</v>
      </c>
      <c r="R204" s="326" t="s">
        <v>33</v>
      </c>
      <c r="S204" s="326" t="s">
        <v>34</v>
      </c>
      <c r="T204" s="326"/>
      <c r="U204" s="325"/>
      <c r="V204" s="324">
        <f>IF(N204&lt;&gt;0, IF(N204&gt;=P204,ROUNDDOWN(N204/P204*100,0),""),"")</f>
        <v>111</v>
      </c>
      <c r="W204" s="311"/>
      <c r="X204" s="323"/>
      <c r="Y204" s="311"/>
      <c r="Z204" s="320"/>
      <c r="AA204" s="320"/>
      <c r="AB204" s="320"/>
      <c r="AC204" s="320"/>
      <c r="AD204" s="320"/>
      <c r="AE204" s="320"/>
      <c r="AF204" s="320"/>
      <c r="AG204" s="320"/>
      <c r="AH204" s="320"/>
      <c r="AI204" s="320"/>
      <c r="AJ204" s="320"/>
      <c r="AK204" s="320"/>
      <c r="AL204" s="320"/>
      <c r="AM204" s="320"/>
      <c r="AN204" s="320"/>
      <c r="AO204" s="320"/>
      <c r="AP204" s="320"/>
      <c r="AQ204" s="320"/>
      <c r="AR204" s="320"/>
      <c r="AS204" s="320"/>
      <c r="AT204" s="320"/>
      <c r="AU204" s="320"/>
      <c r="AV204" s="320"/>
      <c r="AW204" s="320"/>
      <c r="AX204" s="320"/>
      <c r="AY204" s="320"/>
      <c r="AZ204" s="320"/>
      <c r="BA204" s="320"/>
      <c r="BB204" s="320"/>
      <c r="BC204" s="320"/>
      <c r="BD204" s="320"/>
      <c r="BE204" s="320"/>
      <c r="BF204" s="320"/>
      <c r="BG204" s="320"/>
      <c r="BH204" s="320"/>
      <c r="BI204" s="320"/>
      <c r="BJ204" s="320"/>
      <c r="BK204" s="320"/>
      <c r="BL204" s="320"/>
      <c r="BM204" s="320"/>
      <c r="BN204" s="320"/>
      <c r="BO204" s="320"/>
      <c r="BP204" s="320"/>
      <c r="BQ204" s="320"/>
      <c r="BR204" s="320"/>
      <c r="BS204" s="320"/>
      <c r="BT204" s="320"/>
      <c r="BU204" s="320"/>
      <c r="BV204" s="320"/>
      <c r="BW204" s="320"/>
      <c r="BX204" s="320"/>
      <c r="BY204" s="320"/>
      <c r="BZ204" s="320"/>
      <c r="CA204" s="320"/>
      <c r="CB204" s="320"/>
      <c r="CC204" s="320"/>
      <c r="CD204" s="320"/>
      <c r="CE204" s="320"/>
      <c r="CF204" s="320"/>
      <c r="CG204" s="320"/>
      <c r="CH204" s="320"/>
      <c r="CI204" s="320"/>
      <c r="CJ204" s="320"/>
      <c r="CK204" s="320"/>
      <c r="CL204" s="320"/>
      <c r="CM204" s="320"/>
      <c r="CN204" s="320"/>
      <c r="CO204" s="320"/>
      <c r="CP204" s="320"/>
      <c r="CQ204" s="320"/>
      <c r="CR204" s="320"/>
      <c r="CS204" s="320"/>
      <c r="CT204" s="320"/>
      <c r="CU204" s="320"/>
      <c r="CV204" s="320"/>
      <c r="CW204" s="320"/>
      <c r="CX204" s="320"/>
      <c r="CY204" s="320"/>
      <c r="CZ204" s="320"/>
      <c r="DA204" s="320"/>
      <c r="DB204" s="320"/>
      <c r="DC204" s="320"/>
      <c r="DD204" s="320"/>
      <c r="DE204" s="320"/>
      <c r="DF204" s="320"/>
      <c r="DG204" s="320"/>
      <c r="DH204" s="320"/>
      <c r="DI204" s="320"/>
      <c r="DJ204" s="320"/>
      <c r="DK204" s="320"/>
    </row>
    <row r="205" spans="1:115" s="322" customFormat="1" ht="21" customHeight="1">
      <c r="A205" s="341"/>
      <c r="B205" s="340"/>
      <c r="C205" s="339"/>
      <c r="D205" s="333" t="s">
        <v>1150</v>
      </c>
      <c r="E205" s="326" t="s">
        <v>41</v>
      </c>
      <c r="F205" s="331">
        <v>2.9990000000000001</v>
      </c>
      <c r="G205" s="332">
        <v>375</v>
      </c>
      <c r="H205" s="331">
        <v>110</v>
      </c>
      <c r="I205" s="332" t="s">
        <v>71</v>
      </c>
      <c r="J205" s="331">
        <v>2979</v>
      </c>
      <c r="K205" s="326">
        <v>6893</v>
      </c>
      <c r="L205" s="326">
        <v>3749</v>
      </c>
      <c r="M205" s="326" t="s">
        <v>31</v>
      </c>
      <c r="N205" s="342">
        <v>9.1</v>
      </c>
      <c r="O205" s="337">
        <f>IF(N205&gt;0,1/N205*37.7*68.6,"")</f>
        <v>284.2</v>
      </c>
      <c r="P205" s="328">
        <v>8.1199999999999992</v>
      </c>
      <c r="Q205" s="327" t="s">
        <v>43</v>
      </c>
      <c r="R205" s="326" t="s">
        <v>33</v>
      </c>
      <c r="S205" s="326" t="s">
        <v>34</v>
      </c>
      <c r="T205" s="326"/>
      <c r="U205" s="325"/>
      <c r="V205" s="324">
        <f>IF(N205&lt;&gt;0, IF(N205&gt;=P205,ROUNDDOWN(N205/P205*100,0),""),"")</f>
        <v>112</v>
      </c>
      <c r="W205" s="311"/>
      <c r="X205" s="323"/>
      <c r="Y205" s="311"/>
      <c r="Z205" s="320"/>
      <c r="AA205" s="320"/>
      <c r="AB205" s="320"/>
      <c r="AC205" s="320"/>
      <c r="AD205" s="320"/>
      <c r="AE205" s="320"/>
      <c r="AF205" s="320"/>
      <c r="AG205" s="320"/>
      <c r="AH205" s="320"/>
      <c r="AI205" s="320"/>
      <c r="AJ205" s="320"/>
      <c r="AK205" s="320"/>
      <c r="AL205" s="320"/>
      <c r="AM205" s="320"/>
      <c r="AN205" s="320"/>
      <c r="AO205" s="320"/>
      <c r="AP205" s="320"/>
      <c r="AQ205" s="320"/>
      <c r="AR205" s="320"/>
      <c r="AS205" s="320"/>
      <c r="AT205" s="320"/>
      <c r="AU205" s="320"/>
      <c r="AV205" s="320"/>
      <c r="AW205" s="320"/>
      <c r="AX205" s="320"/>
      <c r="AY205" s="320"/>
      <c r="AZ205" s="320"/>
      <c r="BA205" s="320"/>
      <c r="BB205" s="320"/>
      <c r="BC205" s="320"/>
      <c r="BD205" s="320"/>
      <c r="BE205" s="320"/>
      <c r="BF205" s="320"/>
      <c r="BG205" s="320"/>
      <c r="BH205" s="320"/>
      <c r="BI205" s="320"/>
      <c r="BJ205" s="320"/>
      <c r="BK205" s="320"/>
      <c r="BL205" s="320"/>
      <c r="BM205" s="320"/>
      <c r="BN205" s="320"/>
      <c r="BO205" s="320"/>
      <c r="BP205" s="320"/>
      <c r="BQ205" s="320"/>
      <c r="BR205" s="320"/>
      <c r="BS205" s="320"/>
      <c r="BT205" s="320"/>
      <c r="BU205" s="320"/>
      <c r="BV205" s="320"/>
      <c r="BW205" s="320"/>
      <c r="BX205" s="320"/>
      <c r="BY205" s="320"/>
      <c r="BZ205" s="320"/>
      <c r="CA205" s="320"/>
      <c r="CB205" s="320"/>
      <c r="CC205" s="320"/>
      <c r="CD205" s="320"/>
      <c r="CE205" s="320"/>
      <c r="CF205" s="320"/>
      <c r="CG205" s="320"/>
      <c r="CH205" s="320"/>
      <c r="CI205" s="320"/>
      <c r="CJ205" s="320"/>
      <c r="CK205" s="320"/>
      <c r="CL205" s="320"/>
      <c r="CM205" s="320"/>
      <c r="CN205" s="320"/>
      <c r="CO205" s="320"/>
      <c r="CP205" s="320"/>
      <c r="CQ205" s="320"/>
      <c r="CR205" s="320"/>
      <c r="CS205" s="320"/>
      <c r="CT205" s="320"/>
      <c r="CU205" s="320"/>
      <c r="CV205" s="320"/>
      <c r="CW205" s="320"/>
      <c r="CX205" s="320"/>
      <c r="CY205" s="320"/>
      <c r="CZ205" s="320"/>
      <c r="DA205" s="320"/>
      <c r="DB205" s="320"/>
      <c r="DC205" s="320"/>
      <c r="DD205" s="320"/>
      <c r="DE205" s="320"/>
      <c r="DF205" s="320"/>
      <c r="DG205" s="320"/>
      <c r="DH205" s="320"/>
      <c r="DI205" s="320"/>
      <c r="DJ205" s="320"/>
      <c r="DK205" s="320"/>
    </row>
    <row r="206" spans="1:115" s="322" customFormat="1" ht="21" customHeight="1">
      <c r="A206" s="341"/>
      <c r="B206" s="340"/>
      <c r="C206" s="339"/>
      <c r="D206" s="333" t="s">
        <v>1149</v>
      </c>
      <c r="E206" s="326" t="s">
        <v>41</v>
      </c>
      <c r="F206" s="331">
        <v>2.9990000000000001</v>
      </c>
      <c r="G206" s="332">
        <v>375</v>
      </c>
      <c r="H206" s="331">
        <v>110</v>
      </c>
      <c r="I206" s="332" t="s">
        <v>71</v>
      </c>
      <c r="J206" s="331">
        <v>2356</v>
      </c>
      <c r="K206" s="326">
        <v>4521</v>
      </c>
      <c r="L206" s="326">
        <v>2000</v>
      </c>
      <c r="M206" s="326" t="s">
        <v>31</v>
      </c>
      <c r="N206" s="342">
        <v>11.8</v>
      </c>
      <c r="O206" s="337">
        <f>IF(N206&gt;0,1/N206*37.7*68.6,"")</f>
        <v>219.17118644067796</v>
      </c>
      <c r="P206" s="328">
        <v>10.35</v>
      </c>
      <c r="Q206" s="327" t="s">
        <v>43</v>
      </c>
      <c r="R206" s="326" t="s">
        <v>33</v>
      </c>
      <c r="S206" s="326" t="s">
        <v>34</v>
      </c>
      <c r="T206" s="326"/>
      <c r="U206" s="325"/>
      <c r="V206" s="324">
        <f>IF(N206&lt;&gt;0, IF(N206&gt;=P206,ROUNDDOWN(N206/P206*100,0),""),"")</f>
        <v>114</v>
      </c>
      <c r="W206" s="311"/>
      <c r="X206" s="323"/>
      <c r="Y206" s="311"/>
      <c r="Z206" s="320"/>
      <c r="AA206" s="320"/>
      <c r="AB206" s="320"/>
      <c r="AC206" s="320"/>
      <c r="AD206" s="320"/>
      <c r="AE206" s="320"/>
      <c r="AF206" s="320"/>
      <c r="AG206" s="320"/>
      <c r="AH206" s="320"/>
      <c r="AI206" s="320"/>
      <c r="AJ206" s="320"/>
      <c r="AK206" s="320"/>
      <c r="AL206" s="320"/>
      <c r="AM206" s="320"/>
      <c r="AN206" s="320"/>
      <c r="AO206" s="320"/>
      <c r="AP206" s="320"/>
      <c r="AQ206" s="320"/>
      <c r="AR206" s="320"/>
      <c r="AS206" s="320"/>
      <c r="AT206" s="320"/>
      <c r="AU206" s="320"/>
      <c r="AV206" s="320"/>
      <c r="AW206" s="320"/>
      <c r="AX206" s="320"/>
      <c r="AY206" s="320"/>
      <c r="AZ206" s="320"/>
      <c r="BA206" s="320"/>
      <c r="BB206" s="320"/>
      <c r="BC206" s="320"/>
      <c r="BD206" s="320"/>
      <c r="BE206" s="320"/>
      <c r="BF206" s="320"/>
      <c r="BG206" s="320"/>
      <c r="BH206" s="320"/>
      <c r="BI206" s="320"/>
      <c r="BJ206" s="320"/>
      <c r="BK206" s="320"/>
      <c r="BL206" s="320"/>
      <c r="BM206" s="320"/>
      <c r="BN206" s="320"/>
      <c r="BO206" s="320"/>
      <c r="BP206" s="320"/>
      <c r="BQ206" s="320"/>
      <c r="BR206" s="320"/>
      <c r="BS206" s="320"/>
      <c r="BT206" s="320"/>
      <c r="BU206" s="320"/>
      <c r="BV206" s="320"/>
      <c r="BW206" s="320"/>
      <c r="BX206" s="320"/>
      <c r="BY206" s="320"/>
      <c r="BZ206" s="320"/>
      <c r="CA206" s="320"/>
      <c r="CB206" s="320"/>
      <c r="CC206" s="320"/>
      <c r="CD206" s="320"/>
      <c r="CE206" s="320"/>
      <c r="CF206" s="320"/>
      <c r="CG206" s="320"/>
      <c r="CH206" s="320"/>
      <c r="CI206" s="320"/>
      <c r="CJ206" s="320"/>
      <c r="CK206" s="320"/>
      <c r="CL206" s="320"/>
      <c r="CM206" s="320"/>
      <c r="CN206" s="320"/>
      <c r="CO206" s="320"/>
      <c r="CP206" s="320"/>
      <c r="CQ206" s="320"/>
      <c r="CR206" s="320"/>
      <c r="CS206" s="320"/>
      <c r="CT206" s="320"/>
      <c r="CU206" s="320"/>
      <c r="CV206" s="320"/>
      <c r="CW206" s="320"/>
      <c r="CX206" s="320"/>
      <c r="CY206" s="320"/>
      <c r="CZ206" s="320"/>
      <c r="DA206" s="320"/>
      <c r="DB206" s="320"/>
      <c r="DC206" s="320"/>
      <c r="DD206" s="320"/>
      <c r="DE206" s="320"/>
      <c r="DF206" s="320"/>
      <c r="DG206" s="320"/>
      <c r="DH206" s="320"/>
      <c r="DI206" s="320"/>
      <c r="DJ206" s="320"/>
      <c r="DK206" s="320"/>
    </row>
    <row r="207" spans="1:115" s="322" customFormat="1" ht="21" customHeight="1">
      <c r="A207" s="341"/>
      <c r="B207" s="340"/>
      <c r="C207" s="339"/>
      <c r="D207" s="333" t="s">
        <v>1149</v>
      </c>
      <c r="E207" s="326" t="s">
        <v>41</v>
      </c>
      <c r="F207" s="331">
        <v>2.9990000000000001</v>
      </c>
      <c r="G207" s="332">
        <v>375</v>
      </c>
      <c r="H207" s="331">
        <v>110</v>
      </c>
      <c r="I207" s="332" t="s">
        <v>71</v>
      </c>
      <c r="J207" s="331">
        <v>2356</v>
      </c>
      <c r="K207" s="326">
        <v>4521</v>
      </c>
      <c r="L207" s="326">
        <v>2000</v>
      </c>
      <c r="M207" s="326" t="s">
        <v>31</v>
      </c>
      <c r="N207" s="342">
        <v>11.4</v>
      </c>
      <c r="O207" s="337">
        <f>IF(N207&gt;0,1/N207*37.7*68.6,"")</f>
        <v>226.8614035087719</v>
      </c>
      <c r="P207" s="328">
        <v>10.35</v>
      </c>
      <c r="Q207" s="327" t="s">
        <v>63</v>
      </c>
      <c r="R207" s="326" t="s">
        <v>33</v>
      </c>
      <c r="S207" s="326" t="s">
        <v>34</v>
      </c>
      <c r="T207" s="326"/>
      <c r="U207" s="325"/>
      <c r="V207" s="324">
        <f>IF(N207&lt;&gt;0, IF(N207&gt;=P207,ROUNDDOWN(N207/P207*100,0),""),"")</f>
        <v>110</v>
      </c>
      <c r="W207" s="311"/>
      <c r="X207" s="323"/>
      <c r="Y207" s="311"/>
      <c r="Z207" s="320"/>
      <c r="AA207" s="320"/>
      <c r="AB207" s="320"/>
      <c r="AC207" s="320"/>
      <c r="AD207" s="320"/>
      <c r="AE207" s="320"/>
      <c r="AF207" s="320"/>
      <c r="AG207" s="320"/>
      <c r="AH207" s="320"/>
      <c r="AI207" s="320"/>
      <c r="AJ207" s="320"/>
      <c r="AK207" s="320"/>
      <c r="AL207" s="320"/>
      <c r="AM207" s="320"/>
      <c r="AN207" s="320"/>
      <c r="AO207" s="320"/>
      <c r="AP207" s="320"/>
      <c r="AQ207" s="320"/>
      <c r="AR207" s="320"/>
      <c r="AS207" s="320"/>
      <c r="AT207" s="320"/>
      <c r="AU207" s="320"/>
      <c r="AV207" s="320"/>
      <c r="AW207" s="320"/>
      <c r="AX207" s="320"/>
      <c r="AY207" s="320"/>
      <c r="AZ207" s="320"/>
      <c r="BA207" s="320"/>
      <c r="BB207" s="320"/>
      <c r="BC207" s="320"/>
      <c r="BD207" s="320"/>
      <c r="BE207" s="320"/>
      <c r="BF207" s="320"/>
      <c r="BG207" s="320"/>
      <c r="BH207" s="320"/>
      <c r="BI207" s="320"/>
      <c r="BJ207" s="320"/>
      <c r="BK207" s="320"/>
      <c r="BL207" s="320"/>
      <c r="BM207" s="320"/>
      <c r="BN207" s="320"/>
      <c r="BO207" s="320"/>
      <c r="BP207" s="320"/>
      <c r="BQ207" s="320"/>
      <c r="BR207" s="320"/>
      <c r="BS207" s="320"/>
      <c r="BT207" s="320"/>
      <c r="BU207" s="320"/>
      <c r="BV207" s="320"/>
      <c r="BW207" s="320"/>
      <c r="BX207" s="320"/>
      <c r="BY207" s="320"/>
      <c r="BZ207" s="320"/>
      <c r="CA207" s="320"/>
      <c r="CB207" s="320"/>
      <c r="CC207" s="320"/>
      <c r="CD207" s="320"/>
      <c r="CE207" s="320"/>
      <c r="CF207" s="320"/>
      <c r="CG207" s="320"/>
      <c r="CH207" s="320"/>
      <c r="CI207" s="320"/>
      <c r="CJ207" s="320"/>
      <c r="CK207" s="320"/>
      <c r="CL207" s="320"/>
      <c r="CM207" s="320"/>
      <c r="CN207" s="320"/>
      <c r="CO207" s="320"/>
      <c r="CP207" s="320"/>
      <c r="CQ207" s="320"/>
      <c r="CR207" s="320"/>
      <c r="CS207" s="320"/>
      <c r="CT207" s="320"/>
      <c r="CU207" s="320"/>
      <c r="CV207" s="320"/>
      <c r="CW207" s="320"/>
      <c r="CX207" s="320"/>
      <c r="CY207" s="320"/>
      <c r="CZ207" s="320"/>
      <c r="DA207" s="320"/>
      <c r="DB207" s="320"/>
      <c r="DC207" s="320"/>
      <c r="DD207" s="320"/>
      <c r="DE207" s="320"/>
      <c r="DF207" s="320"/>
      <c r="DG207" s="320"/>
      <c r="DH207" s="320"/>
      <c r="DI207" s="320"/>
      <c r="DJ207" s="320"/>
      <c r="DK207" s="320"/>
    </row>
    <row r="208" spans="1:115" s="322" customFormat="1" ht="21" customHeight="1">
      <c r="A208" s="341"/>
      <c r="B208" s="340"/>
      <c r="C208" s="339"/>
      <c r="D208" s="333" t="s">
        <v>1149</v>
      </c>
      <c r="E208" s="326" t="s">
        <v>41</v>
      </c>
      <c r="F208" s="331">
        <v>2.9990000000000001</v>
      </c>
      <c r="G208" s="332">
        <v>375</v>
      </c>
      <c r="H208" s="331">
        <v>110</v>
      </c>
      <c r="I208" s="332" t="s">
        <v>71</v>
      </c>
      <c r="J208" s="331">
        <v>2652</v>
      </c>
      <c r="K208" s="326">
        <v>5812</v>
      </c>
      <c r="L208" s="326">
        <v>2995</v>
      </c>
      <c r="M208" s="326" t="s">
        <v>31</v>
      </c>
      <c r="N208" s="342">
        <v>10.8</v>
      </c>
      <c r="O208" s="337">
        <f>IF(N208&gt;0,1/N208*37.7*68.6,"")</f>
        <v>239.46481481481482</v>
      </c>
      <c r="P208" s="328">
        <v>9.51</v>
      </c>
      <c r="Q208" s="327" t="s">
        <v>43</v>
      </c>
      <c r="R208" s="326" t="s">
        <v>33</v>
      </c>
      <c r="S208" s="326" t="s">
        <v>34</v>
      </c>
      <c r="T208" s="326"/>
      <c r="U208" s="325"/>
      <c r="V208" s="324">
        <f>IF(N208&lt;&gt;0, IF(N208&gt;=P208,ROUNDDOWN(N208/P208*100,0),""),"")</f>
        <v>113</v>
      </c>
      <c r="W208" s="311"/>
      <c r="X208" s="323"/>
      <c r="Y208" s="311"/>
      <c r="Z208" s="320"/>
      <c r="AA208" s="320"/>
      <c r="AB208" s="320"/>
      <c r="AC208" s="320"/>
      <c r="AD208" s="320"/>
      <c r="AE208" s="320"/>
      <c r="AF208" s="320"/>
      <c r="AG208" s="320"/>
      <c r="AH208" s="320"/>
      <c r="AI208" s="320"/>
      <c r="AJ208" s="320"/>
      <c r="AK208" s="320"/>
      <c r="AL208" s="320"/>
      <c r="AM208" s="320"/>
      <c r="AN208" s="320"/>
      <c r="AO208" s="320"/>
      <c r="AP208" s="320"/>
      <c r="AQ208" s="320"/>
      <c r="AR208" s="320"/>
      <c r="AS208" s="320"/>
      <c r="AT208" s="320"/>
      <c r="AU208" s="320"/>
      <c r="AV208" s="320"/>
      <c r="AW208" s="320"/>
      <c r="AX208" s="320"/>
      <c r="AY208" s="320"/>
      <c r="AZ208" s="320"/>
      <c r="BA208" s="320"/>
      <c r="BB208" s="320"/>
      <c r="BC208" s="320"/>
      <c r="BD208" s="320"/>
      <c r="BE208" s="320"/>
      <c r="BF208" s="320"/>
      <c r="BG208" s="320"/>
      <c r="BH208" s="320"/>
      <c r="BI208" s="320"/>
      <c r="BJ208" s="320"/>
      <c r="BK208" s="320"/>
      <c r="BL208" s="320"/>
      <c r="BM208" s="320"/>
      <c r="BN208" s="320"/>
      <c r="BO208" s="320"/>
      <c r="BP208" s="320"/>
      <c r="BQ208" s="320"/>
      <c r="BR208" s="320"/>
      <c r="BS208" s="320"/>
      <c r="BT208" s="320"/>
      <c r="BU208" s="320"/>
      <c r="BV208" s="320"/>
      <c r="BW208" s="320"/>
      <c r="BX208" s="320"/>
      <c r="BY208" s="320"/>
      <c r="BZ208" s="320"/>
      <c r="CA208" s="320"/>
      <c r="CB208" s="320"/>
      <c r="CC208" s="320"/>
      <c r="CD208" s="320"/>
      <c r="CE208" s="320"/>
      <c r="CF208" s="320"/>
      <c r="CG208" s="320"/>
      <c r="CH208" s="320"/>
      <c r="CI208" s="320"/>
      <c r="CJ208" s="320"/>
      <c r="CK208" s="320"/>
      <c r="CL208" s="320"/>
      <c r="CM208" s="320"/>
      <c r="CN208" s="320"/>
      <c r="CO208" s="320"/>
      <c r="CP208" s="320"/>
      <c r="CQ208" s="320"/>
      <c r="CR208" s="320"/>
      <c r="CS208" s="320"/>
      <c r="CT208" s="320"/>
      <c r="CU208" s="320"/>
      <c r="CV208" s="320"/>
      <c r="CW208" s="320"/>
      <c r="CX208" s="320"/>
      <c r="CY208" s="320"/>
      <c r="CZ208" s="320"/>
      <c r="DA208" s="320"/>
      <c r="DB208" s="320"/>
      <c r="DC208" s="320"/>
      <c r="DD208" s="320"/>
      <c r="DE208" s="320"/>
      <c r="DF208" s="320"/>
      <c r="DG208" s="320"/>
      <c r="DH208" s="320"/>
      <c r="DI208" s="320"/>
      <c r="DJ208" s="320"/>
      <c r="DK208" s="320"/>
    </row>
    <row r="209" spans="1:115" s="322" customFormat="1" ht="21" customHeight="1">
      <c r="A209" s="341"/>
      <c r="B209" s="340"/>
      <c r="C209" s="339"/>
      <c r="D209" s="333" t="s">
        <v>1149</v>
      </c>
      <c r="E209" s="326" t="s">
        <v>41</v>
      </c>
      <c r="F209" s="331">
        <v>2.9990000000000001</v>
      </c>
      <c r="G209" s="332">
        <v>375</v>
      </c>
      <c r="H209" s="331">
        <v>110</v>
      </c>
      <c r="I209" s="332" t="s">
        <v>71</v>
      </c>
      <c r="J209" s="331">
        <v>2652</v>
      </c>
      <c r="K209" s="326">
        <v>5812</v>
      </c>
      <c r="L209" s="326">
        <v>2995</v>
      </c>
      <c r="M209" s="326" t="s">
        <v>31</v>
      </c>
      <c r="N209" s="342">
        <v>10.6</v>
      </c>
      <c r="O209" s="337">
        <f>IF(N209&gt;0,1/N209*37.7*68.6,"")</f>
        <v>243.98301886792456</v>
      </c>
      <c r="P209" s="328">
        <v>9.51</v>
      </c>
      <c r="Q209" s="327" t="s">
        <v>63</v>
      </c>
      <c r="R209" s="326" t="s">
        <v>33</v>
      </c>
      <c r="S209" s="326" t="s">
        <v>34</v>
      </c>
      <c r="T209" s="326"/>
      <c r="U209" s="325"/>
      <c r="V209" s="324">
        <f>IF(N209&lt;&gt;0, IF(N209&gt;=P209,ROUNDDOWN(N209/P209*100,0),""),"")</f>
        <v>111</v>
      </c>
      <c r="W209" s="311"/>
      <c r="X209" s="323"/>
      <c r="Y209" s="311"/>
      <c r="Z209" s="320"/>
      <c r="AA209" s="320"/>
      <c r="AB209" s="320"/>
      <c r="AC209" s="320"/>
      <c r="AD209" s="320"/>
      <c r="AE209" s="320"/>
      <c r="AF209" s="320"/>
      <c r="AG209" s="320"/>
      <c r="AH209" s="320"/>
      <c r="AI209" s="320"/>
      <c r="AJ209" s="320"/>
      <c r="AK209" s="320"/>
      <c r="AL209" s="320"/>
      <c r="AM209" s="320"/>
      <c r="AN209" s="320"/>
      <c r="AO209" s="320"/>
      <c r="AP209" s="320"/>
      <c r="AQ209" s="320"/>
      <c r="AR209" s="320"/>
      <c r="AS209" s="320"/>
      <c r="AT209" s="320"/>
      <c r="AU209" s="320"/>
      <c r="AV209" s="320"/>
      <c r="AW209" s="320"/>
      <c r="AX209" s="320"/>
      <c r="AY209" s="320"/>
      <c r="AZ209" s="320"/>
      <c r="BA209" s="320"/>
      <c r="BB209" s="320"/>
      <c r="BC209" s="320"/>
      <c r="BD209" s="320"/>
      <c r="BE209" s="320"/>
      <c r="BF209" s="320"/>
      <c r="BG209" s="320"/>
      <c r="BH209" s="320"/>
      <c r="BI209" s="320"/>
      <c r="BJ209" s="320"/>
      <c r="BK209" s="320"/>
      <c r="BL209" s="320"/>
      <c r="BM209" s="320"/>
      <c r="BN209" s="320"/>
      <c r="BO209" s="320"/>
      <c r="BP209" s="320"/>
      <c r="BQ209" s="320"/>
      <c r="BR209" s="320"/>
      <c r="BS209" s="320"/>
      <c r="BT209" s="320"/>
      <c r="BU209" s="320"/>
      <c r="BV209" s="320"/>
      <c r="BW209" s="320"/>
      <c r="BX209" s="320"/>
      <c r="BY209" s="320"/>
      <c r="BZ209" s="320"/>
      <c r="CA209" s="320"/>
      <c r="CB209" s="320"/>
      <c r="CC209" s="320"/>
      <c r="CD209" s="320"/>
      <c r="CE209" s="320"/>
      <c r="CF209" s="320"/>
      <c r="CG209" s="320"/>
      <c r="CH209" s="320"/>
      <c r="CI209" s="320"/>
      <c r="CJ209" s="320"/>
      <c r="CK209" s="320"/>
      <c r="CL209" s="320"/>
      <c r="CM209" s="320"/>
      <c r="CN209" s="320"/>
      <c r="CO209" s="320"/>
      <c r="CP209" s="320"/>
      <c r="CQ209" s="320"/>
      <c r="CR209" s="320"/>
      <c r="CS209" s="320"/>
      <c r="CT209" s="320"/>
      <c r="CU209" s="320"/>
      <c r="CV209" s="320"/>
      <c r="CW209" s="320"/>
      <c r="CX209" s="320"/>
      <c r="CY209" s="320"/>
      <c r="CZ209" s="320"/>
      <c r="DA209" s="320"/>
      <c r="DB209" s="320"/>
      <c r="DC209" s="320"/>
      <c r="DD209" s="320"/>
      <c r="DE209" s="320"/>
      <c r="DF209" s="320"/>
      <c r="DG209" s="320"/>
      <c r="DH209" s="320"/>
      <c r="DI209" s="320"/>
      <c r="DJ209" s="320"/>
      <c r="DK209" s="320"/>
    </row>
    <row r="210" spans="1:115" s="322" customFormat="1" ht="21" customHeight="1">
      <c r="A210" s="341"/>
      <c r="B210" s="340"/>
      <c r="C210" s="339"/>
      <c r="D210" s="333" t="s">
        <v>1149</v>
      </c>
      <c r="E210" s="326" t="s">
        <v>41</v>
      </c>
      <c r="F210" s="331">
        <v>2.9990000000000001</v>
      </c>
      <c r="G210" s="332">
        <v>375</v>
      </c>
      <c r="H210" s="331">
        <v>110</v>
      </c>
      <c r="I210" s="332" t="s">
        <v>71</v>
      </c>
      <c r="J210" s="331">
        <v>2979</v>
      </c>
      <c r="K210" s="326">
        <v>6893</v>
      </c>
      <c r="L210" s="326">
        <v>3749</v>
      </c>
      <c r="M210" s="326" t="s">
        <v>31</v>
      </c>
      <c r="N210" s="342">
        <v>9.1</v>
      </c>
      <c r="O210" s="337">
        <f>IF(N210&gt;0,1/N210*37.7*68.6,"")</f>
        <v>284.2</v>
      </c>
      <c r="P210" s="328">
        <v>8.1199999999999992</v>
      </c>
      <c r="Q210" s="327" t="s">
        <v>43</v>
      </c>
      <c r="R210" s="326" t="s">
        <v>33</v>
      </c>
      <c r="S210" s="326" t="s">
        <v>34</v>
      </c>
      <c r="T210" s="326"/>
      <c r="U210" s="325"/>
      <c r="V210" s="324">
        <f>IF(N210&lt;&gt;0, IF(N210&gt;=P210,ROUNDDOWN(N210/P210*100,0),""),"")</f>
        <v>112</v>
      </c>
      <c r="W210" s="311"/>
      <c r="X210" s="323"/>
      <c r="Y210" s="311"/>
      <c r="Z210" s="320"/>
      <c r="AA210" s="320"/>
      <c r="AB210" s="320"/>
      <c r="AC210" s="320"/>
      <c r="AD210" s="320"/>
      <c r="AE210" s="320"/>
      <c r="AF210" s="320"/>
      <c r="AG210" s="320"/>
      <c r="AH210" s="320"/>
      <c r="AI210" s="320"/>
      <c r="AJ210" s="320"/>
      <c r="AK210" s="320"/>
      <c r="AL210" s="320"/>
      <c r="AM210" s="320"/>
      <c r="AN210" s="320"/>
      <c r="AO210" s="320"/>
      <c r="AP210" s="320"/>
      <c r="AQ210" s="320"/>
      <c r="AR210" s="320"/>
      <c r="AS210" s="320"/>
      <c r="AT210" s="320"/>
      <c r="AU210" s="320"/>
      <c r="AV210" s="320"/>
      <c r="AW210" s="320"/>
      <c r="AX210" s="320"/>
      <c r="AY210" s="320"/>
      <c r="AZ210" s="320"/>
      <c r="BA210" s="320"/>
      <c r="BB210" s="320"/>
      <c r="BC210" s="320"/>
      <c r="BD210" s="320"/>
      <c r="BE210" s="320"/>
      <c r="BF210" s="320"/>
      <c r="BG210" s="320"/>
      <c r="BH210" s="320"/>
      <c r="BI210" s="320"/>
      <c r="BJ210" s="320"/>
      <c r="BK210" s="320"/>
      <c r="BL210" s="320"/>
      <c r="BM210" s="320"/>
      <c r="BN210" s="320"/>
      <c r="BO210" s="320"/>
      <c r="BP210" s="320"/>
      <c r="BQ210" s="320"/>
      <c r="BR210" s="320"/>
      <c r="BS210" s="320"/>
      <c r="BT210" s="320"/>
      <c r="BU210" s="320"/>
      <c r="BV210" s="320"/>
      <c r="BW210" s="320"/>
      <c r="BX210" s="320"/>
      <c r="BY210" s="320"/>
      <c r="BZ210" s="320"/>
      <c r="CA210" s="320"/>
      <c r="CB210" s="320"/>
      <c r="CC210" s="320"/>
      <c r="CD210" s="320"/>
      <c r="CE210" s="320"/>
      <c r="CF210" s="320"/>
      <c r="CG210" s="320"/>
      <c r="CH210" s="320"/>
      <c r="CI210" s="320"/>
      <c r="CJ210" s="320"/>
      <c r="CK210" s="320"/>
      <c r="CL210" s="320"/>
      <c r="CM210" s="320"/>
      <c r="CN210" s="320"/>
      <c r="CO210" s="320"/>
      <c r="CP210" s="320"/>
      <c r="CQ210" s="320"/>
      <c r="CR210" s="320"/>
      <c r="CS210" s="320"/>
      <c r="CT210" s="320"/>
      <c r="CU210" s="320"/>
      <c r="CV210" s="320"/>
      <c r="CW210" s="320"/>
      <c r="CX210" s="320"/>
      <c r="CY210" s="320"/>
      <c r="CZ210" s="320"/>
      <c r="DA210" s="320"/>
      <c r="DB210" s="320"/>
      <c r="DC210" s="320"/>
      <c r="DD210" s="320"/>
      <c r="DE210" s="320"/>
      <c r="DF210" s="320"/>
      <c r="DG210" s="320"/>
      <c r="DH210" s="320"/>
      <c r="DI210" s="320"/>
      <c r="DJ210" s="320"/>
      <c r="DK210" s="320"/>
    </row>
    <row r="211" spans="1:115" s="322" customFormat="1" ht="21" customHeight="1">
      <c r="A211" s="341"/>
      <c r="B211" s="340"/>
      <c r="C211" s="339"/>
      <c r="D211" s="333" t="s">
        <v>1148</v>
      </c>
      <c r="E211" s="326" t="s">
        <v>41</v>
      </c>
      <c r="F211" s="331">
        <v>2.9990000000000001</v>
      </c>
      <c r="G211" s="332" t="s">
        <v>467</v>
      </c>
      <c r="H211" s="331" t="s">
        <v>466</v>
      </c>
      <c r="I211" s="332" t="s">
        <v>70</v>
      </c>
      <c r="J211" s="331">
        <v>2356</v>
      </c>
      <c r="K211" s="326">
        <v>4521</v>
      </c>
      <c r="L211" s="326">
        <v>2000</v>
      </c>
      <c r="M211" s="326" t="s">
        <v>31</v>
      </c>
      <c r="N211" s="342">
        <v>11.8</v>
      </c>
      <c r="O211" s="337">
        <f>IF(N211&gt;0,1/N211*37.7*68.6,"")</f>
        <v>219.17118644067796</v>
      </c>
      <c r="P211" s="328">
        <v>10.35</v>
      </c>
      <c r="Q211" s="327" t="s">
        <v>43</v>
      </c>
      <c r="R211" s="326" t="s">
        <v>33</v>
      </c>
      <c r="S211" s="326" t="s">
        <v>34</v>
      </c>
      <c r="T211" s="326"/>
      <c r="U211" s="325"/>
      <c r="V211" s="324">
        <f>IF(N211&lt;&gt;0, IF(N211&gt;=P211,ROUNDDOWN(N211/P211*100,0),""),"")</f>
        <v>114</v>
      </c>
      <c r="W211" s="311"/>
      <c r="X211" s="320"/>
      <c r="Y211" s="320"/>
      <c r="Z211" s="320"/>
      <c r="AA211" s="320"/>
      <c r="AB211" s="320"/>
      <c r="AC211" s="320"/>
      <c r="AD211" s="320"/>
      <c r="AE211" s="320"/>
      <c r="AF211" s="320"/>
      <c r="AG211" s="320"/>
      <c r="AH211" s="320"/>
      <c r="AI211" s="320"/>
      <c r="AJ211" s="320"/>
      <c r="AK211" s="320"/>
      <c r="AL211" s="320"/>
      <c r="AM211" s="320"/>
      <c r="AN211" s="320"/>
      <c r="AO211" s="320"/>
      <c r="AP211" s="320"/>
      <c r="AQ211" s="320"/>
    </row>
    <row r="212" spans="1:115" s="322" customFormat="1" ht="21" customHeight="1">
      <c r="A212" s="341"/>
      <c r="B212" s="340"/>
      <c r="C212" s="339"/>
      <c r="D212" s="333" t="s">
        <v>1148</v>
      </c>
      <c r="E212" s="326" t="s">
        <v>41</v>
      </c>
      <c r="F212" s="331">
        <v>2.9990000000000001</v>
      </c>
      <c r="G212" s="332" t="s">
        <v>467</v>
      </c>
      <c r="H212" s="331" t="s">
        <v>466</v>
      </c>
      <c r="I212" s="332" t="s">
        <v>42</v>
      </c>
      <c r="J212" s="331">
        <v>2356</v>
      </c>
      <c r="K212" s="326">
        <v>4521</v>
      </c>
      <c r="L212" s="326">
        <v>2000</v>
      </c>
      <c r="M212" s="326" t="s">
        <v>31</v>
      </c>
      <c r="N212" s="342">
        <v>11.8</v>
      </c>
      <c r="O212" s="337">
        <f>IF(N212&gt;0,1/N212*37.7*68.6,"")</f>
        <v>219.17118644067796</v>
      </c>
      <c r="P212" s="328">
        <v>10.35</v>
      </c>
      <c r="Q212" s="327" t="s">
        <v>63</v>
      </c>
      <c r="R212" s="326" t="s">
        <v>33</v>
      </c>
      <c r="S212" s="326" t="s">
        <v>34</v>
      </c>
      <c r="T212" s="326"/>
      <c r="U212" s="325"/>
      <c r="V212" s="324">
        <f>IF(N212&lt;&gt;0, IF(N212&gt;=P212,ROUNDDOWN(N212/P212*100,0),""),"")</f>
        <v>114</v>
      </c>
      <c r="W212" s="311"/>
      <c r="X212" s="320"/>
      <c r="Y212" s="320"/>
      <c r="Z212" s="320"/>
      <c r="AA212" s="320"/>
      <c r="AB212" s="320"/>
      <c r="AC212" s="320"/>
      <c r="AD212" s="320"/>
      <c r="AE212" s="320"/>
      <c r="AF212" s="320"/>
      <c r="AG212" s="320"/>
      <c r="AH212" s="320"/>
      <c r="AI212" s="320"/>
      <c r="AJ212" s="320"/>
      <c r="AK212" s="320"/>
      <c r="AL212" s="320"/>
      <c r="AM212" s="320"/>
      <c r="AN212" s="320"/>
      <c r="AO212" s="320"/>
      <c r="AP212" s="320"/>
      <c r="AQ212" s="320"/>
    </row>
    <row r="213" spans="1:115" s="322" customFormat="1" ht="21" customHeight="1">
      <c r="A213" s="341"/>
      <c r="B213" s="340"/>
      <c r="C213" s="339"/>
      <c r="D213" s="333" t="s">
        <v>1148</v>
      </c>
      <c r="E213" s="326" t="s">
        <v>41</v>
      </c>
      <c r="F213" s="331">
        <v>2.9990000000000001</v>
      </c>
      <c r="G213" s="332" t="s">
        <v>467</v>
      </c>
      <c r="H213" s="331" t="s">
        <v>466</v>
      </c>
      <c r="I213" s="332" t="s">
        <v>70</v>
      </c>
      <c r="J213" s="331">
        <v>2356</v>
      </c>
      <c r="K213" s="326">
        <v>4521</v>
      </c>
      <c r="L213" s="326">
        <v>2000</v>
      </c>
      <c r="M213" s="326" t="s">
        <v>31</v>
      </c>
      <c r="N213" s="342">
        <v>11.4</v>
      </c>
      <c r="O213" s="337">
        <f>IF(N213&gt;0,1/N213*37.7*68.6,"")</f>
        <v>226.8614035087719</v>
      </c>
      <c r="P213" s="328">
        <v>10.35</v>
      </c>
      <c r="Q213" s="327" t="s">
        <v>63</v>
      </c>
      <c r="R213" s="326" t="s">
        <v>33</v>
      </c>
      <c r="S213" s="326" t="s">
        <v>34</v>
      </c>
      <c r="T213" s="326"/>
      <c r="U213" s="325"/>
      <c r="V213" s="324">
        <f>IF(N213&lt;&gt;0, IF(N213&gt;=P213,ROUNDDOWN(N213/P213*100,0),""),"")</f>
        <v>110</v>
      </c>
      <c r="W213" s="311"/>
      <c r="X213" s="320"/>
      <c r="Y213" s="320"/>
      <c r="Z213" s="320"/>
      <c r="AA213" s="320"/>
      <c r="AB213" s="320"/>
      <c r="AC213" s="320"/>
      <c r="AD213" s="320"/>
      <c r="AE213" s="320"/>
      <c r="AF213" s="320"/>
      <c r="AG213" s="320"/>
      <c r="AH213" s="320"/>
      <c r="AI213" s="320"/>
      <c r="AJ213" s="320"/>
      <c r="AK213" s="320"/>
      <c r="AL213" s="320"/>
      <c r="AM213" s="320"/>
      <c r="AN213" s="320"/>
      <c r="AO213" s="320"/>
      <c r="AP213" s="320"/>
      <c r="AQ213" s="320"/>
    </row>
    <row r="214" spans="1:115" s="322" customFormat="1" ht="21" customHeight="1">
      <c r="A214" s="341"/>
      <c r="B214" s="340"/>
      <c r="C214" s="339"/>
      <c r="D214" s="333" t="s">
        <v>1147</v>
      </c>
      <c r="E214" s="326" t="s">
        <v>41</v>
      </c>
      <c r="F214" s="331">
        <v>2.9990000000000001</v>
      </c>
      <c r="G214" s="332" t="s">
        <v>467</v>
      </c>
      <c r="H214" s="331" t="s">
        <v>466</v>
      </c>
      <c r="I214" s="332" t="s">
        <v>70</v>
      </c>
      <c r="J214" s="331">
        <v>2356</v>
      </c>
      <c r="K214" s="326">
        <v>4521</v>
      </c>
      <c r="L214" s="326">
        <v>2000</v>
      </c>
      <c r="M214" s="326" t="s">
        <v>31</v>
      </c>
      <c r="N214" s="342">
        <v>11.8</v>
      </c>
      <c r="O214" s="337">
        <f>IF(N214&gt;0,1/N214*37.7*68.6,"")</f>
        <v>219.17118644067796</v>
      </c>
      <c r="P214" s="328">
        <v>10.35</v>
      </c>
      <c r="Q214" s="327" t="s">
        <v>43</v>
      </c>
      <c r="R214" s="326" t="s">
        <v>33</v>
      </c>
      <c r="S214" s="326" t="s">
        <v>34</v>
      </c>
      <c r="T214" s="326"/>
      <c r="U214" s="325"/>
      <c r="V214" s="324">
        <f>IF(N214&lt;&gt;0, IF(N214&gt;=P214,ROUNDDOWN(N214/P214*100,0),""),"")</f>
        <v>114</v>
      </c>
      <c r="W214" s="311"/>
      <c r="X214" s="320"/>
      <c r="Y214" s="320"/>
      <c r="Z214" s="320"/>
      <c r="AA214" s="320"/>
      <c r="AB214" s="320"/>
      <c r="AC214" s="320"/>
      <c r="AD214" s="320"/>
      <c r="AE214" s="320"/>
      <c r="AF214" s="320"/>
      <c r="AG214" s="320"/>
      <c r="AH214" s="320"/>
      <c r="AI214" s="320"/>
      <c r="AJ214" s="320"/>
      <c r="AK214" s="320"/>
      <c r="AL214" s="320"/>
      <c r="AM214" s="320"/>
      <c r="AN214" s="320"/>
      <c r="AO214" s="320"/>
      <c r="AP214" s="320"/>
      <c r="AQ214" s="320"/>
    </row>
    <row r="215" spans="1:115" s="322" customFormat="1" ht="21" customHeight="1">
      <c r="A215" s="341"/>
      <c r="B215" s="340"/>
      <c r="C215" s="339"/>
      <c r="D215" s="333" t="s">
        <v>1147</v>
      </c>
      <c r="E215" s="326" t="s">
        <v>41</v>
      </c>
      <c r="F215" s="331">
        <v>2.9990000000000001</v>
      </c>
      <c r="G215" s="332" t="s">
        <v>467</v>
      </c>
      <c r="H215" s="331" t="s">
        <v>466</v>
      </c>
      <c r="I215" s="332" t="s">
        <v>42</v>
      </c>
      <c r="J215" s="331">
        <v>2356</v>
      </c>
      <c r="K215" s="326">
        <v>4521</v>
      </c>
      <c r="L215" s="326">
        <v>2000</v>
      </c>
      <c r="M215" s="326" t="s">
        <v>31</v>
      </c>
      <c r="N215" s="342">
        <v>11.8</v>
      </c>
      <c r="O215" s="337">
        <f>IF(N215&gt;0,1/N215*37.7*68.6,"")</f>
        <v>219.17118644067796</v>
      </c>
      <c r="P215" s="328">
        <v>10.35</v>
      </c>
      <c r="Q215" s="327" t="s">
        <v>63</v>
      </c>
      <c r="R215" s="326" t="s">
        <v>33</v>
      </c>
      <c r="S215" s="326" t="s">
        <v>34</v>
      </c>
      <c r="T215" s="326"/>
      <c r="U215" s="325"/>
      <c r="V215" s="324">
        <f>IF(N215&lt;&gt;0, IF(N215&gt;=P215,ROUNDDOWN(N215/P215*100,0),""),"")</f>
        <v>114</v>
      </c>
      <c r="W215" s="311"/>
      <c r="X215" s="320"/>
      <c r="Y215" s="320"/>
      <c r="Z215" s="320"/>
      <c r="AA215" s="320"/>
      <c r="AB215" s="320"/>
      <c r="AC215" s="320"/>
      <c r="AD215" s="320"/>
      <c r="AE215" s="320"/>
      <c r="AF215" s="320"/>
      <c r="AG215" s="320"/>
      <c r="AH215" s="320"/>
      <c r="AI215" s="320"/>
      <c r="AJ215" s="320"/>
      <c r="AK215" s="320"/>
      <c r="AL215" s="320"/>
      <c r="AM215" s="320"/>
      <c r="AN215" s="320"/>
      <c r="AO215" s="320"/>
      <c r="AP215" s="320"/>
      <c r="AQ215" s="320"/>
    </row>
    <row r="216" spans="1:115" s="322" customFormat="1" ht="21" customHeight="1">
      <c r="A216" s="341"/>
      <c r="B216" s="340"/>
      <c r="C216" s="339"/>
      <c r="D216" s="333" t="s">
        <v>1147</v>
      </c>
      <c r="E216" s="326" t="s">
        <v>41</v>
      </c>
      <c r="F216" s="331">
        <v>2.9990000000000001</v>
      </c>
      <c r="G216" s="332" t="s">
        <v>467</v>
      </c>
      <c r="H216" s="331" t="s">
        <v>466</v>
      </c>
      <c r="I216" s="332" t="s">
        <v>70</v>
      </c>
      <c r="J216" s="331">
        <v>2356</v>
      </c>
      <c r="K216" s="326">
        <v>4521</v>
      </c>
      <c r="L216" s="326">
        <v>2000</v>
      </c>
      <c r="M216" s="326" t="s">
        <v>31</v>
      </c>
      <c r="N216" s="342">
        <v>11.4</v>
      </c>
      <c r="O216" s="337">
        <f>IF(N216&gt;0,1/N216*37.7*68.6,"")</f>
        <v>226.8614035087719</v>
      </c>
      <c r="P216" s="328">
        <v>10.35</v>
      </c>
      <c r="Q216" s="327" t="s">
        <v>63</v>
      </c>
      <c r="R216" s="326" t="s">
        <v>33</v>
      </c>
      <c r="S216" s="326" t="s">
        <v>34</v>
      </c>
      <c r="T216" s="326"/>
      <c r="U216" s="325"/>
      <c r="V216" s="324">
        <f>IF(N216&lt;&gt;0, IF(N216&gt;=P216,ROUNDDOWN(N216/P216*100,0),""),"")</f>
        <v>110</v>
      </c>
      <c r="W216" s="311"/>
      <c r="X216" s="320"/>
      <c r="Y216" s="320"/>
      <c r="Z216" s="320"/>
      <c r="AA216" s="320"/>
      <c r="AB216" s="320"/>
      <c r="AC216" s="320"/>
      <c r="AD216" s="320"/>
      <c r="AE216" s="320"/>
      <c r="AF216" s="320"/>
      <c r="AG216" s="320"/>
      <c r="AH216" s="320"/>
      <c r="AI216" s="320"/>
      <c r="AJ216" s="320"/>
      <c r="AK216" s="320"/>
      <c r="AL216" s="320"/>
      <c r="AM216" s="320"/>
      <c r="AN216" s="320"/>
      <c r="AO216" s="320"/>
      <c r="AP216" s="320"/>
      <c r="AQ216" s="320"/>
    </row>
    <row r="217" spans="1:115" s="322" customFormat="1" ht="21" customHeight="1">
      <c r="A217" s="341"/>
      <c r="B217" s="340"/>
      <c r="C217" s="339"/>
      <c r="D217" s="333" t="s">
        <v>1146</v>
      </c>
      <c r="E217" s="326" t="s">
        <v>41</v>
      </c>
      <c r="F217" s="331">
        <v>2.9990000000000001</v>
      </c>
      <c r="G217" s="332">
        <v>375</v>
      </c>
      <c r="H217" s="331">
        <v>110</v>
      </c>
      <c r="I217" s="332" t="s">
        <v>70</v>
      </c>
      <c r="J217" s="331">
        <v>2356</v>
      </c>
      <c r="K217" s="326">
        <v>4521</v>
      </c>
      <c r="L217" s="326">
        <v>2000</v>
      </c>
      <c r="M217" s="326" t="s">
        <v>31</v>
      </c>
      <c r="N217" s="342">
        <v>11.8</v>
      </c>
      <c r="O217" s="337">
        <f>IF(N217&gt;0,1/N217*37.7*68.6,"")</f>
        <v>219.17118644067796</v>
      </c>
      <c r="P217" s="328">
        <v>10.35</v>
      </c>
      <c r="Q217" s="327" t="s">
        <v>43</v>
      </c>
      <c r="R217" s="326" t="s">
        <v>33</v>
      </c>
      <c r="S217" s="326" t="s">
        <v>34</v>
      </c>
      <c r="T217" s="326"/>
      <c r="U217" s="325"/>
      <c r="V217" s="324">
        <f>IF(N217&lt;&gt;0, IF(N217&gt;=P217,ROUNDDOWN(N217/P217*100,0),""),"")</f>
        <v>114</v>
      </c>
      <c r="W217" s="311"/>
      <c r="X217" s="323"/>
      <c r="Y217" s="311"/>
      <c r="Z217" s="320"/>
      <c r="AA217" s="320"/>
      <c r="AB217" s="320"/>
      <c r="AC217" s="320"/>
      <c r="AD217" s="320"/>
      <c r="AE217" s="320"/>
      <c r="AF217" s="320"/>
      <c r="AG217" s="320"/>
      <c r="AH217" s="320"/>
      <c r="AI217" s="320"/>
      <c r="AJ217" s="320"/>
      <c r="AK217" s="320"/>
      <c r="AL217" s="320"/>
      <c r="AM217" s="320"/>
      <c r="AN217" s="320"/>
      <c r="AO217" s="320"/>
      <c r="AP217" s="320"/>
      <c r="AQ217" s="320"/>
      <c r="AR217" s="320"/>
      <c r="AS217" s="320"/>
      <c r="AT217" s="320"/>
      <c r="AU217" s="320"/>
      <c r="AV217" s="320"/>
      <c r="AW217" s="320"/>
      <c r="AX217" s="320"/>
      <c r="AY217" s="320"/>
      <c r="AZ217" s="320"/>
      <c r="BA217" s="320"/>
      <c r="BB217" s="320"/>
      <c r="BC217" s="320"/>
      <c r="BD217" s="320"/>
      <c r="BE217" s="320"/>
      <c r="BF217" s="320"/>
      <c r="BG217" s="320"/>
      <c r="BH217" s="320"/>
      <c r="BI217" s="320"/>
      <c r="BJ217" s="320"/>
      <c r="BK217" s="320"/>
      <c r="BL217" s="320"/>
      <c r="BM217" s="320"/>
      <c r="BN217" s="320"/>
      <c r="BO217" s="320"/>
      <c r="BP217" s="320"/>
      <c r="BQ217" s="320"/>
      <c r="BR217" s="320"/>
      <c r="BS217" s="320"/>
      <c r="BT217" s="320"/>
      <c r="BU217" s="320"/>
      <c r="BV217" s="320"/>
      <c r="BW217" s="320"/>
      <c r="BX217" s="320"/>
      <c r="BY217" s="320"/>
      <c r="BZ217" s="320"/>
      <c r="CA217" s="320"/>
      <c r="CB217" s="320"/>
      <c r="CC217" s="320"/>
      <c r="CD217" s="320"/>
      <c r="CE217" s="320"/>
      <c r="CF217" s="320"/>
      <c r="CG217" s="320"/>
      <c r="CH217" s="320"/>
      <c r="CI217" s="320"/>
      <c r="CJ217" s="320"/>
      <c r="CK217" s="320"/>
      <c r="CL217" s="320"/>
      <c r="CM217" s="320"/>
      <c r="CN217" s="320"/>
      <c r="CO217" s="320"/>
      <c r="CP217" s="320"/>
      <c r="CQ217" s="320"/>
      <c r="CR217" s="320"/>
      <c r="CS217" s="320"/>
      <c r="CT217" s="320"/>
      <c r="CU217" s="320"/>
      <c r="CV217" s="320"/>
      <c r="CW217" s="320"/>
      <c r="CX217" s="320"/>
      <c r="CY217" s="320"/>
      <c r="CZ217" s="320"/>
      <c r="DA217" s="320"/>
      <c r="DB217" s="320"/>
      <c r="DC217" s="320"/>
      <c r="DD217" s="320"/>
      <c r="DE217" s="320"/>
      <c r="DF217" s="320"/>
      <c r="DG217" s="320"/>
      <c r="DH217" s="320"/>
      <c r="DI217" s="320"/>
      <c r="DJ217" s="320"/>
      <c r="DK217" s="320"/>
    </row>
    <row r="218" spans="1:115" s="322" customFormat="1" ht="21" customHeight="1">
      <c r="A218" s="341"/>
      <c r="B218" s="340"/>
      <c r="C218" s="339"/>
      <c r="D218" s="333" t="s">
        <v>1146</v>
      </c>
      <c r="E218" s="326" t="s">
        <v>41</v>
      </c>
      <c r="F218" s="331">
        <v>2.9990000000000001</v>
      </c>
      <c r="G218" s="332">
        <v>375</v>
      </c>
      <c r="H218" s="331">
        <v>110</v>
      </c>
      <c r="I218" s="332" t="s">
        <v>71</v>
      </c>
      <c r="J218" s="331">
        <v>2356</v>
      </c>
      <c r="K218" s="326">
        <v>4521</v>
      </c>
      <c r="L218" s="326">
        <v>2000</v>
      </c>
      <c r="M218" s="326" t="s">
        <v>31</v>
      </c>
      <c r="N218" s="342">
        <v>11.8</v>
      </c>
      <c r="O218" s="337">
        <f>IF(N218&gt;0,1/N218*37.7*68.6,"")</f>
        <v>219.17118644067796</v>
      </c>
      <c r="P218" s="328">
        <v>10.35</v>
      </c>
      <c r="Q218" s="327" t="s">
        <v>43</v>
      </c>
      <c r="R218" s="326" t="s">
        <v>33</v>
      </c>
      <c r="S218" s="326" t="s">
        <v>34</v>
      </c>
      <c r="T218" s="326"/>
      <c r="U218" s="325"/>
      <c r="V218" s="324">
        <f>IF(N218&lt;&gt;0, IF(N218&gt;=P218,ROUNDDOWN(N218/P218*100,0),""),"")</f>
        <v>114</v>
      </c>
      <c r="W218" s="311"/>
      <c r="X218" s="323"/>
      <c r="Y218" s="311"/>
      <c r="Z218" s="320"/>
      <c r="AA218" s="320"/>
      <c r="AB218" s="320"/>
      <c r="AC218" s="320"/>
      <c r="AD218" s="320"/>
      <c r="AE218" s="320"/>
      <c r="AF218" s="320"/>
      <c r="AG218" s="320"/>
      <c r="AH218" s="320"/>
      <c r="AI218" s="320"/>
      <c r="AJ218" s="320"/>
      <c r="AK218" s="320"/>
      <c r="AL218" s="320"/>
      <c r="AM218" s="320"/>
      <c r="AN218" s="320"/>
      <c r="AO218" s="320"/>
      <c r="AP218" s="320"/>
      <c r="AQ218" s="320"/>
      <c r="AR218" s="320"/>
      <c r="AS218" s="320"/>
      <c r="AT218" s="320"/>
      <c r="AU218" s="320"/>
      <c r="AV218" s="320"/>
      <c r="AW218" s="320"/>
      <c r="AX218" s="320"/>
      <c r="AY218" s="320"/>
      <c r="AZ218" s="320"/>
      <c r="BA218" s="320"/>
      <c r="BB218" s="320"/>
      <c r="BC218" s="320"/>
      <c r="BD218" s="320"/>
      <c r="BE218" s="320"/>
      <c r="BF218" s="320"/>
      <c r="BG218" s="320"/>
      <c r="BH218" s="320"/>
      <c r="BI218" s="320"/>
      <c r="BJ218" s="320"/>
      <c r="BK218" s="320"/>
      <c r="BL218" s="320"/>
      <c r="BM218" s="320"/>
      <c r="BN218" s="320"/>
      <c r="BO218" s="320"/>
      <c r="BP218" s="320"/>
      <c r="BQ218" s="320"/>
      <c r="BR218" s="320"/>
      <c r="BS218" s="320"/>
      <c r="BT218" s="320"/>
      <c r="BU218" s="320"/>
      <c r="BV218" s="320"/>
      <c r="BW218" s="320"/>
      <c r="BX218" s="320"/>
      <c r="BY218" s="320"/>
      <c r="BZ218" s="320"/>
      <c r="CA218" s="320"/>
      <c r="CB218" s="320"/>
      <c r="CC218" s="320"/>
      <c r="CD218" s="320"/>
      <c r="CE218" s="320"/>
      <c r="CF218" s="320"/>
      <c r="CG218" s="320"/>
      <c r="CH218" s="320"/>
      <c r="CI218" s="320"/>
      <c r="CJ218" s="320"/>
      <c r="CK218" s="320"/>
      <c r="CL218" s="320"/>
      <c r="CM218" s="320"/>
      <c r="CN218" s="320"/>
      <c r="CO218" s="320"/>
      <c r="CP218" s="320"/>
      <c r="CQ218" s="320"/>
      <c r="CR218" s="320"/>
      <c r="CS218" s="320"/>
      <c r="CT218" s="320"/>
      <c r="CU218" s="320"/>
      <c r="CV218" s="320"/>
      <c r="CW218" s="320"/>
      <c r="CX218" s="320"/>
      <c r="CY218" s="320"/>
      <c r="CZ218" s="320"/>
      <c r="DA218" s="320"/>
      <c r="DB218" s="320"/>
      <c r="DC218" s="320"/>
      <c r="DD218" s="320"/>
      <c r="DE218" s="320"/>
      <c r="DF218" s="320"/>
      <c r="DG218" s="320"/>
      <c r="DH218" s="320"/>
      <c r="DI218" s="320"/>
      <c r="DJ218" s="320"/>
      <c r="DK218" s="320"/>
    </row>
    <row r="219" spans="1:115" s="322" customFormat="1" ht="21" customHeight="1">
      <c r="A219" s="341"/>
      <c r="B219" s="340"/>
      <c r="C219" s="339"/>
      <c r="D219" s="333" t="s">
        <v>1146</v>
      </c>
      <c r="E219" s="326" t="s">
        <v>41</v>
      </c>
      <c r="F219" s="331">
        <v>2.9990000000000001</v>
      </c>
      <c r="G219" s="332">
        <v>375</v>
      </c>
      <c r="H219" s="331">
        <v>110</v>
      </c>
      <c r="I219" s="332" t="s">
        <v>70</v>
      </c>
      <c r="J219" s="331">
        <v>2356</v>
      </c>
      <c r="K219" s="326">
        <v>4521</v>
      </c>
      <c r="L219" s="326">
        <v>2000</v>
      </c>
      <c r="M219" s="326" t="s">
        <v>31</v>
      </c>
      <c r="N219" s="342">
        <v>11.4</v>
      </c>
      <c r="O219" s="337">
        <f>IF(N219&gt;0,1/N219*37.7*68.6,"")</f>
        <v>226.8614035087719</v>
      </c>
      <c r="P219" s="328">
        <v>10.35</v>
      </c>
      <c r="Q219" s="327" t="s">
        <v>63</v>
      </c>
      <c r="R219" s="326" t="s">
        <v>33</v>
      </c>
      <c r="S219" s="326" t="s">
        <v>34</v>
      </c>
      <c r="T219" s="326"/>
      <c r="U219" s="325"/>
      <c r="V219" s="324">
        <f>IF(N219&lt;&gt;0, IF(N219&gt;=P219,ROUNDDOWN(N219/P219*100,0),""),"")</f>
        <v>110</v>
      </c>
      <c r="W219" s="311"/>
      <c r="X219" s="323"/>
      <c r="Y219" s="311"/>
      <c r="Z219" s="320"/>
      <c r="AA219" s="320"/>
      <c r="AB219" s="320"/>
      <c r="AC219" s="320"/>
      <c r="AD219" s="320"/>
      <c r="AE219" s="320"/>
      <c r="AF219" s="320"/>
      <c r="AG219" s="320"/>
      <c r="AH219" s="320"/>
      <c r="AI219" s="320"/>
      <c r="AJ219" s="320"/>
      <c r="AK219" s="320"/>
      <c r="AL219" s="320"/>
      <c r="AM219" s="320"/>
      <c r="AN219" s="320"/>
      <c r="AO219" s="320"/>
      <c r="AP219" s="320"/>
      <c r="AQ219" s="320"/>
      <c r="AR219" s="320"/>
      <c r="AS219" s="320"/>
      <c r="AT219" s="320"/>
      <c r="AU219" s="320"/>
      <c r="AV219" s="320"/>
      <c r="AW219" s="320"/>
      <c r="AX219" s="320"/>
      <c r="AY219" s="320"/>
      <c r="AZ219" s="320"/>
      <c r="BA219" s="320"/>
      <c r="BB219" s="320"/>
      <c r="BC219" s="320"/>
      <c r="BD219" s="320"/>
      <c r="BE219" s="320"/>
      <c r="BF219" s="320"/>
      <c r="BG219" s="320"/>
      <c r="BH219" s="320"/>
      <c r="BI219" s="320"/>
      <c r="BJ219" s="320"/>
      <c r="BK219" s="320"/>
      <c r="BL219" s="320"/>
      <c r="BM219" s="320"/>
      <c r="BN219" s="320"/>
      <c r="BO219" s="320"/>
      <c r="BP219" s="320"/>
      <c r="BQ219" s="320"/>
      <c r="BR219" s="320"/>
      <c r="BS219" s="320"/>
      <c r="BT219" s="320"/>
      <c r="BU219" s="320"/>
      <c r="BV219" s="320"/>
      <c r="BW219" s="320"/>
      <c r="BX219" s="320"/>
      <c r="BY219" s="320"/>
      <c r="BZ219" s="320"/>
      <c r="CA219" s="320"/>
      <c r="CB219" s="320"/>
      <c r="CC219" s="320"/>
      <c r="CD219" s="320"/>
      <c r="CE219" s="320"/>
      <c r="CF219" s="320"/>
      <c r="CG219" s="320"/>
      <c r="CH219" s="320"/>
      <c r="CI219" s="320"/>
      <c r="CJ219" s="320"/>
      <c r="CK219" s="320"/>
      <c r="CL219" s="320"/>
      <c r="CM219" s="320"/>
      <c r="CN219" s="320"/>
      <c r="CO219" s="320"/>
      <c r="CP219" s="320"/>
      <c r="CQ219" s="320"/>
      <c r="CR219" s="320"/>
      <c r="CS219" s="320"/>
      <c r="CT219" s="320"/>
      <c r="CU219" s="320"/>
      <c r="CV219" s="320"/>
      <c r="CW219" s="320"/>
      <c r="CX219" s="320"/>
      <c r="CY219" s="320"/>
      <c r="CZ219" s="320"/>
      <c r="DA219" s="320"/>
      <c r="DB219" s="320"/>
      <c r="DC219" s="320"/>
      <c r="DD219" s="320"/>
      <c r="DE219" s="320"/>
      <c r="DF219" s="320"/>
      <c r="DG219" s="320"/>
      <c r="DH219" s="320"/>
      <c r="DI219" s="320"/>
      <c r="DJ219" s="320"/>
      <c r="DK219" s="320"/>
    </row>
    <row r="220" spans="1:115" s="322" customFormat="1" ht="21" customHeight="1">
      <c r="A220" s="341"/>
      <c r="B220" s="340"/>
      <c r="C220" s="339"/>
      <c r="D220" s="333" t="s">
        <v>1146</v>
      </c>
      <c r="E220" s="326" t="s">
        <v>41</v>
      </c>
      <c r="F220" s="331">
        <v>2.9990000000000001</v>
      </c>
      <c r="G220" s="332">
        <v>375</v>
      </c>
      <c r="H220" s="331">
        <v>110</v>
      </c>
      <c r="I220" s="332" t="s">
        <v>71</v>
      </c>
      <c r="J220" s="331">
        <v>2356</v>
      </c>
      <c r="K220" s="326">
        <v>4521</v>
      </c>
      <c r="L220" s="326">
        <v>2000</v>
      </c>
      <c r="M220" s="326" t="s">
        <v>31</v>
      </c>
      <c r="N220" s="342">
        <v>11.4</v>
      </c>
      <c r="O220" s="337">
        <f>IF(N220&gt;0,1/N220*37.7*68.6,"")</f>
        <v>226.8614035087719</v>
      </c>
      <c r="P220" s="328">
        <v>10.35</v>
      </c>
      <c r="Q220" s="327" t="s">
        <v>63</v>
      </c>
      <c r="R220" s="326" t="s">
        <v>33</v>
      </c>
      <c r="S220" s="326" t="s">
        <v>34</v>
      </c>
      <c r="T220" s="326"/>
      <c r="U220" s="325"/>
      <c r="V220" s="324">
        <f>IF(N220&lt;&gt;0, IF(N220&gt;=P220,ROUNDDOWN(N220/P220*100,0),""),"")</f>
        <v>110</v>
      </c>
      <c r="W220" s="311"/>
      <c r="X220" s="323"/>
      <c r="Y220" s="311"/>
      <c r="Z220" s="320"/>
      <c r="AA220" s="320"/>
      <c r="AB220" s="320"/>
      <c r="AC220" s="320"/>
      <c r="AD220" s="320"/>
      <c r="AE220" s="320"/>
      <c r="AF220" s="320"/>
      <c r="AG220" s="320"/>
      <c r="AH220" s="320"/>
      <c r="AI220" s="320"/>
      <c r="AJ220" s="320"/>
      <c r="AK220" s="320"/>
      <c r="AL220" s="320"/>
      <c r="AM220" s="320"/>
      <c r="AN220" s="320"/>
      <c r="AO220" s="320"/>
      <c r="AP220" s="320"/>
      <c r="AQ220" s="320"/>
      <c r="AR220" s="320"/>
      <c r="AS220" s="320"/>
      <c r="AT220" s="320"/>
      <c r="AU220" s="320"/>
      <c r="AV220" s="320"/>
      <c r="AW220" s="320"/>
      <c r="AX220" s="320"/>
      <c r="AY220" s="320"/>
      <c r="AZ220" s="320"/>
      <c r="BA220" s="320"/>
      <c r="BB220" s="320"/>
      <c r="BC220" s="320"/>
      <c r="BD220" s="320"/>
      <c r="BE220" s="320"/>
      <c r="BF220" s="320"/>
      <c r="BG220" s="320"/>
      <c r="BH220" s="320"/>
      <c r="BI220" s="320"/>
      <c r="BJ220" s="320"/>
      <c r="BK220" s="320"/>
      <c r="BL220" s="320"/>
      <c r="BM220" s="320"/>
      <c r="BN220" s="320"/>
      <c r="BO220" s="320"/>
      <c r="BP220" s="320"/>
      <c r="BQ220" s="320"/>
      <c r="BR220" s="320"/>
      <c r="BS220" s="320"/>
      <c r="BT220" s="320"/>
      <c r="BU220" s="320"/>
      <c r="BV220" s="320"/>
      <c r="BW220" s="320"/>
      <c r="BX220" s="320"/>
      <c r="BY220" s="320"/>
      <c r="BZ220" s="320"/>
      <c r="CA220" s="320"/>
      <c r="CB220" s="320"/>
      <c r="CC220" s="320"/>
      <c r="CD220" s="320"/>
      <c r="CE220" s="320"/>
      <c r="CF220" s="320"/>
      <c r="CG220" s="320"/>
      <c r="CH220" s="320"/>
      <c r="CI220" s="320"/>
      <c r="CJ220" s="320"/>
      <c r="CK220" s="320"/>
      <c r="CL220" s="320"/>
      <c r="CM220" s="320"/>
      <c r="CN220" s="320"/>
      <c r="CO220" s="320"/>
      <c r="CP220" s="320"/>
      <c r="CQ220" s="320"/>
      <c r="CR220" s="320"/>
      <c r="CS220" s="320"/>
      <c r="CT220" s="320"/>
      <c r="CU220" s="320"/>
      <c r="CV220" s="320"/>
      <c r="CW220" s="320"/>
      <c r="CX220" s="320"/>
      <c r="CY220" s="320"/>
      <c r="CZ220" s="320"/>
      <c r="DA220" s="320"/>
      <c r="DB220" s="320"/>
      <c r="DC220" s="320"/>
      <c r="DD220" s="320"/>
      <c r="DE220" s="320"/>
      <c r="DF220" s="320"/>
      <c r="DG220" s="320"/>
      <c r="DH220" s="320"/>
      <c r="DI220" s="320"/>
      <c r="DJ220" s="320"/>
      <c r="DK220" s="320"/>
    </row>
    <row r="221" spans="1:115" s="322" customFormat="1" ht="21" customHeight="1">
      <c r="A221" s="341"/>
      <c r="B221" s="340"/>
      <c r="C221" s="339"/>
      <c r="D221" s="333" t="s">
        <v>1145</v>
      </c>
      <c r="E221" s="326" t="s">
        <v>41</v>
      </c>
      <c r="F221" s="331">
        <v>2.9990000000000001</v>
      </c>
      <c r="G221" s="332">
        <v>375</v>
      </c>
      <c r="H221" s="331">
        <v>110</v>
      </c>
      <c r="I221" s="332" t="s">
        <v>70</v>
      </c>
      <c r="J221" s="331">
        <v>2356</v>
      </c>
      <c r="K221" s="326">
        <v>4521</v>
      </c>
      <c r="L221" s="326">
        <v>2000</v>
      </c>
      <c r="M221" s="326" t="s">
        <v>31</v>
      </c>
      <c r="N221" s="342">
        <v>11.8</v>
      </c>
      <c r="O221" s="337">
        <f>IF(N221&gt;0,1/N221*37.7*68.6,"")</f>
        <v>219.17118644067796</v>
      </c>
      <c r="P221" s="328">
        <v>10.35</v>
      </c>
      <c r="Q221" s="327" t="s">
        <v>43</v>
      </c>
      <c r="R221" s="326" t="s">
        <v>33</v>
      </c>
      <c r="S221" s="326" t="s">
        <v>34</v>
      </c>
      <c r="T221" s="326"/>
      <c r="U221" s="325"/>
      <c r="V221" s="324">
        <f>IF(N221&lt;&gt;0, IF(N221&gt;=P221,ROUNDDOWN(N221/P221*100,0),""),"")</f>
        <v>114</v>
      </c>
      <c r="W221" s="311"/>
      <c r="X221" s="323"/>
      <c r="Y221" s="311"/>
      <c r="Z221" s="320"/>
      <c r="AA221" s="320"/>
      <c r="AB221" s="320"/>
      <c r="AC221" s="320"/>
      <c r="AD221" s="320"/>
      <c r="AE221" s="320"/>
      <c r="AF221" s="320"/>
      <c r="AG221" s="320"/>
      <c r="AH221" s="320"/>
      <c r="AI221" s="320"/>
      <c r="AJ221" s="320"/>
      <c r="AK221" s="320"/>
      <c r="AL221" s="320"/>
      <c r="AM221" s="320"/>
      <c r="AN221" s="320"/>
      <c r="AO221" s="320"/>
      <c r="AP221" s="320"/>
      <c r="AQ221" s="320"/>
      <c r="AR221" s="320"/>
      <c r="AS221" s="320"/>
      <c r="AT221" s="320"/>
      <c r="AU221" s="320"/>
      <c r="AV221" s="320"/>
      <c r="AW221" s="320"/>
      <c r="AX221" s="320"/>
      <c r="AY221" s="320"/>
      <c r="AZ221" s="320"/>
      <c r="BA221" s="320"/>
      <c r="BB221" s="320"/>
      <c r="BC221" s="320"/>
      <c r="BD221" s="320"/>
      <c r="BE221" s="320"/>
      <c r="BF221" s="320"/>
      <c r="BG221" s="320"/>
      <c r="BH221" s="320"/>
      <c r="BI221" s="320"/>
      <c r="BJ221" s="320"/>
      <c r="BK221" s="320"/>
      <c r="BL221" s="320"/>
      <c r="BM221" s="320"/>
      <c r="BN221" s="320"/>
      <c r="BO221" s="320"/>
      <c r="BP221" s="320"/>
      <c r="BQ221" s="320"/>
      <c r="BR221" s="320"/>
      <c r="BS221" s="320"/>
      <c r="BT221" s="320"/>
      <c r="BU221" s="320"/>
      <c r="BV221" s="320"/>
      <c r="BW221" s="320"/>
      <c r="BX221" s="320"/>
      <c r="BY221" s="320"/>
      <c r="BZ221" s="320"/>
      <c r="CA221" s="320"/>
      <c r="CB221" s="320"/>
      <c r="CC221" s="320"/>
      <c r="CD221" s="320"/>
      <c r="CE221" s="320"/>
      <c r="CF221" s="320"/>
      <c r="CG221" s="320"/>
      <c r="CH221" s="320"/>
      <c r="CI221" s="320"/>
      <c r="CJ221" s="320"/>
      <c r="CK221" s="320"/>
      <c r="CL221" s="320"/>
      <c r="CM221" s="320"/>
      <c r="CN221" s="320"/>
      <c r="CO221" s="320"/>
      <c r="CP221" s="320"/>
      <c r="CQ221" s="320"/>
      <c r="CR221" s="320"/>
      <c r="CS221" s="320"/>
      <c r="CT221" s="320"/>
      <c r="CU221" s="320"/>
      <c r="CV221" s="320"/>
      <c r="CW221" s="320"/>
      <c r="CX221" s="320"/>
      <c r="CY221" s="320"/>
      <c r="CZ221" s="320"/>
      <c r="DA221" s="320"/>
      <c r="DB221" s="320"/>
      <c r="DC221" s="320"/>
      <c r="DD221" s="320"/>
      <c r="DE221" s="320"/>
      <c r="DF221" s="320"/>
      <c r="DG221" s="320"/>
      <c r="DH221" s="320"/>
      <c r="DI221" s="320"/>
      <c r="DJ221" s="320"/>
      <c r="DK221" s="320"/>
    </row>
    <row r="222" spans="1:115" s="322" customFormat="1" ht="21" customHeight="1">
      <c r="A222" s="341"/>
      <c r="B222" s="340"/>
      <c r="C222" s="339"/>
      <c r="D222" s="333" t="s">
        <v>1145</v>
      </c>
      <c r="E222" s="326" t="s">
        <v>41</v>
      </c>
      <c r="F222" s="331">
        <v>2.9990000000000001</v>
      </c>
      <c r="G222" s="332">
        <v>375</v>
      </c>
      <c r="H222" s="331">
        <v>110</v>
      </c>
      <c r="I222" s="332" t="s">
        <v>71</v>
      </c>
      <c r="J222" s="331">
        <v>2356</v>
      </c>
      <c r="K222" s="326">
        <v>4521</v>
      </c>
      <c r="L222" s="326">
        <v>2000</v>
      </c>
      <c r="M222" s="326" t="s">
        <v>31</v>
      </c>
      <c r="N222" s="342">
        <v>11.8</v>
      </c>
      <c r="O222" s="337">
        <f>IF(N222&gt;0,1/N222*37.7*68.6,"")</f>
        <v>219.17118644067796</v>
      </c>
      <c r="P222" s="328">
        <v>10.35</v>
      </c>
      <c r="Q222" s="327" t="s">
        <v>43</v>
      </c>
      <c r="R222" s="326" t="s">
        <v>33</v>
      </c>
      <c r="S222" s="326" t="s">
        <v>34</v>
      </c>
      <c r="T222" s="326"/>
      <c r="U222" s="325"/>
      <c r="V222" s="324">
        <f>IF(N222&lt;&gt;0, IF(N222&gt;=P222,ROUNDDOWN(N222/P222*100,0),""),"")</f>
        <v>114</v>
      </c>
      <c r="W222" s="311"/>
      <c r="X222" s="323"/>
      <c r="Y222" s="311"/>
      <c r="Z222" s="320"/>
      <c r="AA222" s="320"/>
      <c r="AB222" s="320"/>
      <c r="AC222" s="320"/>
      <c r="AD222" s="320"/>
      <c r="AE222" s="320"/>
      <c r="AF222" s="320"/>
      <c r="AG222" s="320"/>
      <c r="AH222" s="320"/>
      <c r="AI222" s="320"/>
      <c r="AJ222" s="320"/>
      <c r="AK222" s="320"/>
      <c r="AL222" s="320"/>
      <c r="AM222" s="320"/>
      <c r="AN222" s="320"/>
      <c r="AO222" s="320"/>
      <c r="AP222" s="320"/>
      <c r="AQ222" s="320"/>
      <c r="AR222" s="320"/>
      <c r="AS222" s="320"/>
      <c r="AT222" s="320"/>
      <c r="AU222" s="320"/>
      <c r="AV222" s="320"/>
      <c r="AW222" s="320"/>
      <c r="AX222" s="320"/>
      <c r="AY222" s="320"/>
      <c r="AZ222" s="320"/>
      <c r="BA222" s="320"/>
      <c r="BB222" s="320"/>
      <c r="BC222" s="320"/>
      <c r="BD222" s="320"/>
      <c r="BE222" s="320"/>
      <c r="BF222" s="320"/>
      <c r="BG222" s="320"/>
      <c r="BH222" s="320"/>
      <c r="BI222" s="320"/>
      <c r="BJ222" s="320"/>
      <c r="BK222" s="320"/>
      <c r="BL222" s="320"/>
      <c r="BM222" s="320"/>
      <c r="BN222" s="320"/>
      <c r="BO222" s="320"/>
      <c r="BP222" s="320"/>
      <c r="BQ222" s="320"/>
      <c r="BR222" s="320"/>
      <c r="BS222" s="320"/>
      <c r="BT222" s="320"/>
      <c r="BU222" s="320"/>
      <c r="BV222" s="320"/>
      <c r="BW222" s="320"/>
      <c r="BX222" s="320"/>
      <c r="BY222" s="320"/>
      <c r="BZ222" s="320"/>
      <c r="CA222" s="320"/>
      <c r="CB222" s="320"/>
      <c r="CC222" s="320"/>
      <c r="CD222" s="320"/>
      <c r="CE222" s="320"/>
      <c r="CF222" s="320"/>
      <c r="CG222" s="320"/>
      <c r="CH222" s="320"/>
      <c r="CI222" s="320"/>
      <c r="CJ222" s="320"/>
      <c r="CK222" s="320"/>
      <c r="CL222" s="320"/>
      <c r="CM222" s="320"/>
      <c r="CN222" s="320"/>
      <c r="CO222" s="320"/>
      <c r="CP222" s="320"/>
      <c r="CQ222" s="320"/>
      <c r="CR222" s="320"/>
      <c r="CS222" s="320"/>
      <c r="CT222" s="320"/>
      <c r="CU222" s="320"/>
      <c r="CV222" s="320"/>
      <c r="CW222" s="320"/>
      <c r="CX222" s="320"/>
      <c r="CY222" s="320"/>
      <c r="CZ222" s="320"/>
      <c r="DA222" s="320"/>
      <c r="DB222" s="320"/>
      <c r="DC222" s="320"/>
      <c r="DD222" s="320"/>
      <c r="DE222" s="320"/>
      <c r="DF222" s="320"/>
      <c r="DG222" s="320"/>
      <c r="DH222" s="320"/>
      <c r="DI222" s="320"/>
      <c r="DJ222" s="320"/>
      <c r="DK222" s="320"/>
    </row>
    <row r="223" spans="1:115" s="322" customFormat="1" ht="21" customHeight="1">
      <c r="A223" s="341"/>
      <c r="B223" s="340"/>
      <c r="C223" s="339"/>
      <c r="D223" s="333" t="s">
        <v>1145</v>
      </c>
      <c r="E223" s="326" t="s">
        <v>41</v>
      </c>
      <c r="F223" s="331">
        <v>2.9990000000000001</v>
      </c>
      <c r="G223" s="332">
        <v>375</v>
      </c>
      <c r="H223" s="331">
        <v>110</v>
      </c>
      <c r="I223" s="332" t="s">
        <v>70</v>
      </c>
      <c r="J223" s="331">
        <v>2356</v>
      </c>
      <c r="K223" s="326">
        <v>4521</v>
      </c>
      <c r="L223" s="326">
        <v>2000</v>
      </c>
      <c r="M223" s="326" t="s">
        <v>31</v>
      </c>
      <c r="N223" s="342">
        <v>11.4</v>
      </c>
      <c r="O223" s="337">
        <f>IF(N223&gt;0,1/N223*37.7*68.6,"")</f>
        <v>226.8614035087719</v>
      </c>
      <c r="P223" s="328">
        <v>10.35</v>
      </c>
      <c r="Q223" s="327" t="s">
        <v>63</v>
      </c>
      <c r="R223" s="326" t="s">
        <v>33</v>
      </c>
      <c r="S223" s="326" t="s">
        <v>34</v>
      </c>
      <c r="T223" s="326"/>
      <c r="U223" s="325"/>
      <c r="V223" s="324">
        <f>IF(N223&lt;&gt;0, IF(N223&gt;=P223,ROUNDDOWN(N223/P223*100,0),""),"")</f>
        <v>110</v>
      </c>
      <c r="W223" s="311"/>
      <c r="X223" s="323"/>
      <c r="Y223" s="311"/>
      <c r="Z223" s="320"/>
      <c r="AA223" s="320"/>
      <c r="AB223" s="320"/>
      <c r="AC223" s="320"/>
      <c r="AD223" s="320"/>
      <c r="AE223" s="320"/>
      <c r="AF223" s="320"/>
      <c r="AG223" s="320"/>
      <c r="AH223" s="320"/>
      <c r="AI223" s="320"/>
      <c r="AJ223" s="320"/>
      <c r="AK223" s="320"/>
      <c r="AL223" s="320"/>
      <c r="AM223" s="320"/>
      <c r="AN223" s="320"/>
      <c r="AO223" s="320"/>
      <c r="AP223" s="320"/>
      <c r="AQ223" s="320"/>
      <c r="AR223" s="320"/>
      <c r="AS223" s="320"/>
      <c r="AT223" s="320"/>
      <c r="AU223" s="320"/>
      <c r="AV223" s="320"/>
      <c r="AW223" s="320"/>
      <c r="AX223" s="320"/>
      <c r="AY223" s="320"/>
      <c r="AZ223" s="320"/>
      <c r="BA223" s="320"/>
      <c r="BB223" s="320"/>
      <c r="BC223" s="320"/>
      <c r="BD223" s="320"/>
      <c r="BE223" s="320"/>
      <c r="BF223" s="320"/>
      <c r="BG223" s="320"/>
      <c r="BH223" s="320"/>
      <c r="BI223" s="320"/>
      <c r="BJ223" s="320"/>
      <c r="BK223" s="320"/>
      <c r="BL223" s="320"/>
      <c r="BM223" s="320"/>
      <c r="BN223" s="320"/>
      <c r="BO223" s="320"/>
      <c r="BP223" s="320"/>
      <c r="BQ223" s="320"/>
      <c r="BR223" s="320"/>
      <c r="BS223" s="320"/>
      <c r="BT223" s="320"/>
      <c r="BU223" s="320"/>
      <c r="BV223" s="320"/>
      <c r="BW223" s="320"/>
      <c r="BX223" s="320"/>
      <c r="BY223" s="320"/>
      <c r="BZ223" s="320"/>
      <c r="CA223" s="320"/>
      <c r="CB223" s="320"/>
      <c r="CC223" s="320"/>
      <c r="CD223" s="320"/>
      <c r="CE223" s="320"/>
      <c r="CF223" s="320"/>
      <c r="CG223" s="320"/>
      <c r="CH223" s="320"/>
      <c r="CI223" s="320"/>
      <c r="CJ223" s="320"/>
      <c r="CK223" s="320"/>
      <c r="CL223" s="320"/>
      <c r="CM223" s="320"/>
      <c r="CN223" s="320"/>
      <c r="CO223" s="320"/>
      <c r="CP223" s="320"/>
      <c r="CQ223" s="320"/>
      <c r="CR223" s="320"/>
      <c r="CS223" s="320"/>
      <c r="CT223" s="320"/>
      <c r="CU223" s="320"/>
      <c r="CV223" s="320"/>
      <c r="CW223" s="320"/>
      <c r="CX223" s="320"/>
      <c r="CY223" s="320"/>
      <c r="CZ223" s="320"/>
      <c r="DA223" s="320"/>
      <c r="DB223" s="320"/>
      <c r="DC223" s="320"/>
      <c r="DD223" s="320"/>
      <c r="DE223" s="320"/>
      <c r="DF223" s="320"/>
      <c r="DG223" s="320"/>
      <c r="DH223" s="320"/>
      <c r="DI223" s="320"/>
      <c r="DJ223" s="320"/>
      <c r="DK223" s="320"/>
    </row>
    <row r="224" spans="1:115" s="322" customFormat="1" ht="21" customHeight="1">
      <c r="A224" s="341"/>
      <c r="B224" s="340"/>
      <c r="C224" s="339"/>
      <c r="D224" s="333" t="s">
        <v>1145</v>
      </c>
      <c r="E224" s="326" t="s">
        <v>41</v>
      </c>
      <c r="F224" s="331">
        <v>2.9990000000000001</v>
      </c>
      <c r="G224" s="332">
        <v>375</v>
      </c>
      <c r="H224" s="331">
        <v>110</v>
      </c>
      <c r="I224" s="332" t="s">
        <v>71</v>
      </c>
      <c r="J224" s="331">
        <v>2356</v>
      </c>
      <c r="K224" s="326">
        <v>4521</v>
      </c>
      <c r="L224" s="326">
        <v>2000</v>
      </c>
      <c r="M224" s="326" t="s">
        <v>31</v>
      </c>
      <c r="N224" s="342">
        <v>11.4</v>
      </c>
      <c r="O224" s="337">
        <f>IF(N224&gt;0,1/N224*37.7*68.6,"")</f>
        <v>226.8614035087719</v>
      </c>
      <c r="P224" s="328">
        <v>10.35</v>
      </c>
      <c r="Q224" s="327" t="s">
        <v>63</v>
      </c>
      <c r="R224" s="326" t="s">
        <v>33</v>
      </c>
      <c r="S224" s="326" t="s">
        <v>34</v>
      </c>
      <c r="T224" s="326"/>
      <c r="U224" s="325"/>
      <c r="V224" s="324">
        <f>IF(N224&lt;&gt;0, IF(N224&gt;=P224,ROUNDDOWN(N224/P224*100,0),""),"")</f>
        <v>110</v>
      </c>
      <c r="W224" s="311"/>
      <c r="X224" s="323"/>
      <c r="Y224" s="311"/>
      <c r="Z224" s="320"/>
      <c r="AA224" s="320"/>
      <c r="AB224" s="320"/>
      <c r="AC224" s="320"/>
      <c r="AD224" s="320"/>
      <c r="AE224" s="320"/>
      <c r="AF224" s="320"/>
      <c r="AG224" s="320"/>
      <c r="AH224" s="320"/>
      <c r="AI224" s="320"/>
      <c r="AJ224" s="320"/>
      <c r="AK224" s="320"/>
      <c r="AL224" s="320"/>
      <c r="AM224" s="320"/>
      <c r="AN224" s="320"/>
      <c r="AO224" s="320"/>
      <c r="AP224" s="320"/>
      <c r="AQ224" s="320"/>
      <c r="AR224" s="320"/>
      <c r="AS224" s="320"/>
      <c r="AT224" s="320"/>
      <c r="AU224" s="320"/>
      <c r="AV224" s="320"/>
      <c r="AW224" s="320"/>
      <c r="AX224" s="320"/>
      <c r="AY224" s="320"/>
      <c r="AZ224" s="320"/>
      <c r="BA224" s="320"/>
      <c r="BB224" s="320"/>
      <c r="BC224" s="320"/>
      <c r="BD224" s="320"/>
      <c r="BE224" s="320"/>
      <c r="BF224" s="320"/>
      <c r="BG224" s="320"/>
      <c r="BH224" s="320"/>
      <c r="BI224" s="320"/>
      <c r="BJ224" s="320"/>
      <c r="BK224" s="320"/>
      <c r="BL224" s="320"/>
      <c r="BM224" s="320"/>
      <c r="BN224" s="320"/>
      <c r="BO224" s="320"/>
      <c r="BP224" s="320"/>
      <c r="BQ224" s="320"/>
      <c r="BR224" s="320"/>
      <c r="BS224" s="320"/>
      <c r="BT224" s="320"/>
      <c r="BU224" s="320"/>
      <c r="BV224" s="320"/>
      <c r="BW224" s="320"/>
      <c r="BX224" s="320"/>
      <c r="BY224" s="320"/>
      <c r="BZ224" s="320"/>
      <c r="CA224" s="320"/>
      <c r="CB224" s="320"/>
      <c r="CC224" s="320"/>
      <c r="CD224" s="320"/>
      <c r="CE224" s="320"/>
      <c r="CF224" s="320"/>
      <c r="CG224" s="320"/>
      <c r="CH224" s="320"/>
      <c r="CI224" s="320"/>
      <c r="CJ224" s="320"/>
      <c r="CK224" s="320"/>
      <c r="CL224" s="320"/>
      <c r="CM224" s="320"/>
      <c r="CN224" s="320"/>
      <c r="CO224" s="320"/>
      <c r="CP224" s="320"/>
      <c r="CQ224" s="320"/>
      <c r="CR224" s="320"/>
      <c r="CS224" s="320"/>
      <c r="CT224" s="320"/>
      <c r="CU224" s="320"/>
      <c r="CV224" s="320"/>
      <c r="CW224" s="320"/>
      <c r="CX224" s="320"/>
      <c r="CY224" s="320"/>
      <c r="CZ224" s="320"/>
      <c r="DA224" s="320"/>
      <c r="DB224" s="320"/>
      <c r="DC224" s="320"/>
      <c r="DD224" s="320"/>
      <c r="DE224" s="320"/>
      <c r="DF224" s="320"/>
      <c r="DG224" s="320"/>
      <c r="DH224" s="320"/>
      <c r="DI224" s="320"/>
      <c r="DJ224" s="320"/>
      <c r="DK224" s="320"/>
    </row>
    <row r="225" spans="1:115" s="322" customFormat="1" ht="21" customHeight="1">
      <c r="A225" s="341"/>
      <c r="B225" s="340"/>
      <c r="C225" s="339"/>
      <c r="D225" s="333" t="s">
        <v>1144</v>
      </c>
      <c r="E225" s="326" t="s">
        <v>41</v>
      </c>
      <c r="F225" s="331">
        <v>2.9990000000000001</v>
      </c>
      <c r="G225" s="332">
        <v>375</v>
      </c>
      <c r="H225" s="331">
        <v>110</v>
      </c>
      <c r="I225" s="332" t="s">
        <v>70</v>
      </c>
      <c r="J225" s="331">
        <v>2356</v>
      </c>
      <c r="K225" s="326">
        <v>4521</v>
      </c>
      <c r="L225" s="326">
        <v>2000</v>
      </c>
      <c r="M225" s="326" t="s">
        <v>31</v>
      </c>
      <c r="N225" s="342">
        <v>11.8</v>
      </c>
      <c r="O225" s="337">
        <f>IF(N225&gt;0,1/N225*37.7*68.6,"")</f>
        <v>219.17118644067796</v>
      </c>
      <c r="P225" s="328">
        <v>10.35</v>
      </c>
      <c r="Q225" s="327" t="s">
        <v>43</v>
      </c>
      <c r="R225" s="326" t="s">
        <v>33</v>
      </c>
      <c r="S225" s="326" t="s">
        <v>34</v>
      </c>
      <c r="T225" s="326"/>
      <c r="U225" s="325"/>
      <c r="V225" s="324">
        <f>IF(N225&lt;&gt;0, IF(N225&gt;=P225,ROUNDDOWN(N225/P225*100,0),""),"")</f>
        <v>114</v>
      </c>
      <c r="W225" s="311"/>
      <c r="X225" s="323"/>
      <c r="Y225" s="311"/>
      <c r="Z225" s="320"/>
      <c r="AA225" s="320"/>
      <c r="AB225" s="320"/>
      <c r="AC225" s="320"/>
      <c r="AD225" s="320"/>
      <c r="AE225" s="320"/>
      <c r="AF225" s="320"/>
      <c r="AG225" s="320"/>
      <c r="AH225" s="320"/>
      <c r="AI225" s="320"/>
      <c r="AJ225" s="320"/>
      <c r="AK225" s="320"/>
      <c r="AL225" s="320"/>
      <c r="AM225" s="320"/>
      <c r="AN225" s="320"/>
      <c r="AO225" s="320"/>
      <c r="AP225" s="320"/>
      <c r="AQ225" s="320"/>
      <c r="AR225" s="320"/>
      <c r="AS225" s="320"/>
      <c r="AT225" s="320"/>
      <c r="AU225" s="320"/>
      <c r="AV225" s="320"/>
      <c r="AW225" s="320"/>
      <c r="AX225" s="320"/>
      <c r="AY225" s="320"/>
      <c r="AZ225" s="320"/>
      <c r="BA225" s="320"/>
      <c r="BB225" s="320"/>
      <c r="BC225" s="320"/>
      <c r="BD225" s="320"/>
      <c r="BE225" s="320"/>
      <c r="BF225" s="320"/>
      <c r="BG225" s="320"/>
      <c r="BH225" s="320"/>
      <c r="BI225" s="320"/>
      <c r="BJ225" s="320"/>
      <c r="BK225" s="320"/>
      <c r="BL225" s="320"/>
      <c r="BM225" s="320"/>
      <c r="BN225" s="320"/>
      <c r="BO225" s="320"/>
      <c r="BP225" s="320"/>
      <c r="BQ225" s="320"/>
      <c r="BR225" s="320"/>
      <c r="BS225" s="320"/>
      <c r="BT225" s="320"/>
      <c r="BU225" s="320"/>
      <c r="BV225" s="320"/>
      <c r="BW225" s="320"/>
      <c r="BX225" s="320"/>
      <c r="BY225" s="320"/>
      <c r="BZ225" s="320"/>
      <c r="CA225" s="320"/>
      <c r="CB225" s="320"/>
      <c r="CC225" s="320"/>
      <c r="CD225" s="320"/>
      <c r="CE225" s="320"/>
      <c r="CF225" s="320"/>
      <c r="CG225" s="320"/>
      <c r="CH225" s="320"/>
      <c r="CI225" s="320"/>
      <c r="CJ225" s="320"/>
      <c r="CK225" s="320"/>
      <c r="CL225" s="320"/>
      <c r="CM225" s="320"/>
      <c r="CN225" s="320"/>
      <c r="CO225" s="320"/>
      <c r="CP225" s="320"/>
      <c r="CQ225" s="320"/>
      <c r="CR225" s="320"/>
      <c r="CS225" s="320"/>
      <c r="CT225" s="320"/>
      <c r="CU225" s="320"/>
      <c r="CV225" s="320"/>
      <c r="CW225" s="320"/>
      <c r="CX225" s="320"/>
      <c r="CY225" s="320"/>
      <c r="CZ225" s="320"/>
      <c r="DA225" s="320"/>
      <c r="DB225" s="320"/>
      <c r="DC225" s="320"/>
      <c r="DD225" s="320"/>
      <c r="DE225" s="320"/>
      <c r="DF225" s="320"/>
      <c r="DG225" s="320"/>
      <c r="DH225" s="320"/>
      <c r="DI225" s="320"/>
      <c r="DJ225" s="320"/>
      <c r="DK225" s="320"/>
    </row>
    <row r="226" spans="1:115" s="322" customFormat="1" ht="21" customHeight="1">
      <c r="A226" s="341"/>
      <c r="B226" s="340"/>
      <c r="C226" s="339"/>
      <c r="D226" s="333" t="s">
        <v>1144</v>
      </c>
      <c r="E226" s="326" t="s">
        <v>41</v>
      </c>
      <c r="F226" s="331">
        <v>2.9990000000000001</v>
      </c>
      <c r="G226" s="332">
        <v>375</v>
      </c>
      <c r="H226" s="331">
        <v>110</v>
      </c>
      <c r="I226" s="332" t="s">
        <v>71</v>
      </c>
      <c r="J226" s="331">
        <v>2356</v>
      </c>
      <c r="K226" s="326">
        <v>4521</v>
      </c>
      <c r="L226" s="326">
        <v>2000</v>
      </c>
      <c r="M226" s="326" t="s">
        <v>31</v>
      </c>
      <c r="N226" s="342">
        <v>11.8</v>
      </c>
      <c r="O226" s="337">
        <f>IF(N226&gt;0,1/N226*37.7*68.6,"")</f>
        <v>219.17118644067796</v>
      </c>
      <c r="P226" s="328">
        <v>10.35</v>
      </c>
      <c r="Q226" s="327" t="s">
        <v>43</v>
      </c>
      <c r="R226" s="326" t="s">
        <v>33</v>
      </c>
      <c r="S226" s="326" t="s">
        <v>34</v>
      </c>
      <c r="T226" s="326"/>
      <c r="U226" s="325"/>
      <c r="V226" s="324">
        <f>IF(N226&lt;&gt;0, IF(N226&gt;=P226,ROUNDDOWN(N226/P226*100,0),""),"")</f>
        <v>114</v>
      </c>
      <c r="W226" s="311"/>
      <c r="X226" s="323"/>
      <c r="Y226" s="311"/>
      <c r="Z226" s="320"/>
      <c r="AA226" s="320"/>
      <c r="AB226" s="320"/>
      <c r="AC226" s="320"/>
      <c r="AD226" s="320"/>
      <c r="AE226" s="320"/>
      <c r="AF226" s="320"/>
      <c r="AG226" s="320"/>
      <c r="AH226" s="320"/>
      <c r="AI226" s="320"/>
      <c r="AJ226" s="320"/>
      <c r="AK226" s="320"/>
      <c r="AL226" s="320"/>
      <c r="AM226" s="320"/>
      <c r="AN226" s="320"/>
      <c r="AO226" s="320"/>
      <c r="AP226" s="320"/>
      <c r="AQ226" s="320"/>
      <c r="AR226" s="320"/>
      <c r="AS226" s="320"/>
      <c r="AT226" s="320"/>
      <c r="AU226" s="320"/>
      <c r="AV226" s="320"/>
      <c r="AW226" s="320"/>
      <c r="AX226" s="320"/>
      <c r="AY226" s="320"/>
      <c r="AZ226" s="320"/>
      <c r="BA226" s="320"/>
      <c r="BB226" s="320"/>
      <c r="BC226" s="320"/>
      <c r="BD226" s="320"/>
      <c r="BE226" s="320"/>
      <c r="BF226" s="320"/>
      <c r="BG226" s="320"/>
      <c r="BH226" s="320"/>
      <c r="BI226" s="320"/>
      <c r="BJ226" s="320"/>
      <c r="BK226" s="320"/>
      <c r="BL226" s="320"/>
      <c r="BM226" s="320"/>
      <c r="BN226" s="320"/>
      <c r="BO226" s="320"/>
      <c r="BP226" s="320"/>
      <c r="BQ226" s="320"/>
      <c r="BR226" s="320"/>
      <c r="BS226" s="320"/>
      <c r="BT226" s="320"/>
      <c r="BU226" s="320"/>
      <c r="BV226" s="320"/>
      <c r="BW226" s="320"/>
      <c r="BX226" s="320"/>
      <c r="BY226" s="320"/>
      <c r="BZ226" s="320"/>
      <c r="CA226" s="320"/>
      <c r="CB226" s="320"/>
      <c r="CC226" s="320"/>
      <c r="CD226" s="320"/>
      <c r="CE226" s="320"/>
      <c r="CF226" s="320"/>
      <c r="CG226" s="320"/>
      <c r="CH226" s="320"/>
      <c r="CI226" s="320"/>
      <c r="CJ226" s="320"/>
      <c r="CK226" s="320"/>
      <c r="CL226" s="320"/>
      <c r="CM226" s="320"/>
      <c r="CN226" s="320"/>
      <c r="CO226" s="320"/>
      <c r="CP226" s="320"/>
      <c r="CQ226" s="320"/>
      <c r="CR226" s="320"/>
      <c r="CS226" s="320"/>
      <c r="CT226" s="320"/>
      <c r="CU226" s="320"/>
      <c r="CV226" s="320"/>
      <c r="CW226" s="320"/>
      <c r="CX226" s="320"/>
      <c r="CY226" s="320"/>
      <c r="CZ226" s="320"/>
      <c r="DA226" s="320"/>
      <c r="DB226" s="320"/>
      <c r="DC226" s="320"/>
      <c r="DD226" s="320"/>
      <c r="DE226" s="320"/>
      <c r="DF226" s="320"/>
      <c r="DG226" s="320"/>
      <c r="DH226" s="320"/>
      <c r="DI226" s="320"/>
      <c r="DJ226" s="320"/>
      <c r="DK226" s="320"/>
    </row>
    <row r="227" spans="1:115" s="322" customFormat="1" ht="21" customHeight="1">
      <c r="A227" s="341"/>
      <c r="B227" s="340"/>
      <c r="C227" s="339"/>
      <c r="D227" s="333" t="s">
        <v>1144</v>
      </c>
      <c r="E227" s="326" t="s">
        <v>41</v>
      </c>
      <c r="F227" s="331">
        <v>2.9990000000000001</v>
      </c>
      <c r="G227" s="332">
        <v>375</v>
      </c>
      <c r="H227" s="331">
        <v>110</v>
      </c>
      <c r="I227" s="332" t="s">
        <v>70</v>
      </c>
      <c r="J227" s="331">
        <v>2356</v>
      </c>
      <c r="K227" s="326">
        <v>4521</v>
      </c>
      <c r="L227" s="326">
        <v>2000</v>
      </c>
      <c r="M227" s="326" t="s">
        <v>31</v>
      </c>
      <c r="N227" s="342">
        <v>11.4</v>
      </c>
      <c r="O227" s="337">
        <f>IF(N227&gt;0,1/N227*37.7*68.6,"")</f>
        <v>226.8614035087719</v>
      </c>
      <c r="P227" s="328">
        <v>10.35</v>
      </c>
      <c r="Q227" s="327" t="s">
        <v>63</v>
      </c>
      <c r="R227" s="326" t="s">
        <v>33</v>
      </c>
      <c r="S227" s="326" t="s">
        <v>34</v>
      </c>
      <c r="T227" s="326"/>
      <c r="U227" s="325"/>
      <c r="V227" s="324">
        <f>IF(N227&lt;&gt;0, IF(N227&gt;=P227,ROUNDDOWN(N227/P227*100,0),""),"")</f>
        <v>110</v>
      </c>
      <c r="W227" s="311"/>
      <c r="X227" s="323"/>
      <c r="Y227" s="311"/>
      <c r="Z227" s="320"/>
      <c r="AA227" s="320"/>
      <c r="AB227" s="320"/>
      <c r="AC227" s="320"/>
      <c r="AD227" s="320"/>
      <c r="AE227" s="320"/>
      <c r="AF227" s="320"/>
      <c r="AG227" s="320"/>
      <c r="AH227" s="320"/>
      <c r="AI227" s="320"/>
      <c r="AJ227" s="320"/>
      <c r="AK227" s="320"/>
      <c r="AL227" s="320"/>
      <c r="AM227" s="320"/>
      <c r="AN227" s="320"/>
      <c r="AO227" s="320"/>
      <c r="AP227" s="320"/>
      <c r="AQ227" s="320"/>
      <c r="AR227" s="320"/>
      <c r="AS227" s="320"/>
      <c r="AT227" s="320"/>
      <c r="AU227" s="320"/>
      <c r="AV227" s="320"/>
      <c r="AW227" s="320"/>
      <c r="AX227" s="320"/>
      <c r="AY227" s="320"/>
      <c r="AZ227" s="320"/>
      <c r="BA227" s="320"/>
      <c r="BB227" s="320"/>
      <c r="BC227" s="320"/>
      <c r="BD227" s="320"/>
      <c r="BE227" s="320"/>
      <c r="BF227" s="320"/>
      <c r="BG227" s="320"/>
      <c r="BH227" s="320"/>
      <c r="BI227" s="320"/>
      <c r="BJ227" s="320"/>
      <c r="BK227" s="320"/>
      <c r="BL227" s="320"/>
      <c r="BM227" s="320"/>
      <c r="BN227" s="320"/>
      <c r="BO227" s="320"/>
      <c r="BP227" s="320"/>
      <c r="BQ227" s="320"/>
      <c r="BR227" s="320"/>
      <c r="BS227" s="320"/>
      <c r="BT227" s="320"/>
      <c r="BU227" s="320"/>
      <c r="BV227" s="320"/>
      <c r="BW227" s="320"/>
      <c r="BX227" s="320"/>
      <c r="BY227" s="320"/>
      <c r="BZ227" s="320"/>
      <c r="CA227" s="320"/>
      <c r="CB227" s="320"/>
      <c r="CC227" s="320"/>
      <c r="CD227" s="320"/>
      <c r="CE227" s="320"/>
      <c r="CF227" s="320"/>
      <c r="CG227" s="320"/>
      <c r="CH227" s="320"/>
      <c r="CI227" s="320"/>
      <c r="CJ227" s="320"/>
      <c r="CK227" s="320"/>
      <c r="CL227" s="320"/>
      <c r="CM227" s="320"/>
      <c r="CN227" s="320"/>
      <c r="CO227" s="320"/>
      <c r="CP227" s="320"/>
      <c r="CQ227" s="320"/>
      <c r="CR227" s="320"/>
      <c r="CS227" s="320"/>
      <c r="CT227" s="320"/>
      <c r="CU227" s="320"/>
      <c r="CV227" s="320"/>
      <c r="CW227" s="320"/>
      <c r="CX227" s="320"/>
      <c r="CY227" s="320"/>
      <c r="CZ227" s="320"/>
      <c r="DA227" s="320"/>
      <c r="DB227" s="320"/>
      <c r="DC227" s="320"/>
      <c r="DD227" s="320"/>
      <c r="DE227" s="320"/>
      <c r="DF227" s="320"/>
      <c r="DG227" s="320"/>
      <c r="DH227" s="320"/>
      <c r="DI227" s="320"/>
      <c r="DJ227" s="320"/>
      <c r="DK227" s="320"/>
    </row>
    <row r="228" spans="1:115" s="322" customFormat="1" ht="21" customHeight="1">
      <c r="A228" s="341"/>
      <c r="B228" s="340"/>
      <c r="C228" s="339"/>
      <c r="D228" s="333" t="s">
        <v>1144</v>
      </c>
      <c r="E228" s="326" t="s">
        <v>41</v>
      </c>
      <c r="F228" s="331">
        <v>2.9990000000000001</v>
      </c>
      <c r="G228" s="332">
        <v>375</v>
      </c>
      <c r="H228" s="331">
        <v>110</v>
      </c>
      <c r="I228" s="332" t="s">
        <v>71</v>
      </c>
      <c r="J228" s="331">
        <v>2356</v>
      </c>
      <c r="K228" s="326">
        <v>4521</v>
      </c>
      <c r="L228" s="326">
        <v>2000</v>
      </c>
      <c r="M228" s="326" t="s">
        <v>31</v>
      </c>
      <c r="N228" s="342">
        <v>11.4</v>
      </c>
      <c r="O228" s="337">
        <f>IF(N228&gt;0,1/N228*37.7*68.6,"")</f>
        <v>226.8614035087719</v>
      </c>
      <c r="P228" s="328">
        <v>10.35</v>
      </c>
      <c r="Q228" s="327" t="s">
        <v>63</v>
      </c>
      <c r="R228" s="326" t="s">
        <v>33</v>
      </c>
      <c r="S228" s="326" t="s">
        <v>34</v>
      </c>
      <c r="T228" s="326"/>
      <c r="U228" s="325"/>
      <c r="V228" s="324">
        <f>IF(N228&lt;&gt;0, IF(N228&gt;=P228,ROUNDDOWN(N228/P228*100,0),""),"")</f>
        <v>110</v>
      </c>
      <c r="W228" s="311"/>
      <c r="X228" s="323"/>
      <c r="Y228" s="311"/>
      <c r="Z228" s="320"/>
      <c r="AA228" s="320"/>
      <c r="AB228" s="320"/>
      <c r="AC228" s="320"/>
      <c r="AD228" s="320"/>
      <c r="AE228" s="320"/>
      <c r="AF228" s="320"/>
      <c r="AG228" s="320"/>
      <c r="AH228" s="320"/>
      <c r="AI228" s="320"/>
      <c r="AJ228" s="320"/>
      <c r="AK228" s="320"/>
      <c r="AL228" s="320"/>
      <c r="AM228" s="320"/>
      <c r="AN228" s="320"/>
      <c r="AO228" s="320"/>
      <c r="AP228" s="320"/>
      <c r="AQ228" s="320"/>
      <c r="AR228" s="320"/>
      <c r="AS228" s="320"/>
      <c r="AT228" s="320"/>
      <c r="AU228" s="320"/>
      <c r="AV228" s="320"/>
      <c r="AW228" s="320"/>
      <c r="AX228" s="320"/>
      <c r="AY228" s="320"/>
      <c r="AZ228" s="320"/>
      <c r="BA228" s="320"/>
      <c r="BB228" s="320"/>
      <c r="BC228" s="320"/>
      <c r="BD228" s="320"/>
      <c r="BE228" s="320"/>
      <c r="BF228" s="320"/>
      <c r="BG228" s="320"/>
      <c r="BH228" s="320"/>
      <c r="BI228" s="320"/>
      <c r="BJ228" s="320"/>
      <c r="BK228" s="320"/>
      <c r="BL228" s="320"/>
      <c r="BM228" s="320"/>
      <c r="BN228" s="320"/>
      <c r="BO228" s="320"/>
      <c r="BP228" s="320"/>
      <c r="BQ228" s="320"/>
      <c r="BR228" s="320"/>
      <c r="BS228" s="320"/>
      <c r="BT228" s="320"/>
      <c r="BU228" s="320"/>
      <c r="BV228" s="320"/>
      <c r="BW228" s="320"/>
      <c r="BX228" s="320"/>
      <c r="BY228" s="320"/>
      <c r="BZ228" s="320"/>
      <c r="CA228" s="320"/>
      <c r="CB228" s="320"/>
      <c r="CC228" s="320"/>
      <c r="CD228" s="320"/>
      <c r="CE228" s="320"/>
      <c r="CF228" s="320"/>
      <c r="CG228" s="320"/>
      <c r="CH228" s="320"/>
      <c r="CI228" s="320"/>
      <c r="CJ228" s="320"/>
      <c r="CK228" s="320"/>
      <c r="CL228" s="320"/>
      <c r="CM228" s="320"/>
      <c r="CN228" s="320"/>
      <c r="CO228" s="320"/>
      <c r="CP228" s="320"/>
      <c r="CQ228" s="320"/>
      <c r="CR228" s="320"/>
      <c r="CS228" s="320"/>
      <c r="CT228" s="320"/>
      <c r="CU228" s="320"/>
      <c r="CV228" s="320"/>
      <c r="CW228" s="320"/>
      <c r="CX228" s="320"/>
      <c r="CY228" s="320"/>
      <c r="CZ228" s="320"/>
      <c r="DA228" s="320"/>
      <c r="DB228" s="320"/>
      <c r="DC228" s="320"/>
      <c r="DD228" s="320"/>
      <c r="DE228" s="320"/>
      <c r="DF228" s="320"/>
      <c r="DG228" s="320"/>
      <c r="DH228" s="320"/>
      <c r="DI228" s="320"/>
      <c r="DJ228" s="320"/>
      <c r="DK228" s="320"/>
    </row>
    <row r="229" spans="1:115" s="322" customFormat="1" ht="21" customHeight="1">
      <c r="A229" s="341"/>
      <c r="B229" s="340"/>
      <c r="C229" s="339"/>
      <c r="D229" s="333" t="s">
        <v>1143</v>
      </c>
      <c r="E229" s="326" t="s">
        <v>41</v>
      </c>
      <c r="F229" s="331">
        <v>2.9990000000000001</v>
      </c>
      <c r="G229" s="332">
        <v>375</v>
      </c>
      <c r="H229" s="331">
        <v>110</v>
      </c>
      <c r="I229" s="332" t="s">
        <v>70</v>
      </c>
      <c r="J229" s="331">
        <v>2356</v>
      </c>
      <c r="K229" s="326">
        <v>4521</v>
      </c>
      <c r="L229" s="326">
        <v>2000</v>
      </c>
      <c r="M229" s="326" t="s">
        <v>31</v>
      </c>
      <c r="N229" s="342">
        <v>11.8</v>
      </c>
      <c r="O229" s="337">
        <f>IF(N229&gt;0,1/N229*37.7*68.6,"")</f>
        <v>219.17118644067796</v>
      </c>
      <c r="P229" s="328">
        <v>10.35</v>
      </c>
      <c r="Q229" s="327" t="s">
        <v>43</v>
      </c>
      <c r="R229" s="326" t="s">
        <v>33</v>
      </c>
      <c r="S229" s="326" t="s">
        <v>66</v>
      </c>
      <c r="T229" s="326"/>
      <c r="U229" s="325"/>
      <c r="V229" s="324">
        <f>IF(N229&lt;&gt;0, IF(N229&gt;=P229,ROUNDDOWN(N229/P229*100,0),""),"")</f>
        <v>114</v>
      </c>
      <c r="W229" s="311"/>
      <c r="X229" s="323"/>
      <c r="Y229" s="311"/>
      <c r="Z229" s="320"/>
      <c r="AA229" s="320"/>
      <c r="AB229" s="320"/>
      <c r="AC229" s="320"/>
      <c r="AD229" s="320"/>
      <c r="AE229" s="320"/>
      <c r="AF229" s="320"/>
      <c r="AG229" s="320"/>
      <c r="AH229" s="320"/>
      <c r="AI229" s="320"/>
      <c r="AJ229" s="320"/>
      <c r="AK229" s="320"/>
      <c r="AL229" s="320"/>
      <c r="AM229" s="320"/>
      <c r="AN229" s="320"/>
      <c r="AO229" s="320"/>
      <c r="AP229" s="320"/>
      <c r="AQ229" s="320"/>
      <c r="AR229" s="320"/>
      <c r="AS229" s="320"/>
      <c r="AT229" s="320"/>
      <c r="AU229" s="320"/>
      <c r="AV229" s="320"/>
      <c r="AW229" s="320"/>
      <c r="AX229" s="320"/>
      <c r="AY229" s="320"/>
      <c r="AZ229" s="320"/>
      <c r="BA229" s="320"/>
      <c r="BB229" s="320"/>
      <c r="BC229" s="320"/>
      <c r="BD229" s="320"/>
      <c r="BE229" s="320"/>
      <c r="BF229" s="320"/>
      <c r="BG229" s="320"/>
      <c r="BH229" s="320"/>
      <c r="BI229" s="320"/>
      <c r="BJ229" s="320"/>
      <c r="BK229" s="320"/>
      <c r="BL229" s="320"/>
      <c r="BM229" s="320"/>
      <c r="BN229" s="320"/>
      <c r="BO229" s="320"/>
      <c r="BP229" s="320"/>
      <c r="BQ229" s="320"/>
      <c r="BR229" s="320"/>
      <c r="BS229" s="320"/>
      <c r="BT229" s="320"/>
      <c r="BU229" s="320"/>
      <c r="BV229" s="320"/>
      <c r="BW229" s="320"/>
      <c r="BX229" s="320"/>
      <c r="BY229" s="320"/>
      <c r="BZ229" s="320"/>
      <c r="CA229" s="320"/>
      <c r="CB229" s="320"/>
      <c r="CC229" s="320"/>
      <c r="CD229" s="320"/>
      <c r="CE229" s="320"/>
      <c r="CF229" s="320"/>
      <c r="CG229" s="320"/>
      <c r="CH229" s="320"/>
      <c r="CI229" s="320"/>
      <c r="CJ229" s="320"/>
      <c r="CK229" s="320"/>
      <c r="CL229" s="320"/>
      <c r="CM229" s="320"/>
      <c r="CN229" s="320"/>
      <c r="CO229" s="320"/>
      <c r="CP229" s="320"/>
      <c r="CQ229" s="320"/>
      <c r="CR229" s="320"/>
      <c r="CS229" s="320"/>
      <c r="CT229" s="320"/>
      <c r="CU229" s="320"/>
      <c r="CV229" s="320"/>
      <c r="CW229" s="320"/>
      <c r="CX229" s="320"/>
      <c r="CY229" s="320"/>
      <c r="CZ229" s="320"/>
      <c r="DA229" s="320"/>
      <c r="DB229" s="320"/>
      <c r="DC229" s="320"/>
      <c r="DD229" s="320"/>
      <c r="DE229" s="320"/>
      <c r="DF229" s="320"/>
      <c r="DG229" s="320"/>
      <c r="DH229" s="320"/>
      <c r="DI229" s="320"/>
      <c r="DJ229" s="320"/>
      <c r="DK229" s="320"/>
    </row>
    <row r="230" spans="1:115" s="322" customFormat="1" ht="21" customHeight="1">
      <c r="A230" s="341"/>
      <c r="B230" s="340"/>
      <c r="C230" s="339"/>
      <c r="D230" s="333" t="s">
        <v>1143</v>
      </c>
      <c r="E230" s="326" t="s">
        <v>41</v>
      </c>
      <c r="F230" s="331">
        <v>2.9990000000000001</v>
      </c>
      <c r="G230" s="332">
        <v>375</v>
      </c>
      <c r="H230" s="331">
        <v>110</v>
      </c>
      <c r="I230" s="332" t="s">
        <v>70</v>
      </c>
      <c r="J230" s="331">
        <v>2356</v>
      </c>
      <c r="K230" s="326">
        <v>4521</v>
      </c>
      <c r="L230" s="326">
        <v>2000</v>
      </c>
      <c r="M230" s="326" t="s">
        <v>31</v>
      </c>
      <c r="N230" s="342">
        <v>11.4</v>
      </c>
      <c r="O230" s="337">
        <f>IF(N230&gt;0,1/N230*37.7*68.6,"")</f>
        <v>226.8614035087719</v>
      </c>
      <c r="P230" s="328">
        <v>10.35</v>
      </c>
      <c r="Q230" s="327" t="s">
        <v>63</v>
      </c>
      <c r="R230" s="326" t="s">
        <v>33</v>
      </c>
      <c r="S230" s="326" t="s">
        <v>66</v>
      </c>
      <c r="T230" s="326"/>
      <c r="U230" s="325"/>
      <c r="V230" s="324">
        <f>IF(N230&lt;&gt;0, IF(N230&gt;=P230,ROUNDDOWN(N230/P230*100,0),""),"")</f>
        <v>110</v>
      </c>
      <c r="W230" s="311"/>
      <c r="X230" s="323"/>
      <c r="Y230" s="311"/>
      <c r="Z230" s="320"/>
      <c r="AA230" s="320"/>
      <c r="AB230" s="320"/>
      <c r="AC230" s="320"/>
      <c r="AD230" s="320"/>
      <c r="AE230" s="320"/>
      <c r="AF230" s="320"/>
      <c r="AG230" s="320"/>
      <c r="AH230" s="320"/>
      <c r="AI230" s="320"/>
      <c r="AJ230" s="320"/>
      <c r="AK230" s="320"/>
      <c r="AL230" s="320"/>
      <c r="AM230" s="320"/>
      <c r="AN230" s="320"/>
      <c r="AO230" s="320"/>
      <c r="AP230" s="320"/>
      <c r="AQ230" s="320"/>
      <c r="AR230" s="320"/>
      <c r="AS230" s="320"/>
      <c r="AT230" s="320"/>
      <c r="AU230" s="320"/>
      <c r="AV230" s="320"/>
      <c r="AW230" s="320"/>
      <c r="AX230" s="320"/>
      <c r="AY230" s="320"/>
      <c r="AZ230" s="320"/>
      <c r="BA230" s="320"/>
      <c r="BB230" s="320"/>
      <c r="BC230" s="320"/>
      <c r="BD230" s="320"/>
      <c r="BE230" s="320"/>
      <c r="BF230" s="320"/>
      <c r="BG230" s="320"/>
      <c r="BH230" s="320"/>
      <c r="BI230" s="320"/>
      <c r="BJ230" s="320"/>
      <c r="BK230" s="320"/>
      <c r="BL230" s="320"/>
      <c r="BM230" s="320"/>
      <c r="BN230" s="320"/>
      <c r="BO230" s="320"/>
      <c r="BP230" s="320"/>
      <c r="BQ230" s="320"/>
      <c r="BR230" s="320"/>
      <c r="BS230" s="320"/>
      <c r="BT230" s="320"/>
      <c r="BU230" s="320"/>
      <c r="BV230" s="320"/>
      <c r="BW230" s="320"/>
      <c r="BX230" s="320"/>
      <c r="BY230" s="320"/>
      <c r="BZ230" s="320"/>
      <c r="CA230" s="320"/>
      <c r="CB230" s="320"/>
      <c r="CC230" s="320"/>
      <c r="CD230" s="320"/>
      <c r="CE230" s="320"/>
      <c r="CF230" s="320"/>
      <c r="CG230" s="320"/>
      <c r="CH230" s="320"/>
      <c r="CI230" s="320"/>
      <c r="CJ230" s="320"/>
      <c r="CK230" s="320"/>
      <c r="CL230" s="320"/>
      <c r="CM230" s="320"/>
      <c r="CN230" s="320"/>
      <c r="CO230" s="320"/>
      <c r="CP230" s="320"/>
      <c r="CQ230" s="320"/>
      <c r="CR230" s="320"/>
      <c r="CS230" s="320"/>
      <c r="CT230" s="320"/>
      <c r="CU230" s="320"/>
      <c r="CV230" s="320"/>
      <c r="CW230" s="320"/>
      <c r="CX230" s="320"/>
      <c r="CY230" s="320"/>
      <c r="CZ230" s="320"/>
      <c r="DA230" s="320"/>
      <c r="DB230" s="320"/>
      <c r="DC230" s="320"/>
      <c r="DD230" s="320"/>
      <c r="DE230" s="320"/>
      <c r="DF230" s="320"/>
      <c r="DG230" s="320"/>
      <c r="DH230" s="320"/>
      <c r="DI230" s="320"/>
      <c r="DJ230" s="320"/>
      <c r="DK230" s="320"/>
    </row>
    <row r="231" spans="1:115" s="322" customFormat="1" ht="21" customHeight="1">
      <c r="A231" s="341"/>
      <c r="B231" s="340"/>
      <c r="C231" s="339"/>
      <c r="D231" s="333" t="s">
        <v>1142</v>
      </c>
      <c r="E231" s="326" t="s">
        <v>41</v>
      </c>
      <c r="F231" s="331">
        <v>2.9990000000000001</v>
      </c>
      <c r="G231" s="332" t="s">
        <v>467</v>
      </c>
      <c r="H231" s="331" t="s">
        <v>466</v>
      </c>
      <c r="I231" s="332" t="s">
        <v>71</v>
      </c>
      <c r="J231" s="331">
        <v>2356</v>
      </c>
      <c r="K231" s="326">
        <v>4521</v>
      </c>
      <c r="L231" s="326">
        <v>2000</v>
      </c>
      <c r="M231" s="326" t="s">
        <v>31</v>
      </c>
      <c r="N231" s="342">
        <v>11.8</v>
      </c>
      <c r="O231" s="337">
        <f>IF(N231&gt;0,1/N231*37.7*68.6,"")</f>
        <v>219.17118644067796</v>
      </c>
      <c r="P231" s="328">
        <v>10.35</v>
      </c>
      <c r="Q231" s="327" t="s">
        <v>43</v>
      </c>
      <c r="R231" s="326" t="s">
        <v>33</v>
      </c>
      <c r="S231" s="326" t="s">
        <v>34</v>
      </c>
      <c r="T231" s="326"/>
      <c r="U231" s="325"/>
      <c r="V231" s="324">
        <f>IF(N231&lt;&gt;0, IF(N231&gt;=P231,ROUNDDOWN(N231/P231*100,0),""),"")</f>
        <v>114</v>
      </c>
      <c r="W231" s="311"/>
      <c r="X231" s="320"/>
      <c r="Y231" s="320"/>
      <c r="Z231" s="320"/>
      <c r="AA231" s="320"/>
      <c r="AB231" s="320"/>
      <c r="AC231" s="320"/>
      <c r="AD231" s="320"/>
      <c r="AE231" s="320"/>
      <c r="AF231" s="320"/>
      <c r="AG231" s="320"/>
      <c r="AH231" s="320"/>
      <c r="AI231" s="320"/>
      <c r="AJ231" s="320"/>
      <c r="AK231" s="320"/>
      <c r="AL231" s="320"/>
      <c r="AM231" s="320"/>
      <c r="AN231" s="320"/>
      <c r="AO231" s="320"/>
      <c r="AP231" s="320"/>
      <c r="AQ231" s="320"/>
    </row>
    <row r="232" spans="1:115" s="322" customFormat="1" ht="21" customHeight="1">
      <c r="A232" s="341"/>
      <c r="B232" s="340"/>
      <c r="C232" s="339"/>
      <c r="D232" s="333" t="s">
        <v>1142</v>
      </c>
      <c r="E232" s="326" t="s">
        <v>41</v>
      </c>
      <c r="F232" s="331">
        <v>2.9990000000000001</v>
      </c>
      <c r="G232" s="332" t="s">
        <v>467</v>
      </c>
      <c r="H232" s="331" t="s">
        <v>466</v>
      </c>
      <c r="I232" s="332" t="s">
        <v>42</v>
      </c>
      <c r="J232" s="331">
        <v>2356</v>
      </c>
      <c r="K232" s="326">
        <v>4521</v>
      </c>
      <c r="L232" s="326">
        <v>2000</v>
      </c>
      <c r="M232" s="326" t="s">
        <v>31</v>
      </c>
      <c r="N232" s="342">
        <v>11.8</v>
      </c>
      <c r="O232" s="337">
        <f>IF(N232&gt;0,1/N232*37.7*68.6,"")</f>
        <v>219.17118644067796</v>
      </c>
      <c r="P232" s="328">
        <v>10.35</v>
      </c>
      <c r="Q232" s="327" t="s">
        <v>63</v>
      </c>
      <c r="R232" s="326" t="s">
        <v>33</v>
      </c>
      <c r="S232" s="326" t="s">
        <v>34</v>
      </c>
      <c r="T232" s="326"/>
      <c r="U232" s="325"/>
      <c r="V232" s="324">
        <f>IF(N232&lt;&gt;0, IF(N232&gt;=P232,ROUNDDOWN(N232/P232*100,0),""),"")</f>
        <v>114</v>
      </c>
      <c r="W232" s="311"/>
      <c r="X232" s="320"/>
      <c r="Y232" s="320"/>
      <c r="Z232" s="320"/>
      <c r="AA232" s="320"/>
      <c r="AB232" s="320"/>
      <c r="AC232" s="320"/>
      <c r="AD232" s="320"/>
      <c r="AE232" s="320"/>
      <c r="AF232" s="320"/>
      <c r="AG232" s="320"/>
      <c r="AH232" s="320"/>
      <c r="AI232" s="320"/>
      <c r="AJ232" s="320"/>
      <c r="AK232" s="320"/>
      <c r="AL232" s="320"/>
      <c r="AM232" s="320"/>
      <c r="AN232" s="320"/>
      <c r="AO232" s="320"/>
      <c r="AP232" s="320"/>
      <c r="AQ232" s="320"/>
    </row>
    <row r="233" spans="1:115" s="322" customFormat="1" ht="21" customHeight="1">
      <c r="A233" s="341"/>
      <c r="B233" s="340"/>
      <c r="C233" s="339"/>
      <c r="D233" s="333" t="s">
        <v>1142</v>
      </c>
      <c r="E233" s="326" t="s">
        <v>41</v>
      </c>
      <c r="F233" s="331">
        <v>2.9990000000000001</v>
      </c>
      <c r="G233" s="332" t="s">
        <v>467</v>
      </c>
      <c r="H233" s="331" t="s">
        <v>466</v>
      </c>
      <c r="I233" s="332" t="s">
        <v>71</v>
      </c>
      <c r="J233" s="331">
        <v>2356</v>
      </c>
      <c r="K233" s="326">
        <v>4521</v>
      </c>
      <c r="L233" s="326">
        <v>2000</v>
      </c>
      <c r="M233" s="326" t="s">
        <v>31</v>
      </c>
      <c r="N233" s="342">
        <v>11.4</v>
      </c>
      <c r="O233" s="337">
        <f>IF(N233&gt;0,1/N233*37.7*68.6,"")</f>
        <v>226.8614035087719</v>
      </c>
      <c r="P233" s="328">
        <v>10.35</v>
      </c>
      <c r="Q233" s="327" t="s">
        <v>63</v>
      </c>
      <c r="R233" s="326" t="s">
        <v>33</v>
      </c>
      <c r="S233" s="326" t="s">
        <v>34</v>
      </c>
      <c r="T233" s="326"/>
      <c r="U233" s="325"/>
      <c r="V233" s="324">
        <f>IF(N233&lt;&gt;0, IF(N233&gt;=P233,ROUNDDOWN(N233/P233*100,0),""),"")</f>
        <v>110</v>
      </c>
      <c r="W233" s="311"/>
      <c r="X233" s="320"/>
      <c r="Y233" s="320"/>
      <c r="Z233" s="320"/>
      <c r="AA233" s="320"/>
      <c r="AB233" s="320"/>
      <c r="AC233" s="320"/>
      <c r="AD233" s="320"/>
      <c r="AE233" s="320"/>
      <c r="AF233" s="320"/>
      <c r="AG233" s="320"/>
      <c r="AH233" s="320"/>
      <c r="AI233" s="320"/>
      <c r="AJ233" s="320"/>
      <c r="AK233" s="320"/>
      <c r="AL233" s="320"/>
      <c r="AM233" s="320"/>
      <c r="AN233" s="320"/>
      <c r="AO233" s="320"/>
      <c r="AP233" s="320"/>
      <c r="AQ233" s="320"/>
    </row>
    <row r="234" spans="1:115" s="322" customFormat="1" ht="21" customHeight="1">
      <c r="A234" s="341"/>
      <c r="B234" s="340"/>
      <c r="C234" s="339"/>
      <c r="D234" s="333" t="s">
        <v>1142</v>
      </c>
      <c r="E234" s="326" t="s">
        <v>41</v>
      </c>
      <c r="F234" s="331">
        <v>2.9990000000000001</v>
      </c>
      <c r="G234" s="332" t="s">
        <v>467</v>
      </c>
      <c r="H234" s="331" t="s">
        <v>466</v>
      </c>
      <c r="I234" s="332" t="s">
        <v>71</v>
      </c>
      <c r="J234" s="331">
        <v>2652</v>
      </c>
      <c r="K234" s="326">
        <v>5812</v>
      </c>
      <c r="L234" s="326">
        <v>2995</v>
      </c>
      <c r="M234" s="326" t="s">
        <v>31</v>
      </c>
      <c r="N234" s="342">
        <v>10.8</v>
      </c>
      <c r="O234" s="337">
        <f>IF(N234&gt;0,1/N234*37.7*68.6,"")</f>
        <v>239.46481481481482</v>
      </c>
      <c r="P234" s="328">
        <v>9.51</v>
      </c>
      <c r="Q234" s="327" t="s">
        <v>43</v>
      </c>
      <c r="R234" s="326" t="s">
        <v>33</v>
      </c>
      <c r="S234" s="326" t="s">
        <v>34</v>
      </c>
      <c r="T234" s="326"/>
      <c r="U234" s="325"/>
      <c r="V234" s="324">
        <f>IF(N234&lt;&gt;0, IF(N234&gt;=P234,ROUNDDOWN(N234/P234*100,0),""),"")</f>
        <v>113</v>
      </c>
      <c r="W234" s="311"/>
      <c r="X234" s="320"/>
      <c r="Y234" s="320"/>
      <c r="Z234" s="320"/>
      <c r="AA234" s="320"/>
      <c r="AB234" s="320"/>
      <c r="AC234" s="320"/>
      <c r="AD234" s="320"/>
      <c r="AE234" s="320"/>
      <c r="AF234" s="320"/>
      <c r="AG234" s="320"/>
      <c r="AH234" s="320"/>
      <c r="AI234" s="320"/>
      <c r="AJ234" s="320"/>
      <c r="AK234" s="320"/>
      <c r="AL234" s="320"/>
      <c r="AM234" s="320"/>
      <c r="AN234" s="320"/>
      <c r="AO234" s="320"/>
      <c r="AP234" s="320"/>
      <c r="AQ234" s="320"/>
    </row>
    <row r="235" spans="1:115" s="322" customFormat="1" ht="21" customHeight="1">
      <c r="A235" s="341"/>
      <c r="B235" s="340"/>
      <c r="C235" s="339"/>
      <c r="D235" s="333" t="s">
        <v>1142</v>
      </c>
      <c r="E235" s="326" t="s">
        <v>41</v>
      </c>
      <c r="F235" s="331">
        <v>2.9990000000000001</v>
      </c>
      <c r="G235" s="332" t="s">
        <v>464</v>
      </c>
      <c r="H235" s="331" t="s">
        <v>463</v>
      </c>
      <c r="I235" s="332" t="s">
        <v>71</v>
      </c>
      <c r="J235" s="331">
        <v>2652</v>
      </c>
      <c r="K235" s="326">
        <v>5812</v>
      </c>
      <c r="L235" s="326">
        <v>2995</v>
      </c>
      <c r="M235" s="326" t="s">
        <v>31</v>
      </c>
      <c r="N235" s="342">
        <v>10.8</v>
      </c>
      <c r="O235" s="337">
        <f>IF(N235&gt;0,1/N235*37.7*68.6,"")</f>
        <v>239.46481481481482</v>
      </c>
      <c r="P235" s="328">
        <v>9.51</v>
      </c>
      <c r="Q235" s="327" t="s">
        <v>43</v>
      </c>
      <c r="R235" s="326" t="s">
        <v>33</v>
      </c>
      <c r="S235" s="326" t="s">
        <v>34</v>
      </c>
      <c r="T235" s="326"/>
      <c r="U235" s="325"/>
      <c r="V235" s="324">
        <f>IF(N235&lt;&gt;0, IF(N235&gt;=P235,ROUNDDOWN(N235/P235*100,0),""),"")</f>
        <v>113</v>
      </c>
      <c r="W235" s="311"/>
      <c r="X235" s="320"/>
      <c r="Y235" s="320"/>
      <c r="Z235" s="320"/>
      <c r="AA235" s="320"/>
      <c r="AB235" s="320"/>
      <c r="AC235" s="320"/>
      <c r="AD235" s="320"/>
      <c r="AE235" s="320"/>
      <c r="AF235" s="320"/>
      <c r="AG235" s="320"/>
      <c r="AH235" s="320"/>
      <c r="AI235" s="320"/>
      <c r="AJ235" s="320"/>
      <c r="AK235" s="320"/>
      <c r="AL235" s="320"/>
      <c r="AM235" s="320"/>
      <c r="AN235" s="320"/>
      <c r="AO235" s="320"/>
      <c r="AP235" s="320"/>
      <c r="AQ235" s="320"/>
    </row>
    <row r="236" spans="1:115" s="322" customFormat="1" ht="21" customHeight="1">
      <c r="A236" s="341"/>
      <c r="B236" s="340"/>
      <c r="C236" s="339"/>
      <c r="D236" s="333" t="s">
        <v>1142</v>
      </c>
      <c r="E236" s="326" t="s">
        <v>41</v>
      </c>
      <c r="F236" s="331">
        <v>2.9990000000000001</v>
      </c>
      <c r="G236" s="332" t="s">
        <v>467</v>
      </c>
      <c r="H236" s="331" t="s">
        <v>466</v>
      </c>
      <c r="I236" s="332" t="s">
        <v>42</v>
      </c>
      <c r="J236" s="331">
        <v>2652</v>
      </c>
      <c r="K236" s="326">
        <v>5812</v>
      </c>
      <c r="L236" s="326">
        <v>2995</v>
      </c>
      <c r="M236" s="326" t="s">
        <v>31</v>
      </c>
      <c r="N236" s="342">
        <v>10.8</v>
      </c>
      <c r="O236" s="337">
        <f>IF(N236&gt;0,1/N236*37.7*68.6,"")</f>
        <v>239.46481481481482</v>
      </c>
      <c r="P236" s="328">
        <v>9.51</v>
      </c>
      <c r="Q236" s="327" t="s">
        <v>63</v>
      </c>
      <c r="R236" s="326" t="s">
        <v>33</v>
      </c>
      <c r="S236" s="326" t="s">
        <v>34</v>
      </c>
      <c r="T236" s="326"/>
      <c r="U236" s="325"/>
      <c r="V236" s="324">
        <f>IF(N236&lt;&gt;0, IF(N236&gt;=P236,ROUNDDOWN(N236/P236*100,0),""),"")</f>
        <v>113</v>
      </c>
      <c r="W236" s="311"/>
      <c r="X236" s="320"/>
      <c r="Y236" s="320"/>
      <c r="Z236" s="320"/>
      <c r="AA236" s="320"/>
      <c r="AB236" s="320"/>
      <c r="AC236" s="320"/>
      <c r="AD236" s="320"/>
      <c r="AE236" s="320"/>
      <c r="AF236" s="320"/>
      <c r="AG236" s="320"/>
      <c r="AH236" s="320"/>
      <c r="AI236" s="320"/>
      <c r="AJ236" s="320"/>
      <c r="AK236" s="320"/>
      <c r="AL236" s="320"/>
      <c r="AM236" s="320"/>
      <c r="AN236" s="320"/>
      <c r="AO236" s="320"/>
      <c r="AP236" s="320"/>
      <c r="AQ236" s="320"/>
    </row>
    <row r="237" spans="1:115" s="322" customFormat="1" ht="21" customHeight="1">
      <c r="A237" s="341"/>
      <c r="B237" s="340"/>
      <c r="C237" s="339"/>
      <c r="D237" s="333" t="s">
        <v>1142</v>
      </c>
      <c r="E237" s="326" t="s">
        <v>41</v>
      </c>
      <c r="F237" s="331">
        <v>2.9990000000000001</v>
      </c>
      <c r="G237" s="332" t="s">
        <v>464</v>
      </c>
      <c r="H237" s="331" t="s">
        <v>463</v>
      </c>
      <c r="I237" s="332" t="s">
        <v>42</v>
      </c>
      <c r="J237" s="331">
        <v>2652</v>
      </c>
      <c r="K237" s="326">
        <v>5812</v>
      </c>
      <c r="L237" s="326">
        <v>2995</v>
      </c>
      <c r="M237" s="326" t="s">
        <v>31</v>
      </c>
      <c r="N237" s="342">
        <v>10.8</v>
      </c>
      <c r="O237" s="337">
        <f>IF(N237&gt;0,1/N237*37.7*68.6,"")</f>
        <v>239.46481481481482</v>
      </c>
      <c r="P237" s="328">
        <v>9.51</v>
      </c>
      <c r="Q237" s="327" t="s">
        <v>63</v>
      </c>
      <c r="R237" s="326" t="s">
        <v>33</v>
      </c>
      <c r="S237" s="326" t="s">
        <v>34</v>
      </c>
      <c r="T237" s="326"/>
      <c r="U237" s="325"/>
      <c r="V237" s="324">
        <f>IF(N237&lt;&gt;0, IF(N237&gt;=P237,ROUNDDOWN(N237/P237*100,0),""),"")</f>
        <v>113</v>
      </c>
      <c r="W237" s="311"/>
      <c r="X237" s="320"/>
      <c r="Y237" s="320"/>
      <c r="Z237" s="320"/>
      <c r="AA237" s="320"/>
      <c r="AB237" s="320"/>
      <c r="AC237" s="320"/>
      <c r="AD237" s="320"/>
      <c r="AE237" s="320"/>
      <c r="AF237" s="320"/>
      <c r="AG237" s="320"/>
      <c r="AH237" s="320"/>
      <c r="AI237" s="320"/>
      <c r="AJ237" s="320"/>
      <c r="AK237" s="320"/>
      <c r="AL237" s="320"/>
      <c r="AM237" s="320"/>
      <c r="AN237" s="320"/>
      <c r="AO237" s="320"/>
      <c r="AP237" s="320"/>
      <c r="AQ237" s="320"/>
    </row>
    <row r="238" spans="1:115" s="322" customFormat="1" ht="21" customHeight="1">
      <c r="A238" s="341"/>
      <c r="B238" s="340"/>
      <c r="C238" s="339"/>
      <c r="D238" s="333" t="s">
        <v>1142</v>
      </c>
      <c r="E238" s="326" t="s">
        <v>41</v>
      </c>
      <c r="F238" s="331">
        <v>2.9990000000000001</v>
      </c>
      <c r="G238" s="332" t="s">
        <v>467</v>
      </c>
      <c r="H238" s="331" t="s">
        <v>466</v>
      </c>
      <c r="I238" s="332" t="s">
        <v>71</v>
      </c>
      <c r="J238" s="331">
        <v>2652</v>
      </c>
      <c r="K238" s="326">
        <v>5812</v>
      </c>
      <c r="L238" s="326">
        <v>2995</v>
      </c>
      <c r="M238" s="326" t="s">
        <v>31</v>
      </c>
      <c r="N238" s="342">
        <v>10.6</v>
      </c>
      <c r="O238" s="337">
        <f>IF(N238&gt;0,1/N238*37.7*68.6,"")</f>
        <v>243.98301886792456</v>
      </c>
      <c r="P238" s="328">
        <v>9.51</v>
      </c>
      <c r="Q238" s="327" t="s">
        <v>63</v>
      </c>
      <c r="R238" s="326" t="s">
        <v>33</v>
      </c>
      <c r="S238" s="326" t="s">
        <v>34</v>
      </c>
      <c r="T238" s="326"/>
      <c r="U238" s="325"/>
      <c r="V238" s="324">
        <f>IF(N238&lt;&gt;0, IF(N238&gt;=P238,ROUNDDOWN(N238/P238*100,0),""),"")</f>
        <v>111</v>
      </c>
      <c r="W238" s="311"/>
      <c r="X238" s="320"/>
      <c r="Y238" s="320"/>
      <c r="Z238" s="320"/>
      <c r="AA238" s="320"/>
      <c r="AB238" s="320"/>
      <c r="AC238" s="320"/>
      <c r="AD238" s="320"/>
      <c r="AE238" s="320"/>
      <c r="AF238" s="320"/>
      <c r="AG238" s="320"/>
      <c r="AH238" s="320"/>
      <c r="AI238" s="320"/>
      <c r="AJ238" s="320"/>
      <c r="AK238" s="320"/>
      <c r="AL238" s="320"/>
      <c r="AM238" s="320"/>
      <c r="AN238" s="320"/>
      <c r="AO238" s="320"/>
      <c r="AP238" s="320"/>
      <c r="AQ238" s="320"/>
    </row>
    <row r="239" spans="1:115" s="322" customFormat="1" ht="21" customHeight="1">
      <c r="A239" s="341"/>
      <c r="B239" s="340"/>
      <c r="C239" s="339"/>
      <c r="D239" s="333" t="s">
        <v>1142</v>
      </c>
      <c r="E239" s="326" t="s">
        <v>41</v>
      </c>
      <c r="F239" s="331">
        <v>2.9990000000000001</v>
      </c>
      <c r="G239" s="332" t="s">
        <v>467</v>
      </c>
      <c r="H239" s="331" t="s">
        <v>466</v>
      </c>
      <c r="I239" s="332" t="s">
        <v>42</v>
      </c>
      <c r="J239" s="331">
        <v>2979</v>
      </c>
      <c r="K239" s="326">
        <v>6893</v>
      </c>
      <c r="L239" s="326">
        <v>3749</v>
      </c>
      <c r="M239" s="326" t="s">
        <v>31</v>
      </c>
      <c r="N239" s="342">
        <v>9.1999999999999993</v>
      </c>
      <c r="O239" s="337">
        <f>IF(N239&gt;0,1/N239*37.7*68.6,"")</f>
        <v>281.1108695652174</v>
      </c>
      <c r="P239" s="328">
        <v>8.1199999999999992</v>
      </c>
      <c r="Q239" s="327" t="s">
        <v>43</v>
      </c>
      <c r="R239" s="326" t="s">
        <v>33</v>
      </c>
      <c r="S239" s="326" t="s">
        <v>34</v>
      </c>
      <c r="T239" s="326"/>
      <c r="U239" s="325"/>
      <c r="V239" s="324">
        <f>IF(N239&lt;&gt;0, IF(N239&gt;=P239,ROUNDDOWN(N239/P239*100,0),""),"")</f>
        <v>113</v>
      </c>
      <c r="W239" s="311"/>
      <c r="X239" s="320"/>
      <c r="Y239" s="320"/>
      <c r="Z239" s="320"/>
      <c r="AA239" s="320"/>
      <c r="AB239" s="320"/>
      <c r="AC239" s="320"/>
      <c r="AD239" s="320"/>
      <c r="AE239" s="320"/>
      <c r="AF239" s="320"/>
      <c r="AG239" s="320"/>
      <c r="AH239" s="320"/>
      <c r="AI239" s="320"/>
      <c r="AJ239" s="320"/>
      <c r="AK239" s="320"/>
      <c r="AL239" s="320"/>
      <c r="AM239" s="320"/>
      <c r="AN239" s="320"/>
      <c r="AO239" s="320"/>
      <c r="AP239" s="320"/>
      <c r="AQ239" s="320"/>
    </row>
    <row r="240" spans="1:115" s="322" customFormat="1" ht="21" customHeight="1">
      <c r="A240" s="341"/>
      <c r="B240" s="340"/>
      <c r="C240" s="339"/>
      <c r="D240" s="333" t="s">
        <v>1142</v>
      </c>
      <c r="E240" s="326" t="s">
        <v>41</v>
      </c>
      <c r="F240" s="331">
        <v>2.9990000000000001</v>
      </c>
      <c r="G240" s="332" t="s">
        <v>464</v>
      </c>
      <c r="H240" s="331" t="s">
        <v>463</v>
      </c>
      <c r="I240" s="332" t="s">
        <v>42</v>
      </c>
      <c r="J240" s="331">
        <v>2979</v>
      </c>
      <c r="K240" s="326">
        <v>6893</v>
      </c>
      <c r="L240" s="326">
        <v>3749</v>
      </c>
      <c r="M240" s="326" t="s">
        <v>31</v>
      </c>
      <c r="N240" s="342">
        <v>9.1999999999999993</v>
      </c>
      <c r="O240" s="337">
        <f>IF(N240&gt;0,1/N240*37.7*68.6,"")</f>
        <v>281.1108695652174</v>
      </c>
      <c r="P240" s="328">
        <v>8.1199999999999992</v>
      </c>
      <c r="Q240" s="327" t="s">
        <v>43</v>
      </c>
      <c r="R240" s="326" t="s">
        <v>33</v>
      </c>
      <c r="S240" s="326" t="s">
        <v>34</v>
      </c>
      <c r="T240" s="326"/>
      <c r="U240" s="325"/>
      <c r="V240" s="324">
        <f>IF(N240&lt;&gt;0, IF(N240&gt;=P240,ROUNDDOWN(N240/P240*100,0),""),"")</f>
        <v>113</v>
      </c>
      <c r="W240" s="311"/>
      <c r="X240" s="320"/>
      <c r="Y240" s="320"/>
      <c r="Z240" s="320"/>
      <c r="AA240" s="320"/>
      <c r="AB240" s="320"/>
      <c r="AC240" s="320"/>
      <c r="AD240" s="320"/>
      <c r="AE240" s="320"/>
      <c r="AF240" s="320"/>
      <c r="AG240" s="320"/>
      <c r="AH240" s="320"/>
      <c r="AI240" s="320"/>
      <c r="AJ240" s="320"/>
      <c r="AK240" s="320"/>
      <c r="AL240" s="320"/>
      <c r="AM240" s="320"/>
      <c r="AN240" s="320"/>
      <c r="AO240" s="320"/>
      <c r="AP240" s="320"/>
      <c r="AQ240" s="320"/>
    </row>
    <row r="241" spans="1:43" s="322" customFormat="1" ht="21" customHeight="1">
      <c r="A241" s="341"/>
      <c r="B241" s="340"/>
      <c r="C241" s="339"/>
      <c r="D241" s="333" t="s">
        <v>1142</v>
      </c>
      <c r="E241" s="326" t="s">
        <v>41</v>
      </c>
      <c r="F241" s="331">
        <v>2.9990000000000001</v>
      </c>
      <c r="G241" s="332" t="s">
        <v>467</v>
      </c>
      <c r="H241" s="331" t="s">
        <v>466</v>
      </c>
      <c r="I241" s="332" t="s">
        <v>71</v>
      </c>
      <c r="J241" s="331">
        <v>2979</v>
      </c>
      <c r="K241" s="326">
        <v>6893</v>
      </c>
      <c r="L241" s="326">
        <v>3749</v>
      </c>
      <c r="M241" s="326" t="s">
        <v>31</v>
      </c>
      <c r="N241" s="338">
        <v>9</v>
      </c>
      <c r="O241" s="344">
        <f>IF(N241&gt;0,1/N241*37.7*68.6,"")</f>
        <v>287.35777777777776</v>
      </c>
      <c r="P241" s="328">
        <v>8.1199999999999992</v>
      </c>
      <c r="Q241" s="327" t="s">
        <v>43</v>
      </c>
      <c r="R241" s="326" t="s">
        <v>33</v>
      </c>
      <c r="S241" s="326" t="s">
        <v>34</v>
      </c>
      <c r="T241" s="326"/>
      <c r="U241" s="325"/>
      <c r="V241" s="324">
        <f>IF(N241&lt;&gt;0, IF(N241&gt;=P241,ROUNDDOWN(N241/P241*100,0),""),"")</f>
        <v>110</v>
      </c>
      <c r="W241" s="311"/>
      <c r="X241" s="320"/>
      <c r="Y241" s="320"/>
      <c r="Z241" s="320"/>
      <c r="AA241" s="320"/>
      <c r="AB241" s="320"/>
      <c r="AC241" s="320"/>
      <c r="AD241" s="320"/>
      <c r="AE241" s="320"/>
      <c r="AF241" s="320"/>
      <c r="AG241" s="320"/>
      <c r="AH241" s="320"/>
      <c r="AI241" s="320"/>
      <c r="AJ241" s="320"/>
      <c r="AK241" s="320"/>
      <c r="AL241" s="320"/>
      <c r="AM241" s="320"/>
      <c r="AN241" s="320"/>
      <c r="AO241" s="320"/>
      <c r="AP241" s="320"/>
      <c r="AQ241" s="320"/>
    </row>
    <row r="242" spans="1:43" s="322" customFormat="1" ht="21" customHeight="1">
      <c r="A242" s="341"/>
      <c r="B242" s="340"/>
      <c r="C242" s="339"/>
      <c r="D242" s="333" t="s">
        <v>1142</v>
      </c>
      <c r="E242" s="326" t="s">
        <v>41</v>
      </c>
      <c r="F242" s="331">
        <v>2.9990000000000001</v>
      </c>
      <c r="G242" s="332" t="s">
        <v>464</v>
      </c>
      <c r="H242" s="331" t="s">
        <v>463</v>
      </c>
      <c r="I242" s="332" t="s">
        <v>71</v>
      </c>
      <c r="J242" s="331">
        <v>2979</v>
      </c>
      <c r="K242" s="326">
        <v>6893</v>
      </c>
      <c r="L242" s="326">
        <v>3749</v>
      </c>
      <c r="M242" s="326" t="s">
        <v>31</v>
      </c>
      <c r="N242" s="338">
        <v>9</v>
      </c>
      <c r="O242" s="344">
        <f>IF(N242&gt;0,1/N242*37.7*68.6,"")</f>
        <v>287.35777777777776</v>
      </c>
      <c r="P242" s="328">
        <v>8.1199999999999992</v>
      </c>
      <c r="Q242" s="327" t="s">
        <v>43</v>
      </c>
      <c r="R242" s="326" t="s">
        <v>33</v>
      </c>
      <c r="S242" s="326" t="s">
        <v>34</v>
      </c>
      <c r="T242" s="326"/>
      <c r="U242" s="325"/>
      <c r="V242" s="324">
        <f>IF(N242&lt;&gt;0, IF(N242&gt;=P242,ROUNDDOWN(N242/P242*100,0),""),"")</f>
        <v>110</v>
      </c>
      <c r="W242" s="311"/>
      <c r="X242" s="320"/>
      <c r="Y242" s="320"/>
      <c r="Z242" s="320"/>
      <c r="AA242" s="320"/>
      <c r="AB242" s="320"/>
      <c r="AC242" s="320"/>
      <c r="AD242" s="320"/>
      <c r="AE242" s="320"/>
      <c r="AF242" s="320"/>
      <c r="AG242" s="320"/>
      <c r="AH242" s="320"/>
      <c r="AI242" s="320"/>
      <c r="AJ242" s="320"/>
      <c r="AK242" s="320"/>
      <c r="AL242" s="320"/>
      <c r="AM242" s="320"/>
      <c r="AN242" s="320"/>
      <c r="AO242" s="320"/>
      <c r="AP242" s="320"/>
      <c r="AQ242" s="320"/>
    </row>
    <row r="243" spans="1:43" s="322" customFormat="1" ht="21" customHeight="1">
      <c r="A243" s="341"/>
      <c r="B243" s="340"/>
      <c r="C243" s="339"/>
      <c r="D243" s="333" t="s">
        <v>1142</v>
      </c>
      <c r="E243" s="326" t="s">
        <v>41</v>
      </c>
      <c r="F243" s="331">
        <v>2.9990000000000001</v>
      </c>
      <c r="G243" s="332" t="s">
        <v>467</v>
      </c>
      <c r="H243" s="331" t="s">
        <v>466</v>
      </c>
      <c r="I243" s="332" t="s">
        <v>42</v>
      </c>
      <c r="J243" s="331">
        <v>2979</v>
      </c>
      <c r="K243" s="326">
        <v>6893</v>
      </c>
      <c r="L243" s="326">
        <v>3749</v>
      </c>
      <c r="M243" s="326" t="s">
        <v>31</v>
      </c>
      <c r="N243" s="342">
        <v>9</v>
      </c>
      <c r="O243" s="337">
        <f>IF(N243&gt;0,1/N243*37.7*68.6,"")</f>
        <v>287.35777777777776</v>
      </c>
      <c r="P243" s="328">
        <v>8.1199999999999992</v>
      </c>
      <c r="Q243" s="327" t="s">
        <v>63</v>
      </c>
      <c r="R243" s="326" t="s">
        <v>33</v>
      </c>
      <c r="S243" s="326" t="s">
        <v>34</v>
      </c>
      <c r="T243" s="326"/>
      <c r="U243" s="325"/>
      <c r="V243" s="324">
        <f>IF(N243&lt;&gt;0, IF(N243&gt;=P243,ROUNDDOWN(N243/P243*100,0),""),"")</f>
        <v>110</v>
      </c>
      <c r="W243" s="311"/>
      <c r="X243" s="320"/>
      <c r="Y243" s="320"/>
      <c r="Z243" s="320"/>
      <c r="AA243" s="320"/>
      <c r="AB243" s="320"/>
      <c r="AC243" s="320"/>
      <c r="AD243" s="320"/>
      <c r="AE243" s="320"/>
      <c r="AF243" s="320"/>
      <c r="AG243" s="320"/>
      <c r="AH243" s="320"/>
      <c r="AI243" s="320"/>
      <c r="AJ243" s="320"/>
      <c r="AK243" s="320"/>
      <c r="AL243" s="320"/>
      <c r="AM243" s="320"/>
      <c r="AN243" s="320"/>
      <c r="AO243" s="320"/>
      <c r="AP243" s="320"/>
      <c r="AQ243" s="320"/>
    </row>
    <row r="244" spans="1:43" s="322" customFormat="1" ht="21" customHeight="1">
      <c r="A244" s="341"/>
      <c r="B244" s="340"/>
      <c r="C244" s="339"/>
      <c r="D244" s="333" t="s">
        <v>1142</v>
      </c>
      <c r="E244" s="326" t="s">
        <v>41</v>
      </c>
      <c r="F244" s="331">
        <v>2.9990000000000001</v>
      </c>
      <c r="G244" s="332" t="s">
        <v>464</v>
      </c>
      <c r="H244" s="331" t="s">
        <v>463</v>
      </c>
      <c r="I244" s="332" t="s">
        <v>42</v>
      </c>
      <c r="J244" s="331">
        <v>2979</v>
      </c>
      <c r="K244" s="326">
        <v>6893</v>
      </c>
      <c r="L244" s="326">
        <v>3749</v>
      </c>
      <c r="M244" s="326" t="s">
        <v>31</v>
      </c>
      <c r="N244" s="342">
        <v>9</v>
      </c>
      <c r="O244" s="337">
        <f>IF(N244&gt;0,1/N244*37.7*68.6,"")</f>
        <v>287.35777777777776</v>
      </c>
      <c r="P244" s="328">
        <v>8.1199999999999992</v>
      </c>
      <c r="Q244" s="327" t="s">
        <v>63</v>
      </c>
      <c r="R244" s="326" t="s">
        <v>33</v>
      </c>
      <c r="S244" s="326" t="s">
        <v>34</v>
      </c>
      <c r="T244" s="326"/>
      <c r="U244" s="325"/>
      <c r="V244" s="324">
        <f>IF(N244&lt;&gt;0, IF(N244&gt;=P244,ROUNDDOWN(N244/P244*100,0),""),"")</f>
        <v>110</v>
      </c>
      <c r="W244" s="311"/>
      <c r="X244" s="320"/>
      <c r="Y244" s="320"/>
      <c r="Z244" s="320"/>
      <c r="AA244" s="320"/>
      <c r="AB244" s="320"/>
      <c r="AC244" s="320"/>
      <c r="AD244" s="320"/>
      <c r="AE244" s="320"/>
      <c r="AF244" s="320"/>
      <c r="AG244" s="320"/>
      <c r="AH244" s="320"/>
      <c r="AI244" s="320"/>
      <c r="AJ244" s="320"/>
      <c r="AK244" s="320"/>
      <c r="AL244" s="320"/>
      <c r="AM244" s="320"/>
      <c r="AN244" s="320"/>
      <c r="AO244" s="320"/>
      <c r="AP244" s="320"/>
      <c r="AQ244" s="320"/>
    </row>
    <row r="245" spans="1:43" s="322" customFormat="1" ht="21" customHeight="1">
      <c r="A245" s="341"/>
      <c r="B245" s="340"/>
      <c r="C245" s="339"/>
      <c r="D245" s="333" t="s">
        <v>1141</v>
      </c>
      <c r="E245" s="326" t="s">
        <v>41</v>
      </c>
      <c r="F245" s="331">
        <v>2.9990000000000001</v>
      </c>
      <c r="G245" s="332" t="s">
        <v>467</v>
      </c>
      <c r="H245" s="331" t="s">
        <v>466</v>
      </c>
      <c r="I245" s="332" t="s">
        <v>71</v>
      </c>
      <c r="J245" s="331">
        <v>2356</v>
      </c>
      <c r="K245" s="326">
        <v>4521</v>
      </c>
      <c r="L245" s="326">
        <v>2000</v>
      </c>
      <c r="M245" s="326" t="s">
        <v>31</v>
      </c>
      <c r="N245" s="342">
        <v>11.8</v>
      </c>
      <c r="O245" s="337">
        <f>IF(N245&gt;0,1/N245*37.7*68.6,"")</f>
        <v>219.17118644067796</v>
      </c>
      <c r="P245" s="328">
        <v>10.35</v>
      </c>
      <c r="Q245" s="327" t="s">
        <v>43</v>
      </c>
      <c r="R245" s="326" t="s">
        <v>33</v>
      </c>
      <c r="S245" s="326" t="s">
        <v>34</v>
      </c>
      <c r="T245" s="326"/>
      <c r="U245" s="325"/>
      <c r="V245" s="324">
        <f>IF(N245&lt;&gt;0, IF(N245&gt;=P245,ROUNDDOWN(N245/P245*100,0),""),"")</f>
        <v>114</v>
      </c>
      <c r="W245" s="311"/>
      <c r="X245" s="320"/>
      <c r="Y245" s="320"/>
      <c r="Z245" s="320"/>
      <c r="AA245" s="320"/>
      <c r="AB245" s="320"/>
      <c r="AC245" s="320"/>
      <c r="AD245" s="320"/>
      <c r="AE245" s="320"/>
      <c r="AF245" s="320"/>
      <c r="AG245" s="320"/>
      <c r="AH245" s="320"/>
      <c r="AI245" s="320"/>
      <c r="AJ245" s="320"/>
      <c r="AK245" s="320"/>
      <c r="AL245" s="320"/>
      <c r="AM245" s="320"/>
      <c r="AN245" s="320"/>
      <c r="AO245" s="320"/>
      <c r="AP245" s="320"/>
      <c r="AQ245" s="320"/>
    </row>
    <row r="246" spans="1:43" s="322" customFormat="1" ht="21" customHeight="1">
      <c r="A246" s="341"/>
      <c r="B246" s="340"/>
      <c r="C246" s="339"/>
      <c r="D246" s="333" t="s">
        <v>1141</v>
      </c>
      <c r="E246" s="326" t="s">
        <v>41</v>
      </c>
      <c r="F246" s="331">
        <v>2.9990000000000001</v>
      </c>
      <c r="G246" s="332" t="s">
        <v>467</v>
      </c>
      <c r="H246" s="331" t="s">
        <v>466</v>
      </c>
      <c r="I246" s="332" t="s">
        <v>42</v>
      </c>
      <c r="J246" s="331">
        <v>2356</v>
      </c>
      <c r="K246" s="326">
        <v>4521</v>
      </c>
      <c r="L246" s="326">
        <v>2000</v>
      </c>
      <c r="M246" s="326" t="s">
        <v>31</v>
      </c>
      <c r="N246" s="342">
        <v>11.8</v>
      </c>
      <c r="O246" s="337">
        <f>IF(N246&gt;0,1/N246*37.7*68.6,"")</f>
        <v>219.17118644067796</v>
      </c>
      <c r="P246" s="328">
        <v>10.35</v>
      </c>
      <c r="Q246" s="327" t="s">
        <v>63</v>
      </c>
      <c r="R246" s="326" t="s">
        <v>33</v>
      </c>
      <c r="S246" s="326" t="s">
        <v>34</v>
      </c>
      <c r="T246" s="326"/>
      <c r="U246" s="325"/>
      <c r="V246" s="324">
        <f>IF(N246&lt;&gt;0, IF(N246&gt;=P246,ROUNDDOWN(N246/P246*100,0),""),"")</f>
        <v>114</v>
      </c>
      <c r="W246" s="311"/>
      <c r="X246" s="320"/>
      <c r="Y246" s="320"/>
      <c r="Z246" s="320"/>
      <c r="AA246" s="320"/>
      <c r="AB246" s="320"/>
      <c r="AC246" s="320"/>
      <c r="AD246" s="320"/>
      <c r="AE246" s="320"/>
      <c r="AF246" s="320"/>
      <c r="AG246" s="320"/>
      <c r="AH246" s="320"/>
      <c r="AI246" s="320"/>
      <c r="AJ246" s="320"/>
      <c r="AK246" s="320"/>
      <c r="AL246" s="320"/>
      <c r="AM246" s="320"/>
      <c r="AN246" s="320"/>
      <c r="AO246" s="320"/>
      <c r="AP246" s="320"/>
      <c r="AQ246" s="320"/>
    </row>
    <row r="247" spans="1:43" s="322" customFormat="1" ht="21" customHeight="1">
      <c r="A247" s="341"/>
      <c r="B247" s="340"/>
      <c r="C247" s="339"/>
      <c r="D247" s="333" t="s">
        <v>1141</v>
      </c>
      <c r="E247" s="326" t="s">
        <v>41</v>
      </c>
      <c r="F247" s="331">
        <v>2.9990000000000001</v>
      </c>
      <c r="G247" s="332" t="s">
        <v>467</v>
      </c>
      <c r="H247" s="331" t="s">
        <v>466</v>
      </c>
      <c r="I247" s="332" t="s">
        <v>71</v>
      </c>
      <c r="J247" s="331">
        <v>2356</v>
      </c>
      <c r="K247" s="326">
        <v>4521</v>
      </c>
      <c r="L247" s="326">
        <v>2000</v>
      </c>
      <c r="M247" s="326" t="s">
        <v>31</v>
      </c>
      <c r="N247" s="342">
        <v>11.4</v>
      </c>
      <c r="O247" s="337">
        <f>IF(N247&gt;0,1/N247*37.7*68.6,"")</f>
        <v>226.8614035087719</v>
      </c>
      <c r="P247" s="328">
        <v>10.35</v>
      </c>
      <c r="Q247" s="327" t="s">
        <v>63</v>
      </c>
      <c r="R247" s="326" t="s">
        <v>33</v>
      </c>
      <c r="S247" s="326" t="s">
        <v>34</v>
      </c>
      <c r="T247" s="326"/>
      <c r="U247" s="325"/>
      <c r="V247" s="324">
        <f>IF(N247&lt;&gt;0, IF(N247&gt;=P247,ROUNDDOWN(N247/P247*100,0),""),"")</f>
        <v>110</v>
      </c>
      <c r="W247" s="311"/>
      <c r="X247" s="320"/>
      <c r="Y247" s="320"/>
      <c r="Z247" s="320"/>
      <c r="AA247" s="320"/>
      <c r="AB247" s="320"/>
      <c r="AC247" s="320"/>
      <c r="AD247" s="320"/>
      <c r="AE247" s="320"/>
      <c r="AF247" s="320"/>
      <c r="AG247" s="320"/>
      <c r="AH247" s="320"/>
      <c r="AI247" s="320"/>
      <c r="AJ247" s="320"/>
      <c r="AK247" s="320"/>
      <c r="AL247" s="320"/>
      <c r="AM247" s="320"/>
      <c r="AN247" s="320"/>
      <c r="AO247" s="320"/>
      <c r="AP247" s="320"/>
      <c r="AQ247" s="320"/>
    </row>
    <row r="248" spans="1:43" s="322" customFormat="1" ht="21" customHeight="1">
      <c r="A248" s="341"/>
      <c r="B248" s="340"/>
      <c r="C248" s="339"/>
      <c r="D248" s="333" t="s">
        <v>1141</v>
      </c>
      <c r="E248" s="326" t="s">
        <v>41</v>
      </c>
      <c r="F248" s="331">
        <v>2.9990000000000001</v>
      </c>
      <c r="G248" s="332" t="s">
        <v>467</v>
      </c>
      <c r="H248" s="331" t="s">
        <v>466</v>
      </c>
      <c r="I248" s="332" t="s">
        <v>71</v>
      </c>
      <c r="J248" s="331">
        <v>2652</v>
      </c>
      <c r="K248" s="326">
        <v>5812</v>
      </c>
      <c r="L248" s="326">
        <v>2995</v>
      </c>
      <c r="M248" s="326" t="s">
        <v>31</v>
      </c>
      <c r="N248" s="342">
        <v>10.8</v>
      </c>
      <c r="O248" s="337">
        <f>IF(N248&gt;0,1/N248*37.7*68.6,"")</f>
        <v>239.46481481481482</v>
      </c>
      <c r="P248" s="328">
        <v>9.51</v>
      </c>
      <c r="Q248" s="327" t="s">
        <v>43</v>
      </c>
      <c r="R248" s="326" t="s">
        <v>33</v>
      </c>
      <c r="S248" s="326" t="s">
        <v>34</v>
      </c>
      <c r="T248" s="326"/>
      <c r="U248" s="325"/>
      <c r="V248" s="324">
        <f>IF(N248&lt;&gt;0, IF(N248&gt;=P248,ROUNDDOWN(N248/P248*100,0),""),"")</f>
        <v>113</v>
      </c>
      <c r="W248" s="311"/>
      <c r="X248" s="320"/>
      <c r="Y248" s="320"/>
      <c r="Z248" s="320"/>
      <c r="AA248" s="320"/>
      <c r="AB248" s="320"/>
      <c r="AC248" s="320"/>
      <c r="AD248" s="320"/>
      <c r="AE248" s="320"/>
      <c r="AF248" s="320"/>
      <c r="AG248" s="320"/>
      <c r="AH248" s="320"/>
      <c r="AI248" s="320"/>
      <c r="AJ248" s="320"/>
      <c r="AK248" s="320"/>
      <c r="AL248" s="320"/>
      <c r="AM248" s="320"/>
      <c r="AN248" s="320"/>
      <c r="AO248" s="320"/>
      <c r="AP248" s="320"/>
      <c r="AQ248" s="320"/>
    </row>
    <row r="249" spans="1:43" s="322" customFormat="1" ht="21" customHeight="1">
      <c r="A249" s="341"/>
      <c r="B249" s="340"/>
      <c r="C249" s="339"/>
      <c r="D249" s="333" t="s">
        <v>1141</v>
      </c>
      <c r="E249" s="326" t="s">
        <v>41</v>
      </c>
      <c r="F249" s="331">
        <v>2.9990000000000001</v>
      </c>
      <c r="G249" s="332" t="s">
        <v>464</v>
      </c>
      <c r="H249" s="331" t="s">
        <v>463</v>
      </c>
      <c r="I249" s="332" t="s">
        <v>71</v>
      </c>
      <c r="J249" s="331">
        <v>2652</v>
      </c>
      <c r="K249" s="326">
        <v>5812</v>
      </c>
      <c r="L249" s="326">
        <v>2995</v>
      </c>
      <c r="M249" s="326" t="s">
        <v>31</v>
      </c>
      <c r="N249" s="342">
        <v>10.8</v>
      </c>
      <c r="O249" s="337">
        <f>IF(N249&gt;0,1/N249*37.7*68.6,"")</f>
        <v>239.46481481481482</v>
      </c>
      <c r="P249" s="328">
        <v>9.51</v>
      </c>
      <c r="Q249" s="327" t="s">
        <v>43</v>
      </c>
      <c r="R249" s="326" t="s">
        <v>33</v>
      </c>
      <c r="S249" s="326" t="s">
        <v>34</v>
      </c>
      <c r="T249" s="326"/>
      <c r="U249" s="325"/>
      <c r="V249" s="324">
        <f>IF(N249&lt;&gt;0, IF(N249&gt;=P249,ROUNDDOWN(N249/P249*100,0),""),"")</f>
        <v>113</v>
      </c>
      <c r="W249" s="311"/>
      <c r="X249" s="320"/>
      <c r="Y249" s="320"/>
      <c r="Z249" s="320"/>
      <c r="AA249" s="320"/>
      <c r="AB249" s="320"/>
      <c r="AC249" s="320"/>
      <c r="AD249" s="320"/>
      <c r="AE249" s="320"/>
      <c r="AF249" s="320"/>
      <c r="AG249" s="320"/>
      <c r="AH249" s="320"/>
      <c r="AI249" s="320"/>
      <c r="AJ249" s="320"/>
      <c r="AK249" s="320"/>
      <c r="AL249" s="320"/>
      <c r="AM249" s="320"/>
      <c r="AN249" s="320"/>
      <c r="AO249" s="320"/>
      <c r="AP249" s="320"/>
      <c r="AQ249" s="320"/>
    </row>
    <row r="250" spans="1:43" s="322" customFormat="1" ht="21" customHeight="1">
      <c r="A250" s="341"/>
      <c r="B250" s="340"/>
      <c r="C250" s="339"/>
      <c r="D250" s="333" t="s">
        <v>1141</v>
      </c>
      <c r="E250" s="326" t="s">
        <v>41</v>
      </c>
      <c r="F250" s="331">
        <v>2.9990000000000001</v>
      </c>
      <c r="G250" s="332" t="s">
        <v>467</v>
      </c>
      <c r="H250" s="331" t="s">
        <v>466</v>
      </c>
      <c r="I250" s="332" t="s">
        <v>42</v>
      </c>
      <c r="J250" s="331">
        <v>2652</v>
      </c>
      <c r="K250" s="326">
        <v>5812</v>
      </c>
      <c r="L250" s="326">
        <v>2995</v>
      </c>
      <c r="M250" s="326" t="s">
        <v>31</v>
      </c>
      <c r="N250" s="342">
        <v>10.8</v>
      </c>
      <c r="O250" s="337">
        <f>IF(N250&gt;0,1/N250*37.7*68.6,"")</f>
        <v>239.46481481481482</v>
      </c>
      <c r="P250" s="328">
        <v>9.51</v>
      </c>
      <c r="Q250" s="327" t="s">
        <v>63</v>
      </c>
      <c r="R250" s="326" t="s">
        <v>33</v>
      </c>
      <c r="S250" s="326" t="s">
        <v>34</v>
      </c>
      <c r="T250" s="326"/>
      <c r="U250" s="325"/>
      <c r="V250" s="324">
        <f>IF(N250&lt;&gt;0, IF(N250&gt;=P250,ROUNDDOWN(N250/P250*100,0),""),"")</f>
        <v>113</v>
      </c>
      <c r="W250" s="311"/>
      <c r="X250" s="320"/>
      <c r="Y250" s="320"/>
      <c r="Z250" s="320"/>
      <c r="AA250" s="320"/>
      <c r="AB250" s="320"/>
      <c r="AC250" s="320"/>
      <c r="AD250" s="320"/>
      <c r="AE250" s="320"/>
      <c r="AF250" s="320"/>
      <c r="AG250" s="320"/>
      <c r="AH250" s="320"/>
      <c r="AI250" s="320"/>
      <c r="AJ250" s="320"/>
      <c r="AK250" s="320"/>
      <c r="AL250" s="320"/>
      <c r="AM250" s="320"/>
      <c r="AN250" s="320"/>
      <c r="AO250" s="320"/>
      <c r="AP250" s="320"/>
      <c r="AQ250" s="320"/>
    </row>
    <row r="251" spans="1:43" s="322" customFormat="1" ht="21" customHeight="1">
      <c r="A251" s="341"/>
      <c r="B251" s="340"/>
      <c r="C251" s="339"/>
      <c r="D251" s="333" t="s">
        <v>1141</v>
      </c>
      <c r="E251" s="326" t="s">
        <v>41</v>
      </c>
      <c r="F251" s="331">
        <v>2.9990000000000001</v>
      </c>
      <c r="G251" s="332" t="s">
        <v>464</v>
      </c>
      <c r="H251" s="331" t="s">
        <v>463</v>
      </c>
      <c r="I251" s="332" t="s">
        <v>42</v>
      </c>
      <c r="J251" s="331">
        <v>2652</v>
      </c>
      <c r="K251" s="326">
        <v>5812</v>
      </c>
      <c r="L251" s="326">
        <v>2995</v>
      </c>
      <c r="M251" s="326" t="s">
        <v>31</v>
      </c>
      <c r="N251" s="342">
        <v>10.8</v>
      </c>
      <c r="O251" s="337">
        <f>IF(N251&gt;0,1/N251*37.7*68.6,"")</f>
        <v>239.46481481481482</v>
      </c>
      <c r="P251" s="328">
        <v>9.51</v>
      </c>
      <c r="Q251" s="327" t="s">
        <v>63</v>
      </c>
      <c r="R251" s="326" t="s">
        <v>33</v>
      </c>
      <c r="S251" s="326" t="s">
        <v>34</v>
      </c>
      <c r="T251" s="326"/>
      <c r="U251" s="325"/>
      <c r="V251" s="324">
        <f>IF(N251&lt;&gt;0, IF(N251&gt;=P251,ROUNDDOWN(N251/P251*100,0),""),"")</f>
        <v>113</v>
      </c>
      <c r="W251" s="311"/>
      <c r="X251" s="320"/>
      <c r="Y251" s="320"/>
      <c r="Z251" s="320"/>
      <c r="AA251" s="320"/>
      <c r="AB251" s="320"/>
      <c r="AC251" s="320"/>
      <c r="AD251" s="320"/>
      <c r="AE251" s="320"/>
      <c r="AF251" s="320"/>
      <c r="AG251" s="320"/>
      <c r="AH251" s="320"/>
      <c r="AI251" s="320"/>
      <c r="AJ251" s="320"/>
      <c r="AK251" s="320"/>
      <c r="AL251" s="320"/>
      <c r="AM251" s="320"/>
      <c r="AN251" s="320"/>
      <c r="AO251" s="320"/>
      <c r="AP251" s="320"/>
      <c r="AQ251" s="320"/>
    </row>
    <row r="252" spans="1:43" s="322" customFormat="1" ht="21" customHeight="1">
      <c r="A252" s="341"/>
      <c r="B252" s="340"/>
      <c r="C252" s="339"/>
      <c r="D252" s="333" t="s">
        <v>1141</v>
      </c>
      <c r="E252" s="326" t="s">
        <v>41</v>
      </c>
      <c r="F252" s="331">
        <v>2.9990000000000001</v>
      </c>
      <c r="G252" s="332" t="s">
        <v>467</v>
      </c>
      <c r="H252" s="331" t="s">
        <v>466</v>
      </c>
      <c r="I252" s="332" t="s">
        <v>71</v>
      </c>
      <c r="J252" s="331">
        <v>2652</v>
      </c>
      <c r="K252" s="326">
        <v>5812</v>
      </c>
      <c r="L252" s="326">
        <v>2995</v>
      </c>
      <c r="M252" s="326" t="s">
        <v>31</v>
      </c>
      <c r="N252" s="342">
        <v>10.6</v>
      </c>
      <c r="O252" s="337">
        <f>IF(N252&gt;0,1/N252*37.7*68.6,"")</f>
        <v>243.98301886792456</v>
      </c>
      <c r="P252" s="328">
        <v>9.51</v>
      </c>
      <c r="Q252" s="327" t="s">
        <v>63</v>
      </c>
      <c r="R252" s="326" t="s">
        <v>33</v>
      </c>
      <c r="S252" s="326" t="s">
        <v>34</v>
      </c>
      <c r="T252" s="326"/>
      <c r="U252" s="325"/>
      <c r="V252" s="324">
        <f>IF(N252&lt;&gt;0, IF(N252&gt;=P252,ROUNDDOWN(N252/P252*100,0),""),"")</f>
        <v>111</v>
      </c>
      <c r="W252" s="311"/>
      <c r="X252" s="320"/>
      <c r="Y252" s="320"/>
      <c r="Z252" s="320"/>
      <c r="AA252" s="320"/>
      <c r="AB252" s="320"/>
      <c r="AC252" s="320"/>
      <c r="AD252" s="320"/>
      <c r="AE252" s="320"/>
      <c r="AF252" s="320"/>
      <c r="AG252" s="320"/>
      <c r="AH252" s="320"/>
      <c r="AI252" s="320"/>
      <c r="AJ252" s="320"/>
      <c r="AK252" s="320"/>
      <c r="AL252" s="320"/>
      <c r="AM252" s="320"/>
      <c r="AN252" s="320"/>
      <c r="AO252" s="320"/>
      <c r="AP252" s="320"/>
      <c r="AQ252" s="320"/>
    </row>
    <row r="253" spans="1:43" s="322" customFormat="1" ht="21" customHeight="1">
      <c r="A253" s="341"/>
      <c r="B253" s="340"/>
      <c r="C253" s="339"/>
      <c r="D253" s="333" t="s">
        <v>1141</v>
      </c>
      <c r="E253" s="326" t="s">
        <v>41</v>
      </c>
      <c r="F253" s="331">
        <v>2.9990000000000001</v>
      </c>
      <c r="G253" s="332" t="s">
        <v>467</v>
      </c>
      <c r="H253" s="331" t="s">
        <v>466</v>
      </c>
      <c r="I253" s="332" t="s">
        <v>42</v>
      </c>
      <c r="J253" s="331">
        <v>2979</v>
      </c>
      <c r="K253" s="326">
        <v>6893</v>
      </c>
      <c r="L253" s="326">
        <v>3749</v>
      </c>
      <c r="M253" s="326" t="s">
        <v>31</v>
      </c>
      <c r="N253" s="342">
        <v>9.1999999999999993</v>
      </c>
      <c r="O253" s="337">
        <f>IF(N253&gt;0,1/N253*37.7*68.6,"")</f>
        <v>281.1108695652174</v>
      </c>
      <c r="P253" s="328">
        <v>8.1199999999999992</v>
      </c>
      <c r="Q253" s="327" t="s">
        <v>43</v>
      </c>
      <c r="R253" s="326" t="s">
        <v>33</v>
      </c>
      <c r="S253" s="326" t="s">
        <v>34</v>
      </c>
      <c r="T253" s="326"/>
      <c r="U253" s="325"/>
      <c r="V253" s="324">
        <f>IF(N253&lt;&gt;0, IF(N253&gt;=P253,ROUNDDOWN(N253/P253*100,0),""),"")</f>
        <v>113</v>
      </c>
      <c r="W253" s="311"/>
      <c r="X253" s="320"/>
      <c r="Y253" s="320"/>
      <c r="Z253" s="320"/>
      <c r="AA253" s="320"/>
      <c r="AB253" s="320"/>
      <c r="AC253" s="320"/>
      <c r="AD253" s="320"/>
      <c r="AE253" s="320"/>
      <c r="AF253" s="320"/>
      <c r="AG253" s="320"/>
      <c r="AH253" s="320"/>
      <c r="AI253" s="320"/>
      <c r="AJ253" s="320"/>
      <c r="AK253" s="320"/>
      <c r="AL253" s="320"/>
      <c r="AM253" s="320"/>
      <c r="AN253" s="320"/>
      <c r="AO253" s="320"/>
      <c r="AP253" s="320"/>
      <c r="AQ253" s="320"/>
    </row>
    <row r="254" spans="1:43" s="322" customFormat="1" ht="21" customHeight="1">
      <c r="A254" s="341"/>
      <c r="B254" s="340"/>
      <c r="C254" s="339"/>
      <c r="D254" s="333" t="s">
        <v>1141</v>
      </c>
      <c r="E254" s="326" t="s">
        <v>41</v>
      </c>
      <c r="F254" s="331">
        <v>2.9990000000000001</v>
      </c>
      <c r="G254" s="332" t="s">
        <v>464</v>
      </c>
      <c r="H254" s="331" t="s">
        <v>463</v>
      </c>
      <c r="I254" s="332" t="s">
        <v>42</v>
      </c>
      <c r="J254" s="331">
        <v>2979</v>
      </c>
      <c r="K254" s="326">
        <v>6893</v>
      </c>
      <c r="L254" s="326">
        <v>3749</v>
      </c>
      <c r="M254" s="326" t="s">
        <v>31</v>
      </c>
      <c r="N254" s="342">
        <v>9.1999999999999993</v>
      </c>
      <c r="O254" s="337">
        <f>IF(N254&gt;0,1/N254*37.7*68.6,"")</f>
        <v>281.1108695652174</v>
      </c>
      <c r="P254" s="328">
        <v>8.1199999999999992</v>
      </c>
      <c r="Q254" s="327" t="s">
        <v>43</v>
      </c>
      <c r="R254" s="326" t="s">
        <v>33</v>
      </c>
      <c r="S254" s="326" t="s">
        <v>34</v>
      </c>
      <c r="T254" s="326"/>
      <c r="U254" s="325"/>
      <c r="V254" s="324">
        <f>IF(N254&lt;&gt;0, IF(N254&gt;=P254,ROUNDDOWN(N254/P254*100,0),""),"")</f>
        <v>113</v>
      </c>
      <c r="W254" s="311"/>
      <c r="X254" s="320"/>
      <c r="Y254" s="320"/>
      <c r="Z254" s="320"/>
      <c r="AA254" s="320"/>
      <c r="AB254" s="320"/>
      <c r="AC254" s="320"/>
      <c r="AD254" s="320"/>
      <c r="AE254" s="320"/>
      <c r="AF254" s="320"/>
      <c r="AG254" s="320"/>
      <c r="AH254" s="320"/>
      <c r="AI254" s="320"/>
      <c r="AJ254" s="320"/>
      <c r="AK254" s="320"/>
      <c r="AL254" s="320"/>
      <c r="AM254" s="320"/>
      <c r="AN254" s="320"/>
      <c r="AO254" s="320"/>
      <c r="AP254" s="320"/>
      <c r="AQ254" s="320"/>
    </row>
    <row r="255" spans="1:43" s="322" customFormat="1" ht="21" customHeight="1">
      <c r="A255" s="341"/>
      <c r="B255" s="340"/>
      <c r="C255" s="339"/>
      <c r="D255" s="333" t="s">
        <v>1141</v>
      </c>
      <c r="E255" s="326" t="s">
        <v>41</v>
      </c>
      <c r="F255" s="331">
        <v>2.9990000000000001</v>
      </c>
      <c r="G255" s="332" t="s">
        <v>467</v>
      </c>
      <c r="H255" s="331" t="s">
        <v>466</v>
      </c>
      <c r="I255" s="332" t="s">
        <v>71</v>
      </c>
      <c r="J255" s="331">
        <v>2979</v>
      </c>
      <c r="K255" s="326">
        <v>6893</v>
      </c>
      <c r="L255" s="326">
        <v>3749</v>
      </c>
      <c r="M255" s="326" t="s">
        <v>31</v>
      </c>
      <c r="N255" s="342">
        <v>9</v>
      </c>
      <c r="O255" s="337">
        <f>IF(N255&gt;0,1/N255*37.7*68.6,"")</f>
        <v>287.35777777777776</v>
      </c>
      <c r="P255" s="328">
        <v>8.1199999999999992</v>
      </c>
      <c r="Q255" s="327" t="s">
        <v>43</v>
      </c>
      <c r="R255" s="326" t="s">
        <v>33</v>
      </c>
      <c r="S255" s="326" t="s">
        <v>34</v>
      </c>
      <c r="T255" s="326"/>
      <c r="U255" s="325"/>
      <c r="V255" s="324">
        <f>IF(N255&lt;&gt;0, IF(N255&gt;=P255,ROUNDDOWN(N255/P255*100,0),""),"")</f>
        <v>110</v>
      </c>
      <c r="W255" s="311"/>
      <c r="X255" s="320"/>
      <c r="Y255" s="320"/>
      <c r="Z255" s="320"/>
      <c r="AA255" s="320"/>
      <c r="AB255" s="320"/>
      <c r="AC255" s="320"/>
      <c r="AD255" s="320"/>
      <c r="AE255" s="320"/>
      <c r="AF255" s="320"/>
      <c r="AG255" s="320"/>
      <c r="AH255" s="320"/>
      <c r="AI255" s="320"/>
      <c r="AJ255" s="320"/>
      <c r="AK255" s="320"/>
      <c r="AL255" s="320"/>
      <c r="AM255" s="320"/>
      <c r="AN255" s="320"/>
      <c r="AO255" s="320"/>
      <c r="AP255" s="320"/>
      <c r="AQ255" s="320"/>
    </row>
    <row r="256" spans="1:43" s="322" customFormat="1" ht="21" customHeight="1">
      <c r="A256" s="341"/>
      <c r="B256" s="340"/>
      <c r="C256" s="339"/>
      <c r="D256" s="333" t="s">
        <v>1141</v>
      </c>
      <c r="E256" s="326" t="s">
        <v>41</v>
      </c>
      <c r="F256" s="331">
        <v>2.9990000000000001</v>
      </c>
      <c r="G256" s="332" t="s">
        <v>464</v>
      </c>
      <c r="H256" s="331" t="s">
        <v>463</v>
      </c>
      <c r="I256" s="332" t="s">
        <v>71</v>
      </c>
      <c r="J256" s="331">
        <v>2979</v>
      </c>
      <c r="K256" s="326">
        <v>6893</v>
      </c>
      <c r="L256" s="326">
        <v>3749</v>
      </c>
      <c r="M256" s="326" t="s">
        <v>31</v>
      </c>
      <c r="N256" s="342">
        <v>9</v>
      </c>
      <c r="O256" s="337">
        <f>IF(N256&gt;0,1/N256*37.7*68.6,"")</f>
        <v>287.35777777777776</v>
      </c>
      <c r="P256" s="328">
        <v>8.1199999999999992</v>
      </c>
      <c r="Q256" s="327" t="s">
        <v>43</v>
      </c>
      <c r="R256" s="326" t="s">
        <v>33</v>
      </c>
      <c r="S256" s="326" t="s">
        <v>34</v>
      </c>
      <c r="T256" s="326"/>
      <c r="U256" s="325"/>
      <c r="V256" s="324">
        <f>IF(N256&lt;&gt;0, IF(N256&gt;=P256,ROUNDDOWN(N256/P256*100,0),""),"")</f>
        <v>110</v>
      </c>
      <c r="W256" s="311"/>
      <c r="X256" s="320"/>
      <c r="Y256" s="320"/>
      <c r="Z256" s="320"/>
      <c r="AA256" s="320"/>
      <c r="AB256" s="320"/>
      <c r="AC256" s="320"/>
      <c r="AD256" s="320"/>
      <c r="AE256" s="320"/>
      <c r="AF256" s="320"/>
      <c r="AG256" s="320"/>
      <c r="AH256" s="320"/>
      <c r="AI256" s="320"/>
      <c r="AJ256" s="320"/>
      <c r="AK256" s="320"/>
      <c r="AL256" s="320"/>
      <c r="AM256" s="320"/>
      <c r="AN256" s="320"/>
      <c r="AO256" s="320"/>
      <c r="AP256" s="320"/>
      <c r="AQ256" s="320"/>
    </row>
    <row r="257" spans="1:115" s="322" customFormat="1" ht="21" customHeight="1">
      <c r="A257" s="341"/>
      <c r="B257" s="340"/>
      <c r="C257" s="339"/>
      <c r="D257" s="333" t="s">
        <v>1141</v>
      </c>
      <c r="E257" s="326" t="s">
        <v>41</v>
      </c>
      <c r="F257" s="331">
        <v>2.9990000000000001</v>
      </c>
      <c r="G257" s="332" t="s">
        <v>467</v>
      </c>
      <c r="H257" s="331" t="s">
        <v>466</v>
      </c>
      <c r="I257" s="332" t="s">
        <v>42</v>
      </c>
      <c r="J257" s="331">
        <v>2979</v>
      </c>
      <c r="K257" s="326">
        <v>6893</v>
      </c>
      <c r="L257" s="326">
        <v>3749</v>
      </c>
      <c r="M257" s="326" t="s">
        <v>31</v>
      </c>
      <c r="N257" s="342">
        <v>9</v>
      </c>
      <c r="O257" s="337">
        <f>IF(N257&gt;0,1/N257*37.7*68.6,"")</f>
        <v>287.35777777777776</v>
      </c>
      <c r="P257" s="328">
        <v>8.1199999999999992</v>
      </c>
      <c r="Q257" s="327" t="s">
        <v>63</v>
      </c>
      <c r="R257" s="326" t="s">
        <v>33</v>
      </c>
      <c r="S257" s="326" t="s">
        <v>34</v>
      </c>
      <c r="T257" s="326"/>
      <c r="U257" s="325"/>
      <c r="V257" s="324">
        <f>IF(N257&lt;&gt;0, IF(N257&gt;=P257,ROUNDDOWN(N257/P257*100,0),""),"")</f>
        <v>110</v>
      </c>
      <c r="W257" s="311"/>
      <c r="X257" s="320"/>
      <c r="Y257" s="320"/>
      <c r="Z257" s="320"/>
      <c r="AA257" s="320"/>
      <c r="AB257" s="320"/>
      <c r="AC257" s="320"/>
      <c r="AD257" s="320"/>
      <c r="AE257" s="320"/>
      <c r="AF257" s="320"/>
      <c r="AG257" s="320"/>
      <c r="AH257" s="320"/>
      <c r="AI257" s="320"/>
      <c r="AJ257" s="320"/>
      <c r="AK257" s="320"/>
      <c r="AL257" s="320"/>
      <c r="AM257" s="320"/>
      <c r="AN257" s="320"/>
      <c r="AO257" s="320"/>
      <c r="AP257" s="320"/>
      <c r="AQ257" s="320"/>
    </row>
    <row r="258" spans="1:115" s="322" customFormat="1" ht="21" customHeight="1">
      <c r="A258" s="341"/>
      <c r="B258" s="340"/>
      <c r="C258" s="339"/>
      <c r="D258" s="333" t="s">
        <v>1141</v>
      </c>
      <c r="E258" s="326" t="s">
        <v>41</v>
      </c>
      <c r="F258" s="331">
        <v>2.9990000000000001</v>
      </c>
      <c r="G258" s="332" t="s">
        <v>464</v>
      </c>
      <c r="H258" s="331" t="s">
        <v>463</v>
      </c>
      <c r="I258" s="332" t="s">
        <v>42</v>
      </c>
      <c r="J258" s="331">
        <v>2979</v>
      </c>
      <c r="K258" s="326">
        <v>6893</v>
      </c>
      <c r="L258" s="326">
        <v>3749</v>
      </c>
      <c r="M258" s="326" t="s">
        <v>31</v>
      </c>
      <c r="N258" s="342">
        <v>9</v>
      </c>
      <c r="O258" s="337">
        <f>IF(N258&gt;0,1/N258*37.7*68.6,"")</f>
        <v>287.35777777777776</v>
      </c>
      <c r="P258" s="328">
        <v>8.1199999999999992</v>
      </c>
      <c r="Q258" s="327" t="s">
        <v>63</v>
      </c>
      <c r="R258" s="326" t="s">
        <v>33</v>
      </c>
      <c r="S258" s="326" t="s">
        <v>34</v>
      </c>
      <c r="T258" s="326"/>
      <c r="U258" s="325"/>
      <c r="V258" s="324">
        <f>IF(N258&lt;&gt;0, IF(N258&gt;=P258,ROUNDDOWN(N258/P258*100,0),""),"")</f>
        <v>110</v>
      </c>
      <c r="W258" s="311"/>
      <c r="X258" s="320"/>
      <c r="Y258" s="320"/>
      <c r="Z258" s="320"/>
      <c r="AA258" s="320"/>
      <c r="AB258" s="320"/>
      <c r="AC258" s="320"/>
      <c r="AD258" s="320"/>
      <c r="AE258" s="320"/>
      <c r="AF258" s="320"/>
      <c r="AG258" s="320"/>
      <c r="AH258" s="320"/>
      <c r="AI258" s="320"/>
      <c r="AJ258" s="320"/>
      <c r="AK258" s="320"/>
      <c r="AL258" s="320"/>
      <c r="AM258" s="320"/>
      <c r="AN258" s="320"/>
      <c r="AO258" s="320"/>
      <c r="AP258" s="320"/>
      <c r="AQ258" s="320"/>
    </row>
    <row r="259" spans="1:115" s="322" customFormat="1" ht="21" customHeight="1">
      <c r="A259" s="341"/>
      <c r="B259" s="340"/>
      <c r="C259" s="339"/>
      <c r="D259" s="333" t="s">
        <v>1140</v>
      </c>
      <c r="E259" s="326" t="s">
        <v>41</v>
      </c>
      <c r="F259" s="331">
        <v>2.9990000000000001</v>
      </c>
      <c r="G259" s="332">
        <v>375</v>
      </c>
      <c r="H259" s="331">
        <v>110</v>
      </c>
      <c r="I259" s="332" t="s">
        <v>71</v>
      </c>
      <c r="J259" s="331">
        <v>2356</v>
      </c>
      <c r="K259" s="326">
        <v>4521</v>
      </c>
      <c r="L259" s="326">
        <v>2000</v>
      </c>
      <c r="M259" s="326" t="s">
        <v>31</v>
      </c>
      <c r="N259" s="342">
        <v>11.8</v>
      </c>
      <c r="O259" s="337">
        <f>IF(N259&gt;0,1/N259*37.7*68.6,"")</f>
        <v>219.17118644067796</v>
      </c>
      <c r="P259" s="328">
        <v>10.35</v>
      </c>
      <c r="Q259" s="327" t="s">
        <v>43</v>
      </c>
      <c r="R259" s="326" t="s">
        <v>33</v>
      </c>
      <c r="S259" s="326" t="s">
        <v>34</v>
      </c>
      <c r="T259" s="326"/>
      <c r="U259" s="325"/>
      <c r="V259" s="324">
        <f>IF(N259&lt;&gt;0, IF(N259&gt;=P259,ROUNDDOWN(N259/P259*100,0),""),"")</f>
        <v>114</v>
      </c>
      <c r="W259" s="311"/>
      <c r="X259" s="323"/>
      <c r="Y259" s="311"/>
      <c r="Z259" s="320"/>
      <c r="AA259" s="320"/>
      <c r="AB259" s="320"/>
      <c r="AC259" s="320"/>
      <c r="AD259" s="320"/>
      <c r="AE259" s="320"/>
      <c r="AF259" s="320"/>
      <c r="AG259" s="320"/>
      <c r="AH259" s="320"/>
      <c r="AI259" s="320"/>
      <c r="AJ259" s="320"/>
      <c r="AK259" s="320"/>
      <c r="AL259" s="320"/>
      <c r="AM259" s="320"/>
      <c r="AN259" s="320"/>
      <c r="AO259" s="320"/>
      <c r="AP259" s="320"/>
      <c r="AQ259" s="320"/>
      <c r="AR259" s="320"/>
      <c r="AS259" s="320"/>
      <c r="AT259" s="320"/>
      <c r="AU259" s="320"/>
      <c r="AV259" s="320"/>
      <c r="AW259" s="320"/>
      <c r="AX259" s="320"/>
      <c r="AY259" s="320"/>
      <c r="AZ259" s="320"/>
      <c r="BA259" s="320"/>
      <c r="BB259" s="320"/>
      <c r="BC259" s="320"/>
      <c r="BD259" s="320"/>
      <c r="BE259" s="320"/>
      <c r="BF259" s="320"/>
      <c r="BG259" s="320"/>
      <c r="BH259" s="320"/>
      <c r="BI259" s="320"/>
      <c r="BJ259" s="320"/>
      <c r="BK259" s="320"/>
      <c r="BL259" s="320"/>
      <c r="BM259" s="320"/>
      <c r="BN259" s="320"/>
      <c r="BO259" s="320"/>
      <c r="BP259" s="320"/>
      <c r="BQ259" s="320"/>
      <c r="BR259" s="320"/>
      <c r="BS259" s="320"/>
      <c r="BT259" s="320"/>
      <c r="BU259" s="320"/>
      <c r="BV259" s="320"/>
      <c r="BW259" s="320"/>
      <c r="BX259" s="320"/>
      <c r="BY259" s="320"/>
      <c r="BZ259" s="320"/>
      <c r="CA259" s="320"/>
      <c r="CB259" s="320"/>
      <c r="CC259" s="320"/>
      <c r="CD259" s="320"/>
      <c r="CE259" s="320"/>
      <c r="CF259" s="320"/>
      <c r="CG259" s="320"/>
      <c r="CH259" s="320"/>
      <c r="CI259" s="320"/>
      <c r="CJ259" s="320"/>
      <c r="CK259" s="320"/>
      <c r="CL259" s="320"/>
      <c r="CM259" s="320"/>
      <c r="CN259" s="320"/>
      <c r="CO259" s="320"/>
      <c r="CP259" s="320"/>
      <c r="CQ259" s="320"/>
      <c r="CR259" s="320"/>
      <c r="CS259" s="320"/>
      <c r="CT259" s="320"/>
      <c r="CU259" s="320"/>
      <c r="CV259" s="320"/>
      <c r="CW259" s="320"/>
      <c r="CX259" s="320"/>
      <c r="CY259" s="320"/>
      <c r="CZ259" s="320"/>
      <c r="DA259" s="320"/>
      <c r="DB259" s="320"/>
      <c r="DC259" s="320"/>
      <c r="DD259" s="320"/>
      <c r="DE259" s="320"/>
      <c r="DF259" s="320"/>
      <c r="DG259" s="320"/>
      <c r="DH259" s="320"/>
      <c r="DI259" s="320"/>
      <c r="DJ259" s="320"/>
      <c r="DK259" s="320"/>
    </row>
    <row r="260" spans="1:115" s="322" customFormat="1" ht="21" customHeight="1">
      <c r="A260" s="341"/>
      <c r="B260" s="340"/>
      <c r="C260" s="339"/>
      <c r="D260" s="333" t="s">
        <v>1140</v>
      </c>
      <c r="E260" s="326" t="s">
        <v>41</v>
      </c>
      <c r="F260" s="331">
        <v>2.9990000000000001</v>
      </c>
      <c r="G260" s="332">
        <v>375</v>
      </c>
      <c r="H260" s="331">
        <v>110</v>
      </c>
      <c r="I260" s="332" t="s">
        <v>71</v>
      </c>
      <c r="J260" s="331">
        <v>2356</v>
      </c>
      <c r="K260" s="326">
        <v>4521</v>
      </c>
      <c r="L260" s="326">
        <v>2000</v>
      </c>
      <c r="M260" s="326" t="s">
        <v>31</v>
      </c>
      <c r="N260" s="342">
        <v>11.4</v>
      </c>
      <c r="O260" s="337">
        <f>IF(N260&gt;0,1/N260*37.7*68.6,"")</f>
        <v>226.8614035087719</v>
      </c>
      <c r="P260" s="328">
        <v>10.35</v>
      </c>
      <c r="Q260" s="327" t="s">
        <v>63</v>
      </c>
      <c r="R260" s="326" t="s">
        <v>33</v>
      </c>
      <c r="S260" s="326" t="s">
        <v>34</v>
      </c>
      <c r="T260" s="326"/>
      <c r="U260" s="325"/>
      <c r="V260" s="324">
        <f>IF(N260&lt;&gt;0, IF(N260&gt;=P260,ROUNDDOWN(N260/P260*100,0),""),"")</f>
        <v>110</v>
      </c>
      <c r="W260" s="311"/>
      <c r="X260" s="323"/>
      <c r="Y260" s="311"/>
      <c r="Z260" s="320"/>
      <c r="AA260" s="320"/>
      <c r="AB260" s="320"/>
      <c r="AC260" s="320"/>
      <c r="AD260" s="320"/>
      <c r="AE260" s="320"/>
      <c r="AF260" s="320"/>
      <c r="AG260" s="320"/>
      <c r="AH260" s="320"/>
      <c r="AI260" s="320"/>
      <c r="AJ260" s="320"/>
      <c r="AK260" s="320"/>
      <c r="AL260" s="320"/>
      <c r="AM260" s="320"/>
      <c r="AN260" s="320"/>
      <c r="AO260" s="320"/>
      <c r="AP260" s="320"/>
      <c r="AQ260" s="320"/>
      <c r="AR260" s="320"/>
      <c r="AS260" s="320"/>
      <c r="AT260" s="320"/>
      <c r="AU260" s="320"/>
      <c r="AV260" s="320"/>
      <c r="AW260" s="320"/>
      <c r="AX260" s="320"/>
      <c r="AY260" s="320"/>
      <c r="AZ260" s="320"/>
      <c r="BA260" s="320"/>
      <c r="BB260" s="320"/>
      <c r="BC260" s="320"/>
      <c r="BD260" s="320"/>
      <c r="BE260" s="320"/>
      <c r="BF260" s="320"/>
      <c r="BG260" s="320"/>
      <c r="BH260" s="320"/>
      <c r="BI260" s="320"/>
      <c r="BJ260" s="320"/>
      <c r="BK260" s="320"/>
      <c r="BL260" s="320"/>
      <c r="BM260" s="320"/>
      <c r="BN260" s="320"/>
      <c r="BO260" s="320"/>
      <c r="BP260" s="320"/>
      <c r="BQ260" s="320"/>
      <c r="BR260" s="320"/>
      <c r="BS260" s="320"/>
      <c r="BT260" s="320"/>
      <c r="BU260" s="320"/>
      <c r="BV260" s="320"/>
      <c r="BW260" s="320"/>
      <c r="BX260" s="320"/>
      <c r="BY260" s="320"/>
      <c r="BZ260" s="320"/>
      <c r="CA260" s="320"/>
      <c r="CB260" s="320"/>
      <c r="CC260" s="320"/>
      <c r="CD260" s="320"/>
      <c r="CE260" s="320"/>
      <c r="CF260" s="320"/>
      <c r="CG260" s="320"/>
      <c r="CH260" s="320"/>
      <c r="CI260" s="320"/>
      <c r="CJ260" s="320"/>
      <c r="CK260" s="320"/>
      <c r="CL260" s="320"/>
      <c r="CM260" s="320"/>
      <c r="CN260" s="320"/>
      <c r="CO260" s="320"/>
      <c r="CP260" s="320"/>
      <c r="CQ260" s="320"/>
      <c r="CR260" s="320"/>
      <c r="CS260" s="320"/>
      <c r="CT260" s="320"/>
      <c r="CU260" s="320"/>
      <c r="CV260" s="320"/>
      <c r="CW260" s="320"/>
      <c r="CX260" s="320"/>
      <c r="CY260" s="320"/>
      <c r="CZ260" s="320"/>
      <c r="DA260" s="320"/>
      <c r="DB260" s="320"/>
      <c r="DC260" s="320"/>
      <c r="DD260" s="320"/>
      <c r="DE260" s="320"/>
      <c r="DF260" s="320"/>
      <c r="DG260" s="320"/>
      <c r="DH260" s="320"/>
      <c r="DI260" s="320"/>
      <c r="DJ260" s="320"/>
      <c r="DK260" s="320"/>
    </row>
    <row r="261" spans="1:115" s="322" customFormat="1" ht="21" customHeight="1">
      <c r="A261" s="341"/>
      <c r="B261" s="340"/>
      <c r="C261" s="339"/>
      <c r="D261" s="333" t="s">
        <v>1140</v>
      </c>
      <c r="E261" s="326" t="s">
        <v>41</v>
      </c>
      <c r="F261" s="331">
        <v>2.9990000000000001</v>
      </c>
      <c r="G261" s="332">
        <v>375</v>
      </c>
      <c r="H261" s="331">
        <v>110</v>
      </c>
      <c r="I261" s="332" t="s">
        <v>71</v>
      </c>
      <c r="J261" s="331">
        <v>2652</v>
      </c>
      <c r="K261" s="326">
        <v>5812</v>
      </c>
      <c r="L261" s="326">
        <v>2995</v>
      </c>
      <c r="M261" s="326" t="s">
        <v>31</v>
      </c>
      <c r="N261" s="342">
        <v>10.8</v>
      </c>
      <c r="O261" s="337">
        <f>IF(N261&gt;0,1/N261*37.7*68.6,"")</f>
        <v>239.46481481481482</v>
      </c>
      <c r="P261" s="328">
        <v>9.51</v>
      </c>
      <c r="Q261" s="327" t="s">
        <v>43</v>
      </c>
      <c r="R261" s="326" t="s">
        <v>33</v>
      </c>
      <c r="S261" s="326" t="s">
        <v>34</v>
      </c>
      <c r="T261" s="326"/>
      <c r="U261" s="325"/>
      <c r="V261" s="324">
        <f>IF(N261&lt;&gt;0, IF(N261&gt;=P261,ROUNDDOWN(N261/P261*100,0),""),"")</f>
        <v>113</v>
      </c>
      <c r="W261" s="311"/>
      <c r="X261" s="323"/>
      <c r="Y261" s="311"/>
      <c r="Z261" s="320"/>
      <c r="AA261" s="320"/>
      <c r="AB261" s="320"/>
      <c r="AC261" s="320"/>
      <c r="AD261" s="320"/>
      <c r="AE261" s="320"/>
      <c r="AF261" s="320"/>
      <c r="AG261" s="320"/>
      <c r="AH261" s="320"/>
      <c r="AI261" s="320"/>
      <c r="AJ261" s="320"/>
      <c r="AK261" s="320"/>
      <c r="AL261" s="320"/>
      <c r="AM261" s="320"/>
      <c r="AN261" s="320"/>
      <c r="AO261" s="320"/>
      <c r="AP261" s="320"/>
      <c r="AQ261" s="320"/>
      <c r="AR261" s="320"/>
      <c r="AS261" s="320"/>
      <c r="AT261" s="320"/>
      <c r="AU261" s="320"/>
      <c r="AV261" s="320"/>
      <c r="AW261" s="320"/>
      <c r="AX261" s="320"/>
      <c r="AY261" s="320"/>
      <c r="AZ261" s="320"/>
      <c r="BA261" s="320"/>
      <c r="BB261" s="320"/>
      <c r="BC261" s="320"/>
      <c r="BD261" s="320"/>
      <c r="BE261" s="320"/>
      <c r="BF261" s="320"/>
      <c r="BG261" s="320"/>
      <c r="BH261" s="320"/>
      <c r="BI261" s="320"/>
      <c r="BJ261" s="320"/>
      <c r="BK261" s="320"/>
      <c r="BL261" s="320"/>
      <c r="BM261" s="320"/>
      <c r="BN261" s="320"/>
      <c r="BO261" s="320"/>
      <c r="BP261" s="320"/>
      <c r="BQ261" s="320"/>
      <c r="BR261" s="320"/>
      <c r="BS261" s="320"/>
      <c r="BT261" s="320"/>
      <c r="BU261" s="320"/>
      <c r="BV261" s="320"/>
      <c r="BW261" s="320"/>
      <c r="BX261" s="320"/>
      <c r="BY261" s="320"/>
      <c r="BZ261" s="320"/>
      <c r="CA261" s="320"/>
      <c r="CB261" s="320"/>
      <c r="CC261" s="320"/>
      <c r="CD261" s="320"/>
      <c r="CE261" s="320"/>
      <c r="CF261" s="320"/>
      <c r="CG261" s="320"/>
      <c r="CH261" s="320"/>
      <c r="CI261" s="320"/>
      <c r="CJ261" s="320"/>
      <c r="CK261" s="320"/>
      <c r="CL261" s="320"/>
      <c r="CM261" s="320"/>
      <c r="CN261" s="320"/>
      <c r="CO261" s="320"/>
      <c r="CP261" s="320"/>
      <c r="CQ261" s="320"/>
      <c r="CR261" s="320"/>
      <c r="CS261" s="320"/>
      <c r="CT261" s="320"/>
      <c r="CU261" s="320"/>
      <c r="CV261" s="320"/>
      <c r="CW261" s="320"/>
      <c r="CX261" s="320"/>
      <c r="CY261" s="320"/>
      <c r="CZ261" s="320"/>
      <c r="DA261" s="320"/>
      <c r="DB261" s="320"/>
      <c r="DC261" s="320"/>
      <c r="DD261" s="320"/>
      <c r="DE261" s="320"/>
      <c r="DF261" s="320"/>
      <c r="DG261" s="320"/>
      <c r="DH261" s="320"/>
      <c r="DI261" s="320"/>
      <c r="DJ261" s="320"/>
      <c r="DK261" s="320"/>
    </row>
    <row r="262" spans="1:115" s="322" customFormat="1" ht="21" customHeight="1">
      <c r="A262" s="341"/>
      <c r="B262" s="340"/>
      <c r="C262" s="339"/>
      <c r="D262" s="333" t="s">
        <v>1140</v>
      </c>
      <c r="E262" s="326" t="s">
        <v>41</v>
      </c>
      <c r="F262" s="331">
        <v>2.9990000000000001</v>
      </c>
      <c r="G262" s="332">
        <v>430</v>
      </c>
      <c r="H262" s="331">
        <v>129</v>
      </c>
      <c r="I262" s="332" t="s">
        <v>71</v>
      </c>
      <c r="J262" s="331">
        <v>2652</v>
      </c>
      <c r="K262" s="326">
        <v>5812</v>
      </c>
      <c r="L262" s="326">
        <v>2995</v>
      </c>
      <c r="M262" s="326" t="s">
        <v>31</v>
      </c>
      <c r="N262" s="342">
        <v>10.8</v>
      </c>
      <c r="O262" s="337">
        <f>IF(N262&gt;0,1/N262*37.7*68.6,"")</f>
        <v>239.46481481481482</v>
      </c>
      <c r="P262" s="328">
        <v>9.51</v>
      </c>
      <c r="Q262" s="327" t="s">
        <v>43</v>
      </c>
      <c r="R262" s="326" t="s">
        <v>33</v>
      </c>
      <c r="S262" s="326" t="s">
        <v>34</v>
      </c>
      <c r="T262" s="326"/>
      <c r="U262" s="325"/>
      <c r="V262" s="324">
        <f>IF(N262&lt;&gt;0, IF(N262&gt;=P262,ROUNDDOWN(N262/P262*100,0),""),"")</f>
        <v>113</v>
      </c>
      <c r="W262" s="311"/>
      <c r="X262" s="323"/>
      <c r="Y262" s="311"/>
      <c r="Z262" s="320"/>
      <c r="AA262" s="320"/>
      <c r="AB262" s="320"/>
      <c r="AC262" s="320"/>
      <c r="AD262" s="320"/>
      <c r="AE262" s="320"/>
      <c r="AF262" s="320"/>
      <c r="AG262" s="320"/>
      <c r="AH262" s="320"/>
      <c r="AI262" s="320"/>
      <c r="AJ262" s="320"/>
      <c r="AK262" s="320"/>
      <c r="AL262" s="320"/>
      <c r="AM262" s="320"/>
      <c r="AN262" s="320"/>
      <c r="AO262" s="320"/>
      <c r="AP262" s="320"/>
      <c r="AQ262" s="320"/>
      <c r="AR262" s="320"/>
      <c r="AS262" s="320"/>
      <c r="AT262" s="320"/>
      <c r="AU262" s="320"/>
      <c r="AV262" s="320"/>
      <c r="AW262" s="320"/>
      <c r="AX262" s="320"/>
      <c r="AY262" s="320"/>
      <c r="AZ262" s="320"/>
      <c r="BA262" s="320"/>
      <c r="BB262" s="320"/>
      <c r="BC262" s="320"/>
      <c r="BD262" s="320"/>
      <c r="BE262" s="320"/>
      <c r="BF262" s="320"/>
      <c r="BG262" s="320"/>
      <c r="BH262" s="320"/>
      <c r="BI262" s="320"/>
      <c r="BJ262" s="320"/>
      <c r="BK262" s="320"/>
      <c r="BL262" s="320"/>
      <c r="BM262" s="320"/>
      <c r="BN262" s="320"/>
      <c r="BO262" s="320"/>
      <c r="BP262" s="320"/>
      <c r="BQ262" s="320"/>
      <c r="BR262" s="320"/>
      <c r="BS262" s="320"/>
      <c r="BT262" s="320"/>
      <c r="BU262" s="320"/>
      <c r="BV262" s="320"/>
      <c r="BW262" s="320"/>
      <c r="BX262" s="320"/>
      <c r="BY262" s="320"/>
      <c r="BZ262" s="320"/>
      <c r="CA262" s="320"/>
      <c r="CB262" s="320"/>
      <c r="CC262" s="320"/>
      <c r="CD262" s="320"/>
      <c r="CE262" s="320"/>
      <c r="CF262" s="320"/>
      <c r="CG262" s="320"/>
      <c r="CH262" s="320"/>
      <c r="CI262" s="320"/>
      <c r="CJ262" s="320"/>
      <c r="CK262" s="320"/>
      <c r="CL262" s="320"/>
      <c r="CM262" s="320"/>
      <c r="CN262" s="320"/>
      <c r="CO262" s="320"/>
      <c r="CP262" s="320"/>
      <c r="CQ262" s="320"/>
      <c r="CR262" s="320"/>
      <c r="CS262" s="320"/>
      <c r="CT262" s="320"/>
      <c r="CU262" s="320"/>
      <c r="CV262" s="320"/>
      <c r="CW262" s="320"/>
      <c r="CX262" s="320"/>
      <c r="CY262" s="320"/>
      <c r="CZ262" s="320"/>
      <c r="DA262" s="320"/>
      <c r="DB262" s="320"/>
      <c r="DC262" s="320"/>
      <c r="DD262" s="320"/>
      <c r="DE262" s="320"/>
      <c r="DF262" s="320"/>
      <c r="DG262" s="320"/>
      <c r="DH262" s="320"/>
      <c r="DI262" s="320"/>
      <c r="DJ262" s="320"/>
      <c r="DK262" s="320"/>
    </row>
    <row r="263" spans="1:115" s="322" customFormat="1" ht="21" customHeight="1">
      <c r="A263" s="341"/>
      <c r="B263" s="340"/>
      <c r="C263" s="339"/>
      <c r="D263" s="333" t="s">
        <v>1140</v>
      </c>
      <c r="E263" s="326" t="s">
        <v>41</v>
      </c>
      <c r="F263" s="331">
        <v>2.9990000000000001</v>
      </c>
      <c r="G263" s="332">
        <v>375</v>
      </c>
      <c r="H263" s="331">
        <v>110</v>
      </c>
      <c r="I263" s="332" t="s">
        <v>71</v>
      </c>
      <c r="J263" s="331">
        <v>2652</v>
      </c>
      <c r="K263" s="326">
        <v>5812</v>
      </c>
      <c r="L263" s="326">
        <v>2995</v>
      </c>
      <c r="M263" s="326" t="s">
        <v>31</v>
      </c>
      <c r="N263" s="342">
        <v>10.6</v>
      </c>
      <c r="O263" s="337">
        <f>IF(N263&gt;0,1/N263*37.7*68.6,"")</f>
        <v>243.98301886792456</v>
      </c>
      <c r="P263" s="328">
        <v>9.51</v>
      </c>
      <c r="Q263" s="327" t="s">
        <v>63</v>
      </c>
      <c r="R263" s="326" t="s">
        <v>33</v>
      </c>
      <c r="S263" s="326" t="s">
        <v>34</v>
      </c>
      <c r="T263" s="326"/>
      <c r="U263" s="325"/>
      <c r="V263" s="324">
        <f>IF(N263&lt;&gt;0, IF(N263&gt;=P263,ROUNDDOWN(N263/P263*100,0),""),"")</f>
        <v>111</v>
      </c>
      <c r="W263" s="311"/>
      <c r="X263" s="323"/>
      <c r="Y263" s="311"/>
      <c r="Z263" s="320"/>
      <c r="AA263" s="320"/>
      <c r="AB263" s="320"/>
      <c r="AC263" s="320"/>
      <c r="AD263" s="320"/>
      <c r="AE263" s="320"/>
      <c r="AF263" s="320"/>
      <c r="AG263" s="320"/>
      <c r="AH263" s="320"/>
      <c r="AI263" s="320"/>
      <c r="AJ263" s="320"/>
      <c r="AK263" s="320"/>
      <c r="AL263" s="320"/>
      <c r="AM263" s="320"/>
      <c r="AN263" s="320"/>
      <c r="AO263" s="320"/>
      <c r="AP263" s="320"/>
      <c r="AQ263" s="320"/>
      <c r="AR263" s="320"/>
      <c r="AS263" s="320"/>
      <c r="AT263" s="320"/>
      <c r="AU263" s="320"/>
      <c r="AV263" s="320"/>
      <c r="AW263" s="320"/>
      <c r="AX263" s="320"/>
      <c r="AY263" s="320"/>
      <c r="AZ263" s="320"/>
      <c r="BA263" s="320"/>
      <c r="BB263" s="320"/>
      <c r="BC263" s="320"/>
      <c r="BD263" s="320"/>
      <c r="BE263" s="320"/>
      <c r="BF263" s="320"/>
      <c r="BG263" s="320"/>
      <c r="BH263" s="320"/>
      <c r="BI263" s="320"/>
      <c r="BJ263" s="320"/>
      <c r="BK263" s="320"/>
      <c r="BL263" s="320"/>
      <c r="BM263" s="320"/>
      <c r="BN263" s="320"/>
      <c r="BO263" s="320"/>
      <c r="BP263" s="320"/>
      <c r="BQ263" s="320"/>
      <c r="BR263" s="320"/>
      <c r="BS263" s="320"/>
      <c r="BT263" s="320"/>
      <c r="BU263" s="320"/>
      <c r="BV263" s="320"/>
      <c r="BW263" s="320"/>
      <c r="BX263" s="320"/>
      <c r="BY263" s="320"/>
      <c r="BZ263" s="320"/>
      <c r="CA263" s="320"/>
      <c r="CB263" s="320"/>
      <c r="CC263" s="320"/>
      <c r="CD263" s="320"/>
      <c r="CE263" s="320"/>
      <c r="CF263" s="320"/>
      <c r="CG263" s="320"/>
      <c r="CH263" s="320"/>
      <c r="CI263" s="320"/>
      <c r="CJ263" s="320"/>
      <c r="CK263" s="320"/>
      <c r="CL263" s="320"/>
      <c r="CM263" s="320"/>
      <c r="CN263" s="320"/>
      <c r="CO263" s="320"/>
      <c r="CP263" s="320"/>
      <c r="CQ263" s="320"/>
      <c r="CR263" s="320"/>
      <c r="CS263" s="320"/>
      <c r="CT263" s="320"/>
      <c r="CU263" s="320"/>
      <c r="CV263" s="320"/>
      <c r="CW263" s="320"/>
      <c r="CX263" s="320"/>
      <c r="CY263" s="320"/>
      <c r="CZ263" s="320"/>
      <c r="DA263" s="320"/>
      <c r="DB263" s="320"/>
      <c r="DC263" s="320"/>
      <c r="DD263" s="320"/>
      <c r="DE263" s="320"/>
      <c r="DF263" s="320"/>
      <c r="DG263" s="320"/>
      <c r="DH263" s="320"/>
      <c r="DI263" s="320"/>
      <c r="DJ263" s="320"/>
      <c r="DK263" s="320"/>
    </row>
    <row r="264" spans="1:115" s="322" customFormat="1" ht="21" customHeight="1">
      <c r="A264" s="341"/>
      <c r="B264" s="340"/>
      <c r="C264" s="339"/>
      <c r="D264" s="333" t="s">
        <v>1140</v>
      </c>
      <c r="E264" s="326" t="s">
        <v>41</v>
      </c>
      <c r="F264" s="331">
        <v>2.9990000000000001</v>
      </c>
      <c r="G264" s="332">
        <v>430</v>
      </c>
      <c r="H264" s="331">
        <v>129</v>
      </c>
      <c r="I264" s="332" t="s">
        <v>71</v>
      </c>
      <c r="J264" s="331">
        <v>2652</v>
      </c>
      <c r="K264" s="326">
        <v>5812</v>
      </c>
      <c r="L264" s="326">
        <v>2995</v>
      </c>
      <c r="M264" s="326" t="s">
        <v>31</v>
      </c>
      <c r="N264" s="342">
        <v>10.6</v>
      </c>
      <c r="O264" s="337">
        <f>IF(N264&gt;0,1/N264*37.7*68.6,"")</f>
        <v>243.98301886792456</v>
      </c>
      <c r="P264" s="328">
        <v>9.51</v>
      </c>
      <c r="Q264" s="327" t="s">
        <v>63</v>
      </c>
      <c r="R264" s="326" t="s">
        <v>33</v>
      </c>
      <c r="S264" s="326" t="s">
        <v>34</v>
      </c>
      <c r="T264" s="326"/>
      <c r="U264" s="325"/>
      <c r="V264" s="324">
        <f>IF(N264&lt;&gt;0, IF(N264&gt;=P264,ROUNDDOWN(N264/P264*100,0),""),"")</f>
        <v>111</v>
      </c>
      <c r="W264" s="311"/>
      <c r="X264" s="323"/>
      <c r="Y264" s="311"/>
      <c r="Z264" s="320"/>
      <c r="AA264" s="320"/>
      <c r="AB264" s="320"/>
      <c r="AC264" s="320"/>
      <c r="AD264" s="320"/>
      <c r="AE264" s="320"/>
      <c r="AF264" s="320"/>
      <c r="AG264" s="320"/>
      <c r="AH264" s="320"/>
      <c r="AI264" s="320"/>
      <c r="AJ264" s="320"/>
      <c r="AK264" s="320"/>
      <c r="AL264" s="320"/>
      <c r="AM264" s="320"/>
      <c r="AN264" s="320"/>
      <c r="AO264" s="320"/>
      <c r="AP264" s="320"/>
      <c r="AQ264" s="320"/>
      <c r="AR264" s="320"/>
      <c r="AS264" s="320"/>
      <c r="AT264" s="320"/>
      <c r="AU264" s="320"/>
      <c r="AV264" s="320"/>
      <c r="AW264" s="320"/>
      <c r="AX264" s="320"/>
      <c r="AY264" s="320"/>
      <c r="AZ264" s="320"/>
      <c r="BA264" s="320"/>
      <c r="BB264" s="320"/>
      <c r="BC264" s="320"/>
      <c r="BD264" s="320"/>
      <c r="BE264" s="320"/>
      <c r="BF264" s="320"/>
      <c r="BG264" s="320"/>
      <c r="BH264" s="320"/>
      <c r="BI264" s="320"/>
      <c r="BJ264" s="320"/>
      <c r="BK264" s="320"/>
      <c r="BL264" s="320"/>
      <c r="BM264" s="320"/>
      <c r="BN264" s="320"/>
      <c r="BO264" s="320"/>
      <c r="BP264" s="320"/>
      <c r="BQ264" s="320"/>
      <c r="BR264" s="320"/>
      <c r="BS264" s="320"/>
      <c r="BT264" s="320"/>
      <c r="BU264" s="320"/>
      <c r="BV264" s="320"/>
      <c r="BW264" s="320"/>
      <c r="BX264" s="320"/>
      <c r="BY264" s="320"/>
      <c r="BZ264" s="320"/>
      <c r="CA264" s="320"/>
      <c r="CB264" s="320"/>
      <c r="CC264" s="320"/>
      <c r="CD264" s="320"/>
      <c r="CE264" s="320"/>
      <c r="CF264" s="320"/>
      <c r="CG264" s="320"/>
      <c r="CH264" s="320"/>
      <c r="CI264" s="320"/>
      <c r="CJ264" s="320"/>
      <c r="CK264" s="320"/>
      <c r="CL264" s="320"/>
      <c r="CM264" s="320"/>
      <c r="CN264" s="320"/>
      <c r="CO264" s="320"/>
      <c r="CP264" s="320"/>
      <c r="CQ264" s="320"/>
      <c r="CR264" s="320"/>
      <c r="CS264" s="320"/>
      <c r="CT264" s="320"/>
      <c r="CU264" s="320"/>
      <c r="CV264" s="320"/>
      <c r="CW264" s="320"/>
      <c r="CX264" s="320"/>
      <c r="CY264" s="320"/>
      <c r="CZ264" s="320"/>
      <c r="DA264" s="320"/>
      <c r="DB264" s="320"/>
      <c r="DC264" s="320"/>
      <c r="DD264" s="320"/>
      <c r="DE264" s="320"/>
      <c r="DF264" s="320"/>
      <c r="DG264" s="320"/>
      <c r="DH264" s="320"/>
      <c r="DI264" s="320"/>
      <c r="DJ264" s="320"/>
      <c r="DK264" s="320"/>
    </row>
    <row r="265" spans="1:115" s="322" customFormat="1" ht="21" customHeight="1">
      <c r="A265" s="341"/>
      <c r="B265" s="340"/>
      <c r="C265" s="339"/>
      <c r="D265" s="333" t="s">
        <v>1140</v>
      </c>
      <c r="E265" s="326" t="s">
        <v>41</v>
      </c>
      <c r="F265" s="331">
        <v>2.9990000000000001</v>
      </c>
      <c r="G265" s="332">
        <v>375</v>
      </c>
      <c r="H265" s="331">
        <v>110</v>
      </c>
      <c r="I265" s="332" t="s">
        <v>71</v>
      </c>
      <c r="J265" s="331">
        <v>2979</v>
      </c>
      <c r="K265" s="326">
        <v>6893</v>
      </c>
      <c r="L265" s="326">
        <v>3749</v>
      </c>
      <c r="M265" s="326" t="s">
        <v>31</v>
      </c>
      <c r="N265" s="342">
        <v>9.1</v>
      </c>
      <c r="O265" s="337">
        <f>IF(N265&gt;0,1/N265*37.7*68.6,"")</f>
        <v>284.2</v>
      </c>
      <c r="P265" s="328">
        <v>8.1199999999999992</v>
      </c>
      <c r="Q265" s="327" t="s">
        <v>43</v>
      </c>
      <c r="R265" s="326" t="s">
        <v>33</v>
      </c>
      <c r="S265" s="326" t="s">
        <v>34</v>
      </c>
      <c r="T265" s="326"/>
      <c r="U265" s="325"/>
      <c r="V265" s="324">
        <f>IF(N265&lt;&gt;0, IF(N265&gt;=P265,ROUNDDOWN(N265/P265*100,0),""),"")</f>
        <v>112</v>
      </c>
      <c r="W265" s="311"/>
      <c r="X265" s="323"/>
      <c r="Y265" s="311"/>
      <c r="Z265" s="320"/>
      <c r="AA265" s="320"/>
      <c r="AB265" s="320"/>
      <c r="AC265" s="320"/>
      <c r="AD265" s="320"/>
      <c r="AE265" s="320"/>
      <c r="AF265" s="320"/>
      <c r="AG265" s="320"/>
      <c r="AH265" s="320"/>
      <c r="AI265" s="320"/>
      <c r="AJ265" s="320"/>
      <c r="AK265" s="320"/>
      <c r="AL265" s="320"/>
      <c r="AM265" s="320"/>
      <c r="AN265" s="320"/>
      <c r="AO265" s="320"/>
      <c r="AP265" s="320"/>
      <c r="AQ265" s="320"/>
      <c r="AR265" s="320"/>
      <c r="AS265" s="320"/>
      <c r="AT265" s="320"/>
      <c r="AU265" s="320"/>
      <c r="AV265" s="320"/>
      <c r="AW265" s="320"/>
      <c r="AX265" s="320"/>
      <c r="AY265" s="320"/>
      <c r="AZ265" s="320"/>
      <c r="BA265" s="320"/>
      <c r="BB265" s="320"/>
      <c r="BC265" s="320"/>
      <c r="BD265" s="320"/>
      <c r="BE265" s="320"/>
      <c r="BF265" s="320"/>
      <c r="BG265" s="320"/>
      <c r="BH265" s="320"/>
      <c r="BI265" s="320"/>
      <c r="BJ265" s="320"/>
      <c r="BK265" s="320"/>
      <c r="BL265" s="320"/>
      <c r="BM265" s="320"/>
      <c r="BN265" s="320"/>
      <c r="BO265" s="320"/>
      <c r="BP265" s="320"/>
      <c r="BQ265" s="320"/>
      <c r="BR265" s="320"/>
      <c r="BS265" s="320"/>
      <c r="BT265" s="320"/>
      <c r="BU265" s="320"/>
      <c r="BV265" s="320"/>
      <c r="BW265" s="320"/>
      <c r="BX265" s="320"/>
      <c r="BY265" s="320"/>
      <c r="BZ265" s="320"/>
      <c r="CA265" s="320"/>
      <c r="CB265" s="320"/>
      <c r="CC265" s="320"/>
      <c r="CD265" s="320"/>
      <c r="CE265" s="320"/>
      <c r="CF265" s="320"/>
      <c r="CG265" s="320"/>
      <c r="CH265" s="320"/>
      <c r="CI265" s="320"/>
      <c r="CJ265" s="320"/>
      <c r="CK265" s="320"/>
      <c r="CL265" s="320"/>
      <c r="CM265" s="320"/>
      <c r="CN265" s="320"/>
      <c r="CO265" s="320"/>
      <c r="CP265" s="320"/>
      <c r="CQ265" s="320"/>
      <c r="CR265" s="320"/>
      <c r="CS265" s="320"/>
      <c r="CT265" s="320"/>
      <c r="CU265" s="320"/>
      <c r="CV265" s="320"/>
      <c r="CW265" s="320"/>
      <c r="CX265" s="320"/>
      <c r="CY265" s="320"/>
      <c r="CZ265" s="320"/>
      <c r="DA265" s="320"/>
      <c r="DB265" s="320"/>
      <c r="DC265" s="320"/>
      <c r="DD265" s="320"/>
      <c r="DE265" s="320"/>
      <c r="DF265" s="320"/>
      <c r="DG265" s="320"/>
      <c r="DH265" s="320"/>
      <c r="DI265" s="320"/>
      <c r="DJ265" s="320"/>
      <c r="DK265" s="320"/>
    </row>
    <row r="266" spans="1:115" s="322" customFormat="1" ht="21" customHeight="1">
      <c r="A266" s="341"/>
      <c r="B266" s="340"/>
      <c r="C266" s="339"/>
      <c r="D266" s="333" t="s">
        <v>1140</v>
      </c>
      <c r="E266" s="326" t="s">
        <v>41</v>
      </c>
      <c r="F266" s="331">
        <v>2.9990000000000001</v>
      </c>
      <c r="G266" s="332">
        <v>430</v>
      </c>
      <c r="H266" s="331">
        <v>129</v>
      </c>
      <c r="I266" s="332" t="s">
        <v>71</v>
      </c>
      <c r="J266" s="331">
        <v>2979</v>
      </c>
      <c r="K266" s="326">
        <v>6893</v>
      </c>
      <c r="L266" s="326">
        <v>3749</v>
      </c>
      <c r="M266" s="326" t="s">
        <v>31</v>
      </c>
      <c r="N266" s="342">
        <v>9.1</v>
      </c>
      <c r="O266" s="337">
        <f>IF(N266&gt;0,1/N266*37.7*68.6,"")</f>
        <v>284.2</v>
      </c>
      <c r="P266" s="328">
        <v>8.1199999999999992</v>
      </c>
      <c r="Q266" s="327" t="s">
        <v>43</v>
      </c>
      <c r="R266" s="326" t="s">
        <v>33</v>
      </c>
      <c r="S266" s="326" t="s">
        <v>34</v>
      </c>
      <c r="T266" s="326"/>
      <c r="U266" s="325"/>
      <c r="V266" s="324">
        <f>IF(N266&lt;&gt;0, IF(N266&gt;=P266,ROUNDDOWN(N266/P266*100,0),""),"")</f>
        <v>112</v>
      </c>
      <c r="W266" s="311"/>
      <c r="X266" s="323"/>
      <c r="Y266" s="311"/>
      <c r="Z266" s="320"/>
      <c r="AA266" s="320"/>
      <c r="AB266" s="320"/>
      <c r="AC266" s="320"/>
      <c r="AD266" s="320"/>
      <c r="AE266" s="320"/>
      <c r="AF266" s="320"/>
      <c r="AG266" s="320"/>
      <c r="AH266" s="320"/>
      <c r="AI266" s="320"/>
      <c r="AJ266" s="320"/>
      <c r="AK266" s="320"/>
      <c r="AL266" s="320"/>
      <c r="AM266" s="320"/>
      <c r="AN266" s="320"/>
      <c r="AO266" s="320"/>
      <c r="AP266" s="320"/>
      <c r="AQ266" s="320"/>
      <c r="AR266" s="320"/>
      <c r="AS266" s="320"/>
      <c r="AT266" s="320"/>
      <c r="AU266" s="320"/>
      <c r="AV266" s="320"/>
      <c r="AW266" s="320"/>
      <c r="AX266" s="320"/>
      <c r="AY266" s="320"/>
      <c r="AZ266" s="320"/>
      <c r="BA266" s="320"/>
      <c r="BB266" s="320"/>
      <c r="BC266" s="320"/>
      <c r="BD266" s="320"/>
      <c r="BE266" s="320"/>
      <c r="BF266" s="320"/>
      <c r="BG266" s="320"/>
      <c r="BH266" s="320"/>
      <c r="BI266" s="320"/>
      <c r="BJ266" s="320"/>
      <c r="BK266" s="320"/>
      <c r="BL266" s="320"/>
      <c r="BM266" s="320"/>
      <c r="BN266" s="320"/>
      <c r="BO266" s="320"/>
      <c r="BP266" s="320"/>
      <c r="BQ266" s="320"/>
      <c r="BR266" s="320"/>
      <c r="BS266" s="320"/>
      <c r="BT266" s="320"/>
      <c r="BU266" s="320"/>
      <c r="BV266" s="320"/>
      <c r="BW266" s="320"/>
      <c r="BX266" s="320"/>
      <c r="BY266" s="320"/>
      <c r="BZ266" s="320"/>
      <c r="CA266" s="320"/>
      <c r="CB266" s="320"/>
      <c r="CC266" s="320"/>
      <c r="CD266" s="320"/>
      <c r="CE266" s="320"/>
      <c r="CF266" s="320"/>
      <c r="CG266" s="320"/>
      <c r="CH266" s="320"/>
      <c r="CI266" s="320"/>
      <c r="CJ266" s="320"/>
      <c r="CK266" s="320"/>
      <c r="CL266" s="320"/>
      <c r="CM266" s="320"/>
      <c r="CN266" s="320"/>
      <c r="CO266" s="320"/>
      <c r="CP266" s="320"/>
      <c r="CQ266" s="320"/>
      <c r="CR266" s="320"/>
      <c r="CS266" s="320"/>
      <c r="CT266" s="320"/>
      <c r="CU266" s="320"/>
      <c r="CV266" s="320"/>
      <c r="CW266" s="320"/>
      <c r="CX266" s="320"/>
      <c r="CY266" s="320"/>
      <c r="CZ266" s="320"/>
      <c r="DA266" s="320"/>
      <c r="DB266" s="320"/>
      <c r="DC266" s="320"/>
      <c r="DD266" s="320"/>
      <c r="DE266" s="320"/>
      <c r="DF266" s="320"/>
      <c r="DG266" s="320"/>
      <c r="DH266" s="320"/>
      <c r="DI266" s="320"/>
      <c r="DJ266" s="320"/>
      <c r="DK266" s="320"/>
    </row>
    <row r="267" spans="1:115" s="322" customFormat="1" ht="21" customHeight="1">
      <c r="A267" s="341"/>
      <c r="B267" s="340"/>
      <c r="C267" s="339"/>
      <c r="D267" s="333" t="s">
        <v>1139</v>
      </c>
      <c r="E267" s="326" t="s">
        <v>41</v>
      </c>
      <c r="F267" s="331">
        <v>2.9990000000000001</v>
      </c>
      <c r="G267" s="332">
        <v>375</v>
      </c>
      <c r="H267" s="331">
        <v>110</v>
      </c>
      <c r="I267" s="332" t="s">
        <v>71</v>
      </c>
      <c r="J267" s="331">
        <v>2356</v>
      </c>
      <c r="K267" s="326">
        <v>4521</v>
      </c>
      <c r="L267" s="326">
        <v>2000</v>
      </c>
      <c r="M267" s="326" t="s">
        <v>31</v>
      </c>
      <c r="N267" s="342">
        <v>11.8</v>
      </c>
      <c r="O267" s="337">
        <f>IF(N267&gt;0,1/N267*37.7*68.6,"")</f>
        <v>219.17118644067796</v>
      </c>
      <c r="P267" s="328">
        <v>10.35</v>
      </c>
      <c r="Q267" s="327" t="s">
        <v>43</v>
      </c>
      <c r="R267" s="326" t="s">
        <v>33</v>
      </c>
      <c r="S267" s="326" t="s">
        <v>34</v>
      </c>
      <c r="T267" s="326"/>
      <c r="U267" s="325"/>
      <c r="V267" s="324">
        <f>IF(N267&lt;&gt;0, IF(N267&gt;=P267,ROUNDDOWN(N267/P267*100,0),""),"")</f>
        <v>114</v>
      </c>
      <c r="W267" s="311"/>
      <c r="X267" s="323"/>
      <c r="Y267" s="311"/>
      <c r="Z267" s="320"/>
      <c r="AA267" s="320"/>
      <c r="AB267" s="320"/>
      <c r="AC267" s="320"/>
      <c r="AD267" s="320"/>
      <c r="AE267" s="320"/>
      <c r="AF267" s="320"/>
      <c r="AG267" s="320"/>
      <c r="AH267" s="320"/>
      <c r="AI267" s="320"/>
      <c r="AJ267" s="320"/>
      <c r="AK267" s="320"/>
      <c r="AL267" s="320"/>
      <c r="AM267" s="320"/>
      <c r="AN267" s="320"/>
      <c r="AO267" s="320"/>
      <c r="AP267" s="320"/>
      <c r="AQ267" s="320"/>
      <c r="AR267" s="320"/>
      <c r="AS267" s="320"/>
      <c r="AT267" s="320"/>
      <c r="AU267" s="320"/>
      <c r="AV267" s="320"/>
      <c r="AW267" s="320"/>
      <c r="AX267" s="320"/>
      <c r="AY267" s="320"/>
      <c r="AZ267" s="320"/>
      <c r="BA267" s="320"/>
      <c r="BB267" s="320"/>
      <c r="BC267" s="320"/>
      <c r="BD267" s="320"/>
      <c r="BE267" s="320"/>
      <c r="BF267" s="320"/>
      <c r="BG267" s="320"/>
      <c r="BH267" s="320"/>
      <c r="BI267" s="320"/>
      <c r="BJ267" s="320"/>
      <c r="BK267" s="320"/>
      <c r="BL267" s="320"/>
      <c r="BM267" s="320"/>
      <c r="BN267" s="320"/>
      <c r="BO267" s="320"/>
      <c r="BP267" s="320"/>
      <c r="BQ267" s="320"/>
      <c r="BR267" s="320"/>
      <c r="BS267" s="320"/>
      <c r="BT267" s="320"/>
      <c r="BU267" s="320"/>
      <c r="BV267" s="320"/>
      <c r="BW267" s="320"/>
      <c r="BX267" s="320"/>
      <c r="BY267" s="320"/>
      <c r="BZ267" s="320"/>
      <c r="CA267" s="320"/>
      <c r="CB267" s="320"/>
      <c r="CC267" s="320"/>
      <c r="CD267" s="320"/>
      <c r="CE267" s="320"/>
      <c r="CF267" s="320"/>
      <c r="CG267" s="320"/>
      <c r="CH267" s="320"/>
      <c r="CI267" s="320"/>
      <c r="CJ267" s="320"/>
      <c r="CK267" s="320"/>
      <c r="CL267" s="320"/>
      <c r="CM267" s="320"/>
      <c r="CN267" s="320"/>
      <c r="CO267" s="320"/>
      <c r="CP267" s="320"/>
      <c r="CQ267" s="320"/>
      <c r="CR267" s="320"/>
      <c r="CS267" s="320"/>
      <c r="CT267" s="320"/>
      <c r="CU267" s="320"/>
      <c r="CV267" s="320"/>
      <c r="CW267" s="320"/>
      <c r="CX267" s="320"/>
      <c r="CY267" s="320"/>
      <c r="CZ267" s="320"/>
      <c r="DA267" s="320"/>
      <c r="DB267" s="320"/>
      <c r="DC267" s="320"/>
      <c r="DD267" s="320"/>
      <c r="DE267" s="320"/>
      <c r="DF267" s="320"/>
      <c r="DG267" s="320"/>
      <c r="DH267" s="320"/>
      <c r="DI267" s="320"/>
      <c r="DJ267" s="320"/>
      <c r="DK267" s="320"/>
    </row>
    <row r="268" spans="1:115" s="322" customFormat="1" ht="21" customHeight="1">
      <c r="A268" s="341"/>
      <c r="B268" s="340"/>
      <c r="C268" s="339"/>
      <c r="D268" s="333" t="s">
        <v>1139</v>
      </c>
      <c r="E268" s="326" t="s">
        <v>41</v>
      </c>
      <c r="F268" s="331">
        <v>2.9990000000000001</v>
      </c>
      <c r="G268" s="332">
        <v>375</v>
      </c>
      <c r="H268" s="331">
        <v>110</v>
      </c>
      <c r="I268" s="332" t="s">
        <v>71</v>
      </c>
      <c r="J268" s="331">
        <v>2356</v>
      </c>
      <c r="K268" s="326">
        <v>4521</v>
      </c>
      <c r="L268" s="326">
        <v>2000</v>
      </c>
      <c r="M268" s="326" t="s">
        <v>31</v>
      </c>
      <c r="N268" s="342">
        <v>11.4</v>
      </c>
      <c r="O268" s="337">
        <f>IF(N268&gt;0,1/N268*37.7*68.6,"")</f>
        <v>226.8614035087719</v>
      </c>
      <c r="P268" s="328">
        <v>10.35</v>
      </c>
      <c r="Q268" s="327" t="s">
        <v>63</v>
      </c>
      <c r="R268" s="326" t="s">
        <v>33</v>
      </c>
      <c r="S268" s="326" t="s">
        <v>34</v>
      </c>
      <c r="T268" s="326"/>
      <c r="U268" s="325"/>
      <c r="V268" s="324">
        <f>IF(N268&lt;&gt;0, IF(N268&gt;=P268,ROUNDDOWN(N268/P268*100,0),""),"")</f>
        <v>110</v>
      </c>
      <c r="W268" s="311"/>
      <c r="X268" s="323"/>
      <c r="Y268" s="311"/>
      <c r="Z268" s="320"/>
      <c r="AA268" s="320"/>
      <c r="AB268" s="320"/>
      <c r="AC268" s="320"/>
      <c r="AD268" s="320"/>
      <c r="AE268" s="320"/>
      <c r="AF268" s="320"/>
      <c r="AG268" s="320"/>
      <c r="AH268" s="320"/>
      <c r="AI268" s="320"/>
      <c r="AJ268" s="320"/>
      <c r="AK268" s="320"/>
      <c r="AL268" s="320"/>
      <c r="AM268" s="320"/>
      <c r="AN268" s="320"/>
      <c r="AO268" s="320"/>
      <c r="AP268" s="320"/>
      <c r="AQ268" s="320"/>
      <c r="AR268" s="320"/>
      <c r="AS268" s="320"/>
      <c r="AT268" s="320"/>
      <c r="AU268" s="320"/>
      <c r="AV268" s="320"/>
      <c r="AW268" s="320"/>
      <c r="AX268" s="320"/>
      <c r="AY268" s="320"/>
      <c r="AZ268" s="320"/>
      <c r="BA268" s="320"/>
      <c r="BB268" s="320"/>
      <c r="BC268" s="320"/>
      <c r="BD268" s="320"/>
      <c r="BE268" s="320"/>
      <c r="BF268" s="320"/>
      <c r="BG268" s="320"/>
      <c r="BH268" s="320"/>
      <c r="BI268" s="320"/>
      <c r="BJ268" s="320"/>
      <c r="BK268" s="320"/>
      <c r="BL268" s="320"/>
      <c r="BM268" s="320"/>
      <c r="BN268" s="320"/>
      <c r="BO268" s="320"/>
      <c r="BP268" s="320"/>
      <c r="BQ268" s="320"/>
      <c r="BR268" s="320"/>
      <c r="BS268" s="320"/>
      <c r="BT268" s="320"/>
      <c r="BU268" s="320"/>
      <c r="BV268" s="320"/>
      <c r="BW268" s="320"/>
      <c r="BX268" s="320"/>
      <c r="BY268" s="320"/>
      <c r="BZ268" s="320"/>
      <c r="CA268" s="320"/>
      <c r="CB268" s="320"/>
      <c r="CC268" s="320"/>
      <c r="CD268" s="320"/>
      <c r="CE268" s="320"/>
      <c r="CF268" s="320"/>
      <c r="CG268" s="320"/>
      <c r="CH268" s="320"/>
      <c r="CI268" s="320"/>
      <c r="CJ268" s="320"/>
      <c r="CK268" s="320"/>
      <c r="CL268" s="320"/>
      <c r="CM268" s="320"/>
      <c r="CN268" s="320"/>
      <c r="CO268" s="320"/>
      <c r="CP268" s="320"/>
      <c r="CQ268" s="320"/>
      <c r="CR268" s="320"/>
      <c r="CS268" s="320"/>
      <c r="CT268" s="320"/>
      <c r="CU268" s="320"/>
      <c r="CV268" s="320"/>
      <c r="CW268" s="320"/>
      <c r="CX268" s="320"/>
      <c r="CY268" s="320"/>
      <c r="CZ268" s="320"/>
      <c r="DA268" s="320"/>
      <c r="DB268" s="320"/>
      <c r="DC268" s="320"/>
      <c r="DD268" s="320"/>
      <c r="DE268" s="320"/>
      <c r="DF268" s="320"/>
      <c r="DG268" s="320"/>
      <c r="DH268" s="320"/>
      <c r="DI268" s="320"/>
      <c r="DJ268" s="320"/>
      <c r="DK268" s="320"/>
    </row>
    <row r="269" spans="1:115" s="322" customFormat="1" ht="21" customHeight="1">
      <c r="A269" s="341"/>
      <c r="B269" s="340"/>
      <c r="C269" s="339"/>
      <c r="D269" s="333" t="s">
        <v>1139</v>
      </c>
      <c r="E269" s="326" t="s">
        <v>41</v>
      </c>
      <c r="F269" s="331">
        <v>2.9990000000000001</v>
      </c>
      <c r="G269" s="332">
        <v>375</v>
      </c>
      <c r="H269" s="331">
        <v>110</v>
      </c>
      <c r="I269" s="332" t="s">
        <v>71</v>
      </c>
      <c r="J269" s="331">
        <v>2652</v>
      </c>
      <c r="K269" s="326">
        <v>5812</v>
      </c>
      <c r="L269" s="326">
        <v>2995</v>
      </c>
      <c r="M269" s="326" t="s">
        <v>31</v>
      </c>
      <c r="N269" s="342">
        <v>10.8</v>
      </c>
      <c r="O269" s="337">
        <f>IF(N269&gt;0,1/N269*37.7*68.6,"")</f>
        <v>239.46481481481482</v>
      </c>
      <c r="P269" s="328">
        <v>9.51</v>
      </c>
      <c r="Q269" s="327" t="s">
        <v>43</v>
      </c>
      <c r="R269" s="326" t="s">
        <v>33</v>
      </c>
      <c r="S269" s="326" t="s">
        <v>34</v>
      </c>
      <c r="T269" s="326"/>
      <c r="U269" s="325"/>
      <c r="V269" s="324">
        <f>IF(N269&lt;&gt;0, IF(N269&gt;=P269,ROUNDDOWN(N269/P269*100,0),""),"")</f>
        <v>113</v>
      </c>
      <c r="W269" s="311"/>
      <c r="X269" s="323"/>
      <c r="Y269" s="311"/>
      <c r="Z269" s="320"/>
      <c r="AA269" s="320"/>
      <c r="AB269" s="320"/>
      <c r="AC269" s="320"/>
      <c r="AD269" s="320"/>
      <c r="AE269" s="320"/>
      <c r="AF269" s="320"/>
      <c r="AG269" s="320"/>
      <c r="AH269" s="320"/>
      <c r="AI269" s="320"/>
      <c r="AJ269" s="320"/>
      <c r="AK269" s="320"/>
      <c r="AL269" s="320"/>
      <c r="AM269" s="320"/>
      <c r="AN269" s="320"/>
      <c r="AO269" s="320"/>
      <c r="AP269" s="320"/>
      <c r="AQ269" s="320"/>
      <c r="AR269" s="320"/>
      <c r="AS269" s="320"/>
      <c r="AT269" s="320"/>
      <c r="AU269" s="320"/>
      <c r="AV269" s="320"/>
      <c r="AW269" s="320"/>
      <c r="AX269" s="320"/>
      <c r="AY269" s="320"/>
      <c r="AZ269" s="320"/>
      <c r="BA269" s="320"/>
      <c r="BB269" s="320"/>
      <c r="BC269" s="320"/>
      <c r="BD269" s="320"/>
      <c r="BE269" s="320"/>
      <c r="BF269" s="320"/>
      <c r="BG269" s="320"/>
      <c r="BH269" s="320"/>
      <c r="BI269" s="320"/>
      <c r="BJ269" s="320"/>
      <c r="BK269" s="320"/>
      <c r="BL269" s="320"/>
      <c r="BM269" s="320"/>
      <c r="BN269" s="320"/>
      <c r="BO269" s="320"/>
      <c r="BP269" s="320"/>
      <c r="BQ269" s="320"/>
      <c r="BR269" s="320"/>
      <c r="BS269" s="320"/>
      <c r="BT269" s="320"/>
      <c r="BU269" s="320"/>
      <c r="BV269" s="320"/>
      <c r="BW269" s="320"/>
      <c r="BX269" s="320"/>
      <c r="BY269" s="320"/>
      <c r="BZ269" s="320"/>
      <c r="CA269" s="320"/>
      <c r="CB269" s="320"/>
      <c r="CC269" s="320"/>
      <c r="CD269" s="320"/>
      <c r="CE269" s="320"/>
      <c r="CF269" s="320"/>
      <c r="CG269" s="320"/>
      <c r="CH269" s="320"/>
      <c r="CI269" s="320"/>
      <c r="CJ269" s="320"/>
      <c r="CK269" s="320"/>
      <c r="CL269" s="320"/>
      <c r="CM269" s="320"/>
      <c r="CN269" s="320"/>
      <c r="CO269" s="320"/>
      <c r="CP269" s="320"/>
      <c r="CQ269" s="320"/>
      <c r="CR269" s="320"/>
      <c r="CS269" s="320"/>
      <c r="CT269" s="320"/>
      <c r="CU269" s="320"/>
      <c r="CV269" s="320"/>
      <c r="CW269" s="320"/>
      <c r="CX269" s="320"/>
      <c r="CY269" s="320"/>
      <c r="CZ269" s="320"/>
      <c r="DA269" s="320"/>
      <c r="DB269" s="320"/>
      <c r="DC269" s="320"/>
      <c r="DD269" s="320"/>
      <c r="DE269" s="320"/>
      <c r="DF269" s="320"/>
      <c r="DG269" s="320"/>
      <c r="DH269" s="320"/>
      <c r="DI269" s="320"/>
      <c r="DJ269" s="320"/>
      <c r="DK269" s="320"/>
    </row>
    <row r="270" spans="1:115" s="322" customFormat="1" ht="21" customHeight="1">
      <c r="A270" s="341"/>
      <c r="B270" s="340"/>
      <c r="C270" s="339"/>
      <c r="D270" s="333" t="s">
        <v>1139</v>
      </c>
      <c r="E270" s="326" t="s">
        <v>41</v>
      </c>
      <c r="F270" s="331">
        <v>2.9990000000000001</v>
      </c>
      <c r="G270" s="332">
        <v>430</v>
      </c>
      <c r="H270" s="331">
        <v>129</v>
      </c>
      <c r="I270" s="332" t="s">
        <v>71</v>
      </c>
      <c r="J270" s="331">
        <v>2652</v>
      </c>
      <c r="K270" s="326">
        <v>5812</v>
      </c>
      <c r="L270" s="326">
        <v>2995</v>
      </c>
      <c r="M270" s="326" t="s">
        <v>31</v>
      </c>
      <c r="N270" s="342">
        <v>10.8</v>
      </c>
      <c r="O270" s="337">
        <f>IF(N270&gt;0,1/N270*37.7*68.6,"")</f>
        <v>239.46481481481482</v>
      </c>
      <c r="P270" s="328">
        <v>9.51</v>
      </c>
      <c r="Q270" s="327" t="s">
        <v>43</v>
      </c>
      <c r="R270" s="326" t="s">
        <v>33</v>
      </c>
      <c r="S270" s="326" t="s">
        <v>34</v>
      </c>
      <c r="T270" s="326"/>
      <c r="U270" s="325"/>
      <c r="V270" s="324">
        <f>IF(N270&lt;&gt;0, IF(N270&gt;=P270,ROUNDDOWN(N270/P270*100,0),""),"")</f>
        <v>113</v>
      </c>
      <c r="W270" s="311"/>
      <c r="X270" s="323"/>
      <c r="Y270" s="311"/>
      <c r="Z270" s="320"/>
      <c r="AA270" s="320"/>
      <c r="AB270" s="320"/>
      <c r="AC270" s="320"/>
      <c r="AD270" s="320"/>
      <c r="AE270" s="320"/>
      <c r="AF270" s="320"/>
      <c r="AG270" s="320"/>
      <c r="AH270" s="320"/>
      <c r="AI270" s="320"/>
      <c r="AJ270" s="320"/>
      <c r="AK270" s="320"/>
      <c r="AL270" s="320"/>
      <c r="AM270" s="320"/>
      <c r="AN270" s="320"/>
      <c r="AO270" s="320"/>
      <c r="AP270" s="320"/>
      <c r="AQ270" s="320"/>
      <c r="AR270" s="320"/>
      <c r="AS270" s="320"/>
      <c r="AT270" s="320"/>
      <c r="AU270" s="320"/>
      <c r="AV270" s="320"/>
      <c r="AW270" s="320"/>
      <c r="AX270" s="320"/>
      <c r="AY270" s="320"/>
      <c r="AZ270" s="320"/>
      <c r="BA270" s="320"/>
      <c r="BB270" s="320"/>
      <c r="BC270" s="320"/>
      <c r="BD270" s="320"/>
      <c r="BE270" s="320"/>
      <c r="BF270" s="320"/>
      <c r="BG270" s="320"/>
      <c r="BH270" s="320"/>
      <c r="BI270" s="320"/>
      <c r="BJ270" s="320"/>
      <c r="BK270" s="320"/>
      <c r="BL270" s="320"/>
      <c r="BM270" s="320"/>
      <c r="BN270" s="320"/>
      <c r="BO270" s="320"/>
      <c r="BP270" s="320"/>
      <c r="BQ270" s="320"/>
      <c r="BR270" s="320"/>
      <c r="BS270" s="320"/>
      <c r="BT270" s="320"/>
      <c r="BU270" s="320"/>
      <c r="BV270" s="320"/>
      <c r="BW270" s="320"/>
      <c r="BX270" s="320"/>
      <c r="BY270" s="320"/>
      <c r="BZ270" s="320"/>
      <c r="CA270" s="320"/>
      <c r="CB270" s="320"/>
      <c r="CC270" s="320"/>
      <c r="CD270" s="320"/>
      <c r="CE270" s="320"/>
      <c r="CF270" s="320"/>
      <c r="CG270" s="320"/>
      <c r="CH270" s="320"/>
      <c r="CI270" s="320"/>
      <c r="CJ270" s="320"/>
      <c r="CK270" s="320"/>
      <c r="CL270" s="320"/>
      <c r="CM270" s="320"/>
      <c r="CN270" s="320"/>
      <c r="CO270" s="320"/>
      <c r="CP270" s="320"/>
      <c r="CQ270" s="320"/>
      <c r="CR270" s="320"/>
      <c r="CS270" s="320"/>
      <c r="CT270" s="320"/>
      <c r="CU270" s="320"/>
      <c r="CV270" s="320"/>
      <c r="CW270" s="320"/>
      <c r="CX270" s="320"/>
      <c r="CY270" s="320"/>
      <c r="CZ270" s="320"/>
      <c r="DA270" s="320"/>
      <c r="DB270" s="320"/>
      <c r="DC270" s="320"/>
      <c r="DD270" s="320"/>
      <c r="DE270" s="320"/>
      <c r="DF270" s="320"/>
      <c r="DG270" s="320"/>
      <c r="DH270" s="320"/>
      <c r="DI270" s="320"/>
      <c r="DJ270" s="320"/>
      <c r="DK270" s="320"/>
    </row>
    <row r="271" spans="1:115" s="322" customFormat="1" ht="21" customHeight="1">
      <c r="A271" s="341"/>
      <c r="B271" s="340"/>
      <c r="C271" s="339"/>
      <c r="D271" s="333" t="s">
        <v>1139</v>
      </c>
      <c r="E271" s="326" t="s">
        <v>41</v>
      </c>
      <c r="F271" s="331">
        <v>2.9990000000000001</v>
      </c>
      <c r="G271" s="332">
        <v>375</v>
      </c>
      <c r="H271" s="331">
        <v>110</v>
      </c>
      <c r="I271" s="332" t="s">
        <v>71</v>
      </c>
      <c r="J271" s="331">
        <v>2652</v>
      </c>
      <c r="K271" s="326">
        <v>5812</v>
      </c>
      <c r="L271" s="326">
        <v>2995</v>
      </c>
      <c r="M271" s="326" t="s">
        <v>31</v>
      </c>
      <c r="N271" s="342">
        <v>10.6</v>
      </c>
      <c r="O271" s="337">
        <f>IF(N271&gt;0,1/N271*37.7*68.6,"")</f>
        <v>243.98301886792456</v>
      </c>
      <c r="P271" s="328">
        <v>9.51</v>
      </c>
      <c r="Q271" s="327" t="s">
        <v>63</v>
      </c>
      <c r="R271" s="326" t="s">
        <v>33</v>
      </c>
      <c r="S271" s="326" t="s">
        <v>34</v>
      </c>
      <c r="T271" s="326"/>
      <c r="U271" s="325"/>
      <c r="V271" s="324">
        <f>IF(N271&lt;&gt;0, IF(N271&gt;=P271,ROUNDDOWN(N271/P271*100,0),""),"")</f>
        <v>111</v>
      </c>
      <c r="W271" s="311"/>
      <c r="X271" s="323"/>
      <c r="Y271" s="311"/>
      <c r="Z271" s="320"/>
      <c r="AA271" s="320"/>
      <c r="AB271" s="320"/>
      <c r="AC271" s="320"/>
      <c r="AD271" s="320"/>
      <c r="AE271" s="320"/>
      <c r="AF271" s="320"/>
      <c r="AG271" s="320"/>
      <c r="AH271" s="320"/>
      <c r="AI271" s="320"/>
      <c r="AJ271" s="320"/>
      <c r="AK271" s="320"/>
      <c r="AL271" s="320"/>
      <c r="AM271" s="320"/>
      <c r="AN271" s="320"/>
      <c r="AO271" s="320"/>
      <c r="AP271" s="320"/>
      <c r="AQ271" s="320"/>
      <c r="AR271" s="320"/>
      <c r="AS271" s="320"/>
      <c r="AT271" s="320"/>
      <c r="AU271" s="320"/>
      <c r="AV271" s="320"/>
      <c r="AW271" s="320"/>
      <c r="AX271" s="320"/>
      <c r="AY271" s="320"/>
      <c r="AZ271" s="320"/>
      <c r="BA271" s="320"/>
      <c r="BB271" s="320"/>
      <c r="BC271" s="320"/>
      <c r="BD271" s="320"/>
      <c r="BE271" s="320"/>
      <c r="BF271" s="320"/>
      <c r="BG271" s="320"/>
      <c r="BH271" s="320"/>
      <c r="BI271" s="320"/>
      <c r="BJ271" s="320"/>
      <c r="BK271" s="320"/>
      <c r="BL271" s="320"/>
      <c r="BM271" s="320"/>
      <c r="BN271" s="320"/>
      <c r="BO271" s="320"/>
      <c r="BP271" s="320"/>
      <c r="BQ271" s="320"/>
      <c r="BR271" s="320"/>
      <c r="BS271" s="320"/>
      <c r="BT271" s="320"/>
      <c r="BU271" s="320"/>
      <c r="BV271" s="320"/>
      <c r="BW271" s="320"/>
      <c r="BX271" s="320"/>
      <c r="BY271" s="320"/>
      <c r="BZ271" s="320"/>
      <c r="CA271" s="320"/>
      <c r="CB271" s="320"/>
      <c r="CC271" s="320"/>
      <c r="CD271" s="320"/>
      <c r="CE271" s="320"/>
      <c r="CF271" s="320"/>
      <c r="CG271" s="320"/>
      <c r="CH271" s="320"/>
      <c r="CI271" s="320"/>
      <c r="CJ271" s="320"/>
      <c r="CK271" s="320"/>
      <c r="CL271" s="320"/>
      <c r="CM271" s="320"/>
      <c r="CN271" s="320"/>
      <c r="CO271" s="320"/>
      <c r="CP271" s="320"/>
      <c r="CQ271" s="320"/>
      <c r="CR271" s="320"/>
      <c r="CS271" s="320"/>
      <c r="CT271" s="320"/>
      <c r="CU271" s="320"/>
      <c r="CV271" s="320"/>
      <c r="CW271" s="320"/>
      <c r="CX271" s="320"/>
      <c r="CY271" s="320"/>
      <c r="CZ271" s="320"/>
      <c r="DA271" s="320"/>
      <c r="DB271" s="320"/>
      <c r="DC271" s="320"/>
      <c r="DD271" s="320"/>
      <c r="DE271" s="320"/>
      <c r="DF271" s="320"/>
      <c r="DG271" s="320"/>
      <c r="DH271" s="320"/>
      <c r="DI271" s="320"/>
      <c r="DJ271" s="320"/>
      <c r="DK271" s="320"/>
    </row>
    <row r="272" spans="1:115" s="322" customFormat="1" ht="21" customHeight="1">
      <c r="A272" s="341"/>
      <c r="B272" s="340"/>
      <c r="C272" s="339"/>
      <c r="D272" s="333" t="s">
        <v>1139</v>
      </c>
      <c r="E272" s="326" t="s">
        <v>41</v>
      </c>
      <c r="F272" s="331">
        <v>2.9990000000000001</v>
      </c>
      <c r="G272" s="332">
        <v>430</v>
      </c>
      <c r="H272" s="331">
        <v>129</v>
      </c>
      <c r="I272" s="332" t="s">
        <v>71</v>
      </c>
      <c r="J272" s="331">
        <v>2652</v>
      </c>
      <c r="K272" s="326">
        <v>5812</v>
      </c>
      <c r="L272" s="326">
        <v>2995</v>
      </c>
      <c r="M272" s="326" t="s">
        <v>31</v>
      </c>
      <c r="N272" s="342">
        <v>10.6</v>
      </c>
      <c r="O272" s="337">
        <f>IF(N272&gt;0,1/N272*37.7*68.6,"")</f>
        <v>243.98301886792456</v>
      </c>
      <c r="P272" s="328">
        <v>9.51</v>
      </c>
      <c r="Q272" s="327" t="s">
        <v>63</v>
      </c>
      <c r="R272" s="326" t="s">
        <v>33</v>
      </c>
      <c r="S272" s="326" t="s">
        <v>34</v>
      </c>
      <c r="T272" s="326"/>
      <c r="U272" s="325"/>
      <c r="V272" s="324">
        <f>IF(N272&lt;&gt;0, IF(N272&gt;=P272,ROUNDDOWN(N272/P272*100,0),""),"")</f>
        <v>111</v>
      </c>
      <c r="W272" s="311"/>
      <c r="X272" s="323"/>
      <c r="Y272" s="311"/>
      <c r="Z272" s="320"/>
      <c r="AA272" s="320"/>
      <c r="AB272" s="320"/>
      <c r="AC272" s="320"/>
      <c r="AD272" s="320"/>
      <c r="AE272" s="320"/>
      <c r="AF272" s="320"/>
      <c r="AG272" s="320"/>
      <c r="AH272" s="320"/>
      <c r="AI272" s="320"/>
      <c r="AJ272" s="320"/>
      <c r="AK272" s="320"/>
      <c r="AL272" s="320"/>
      <c r="AM272" s="320"/>
      <c r="AN272" s="320"/>
      <c r="AO272" s="320"/>
      <c r="AP272" s="320"/>
      <c r="AQ272" s="320"/>
      <c r="AR272" s="320"/>
      <c r="AS272" s="320"/>
      <c r="AT272" s="320"/>
      <c r="AU272" s="320"/>
      <c r="AV272" s="320"/>
      <c r="AW272" s="320"/>
      <c r="AX272" s="320"/>
      <c r="AY272" s="320"/>
      <c r="AZ272" s="320"/>
      <c r="BA272" s="320"/>
      <c r="BB272" s="320"/>
      <c r="BC272" s="320"/>
      <c r="BD272" s="320"/>
      <c r="BE272" s="320"/>
      <c r="BF272" s="320"/>
      <c r="BG272" s="320"/>
      <c r="BH272" s="320"/>
      <c r="BI272" s="320"/>
      <c r="BJ272" s="320"/>
      <c r="BK272" s="320"/>
      <c r="BL272" s="320"/>
      <c r="BM272" s="320"/>
      <c r="BN272" s="320"/>
      <c r="BO272" s="320"/>
      <c r="BP272" s="320"/>
      <c r="BQ272" s="320"/>
      <c r="BR272" s="320"/>
      <c r="BS272" s="320"/>
      <c r="BT272" s="320"/>
      <c r="BU272" s="320"/>
      <c r="BV272" s="320"/>
      <c r="BW272" s="320"/>
      <c r="BX272" s="320"/>
      <c r="BY272" s="320"/>
      <c r="BZ272" s="320"/>
      <c r="CA272" s="320"/>
      <c r="CB272" s="320"/>
      <c r="CC272" s="320"/>
      <c r="CD272" s="320"/>
      <c r="CE272" s="320"/>
      <c r="CF272" s="320"/>
      <c r="CG272" s="320"/>
      <c r="CH272" s="320"/>
      <c r="CI272" s="320"/>
      <c r="CJ272" s="320"/>
      <c r="CK272" s="320"/>
      <c r="CL272" s="320"/>
      <c r="CM272" s="320"/>
      <c r="CN272" s="320"/>
      <c r="CO272" s="320"/>
      <c r="CP272" s="320"/>
      <c r="CQ272" s="320"/>
      <c r="CR272" s="320"/>
      <c r="CS272" s="320"/>
      <c r="CT272" s="320"/>
      <c r="CU272" s="320"/>
      <c r="CV272" s="320"/>
      <c r="CW272" s="320"/>
      <c r="CX272" s="320"/>
      <c r="CY272" s="320"/>
      <c r="CZ272" s="320"/>
      <c r="DA272" s="320"/>
      <c r="DB272" s="320"/>
      <c r="DC272" s="320"/>
      <c r="DD272" s="320"/>
      <c r="DE272" s="320"/>
      <c r="DF272" s="320"/>
      <c r="DG272" s="320"/>
      <c r="DH272" s="320"/>
      <c r="DI272" s="320"/>
      <c r="DJ272" s="320"/>
      <c r="DK272" s="320"/>
    </row>
    <row r="273" spans="1:115" s="322" customFormat="1" ht="21" customHeight="1">
      <c r="A273" s="341"/>
      <c r="B273" s="340"/>
      <c r="C273" s="339"/>
      <c r="D273" s="333" t="s">
        <v>1139</v>
      </c>
      <c r="E273" s="326" t="s">
        <v>41</v>
      </c>
      <c r="F273" s="331">
        <v>2.9990000000000001</v>
      </c>
      <c r="G273" s="332">
        <v>375</v>
      </c>
      <c r="H273" s="331">
        <v>110</v>
      </c>
      <c r="I273" s="332" t="s">
        <v>71</v>
      </c>
      <c r="J273" s="331">
        <v>2979</v>
      </c>
      <c r="K273" s="326">
        <v>6893</v>
      </c>
      <c r="L273" s="326">
        <v>3749</v>
      </c>
      <c r="M273" s="326" t="s">
        <v>31</v>
      </c>
      <c r="N273" s="342">
        <v>9.1</v>
      </c>
      <c r="O273" s="337">
        <f>IF(N273&gt;0,1/N273*37.7*68.6,"")</f>
        <v>284.2</v>
      </c>
      <c r="P273" s="328">
        <v>8.1199999999999992</v>
      </c>
      <c r="Q273" s="327" t="s">
        <v>43</v>
      </c>
      <c r="R273" s="326" t="s">
        <v>33</v>
      </c>
      <c r="S273" s="326" t="s">
        <v>34</v>
      </c>
      <c r="T273" s="326"/>
      <c r="U273" s="325"/>
      <c r="V273" s="324">
        <f>IF(N273&lt;&gt;0, IF(N273&gt;=P273,ROUNDDOWN(N273/P273*100,0),""),"")</f>
        <v>112</v>
      </c>
      <c r="W273" s="311"/>
      <c r="X273" s="323"/>
      <c r="Y273" s="311"/>
      <c r="Z273" s="320"/>
      <c r="AA273" s="320"/>
      <c r="AB273" s="320"/>
      <c r="AC273" s="320"/>
      <c r="AD273" s="320"/>
      <c r="AE273" s="320"/>
      <c r="AF273" s="320"/>
      <c r="AG273" s="320"/>
      <c r="AH273" s="320"/>
      <c r="AI273" s="320"/>
      <c r="AJ273" s="320"/>
      <c r="AK273" s="320"/>
      <c r="AL273" s="320"/>
      <c r="AM273" s="320"/>
      <c r="AN273" s="320"/>
      <c r="AO273" s="320"/>
      <c r="AP273" s="320"/>
      <c r="AQ273" s="320"/>
      <c r="AR273" s="320"/>
      <c r="AS273" s="320"/>
      <c r="AT273" s="320"/>
      <c r="AU273" s="320"/>
      <c r="AV273" s="320"/>
      <c r="AW273" s="320"/>
      <c r="AX273" s="320"/>
      <c r="AY273" s="320"/>
      <c r="AZ273" s="320"/>
      <c r="BA273" s="320"/>
      <c r="BB273" s="320"/>
      <c r="BC273" s="320"/>
      <c r="BD273" s="320"/>
      <c r="BE273" s="320"/>
      <c r="BF273" s="320"/>
      <c r="BG273" s="320"/>
      <c r="BH273" s="320"/>
      <c r="BI273" s="320"/>
      <c r="BJ273" s="320"/>
      <c r="BK273" s="320"/>
      <c r="BL273" s="320"/>
      <c r="BM273" s="320"/>
      <c r="BN273" s="320"/>
      <c r="BO273" s="320"/>
      <c r="BP273" s="320"/>
      <c r="BQ273" s="320"/>
      <c r="BR273" s="320"/>
      <c r="BS273" s="320"/>
      <c r="BT273" s="320"/>
      <c r="BU273" s="320"/>
      <c r="BV273" s="320"/>
      <c r="BW273" s="320"/>
      <c r="BX273" s="320"/>
      <c r="BY273" s="320"/>
      <c r="BZ273" s="320"/>
      <c r="CA273" s="320"/>
      <c r="CB273" s="320"/>
      <c r="CC273" s="320"/>
      <c r="CD273" s="320"/>
      <c r="CE273" s="320"/>
      <c r="CF273" s="320"/>
      <c r="CG273" s="320"/>
      <c r="CH273" s="320"/>
      <c r="CI273" s="320"/>
      <c r="CJ273" s="320"/>
      <c r="CK273" s="320"/>
      <c r="CL273" s="320"/>
      <c r="CM273" s="320"/>
      <c r="CN273" s="320"/>
      <c r="CO273" s="320"/>
      <c r="CP273" s="320"/>
      <c r="CQ273" s="320"/>
      <c r="CR273" s="320"/>
      <c r="CS273" s="320"/>
      <c r="CT273" s="320"/>
      <c r="CU273" s="320"/>
      <c r="CV273" s="320"/>
      <c r="CW273" s="320"/>
      <c r="CX273" s="320"/>
      <c r="CY273" s="320"/>
      <c r="CZ273" s="320"/>
      <c r="DA273" s="320"/>
      <c r="DB273" s="320"/>
      <c r="DC273" s="320"/>
      <c r="DD273" s="320"/>
      <c r="DE273" s="320"/>
      <c r="DF273" s="320"/>
      <c r="DG273" s="320"/>
      <c r="DH273" s="320"/>
      <c r="DI273" s="320"/>
      <c r="DJ273" s="320"/>
      <c r="DK273" s="320"/>
    </row>
    <row r="274" spans="1:115" s="322" customFormat="1" ht="21" customHeight="1">
      <c r="A274" s="341"/>
      <c r="B274" s="340"/>
      <c r="C274" s="339"/>
      <c r="D274" s="333" t="s">
        <v>1139</v>
      </c>
      <c r="E274" s="326" t="s">
        <v>41</v>
      </c>
      <c r="F274" s="331">
        <v>2.9990000000000001</v>
      </c>
      <c r="G274" s="332">
        <v>430</v>
      </c>
      <c r="H274" s="331">
        <v>129</v>
      </c>
      <c r="I274" s="332" t="s">
        <v>71</v>
      </c>
      <c r="J274" s="331">
        <v>2979</v>
      </c>
      <c r="K274" s="326">
        <v>6893</v>
      </c>
      <c r="L274" s="326">
        <v>3749</v>
      </c>
      <c r="M274" s="326" t="s">
        <v>31</v>
      </c>
      <c r="N274" s="342">
        <v>9.1</v>
      </c>
      <c r="O274" s="337">
        <f>IF(N274&gt;0,1/N274*37.7*68.6,"")</f>
        <v>284.2</v>
      </c>
      <c r="P274" s="328">
        <v>8.1199999999999992</v>
      </c>
      <c r="Q274" s="327" t="s">
        <v>43</v>
      </c>
      <c r="R274" s="326" t="s">
        <v>33</v>
      </c>
      <c r="S274" s="326" t="s">
        <v>34</v>
      </c>
      <c r="T274" s="326"/>
      <c r="U274" s="325"/>
      <c r="V274" s="324">
        <f>IF(N274&lt;&gt;0, IF(N274&gt;=P274,ROUNDDOWN(N274/P274*100,0),""),"")</f>
        <v>112</v>
      </c>
      <c r="W274" s="311"/>
      <c r="X274" s="323"/>
      <c r="Y274" s="311"/>
      <c r="Z274" s="320"/>
      <c r="AA274" s="320"/>
      <c r="AB274" s="320"/>
      <c r="AC274" s="320"/>
      <c r="AD274" s="320"/>
      <c r="AE274" s="320"/>
      <c r="AF274" s="320"/>
      <c r="AG274" s="320"/>
      <c r="AH274" s="320"/>
      <c r="AI274" s="320"/>
      <c r="AJ274" s="320"/>
      <c r="AK274" s="320"/>
      <c r="AL274" s="320"/>
      <c r="AM274" s="320"/>
      <c r="AN274" s="320"/>
      <c r="AO274" s="320"/>
      <c r="AP274" s="320"/>
      <c r="AQ274" s="320"/>
      <c r="AR274" s="320"/>
      <c r="AS274" s="320"/>
      <c r="AT274" s="320"/>
      <c r="AU274" s="320"/>
      <c r="AV274" s="320"/>
      <c r="AW274" s="320"/>
      <c r="AX274" s="320"/>
      <c r="AY274" s="320"/>
      <c r="AZ274" s="320"/>
      <c r="BA274" s="320"/>
      <c r="BB274" s="320"/>
      <c r="BC274" s="320"/>
      <c r="BD274" s="320"/>
      <c r="BE274" s="320"/>
      <c r="BF274" s="320"/>
      <c r="BG274" s="320"/>
      <c r="BH274" s="320"/>
      <c r="BI274" s="320"/>
      <c r="BJ274" s="320"/>
      <c r="BK274" s="320"/>
      <c r="BL274" s="320"/>
      <c r="BM274" s="320"/>
      <c r="BN274" s="320"/>
      <c r="BO274" s="320"/>
      <c r="BP274" s="320"/>
      <c r="BQ274" s="320"/>
      <c r="BR274" s="320"/>
      <c r="BS274" s="320"/>
      <c r="BT274" s="320"/>
      <c r="BU274" s="320"/>
      <c r="BV274" s="320"/>
      <c r="BW274" s="320"/>
      <c r="BX274" s="320"/>
      <c r="BY274" s="320"/>
      <c r="BZ274" s="320"/>
      <c r="CA274" s="320"/>
      <c r="CB274" s="320"/>
      <c r="CC274" s="320"/>
      <c r="CD274" s="320"/>
      <c r="CE274" s="320"/>
      <c r="CF274" s="320"/>
      <c r="CG274" s="320"/>
      <c r="CH274" s="320"/>
      <c r="CI274" s="320"/>
      <c r="CJ274" s="320"/>
      <c r="CK274" s="320"/>
      <c r="CL274" s="320"/>
      <c r="CM274" s="320"/>
      <c r="CN274" s="320"/>
      <c r="CO274" s="320"/>
      <c r="CP274" s="320"/>
      <c r="CQ274" s="320"/>
      <c r="CR274" s="320"/>
      <c r="CS274" s="320"/>
      <c r="CT274" s="320"/>
      <c r="CU274" s="320"/>
      <c r="CV274" s="320"/>
      <c r="CW274" s="320"/>
      <c r="CX274" s="320"/>
      <c r="CY274" s="320"/>
      <c r="CZ274" s="320"/>
      <c r="DA274" s="320"/>
      <c r="DB274" s="320"/>
      <c r="DC274" s="320"/>
      <c r="DD274" s="320"/>
      <c r="DE274" s="320"/>
      <c r="DF274" s="320"/>
      <c r="DG274" s="320"/>
      <c r="DH274" s="320"/>
      <c r="DI274" s="320"/>
      <c r="DJ274" s="320"/>
      <c r="DK274" s="320"/>
    </row>
    <row r="275" spans="1:115" s="322" customFormat="1" ht="21" customHeight="1">
      <c r="A275" s="341"/>
      <c r="B275" s="340"/>
      <c r="C275" s="339"/>
      <c r="D275" s="333" t="s">
        <v>1138</v>
      </c>
      <c r="E275" s="326" t="s">
        <v>41</v>
      </c>
      <c r="F275" s="331">
        <v>2.9990000000000001</v>
      </c>
      <c r="G275" s="332">
        <v>375</v>
      </c>
      <c r="H275" s="331">
        <v>110</v>
      </c>
      <c r="I275" s="332" t="s">
        <v>70</v>
      </c>
      <c r="J275" s="331">
        <v>2356</v>
      </c>
      <c r="K275" s="326">
        <v>4521</v>
      </c>
      <c r="L275" s="326">
        <v>2000</v>
      </c>
      <c r="M275" s="326" t="s">
        <v>31</v>
      </c>
      <c r="N275" s="342">
        <v>11.4</v>
      </c>
      <c r="O275" s="337">
        <f>IF(N275&gt;0,1/N275*37.7*68.6,"")</f>
        <v>226.8614035087719</v>
      </c>
      <c r="P275" s="328">
        <v>10.35</v>
      </c>
      <c r="Q275" s="327" t="s">
        <v>63</v>
      </c>
      <c r="R275" s="326" t="s">
        <v>33</v>
      </c>
      <c r="S275" s="326" t="s">
        <v>34</v>
      </c>
      <c r="T275" s="326"/>
      <c r="U275" s="325"/>
      <c r="V275" s="324">
        <f>IF(N275&lt;&gt;0, IF(N275&gt;=P275,ROUNDDOWN(N275/P275*100,0),""),"")</f>
        <v>110</v>
      </c>
      <c r="W275" s="311"/>
      <c r="X275" s="323"/>
      <c r="Y275" s="311"/>
      <c r="Z275" s="320"/>
      <c r="AA275" s="320"/>
      <c r="AB275" s="320"/>
      <c r="AC275" s="320"/>
      <c r="AD275" s="320"/>
      <c r="AE275" s="320"/>
      <c r="AF275" s="320"/>
      <c r="AG275" s="320"/>
      <c r="AH275" s="320"/>
      <c r="AI275" s="320"/>
      <c r="AJ275" s="320"/>
      <c r="AK275" s="320"/>
      <c r="AL275" s="320"/>
      <c r="AM275" s="320"/>
      <c r="AN275" s="320"/>
      <c r="AO275" s="320"/>
      <c r="AP275" s="320"/>
      <c r="AQ275" s="320"/>
      <c r="AR275" s="320"/>
      <c r="AS275" s="320"/>
      <c r="AT275" s="320"/>
      <c r="AU275" s="320"/>
      <c r="AV275" s="320"/>
      <c r="AW275" s="320"/>
      <c r="AX275" s="320"/>
      <c r="AY275" s="320"/>
      <c r="AZ275" s="320"/>
      <c r="BA275" s="320"/>
      <c r="BB275" s="320"/>
      <c r="BC275" s="320"/>
      <c r="BD275" s="320"/>
      <c r="BE275" s="320"/>
      <c r="BF275" s="320"/>
      <c r="BG275" s="320"/>
      <c r="BH275" s="320"/>
      <c r="BI275" s="320"/>
      <c r="BJ275" s="320"/>
      <c r="BK275" s="320"/>
      <c r="BL275" s="320"/>
      <c r="BM275" s="320"/>
      <c r="BN275" s="320"/>
      <c r="BO275" s="320"/>
      <c r="BP275" s="320"/>
      <c r="BQ275" s="320"/>
      <c r="BR275" s="320"/>
      <c r="BS275" s="320"/>
      <c r="BT275" s="320"/>
      <c r="BU275" s="320"/>
      <c r="BV275" s="320"/>
      <c r="BW275" s="320"/>
      <c r="BX275" s="320"/>
      <c r="BY275" s="320"/>
      <c r="BZ275" s="320"/>
      <c r="CA275" s="320"/>
      <c r="CB275" s="320"/>
      <c r="CC275" s="320"/>
      <c r="CD275" s="320"/>
      <c r="CE275" s="320"/>
      <c r="CF275" s="320"/>
      <c r="CG275" s="320"/>
      <c r="CH275" s="320"/>
      <c r="CI275" s="320"/>
      <c r="CJ275" s="320"/>
      <c r="CK275" s="320"/>
      <c r="CL275" s="320"/>
      <c r="CM275" s="320"/>
      <c r="CN275" s="320"/>
      <c r="CO275" s="320"/>
      <c r="CP275" s="320"/>
      <c r="CQ275" s="320"/>
      <c r="CR275" s="320"/>
      <c r="CS275" s="320"/>
      <c r="CT275" s="320"/>
      <c r="CU275" s="320"/>
      <c r="CV275" s="320"/>
      <c r="CW275" s="320"/>
      <c r="CX275" s="320"/>
      <c r="CY275" s="320"/>
      <c r="CZ275" s="320"/>
      <c r="DA275" s="320"/>
      <c r="DB275" s="320"/>
      <c r="DC275" s="320"/>
      <c r="DD275" s="320"/>
      <c r="DE275" s="320"/>
      <c r="DF275" s="320"/>
      <c r="DG275" s="320"/>
      <c r="DH275" s="320"/>
      <c r="DI275" s="320"/>
      <c r="DJ275" s="320"/>
      <c r="DK275" s="320"/>
    </row>
    <row r="276" spans="1:115" s="322" customFormat="1" ht="21" customHeight="1">
      <c r="A276" s="341"/>
      <c r="B276" s="340"/>
      <c r="C276" s="339"/>
      <c r="D276" s="333" t="s">
        <v>1138</v>
      </c>
      <c r="E276" s="326" t="s">
        <v>41</v>
      </c>
      <c r="F276" s="331">
        <v>2.9990000000000001</v>
      </c>
      <c r="G276" s="332">
        <v>375</v>
      </c>
      <c r="H276" s="331">
        <v>110</v>
      </c>
      <c r="I276" s="332" t="s">
        <v>71</v>
      </c>
      <c r="J276" s="331">
        <v>2356</v>
      </c>
      <c r="K276" s="326">
        <v>4521</v>
      </c>
      <c r="L276" s="326">
        <v>2000</v>
      </c>
      <c r="M276" s="326" t="s">
        <v>31</v>
      </c>
      <c r="N276" s="342">
        <v>11.4</v>
      </c>
      <c r="O276" s="337">
        <f>IF(N276&gt;0,1/N276*37.7*68.6,"")</f>
        <v>226.8614035087719</v>
      </c>
      <c r="P276" s="328">
        <v>10.35</v>
      </c>
      <c r="Q276" s="327" t="s">
        <v>63</v>
      </c>
      <c r="R276" s="326" t="s">
        <v>33</v>
      </c>
      <c r="S276" s="326" t="s">
        <v>34</v>
      </c>
      <c r="T276" s="326"/>
      <c r="U276" s="325"/>
      <c r="V276" s="324">
        <f>IF(N276&lt;&gt;0, IF(N276&gt;=P276,ROUNDDOWN(N276/P276*100,0),""),"")</f>
        <v>110</v>
      </c>
      <c r="W276" s="311"/>
      <c r="X276" s="323"/>
      <c r="Y276" s="311"/>
      <c r="Z276" s="320"/>
      <c r="AA276" s="320"/>
      <c r="AB276" s="320"/>
      <c r="AC276" s="320"/>
      <c r="AD276" s="320"/>
      <c r="AE276" s="320"/>
      <c r="AF276" s="320"/>
      <c r="AG276" s="320"/>
      <c r="AH276" s="320"/>
      <c r="AI276" s="320"/>
      <c r="AJ276" s="320"/>
      <c r="AK276" s="320"/>
      <c r="AL276" s="320"/>
      <c r="AM276" s="320"/>
      <c r="AN276" s="320"/>
      <c r="AO276" s="320"/>
      <c r="AP276" s="320"/>
      <c r="AQ276" s="320"/>
      <c r="AR276" s="320"/>
      <c r="AS276" s="320"/>
      <c r="AT276" s="320"/>
      <c r="AU276" s="320"/>
      <c r="AV276" s="320"/>
      <c r="AW276" s="320"/>
      <c r="AX276" s="320"/>
      <c r="AY276" s="320"/>
      <c r="AZ276" s="320"/>
      <c r="BA276" s="320"/>
      <c r="BB276" s="320"/>
      <c r="BC276" s="320"/>
      <c r="BD276" s="320"/>
      <c r="BE276" s="320"/>
      <c r="BF276" s="320"/>
      <c r="BG276" s="320"/>
      <c r="BH276" s="320"/>
      <c r="BI276" s="320"/>
      <c r="BJ276" s="320"/>
      <c r="BK276" s="320"/>
      <c r="BL276" s="320"/>
      <c r="BM276" s="320"/>
      <c r="BN276" s="320"/>
      <c r="BO276" s="320"/>
      <c r="BP276" s="320"/>
      <c r="BQ276" s="320"/>
      <c r="BR276" s="320"/>
      <c r="BS276" s="320"/>
      <c r="BT276" s="320"/>
      <c r="BU276" s="320"/>
      <c r="BV276" s="320"/>
      <c r="BW276" s="320"/>
      <c r="BX276" s="320"/>
      <c r="BY276" s="320"/>
      <c r="BZ276" s="320"/>
      <c r="CA276" s="320"/>
      <c r="CB276" s="320"/>
      <c r="CC276" s="320"/>
      <c r="CD276" s="320"/>
      <c r="CE276" s="320"/>
      <c r="CF276" s="320"/>
      <c r="CG276" s="320"/>
      <c r="CH276" s="320"/>
      <c r="CI276" s="320"/>
      <c r="CJ276" s="320"/>
      <c r="CK276" s="320"/>
      <c r="CL276" s="320"/>
      <c r="CM276" s="320"/>
      <c r="CN276" s="320"/>
      <c r="CO276" s="320"/>
      <c r="CP276" s="320"/>
      <c r="CQ276" s="320"/>
      <c r="CR276" s="320"/>
      <c r="CS276" s="320"/>
      <c r="CT276" s="320"/>
      <c r="CU276" s="320"/>
      <c r="CV276" s="320"/>
      <c r="CW276" s="320"/>
      <c r="CX276" s="320"/>
      <c r="CY276" s="320"/>
      <c r="CZ276" s="320"/>
      <c r="DA276" s="320"/>
      <c r="DB276" s="320"/>
      <c r="DC276" s="320"/>
      <c r="DD276" s="320"/>
      <c r="DE276" s="320"/>
      <c r="DF276" s="320"/>
      <c r="DG276" s="320"/>
      <c r="DH276" s="320"/>
      <c r="DI276" s="320"/>
      <c r="DJ276" s="320"/>
      <c r="DK276" s="320"/>
    </row>
    <row r="277" spans="1:115" s="322" customFormat="1" ht="21" customHeight="1">
      <c r="A277" s="341"/>
      <c r="B277" s="340"/>
      <c r="C277" s="339"/>
      <c r="D277" s="333" t="s">
        <v>1137</v>
      </c>
      <c r="E277" s="326" t="s">
        <v>41</v>
      </c>
      <c r="F277" s="331">
        <v>2.9990000000000001</v>
      </c>
      <c r="G277" s="332">
        <v>375</v>
      </c>
      <c r="H277" s="331" t="s">
        <v>466</v>
      </c>
      <c r="I277" s="332" t="s">
        <v>70</v>
      </c>
      <c r="J277" s="331">
        <v>2356</v>
      </c>
      <c r="K277" s="326">
        <v>4521</v>
      </c>
      <c r="L277" s="326">
        <v>2000</v>
      </c>
      <c r="M277" s="326" t="s">
        <v>31</v>
      </c>
      <c r="N277" s="342">
        <v>11.4</v>
      </c>
      <c r="O277" s="337">
        <f>IF(N277&gt;0,1/N277*37.7*68.6,"")</f>
        <v>226.8614035087719</v>
      </c>
      <c r="P277" s="328">
        <v>10.35</v>
      </c>
      <c r="Q277" s="327" t="s">
        <v>63</v>
      </c>
      <c r="R277" s="326" t="s">
        <v>33</v>
      </c>
      <c r="S277" s="326" t="s">
        <v>34</v>
      </c>
      <c r="T277" s="326"/>
      <c r="U277" s="325"/>
      <c r="V277" s="324">
        <f>IF(N277&lt;&gt;0, IF(N277&gt;=P277,ROUNDDOWN(N277/P277*100,0),""),"")</f>
        <v>110</v>
      </c>
      <c r="W277" s="311"/>
      <c r="X277" s="320"/>
      <c r="Y277" s="320"/>
      <c r="Z277" s="320"/>
      <c r="AA277" s="320"/>
      <c r="AB277" s="320"/>
      <c r="AC277" s="320"/>
      <c r="AD277" s="320"/>
      <c r="AE277" s="320"/>
      <c r="AF277" s="320"/>
      <c r="AG277" s="320"/>
      <c r="AH277" s="320"/>
      <c r="AI277" s="320"/>
      <c r="AJ277" s="320"/>
      <c r="AK277" s="320"/>
      <c r="AL277" s="320"/>
      <c r="AM277" s="320"/>
      <c r="AN277" s="320"/>
      <c r="AO277" s="320"/>
      <c r="AP277" s="320"/>
      <c r="AQ277" s="320"/>
    </row>
    <row r="278" spans="1:115" s="322" customFormat="1" ht="21" customHeight="1">
      <c r="A278" s="341"/>
      <c r="B278" s="340"/>
      <c r="C278" s="339"/>
      <c r="D278" s="333" t="s">
        <v>1136</v>
      </c>
      <c r="E278" s="326" t="s">
        <v>41</v>
      </c>
      <c r="F278" s="331">
        <v>2.9990000000000001</v>
      </c>
      <c r="G278" s="332">
        <v>375</v>
      </c>
      <c r="H278" s="331">
        <v>110</v>
      </c>
      <c r="I278" s="332" t="s">
        <v>71</v>
      </c>
      <c r="J278" s="331">
        <v>2356</v>
      </c>
      <c r="K278" s="326">
        <v>4521</v>
      </c>
      <c r="L278" s="326">
        <v>2000</v>
      </c>
      <c r="M278" s="326" t="s">
        <v>31</v>
      </c>
      <c r="N278" s="342">
        <v>11.4</v>
      </c>
      <c r="O278" s="337">
        <f>IF(N278&gt;0,1/N278*37.7*68.6,"")</f>
        <v>226.8614035087719</v>
      </c>
      <c r="P278" s="328">
        <v>10.35</v>
      </c>
      <c r="Q278" s="327" t="s">
        <v>63</v>
      </c>
      <c r="R278" s="326" t="s">
        <v>33</v>
      </c>
      <c r="S278" s="326" t="s">
        <v>34</v>
      </c>
      <c r="T278" s="326"/>
      <c r="U278" s="325"/>
      <c r="V278" s="324">
        <f>IF(N278&lt;&gt;0, IF(N278&gt;=P278,ROUNDDOWN(N278/P278*100,0),""),"")</f>
        <v>110</v>
      </c>
      <c r="W278" s="311"/>
      <c r="X278" s="323"/>
      <c r="Y278" s="311"/>
      <c r="Z278" s="320"/>
      <c r="AA278" s="320"/>
      <c r="AB278" s="320"/>
      <c r="AC278" s="320"/>
      <c r="AD278" s="320"/>
      <c r="AE278" s="320"/>
      <c r="AF278" s="320"/>
      <c r="AG278" s="320"/>
      <c r="AH278" s="320"/>
      <c r="AI278" s="320"/>
      <c r="AJ278" s="320"/>
      <c r="AK278" s="320"/>
      <c r="AL278" s="320"/>
      <c r="AM278" s="320"/>
      <c r="AN278" s="320"/>
      <c r="AO278" s="320"/>
      <c r="AP278" s="320"/>
      <c r="AQ278" s="320"/>
      <c r="AR278" s="320"/>
      <c r="AS278" s="320"/>
      <c r="AT278" s="320"/>
      <c r="AU278" s="320"/>
      <c r="AV278" s="320"/>
      <c r="AW278" s="320"/>
      <c r="AX278" s="320"/>
      <c r="AY278" s="320"/>
      <c r="AZ278" s="320"/>
      <c r="BA278" s="320"/>
      <c r="BB278" s="320"/>
      <c r="BC278" s="320"/>
      <c r="BD278" s="320"/>
      <c r="BE278" s="320"/>
      <c r="BF278" s="320"/>
      <c r="BG278" s="320"/>
      <c r="BH278" s="320"/>
      <c r="BI278" s="320"/>
      <c r="BJ278" s="320"/>
      <c r="BK278" s="320"/>
      <c r="BL278" s="320"/>
      <c r="BM278" s="320"/>
      <c r="BN278" s="320"/>
      <c r="BO278" s="320"/>
      <c r="BP278" s="320"/>
      <c r="BQ278" s="320"/>
      <c r="BR278" s="320"/>
      <c r="BS278" s="320"/>
      <c r="BT278" s="320"/>
      <c r="BU278" s="320"/>
      <c r="BV278" s="320"/>
      <c r="BW278" s="320"/>
      <c r="BX278" s="320"/>
      <c r="BY278" s="320"/>
      <c r="BZ278" s="320"/>
      <c r="CA278" s="320"/>
      <c r="CB278" s="320"/>
      <c r="CC278" s="320"/>
      <c r="CD278" s="320"/>
      <c r="CE278" s="320"/>
      <c r="CF278" s="320"/>
      <c r="CG278" s="320"/>
      <c r="CH278" s="320"/>
      <c r="CI278" s="320"/>
      <c r="CJ278" s="320"/>
      <c r="CK278" s="320"/>
      <c r="CL278" s="320"/>
      <c r="CM278" s="320"/>
      <c r="CN278" s="320"/>
      <c r="CO278" s="320"/>
      <c r="CP278" s="320"/>
      <c r="CQ278" s="320"/>
      <c r="CR278" s="320"/>
      <c r="CS278" s="320"/>
      <c r="CT278" s="320"/>
      <c r="CU278" s="320"/>
      <c r="CV278" s="320"/>
      <c r="CW278" s="320"/>
      <c r="CX278" s="320"/>
      <c r="CY278" s="320"/>
      <c r="CZ278" s="320"/>
      <c r="DA278" s="320"/>
      <c r="DB278" s="320"/>
      <c r="DC278" s="320"/>
      <c r="DD278" s="320"/>
      <c r="DE278" s="320"/>
      <c r="DF278" s="320"/>
      <c r="DG278" s="320"/>
      <c r="DH278" s="320"/>
      <c r="DI278" s="320"/>
      <c r="DJ278" s="320"/>
      <c r="DK278" s="320"/>
    </row>
    <row r="279" spans="1:115" s="322" customFormat="1" ht="21" customHeight="1">
      <c r="A279" s="341"/>
      <c r="B279" s="340"/>
      <c r="C279" s="339"/>
      <c r="D279" s="333" t="s">
        <v>1136</v>
      </c>
      <c r="E279" s="326" t="s">
        <v>41</v>
      </c>
      <c r="F279" s="331">
        <v>2.9990000000000001</v>
      </c>
      <c r="G279" s="332">
        <v>375</v>
      </c>
      <c r="H279" s="331">
        <v>110</v>
      </c>
      <c r="I279" s="332" t="s">
        <v>71</v>
      </c>
      <c r="J279" s="331">
        <v>2652</v>
      </c>
      <c r="K279" s="326">
        <v>5812</v>
      </c>
      <c r="L279" s="326">
        <v>2995</v>
      </c>
      <c r="M279" s="326" t="s">
        <v>31</v>
      </c>
      <c r="N279" s="342">
        <v>10.6</v>
      </c>
      <c r="O279" s="337">
        <f>IF(N279&gt;0,1/N279*37.7*68.6,"")</f>
        <v>243.98301886792456</v>
      </c>
      <c r="P279" s="328">
        <v>9.51</v>
      </c>
      <c r="Q279" s="327" t="s">
        <v>63</v>
      </c>
      <c r="R279" s="326" t="s">
        <v>33</v>
      </c>
      <c r="S279" s="326" t="s">
        <v>34</v>
      </c>
      <c r="T279" s="326"/>
      <c r="U279" s="325"/>
      <c r="V279" s="324">
        <f>IF(N279&lt;&gt;0, IF(N279&gt;=P279,ROUNDDOWN(N279/P279*100,0),""),"")</f>
        <v>111</v>
      </c>
      <c r="W279" s="311"/>
      <c r="X279" s="323"/>
      <c r="Y279" s="311"/>
      <c r="Z279" s="320"/>
      <c r="AA279" s="320"/>
      <c r="AB279" s="320"/>
      <c r="AC279" s="320"/>
      <c r="AD279" s="320"/>
      <c r="AE279" s="320"/>
      <c r="AF279" s="320"/>
      <c r="AG279" s="320"/>
      <c r="AH279" s="320"/>
      <c r="AI279" s="320"/>
      <c r="AJ279" s="320"/>
      <c r="AK279" s="320"/>
      <c r="AL279" s="320"/>
      <c r="AM279" s="320"/>
      <c r="AN279" s="320"/>
      <c r="AO279" s="320"/>
      <c r="AP279" s="320"/>
      <c r="AQ279" s="320"/>
      <c r="AR279" s="320"/>
      <c r="AS279" s="320"/>
      <c r="AT279" s="320"/>
      <c r="AU279" s="320"/>
      <c r="AV279" s="320"/>
      <c r="AW279" s="320"/>
      <c r="AX279" s="320"/>
      <c r="AY279" s="320"/>
      <c r="AZ279" s="320"/>
      <c r="BA279" s="320"/>
      <c r="BB279" s="320"/>
      <c r="BC279" s="320"/>
      <c r="BD279" s="320"/>
      <c r="BE279" s="320"/>
      <c r="BF279" s="320"/>
      <c r="BG279" s="320"/>
      <c r="BH279" s="320"/>
      <c r="BI279" s="320"/>
      <c r="BJ279" s="320"/>
      <c r="BK279" s="320"/>
      <c r="BL279" s="320"/>
      <c r="BM279" s="320"/>
      <c r="BN279" s="320"/>
      <c r="BO279" s="320"/>
      <c r="BP279" s="320"/>
      <c r="BQ279" s="320"/>
      <c r="BR279" s="320"/>
      <c r="BS279" s="320"/>
      <c r="BT279" s="320"/>
      <c r="BU279" s="320"/>
      <c r="BV279" s="320"/>
      <c r="BW279" s="320"/>
      <c r="BX279" s="320"/>
      <c r="BY279" s="320"/>
      <c r="BZ279" s="320"/>
      <c r="CA279" s="320"/>
      <c r="CB279" s="320"/>
      <c r="CC279" s="320"/>
      <c r="CD279" s="320"/>
      <c r="CE279" s="320"/>
      <c r="CF279" s="320"/>
      <c r="CG279" s="320"/>
      <c r="CH279" s="320"/>
      <c r="CI279" s="320"/>
      <c r="CJ279" s="320"/>
      <c r="CK279" s="320"/>
      <c r="CL279" s="320"/>
      <c r="CM279" s="320"/>
      <c r="CN279" s="320"/>
      <c r="CO279" s="320"/>
      <c r="CP279" s="320"/>
      <c r="CQ279" s="320"/>
      <c r="CR279" s="320"/>
      <c r="CS279" s="320"/>
      <c r="CT279" s="320"/>
      <c r="CU279" s="320"/>
      <c r="CV279" s="320"/>
      <c r="CW279" s="320"/>
      <c r="CX279" s="320"/>
      <c r="CY279" s="320"/>
      <c r="CZ279" s="320"/>
      <c r="DA279" s="320"/>
      <c r="DB279" s="320"/>
      <c r="DC279" s="320"/>
      <c r="DD279" s="320"/>
      <c r="DE279" s="320"/>
      <c r="DF279" s="320"/>
      <c r="DG279" s="320"/>
      <c r="DH279" s="320"/>
      <c r="DI279" s="320"/>
      <c r="DJ279" s="320"/>
      <c r="DK279" s="320"/>
    </row>
    <row r="280" spans="1:115" s="322" customFormat="1" ht="21" customHeight="1">
      <c r="A280" s="341"/>
      <c r="B280" s="340"/>
      <c r="C280" s="339"/>
      <c r="D280" s="333" t="s">
        <v>1135</v>
      </c>
      <c r="E280" s="326" t="s">
        <v>41</v>
      </c>
      <c r="F280" s="331">
        <v>2.9990000000000001</v>
      </c>
      <c r="G280" s="332">
        <v>375</v>
      </c>
      <c r="H280" s="331">
        <v>110</v>
      </c>
      <c r="I280" s="332" t="s">
        <v>71</v>
      </c>
      <c r="J280" s="331">
        <v>2356</v>
      </c>
      <c r="K280" s="326">
        <v>4521</v>
      </c>
      <c r="L280" s="326">
        <v>2000</v>
      </c>
      <c r="M280" s="326" t="s">
        <v>31</v>
      </c>
      <c r="N280" s="342">
        <v>11.4</v>
      </c>
      <c r="O280" s="337">
        <f>IF(N280&gt;0,1/N280*37.7*68.6,"")</f>
        <v>226.8614035087719</v>
      </c>
      <c r="P280" s="328">
        <v>10.35</v>
      </c>
      <c r="Q280" s="327" t="s">
        <v>63</v>
      </c>
      <c r="R280" s="326" t="s">
        <v>33</v>
      </c>
      <c r="S280" s="326" t="s">
        <v>34</v>
      </c>
      <c r="T280" s="326"/>
      <c r="U280" s="325"/>
      <c r="V280" s="324">
        <f>IF(N280&lt;&gt;0, IF(N280&gt;=P280,ROUNDDOWN(N280/P280*100,0),""),"")</f>
        <v>110</v>
      </c>
      <c r="W280" s="311"/>
      <c r="X280" s="323"/>
      <c r="Y280" s="311"/>
      <c r="Z280" s="320"/>
      <c r="AA280" s="320"/>
      <c r="AB280" s="320"/>
      <c r="AC280" s="320"/>
      <c r="AD280" s="320"/>
      <c r="AE280" s="320"/>
      <c r="AF280" s="320"/>
      <c r="AG280" s="320"/>
      <c r="AH280" s="320"/>
      <c r="AI280" s="320"/>
      <c r="AJ280" s="320"/>
      <c r="AK280" s="320"/>
      <c r="AL280" s="320"/>
      <c r="AM280" s="320"/>
      <c r="AN280" s="320"/>
      <c r="AO280" s="320"/>
      <c r="AP280" s="320"/>
      <c r="AQ280" s="320"/>
      <c r="AR280" s="320"/>
      <c r="AS280" s="320"/>
      <c r="AT280" s="320"/>
      <c r="AU280" s="320"/>
      <c r="AV280" s="320"/>
      <c r="AW280" s="320"/>
      <c r="AX280" s="320"/>
      <c r="AY280" s="320"/>
      <c r="AZ280" s="320"/>
      <c r="BA280" s="320"/>
      <c r="BB280" s="320"/>
      <c r="BC280" s="320"/>
      <c r="BD280" s="320"/>
      <c r="BE280" s="320"/>
      <c r="BF280" s="320"/>
      <c r="BG280" s="320"/>
      <c r="BH280" s="320"/>
      <c r="BI280" s="320"/>
      <c r="BJ280" s="320"/>
      <c r="BK280" s="320"/>
      <c r="BL280" s="320"/>
      <c r="BM280" s="320"/>
      <c r="BN280" s="320"/>
      <c r="BO280" s="320"/>
      <c r="BP280" s="320"/>
      <c r="BQ280" s="320"/>
      <c r="BR280" s="320"/>
      <c r="BS280" s="320"/>
      <c r="BT280" s="320"/>
      <c r="BU280" s="320"/>
      <c r="BV280" s="320"/>
      <c r="BW280" s="320"/>
      <c r="BX280" s="320"/>
      <c r="BY280" s="320"/>
      <c r="BZ280" s="320"/>
      <c r="CA280" s="320"/>
      <c r="CB280" s="320"/>
      <c r="CC280" s="320"/>
      <c r="CD280" s="320"/>
      <c r="CE280" s="320"/>
      <c r="CF280" s="320"/>
      <c r="CG280" s="320"/>
      <c r="CH280" s="320"/>
      <c r="CI280" s="320"/>
      <c r="CJ280" s="320"/>
      <c r="CK280" s="320"/>
      <c r="CL280" s="320"/>
      <c r="CM280" s="320"/>
      <c r="CN280" s="320"/>
      <c r="CO280" s="320"/>
      <c r="CP280" s="320"/>
      <c r="CQ280" s="320"/>
      <c r="CR280" s="320"/>
      <c r="CS280" s="320"/>
      <c r="CT280" s="320"/>
      <c r="CU280" s="320"/>
      <c r="CV280" s="320"/>
      <c r="CW280" s="320"/>
      <c r="CX280" s="320"/>
      <c r="CY280" s="320"/>
      <c r="CZ280" s="320"/>
      <c r="DA280" s="320"/>
      <c r="DB280" s="320"/>
      <c r="DC280" s="320"/>
      <c r="DD280" s="320"/>
      <c r="DE280" s="320"/>
      <c r="DF280" s="320"/>
      <c r="DG280" s="320"/>
      <c r="DH280" s="320"/>
      <c r="DI280" s="320"/>
      <c r="DJ280" s="320"/>
      <c r="DK280" s="320"/>
    </row>
    <row r="281" spans="1:115" s="322" customFormat="1" ht="21" customHeight="1">
      <c r="A281" s="341"/>
      <c r="B281" s="340"/>
      <c r="C281" s="339"/>
      <c r="D281" s="333" t="s">
        <v>1135</v>
      </c>
      <c r="E281" s="326" t="s">
        <v>41</v>
      </c>
      <c r="F281" s="331">
        <v>2.9990000000000001</v>
      </c>
      <c r="G281" s="332">
        <v>375</v>
      </c>
      <c r="H281" s="331">
        <v>110</v>
      </c>
      <c r="I281" s="332" t="s">
        <v>71</v>
      </c>
      <c r="J281" s="331">
        <v>2652</v>
      </c>
      <c r="K281" s="326">
        <v>5812</v>
      </c>
      <c r="L281" s="326">
        <v>2995</v>
      </c>
      <c r="M281" s="326" t="s">
        <v>31</v>
      </c>
      <c r="N281" s="342">
        <v>10.8</v>
      </c>
      <c r="O281" s="337">
        <f>IF(N281&gt;0,1/N281*37.7*68.6,"")</f>
        <v>239.46481481481482</v>
      </c>
      <c r="P281" s="328">
        <v>9.51</v>
      </c>
      <c r="Q281" s="327" t="s">
        <v>43</v>
      </c>
      <c r="R281" s="326" t="s">
        <v>33</v>
      </c>
      <c r="S281" s="326" t="s">
        <v>34</v>
      </c>
      <c r="T281" s="326"/>
      <c r="U281" s="325"/>
      <c r="V281" s="324">
        <f>IF(N281&lt;&gt;0, IF(N281&gt;=P281,ROUNDDOWN(N281/P281*100,0),""),"")</f>
        <v>113</v>
      </c>
      <c r="W281" s="311"/>
      <c r="X281" s="323"/>
      <c r="Y281" s="311"/>
      <c r="Z281" s="320"/>
      <c r="AA281" s="320"/>
      <c r="AB281" s="320"/>
      <c r="AC281" s="320"/>
      <c r="AD281" s="320"/>
      <c r="AE281" s="320"/>
      <c r="AF281" s="320"/>
      <c r="AG281" s="320"/>
      <c r="AH281" s="320"/>
      <c r="AI281" s="320"/>
      <c r="AJ281" s="320"/>
      <c r="AK281" s="320"/>
      <c r="AL281" s="320"/>
      <c r="AM281" s="320"/>
      <c r="AN281" s="320"/>
      <c r="AO281" s="320"/>
      <c r="AP281" s="320"/>
      <c r="AQ281" s="320"/>
      <c r="AR281" s="320"/>
      <c r="AS281" s="320"/>
      <c r="AT281" s="320"/>
      <c r="AU281" s="320"/>
      <c r="AV281" s="320"/>
      <c r="AW281" s="320"/>
      <c r="AX281" s="320"/>
      <c r="AY281" s="320"/>
      <c r="AZ281" s="320"/>
      <c r="BA281" s="320"/>
      <c r="BB281" s="320"/>
      <c r="BC281" s="320"/>
      <c r="BD281" s="320"/>
      <c r="BE281" s="320"/>
      <c r="BF281" s="320"/>
      <c r="BG281" s="320"/>
      <c r="BH281" s="320"/>
      <c r="BI281" s="320"/>
      <c r="BJ281" s="320"/>
      <c r="BK281" s="320"/>
      <c r="BL281" s="320"/>
      <c r="BM281" s="320"/>
      <c r="BN281" s="320"/>
      <c r="BO281" s="320"/>
      <c r="BP281" s="320"/>
      <c r="BQ281" s="320"/>
      <c r="BR281" s="320"/>
      <c r="BS281" s="320"/>
      <c r="BT281" s="320"/>
      <c r="BU281" s="320"/>
      <c r="BV281" s="320"/>
      <c r="BW281" s="320"/>
      <c r="BX281" s="320"/>
      <c r="BY281" s="320"/>
      <c r="BZ281" s="320"/>
      <c r="CA281" s="320"/>
      <c r="CB281" s="320"/>
      <c r="CC281" s="320"/>
      <c r="CD281" s="320"/>
      <c r="CE281" s="320"/>
      <c r="CF281" s="320"/>
      <c r="CG281" s="320"/>
      <c r="CH281" s="320"/>
      <c r="CI281" s="320"/>
      <c r="CJ281" s="320"/>
      <c r="CK281" s="320"/>
      <c r="CL281" s="320"/>
      <c r="CM281" s="320"/>
      <c r="CN281" s="320"/>
      <c r="CO281" s="320"/>
      <c r="CP281" s="320"/>
      <c r="CQ281" s="320"/>
      <c r="CR281" s="320"/>
      <c r="CS281" s="320"/>
      <c r="CT281" s="320"/>
      <c r="CU281" s="320"/>
      <c r="CV281" s="320"/>
      <c r="CW281" s="320"/>
      <c r="CX281" s="320"/>
      <c r="CY281" s="320"/>
      <c r="CZ281" s="320"/>
      <c r="DA281" s="320"/>
      <c r="DB281" s="320"/>
      <c r="DC281" s="320"/>
      <c r="DD281" s="320"/>
      <c r="DE281" s="320"/>
      <c r="DF281" s="320"/>
      <c r="DG281" s="320"/>
      <c r="DH281" s="320"/>
      <c r="DI281" s="320"/>
      <c r="DJ281" s="320"/>
      <c r="DK281" s="320"/>
    </row>
    <row r="282" spans="1:115" s="322" customFormat="1" ht="21" customHeight="1">
      <c r="A282" s="341"/>
      <c r="B282" s="340"/>
      <c r="C282" s="339"/>
      <c r="D282" s="333" t="s">
        <v>1135</v>
      </c>
      <c r="E282" s="326" t="s">
        <v>41</v>
      </c>
      <c r="F282" s="331">
        <v>2.9990000000000001</v>
      </c>
      <c r="G282" s="332">
        <v>375</v>
      </c>
      <c r="H282" s="331">
        <v>110</v>
      </c>
      <c r="I282" s="332" t="s">
        <v>71</v>
      </c>
      <c r="J282" s="331">
        <v>2652</v>
      </c>
      <c r="K282" s="326">
        <v>5812</v>
      </c>
      <c r="L282" s="326">
        <v>2995</v>
      </c>
      <c r="M282" s="326" t="s">
        <v>31</v>
      </c>
      <c r="N282" s="342">
        <v>10.6</v>
      </c>
      <c r="O282" s="337">
        <f>IF(N282&gt;0,1/N282*37.7*68.6,"")</f>
        <v>243.98301886792456</v>
      </c>
      <c r="P282" s="328">
        <v>9.51</v>
      </c>
      <c r="Q282" s="327" t="s">
        <v>63</v>
      </c>
      <c r="R282" s="326" t="s">
        <v>33</v>
      </c>
      <c r="S282" s="326" t="s">
        <v>34</v>
      </c>
      <c r="T282" s="326"/>
      <c r="U282" s="325"/>
      <c r="V282" s="324">
        <f>IF(N282&lt;&gt;0, IF(N282&gt;=P282,ROUNDDOWN(N282/P282*100,0),""),"")</f>
        <v>111</v>
      </c>
      <c r="W282" s="311"/>
      <c r="X282" s="323"/>
      <c r="Y282" s="311"/>
      <c r="Z282" s="320"/>
      <c r="AA282" s="320"/>
      <c r="AB282" s="320"/>
      <c r="AC282" s="320"/>
      <c r="AD282" s="320"/>
      <c r="AE282" s="320"/>
      <c r="AF282" s="320"/>
      <c r="AG282" s="320"/>
      <c r="AH282" s="320"/>
      <c r="AI282" s="320"/>
      <c r="AJ282" s="320"/>
      <c r="AK282" s="320"/>
      <c r="AL282" s="320"/>
      <c r="AM282" s="320"/>
      <c r="AN282" s="320"/>
      <c r="AO282" s="320"/>
      <c r="AP282" s="320"/>
      <c r="AQ282" s="320"/>
      <c r="AR282" s="320"/>
      <c r="AS282" s="320"/>
      <c r="AT282" s="320"/>
      <c r="AU282" s="320"/>
      <c r="AV282" s="320"/>
      <c r="AW282" s="320"/>
      <c r="AX282" s="320"/>
      <c r="AY282" s="320"/>
      <c r="AZ282" s="320"/>
      <c r="BA282" s="320"/>
      <c r="BB282" s="320"/>
      <c r="BC282" s="320"/>
      <c r="BD282" s="320"/>
      <c r="BE282" s="320"/>
      <c r="BF282" s="320"/>
      <c r="BG282" s="320"/>
      <c r="BH282" s="320"/>
      <c r="BI282" s="320"/>
      <c r="BJ282" s="320"/>
      <c r="BK282" s="320"/>
      <c r="BL282" s="320"/>
      <c r="BM282" s="320"/>
      <c r="BN282" s="320"/>
      <c r="BO282" s="320"/>
      <c r="BP282" s="320"/>
      <c r="BQ282" s="320"/>
      <c r="BR282" s="320"/>
      <c r="BS282" s="320"/>
      <c r="BT282" s="320"/>
      <c r="BU282" s="320"/>
      <c r="BV282" s="320"/>
      <c r="BW282" s="320"/>
      <c r="BX282" s="320"/>
      <c r="BY282" s="320"/>
      <c r="BZ282" s="320"/>
      <c r="CA282" s="320"/>
      <c r="CB282" s="320"/>
      <c r="CC282" s="320"/>
      <c r="CD282" s="320"/>
      <c r="CE282" s="320"/>
      <c r="CF282" s="320"/>
      <c r="CG282" s="320"/>
      <c r="CH282" s="320"/>
      <c r="CI282" s="320"/>
      <c r="CJ282" s="320"/>
      <c r="CK282" s="320"/>
      <c r="CL282" s="320"/>
      <c r="CM282" s="320"/>
      <c r="CN282" s="320"/>
      <c r="CO282" s="320"/>
      <c r="CP282" s="320"/>
      <c r="CQ282" s="320"/>
      <c r="CR282" s="320"/>
      <c r="CS282" s="320"/>
      <c r="CT282" s="320"/>
      <c r="CU282" s="320"/>
      <c r="CV282" s="320"/>
      <c r="CW282" s="320"/>
      <c r="CX282" s="320"/>
      <c r="CY282" s="320"/>
      <c r="CZ282" s="320"/>
      <c r="DA282" s="320"/>
      <c r="DB282" s="320"/>
      <c r="DC282" s="320"/>
      <c r="DD282" s="320"/>
      <c r="DE282" s="320"/>
      <c r="DF282" s="320"/>
      <c r="DG282" s="320"/>
      <c r="DH282" s="320"/>
      <c r="DI282" s="320"/>
      <c r="DJ282" s="320"/>
      <c r="DK282" s="320"/>
    </row>
    <row r="283" spans="1:115" s="322" customFormat="1" ht="21" customHeight="1">
      <c r="A283" s="341"/>
      <c r="B283" s="340"/>
      <c r="C283" s="339"/>
      <c r="D283" s="333" t="s">
        <v>1135</v>
      </c>
      <c r="E283" s="326" t="s">
        <v>41</v>
      </c>
      <c r="F283" s="331">
        <v>2.9990000000000001</v>
      </c>
      <c r="G283" s="332">
        <v>375</v>
      </c>
      <c r="H283" s="331">
        <v>110</v>
      </c>
      <c r="I283" s="332" t="s">
        <v>71</v>
      </c>
      <c r="J283" s="331">
        <v>2979</v>
      </c>
      <c r="K283" s="326">
        <v>6893</v>
      </c>
      <c r="L283" s="326">
        <v>3749</v>
      </c>
      <c r="M283" s="326" t="s">
        <v>31</v>
      </c>
      <c r="N283" s="342">
        <v>9.1</v>
      </c>
      <c r="O283" s="337">
        <f>IF(N283&gt;0,1/N283*37.7*68.6,"")</f>
        <v>284.2</v>
      </c>
      <c r="P283" s="328">
        <v>8.1199999999999992</v>
      </c>
      <c r="Q283" s="327" t="s">
        <v>43</v>
      </c>
      <c r="R283" s="326" t="s">
        <v>33</v>
      </c>
      <c r="S283" s="326" t="s">
        <v>34</v>
      </c>
      <c r="T283" s="326"/>
      <c r="U283" s="325"/>
      <c r="V283" s="324">
        <f>IF(N283&lt;&gt;0, IF(N283&gt;=P283,ROUNDDOWN(N283/P283*100,0),""),"")</f>
        <v>112</v>
      </c>
      <c r="W283" s="311"/>
      <c r="X283" s="323"/>
      <c r="Y283" s="311"/>
      <c r="Z283" s="320"/>
      <c r="AA283" s="320"/>
      <c r="AB283" s="320"/>
      <c r="AC283" s="320"/>
      <c r="AD283" s="320"/>
      <c r="AE283" s="320"/>
      <c r="AF283" s="320"/>
      <c r="AG283" s="320"/>
      <c r="AH283" s="320"/>
      <c r="AI283" s="320"/>
      <c r="AJ283" s="320"/>
      <c r="AK283" s="320"/>
      <c r="AL283" s="320"/>
      <c r="AM283" s="320"/>
      <c r="AN283" s="320"/>
      <c r="AO283" s="320"/>
      <c r="AP283" s="320"/>
      <c r="AQ283" s="320"/>
      <c r="AR283" s="320"/>
      <c r="AS283" s="320"/>
      <c r="AT283" s="320"/>
      <c r="AU283" s="320"/>
      <c r="AV283" s="320"/>
      <c r="AW283" s="320"/>
      <c r="AX283" s="320"/>
      <c r="AY283" s="320"/>
      <c r="AZ283" s="320"/>
      <c r="BA283" s="320"/>
      <c r="BB283" s="320"/>
      <c r="BC283" s="320"/>
      <c r="BD283" s="320"/>
      <c r="BE283" s="320"/>
      <c r="BF283" s="320"/>
      <c r="BG283" s="320"/>
      <c r="BH283" s="320"/>
      <c r="BI283" s="320"/>
      <c r="BJ283" s="320"/>
      <c r="BK283" s="320"/>
      <c r="BL283" s="320"/>
      <c r="BM283" s="320"/>
      <c r="BN283" s="320"/>
      <c r="BO283" s="320"/>
      <c r="BP283" s="320"/>
      <c r="BQ283" s="320"/>
      <c r="BR283" s="320"/>
      <c r="BS283" s="320"/>
      <c r="BT283" s="320"/>
      <c r="BU283" s="320"/>
      <c r="BV283" s="320"/>
      <c r="BW283" s="320"/>
      <c r="BX283" s="320"/>
      <c r="BY283" s="320"/>
      <c r="BZ283" s="320"/>
      <c r="CA283" s="320"/>
      <c r="CB283" s="320"/>
      <c r="CC283" s="320"/>
      <c r="CD283" s="320"/>
      <c r="CE283" s="320"/>
      <c r="CF283" s="320"/>
      <c r="CG283" s="320"/>
      <c r="CH283" s="320"/>
      <c r="CI283" s="320"/>
      <c r="CJ283" s="320"/>
      <c r="CK283" s="320"/>
      <c r="CL283" s="320"/>
      <c r="CM283" s="320"/>
      <c r="CN283" s="320"/>
      <c r="CO283" s="320"/>
      <c r="CP283" s="320"/>
      <c r="CQ283" s="320"/>
      <c r="CR283" s="320"/>
      <c r="CS283" s="320"/>
      <c r="CT283" s="320"/>
      <c r="CU283" s="320"/>
      <c r="CV283" s="320"/>
      <c r="CW283" s="320"/>
      <c r="CX283" s="320"/>
      <c r="CY283" s="320"/>
      <c r="CZ283" s="320"/>
      <c r="DA283" s="320"/>
      <c r="DB283" s="320"/>
      <c r="DC283" s="320"/>
      <c r="DD283" s="320"/>
      <c r="DE283" s="320"/>
      <c r="DF283" s="320"/>
      <c r="DG283" s="320"/>
      <c r="DH283" s="320"/>
      <c r="DI283" s="320"/>
      <c r="DJ283" s="320"/>
      <c r="DK283" s="320"/>
    </row>
    <row r="284" spans="1:115" s="322" customFormat="1" ht="21" customHeight="1">
      <c r="A284" s="341"/>
      <c r="B284" s="340"/>
      <c r="C284" s="339"/>
      <c r="D284" s="333" t="s">
        <v>1134</v>
      </c>
      <c r="E284" s="326" t="s">
        <v>41</v>
      </c>
      <c r="F284" s="331">
        <v>2.9990000000000001</v>
      </c>
      <c r="G284" s="332">
        <v>375</v>
      </c>
      <c r="H284" s="331">
        <v>110</v>
      </c>
      <c r="I284" s="332" t="s">
        <v>70</v>
      </c>
      <c r="J284" s="331">
        <v>2356</v>
      </c>
      <c r="K284" s="326">
        <v>4521</v>
      </c>
      <c r="L284" s="326">
        <v>2000</v>
      </c>
      <c r="M284" s="326" t="s">
        <v>31</v>
      </c>
      <c r="N284" s="342">
        <v>11.4</v>
      </c>
      <c r="O284" s="337">
        <f>IF(N284&gt;0,1/N284*37.7*68.6,"")</f>
        <v>226.8614035087719</v>
      </c>
      <c r="P284" s="328">
        <v>10.35</v>
      </c>
      <c r="Q284" s="327" t="s">
        <v>43</v>
      </c>
      <c r="R284" s="326" t="s">
        <v>33</v>
      </c>
      <c r="S284" s="326" t="s">
        <v>66</v>
      </c>
      <c r="T284" s="326"/>
      <c r="U284" s="325"/>
      <c r="V284" s="324">
        <f>IF(N284&lt;&gt;0, IF(N284&gt;=P284,ROUNDDOWN(N284/P284*100,0),""),"")</f>
        <v>110</v>
      </c>
      <c r="W284" s="311"/>
      <c r="X284" s="323"/>
      <c r="Y284" s="311"/>
      <c r="Z284" s="320"/>
      <c r="AA284" s="320"/>
      <c r="AB284" s="320"/>
      <c r="AC284" s="320"/>
      <c r="AD284" s="320"/>
      <c r="AE284" s="320"/>
      <c r="AF284" s="320"/>
      <c r="AG284" s="320"/>
      <c r="AH284" s="320"/>
      <c r="AI284" s="320"/>
      <c r="AJ284" s="320"/>
      <c r="AK284" s="320"/>
      <c r="AL284" s="320"/>
      <c r="AM284" s="320"/>
      <c r="AN284" s="320"/>
      <c r="AO284" s="320"/>
      <c r="AP284" s="320"/>
      <c r="AQ284" s="320"/>
      <c r="AR284" s="320"/>
      <c r="AS284" s="320"/>
      <c r="AT284" s="320"/>
      <c r="AU284" s="320"/>
      <c r="AV284" s="320"/>
      <c r="AW284" s="320"/>
      <c r="AX284" s="320"/>
      <c r="AY284" s="320"/>
      <c r="AZ284" s="320"/>
      <c r="BA284" s="320"/>
      <c r="BB284" s="320"/>
      <c r="BC284" s="320"/>
      <c r="BD284" s="320"/>
      <c r="BE284" s="320"/>
      <c r="BF284" s="320"/>
      <c r="BG284" s="320"/>
      <c r="BH284" s="320"/>
      <c r="BI284" s="320"/>
      <c r="BJ284" s="320"/>
      <c r="BK284" s="320"/>
      <c r="BL284" s="320"/>
      <c r="BM284" s="320"/>
      <c r="BN284" s="320"/>
      <c r="BO284" s="320"/>
      <c r="BP284" s="320"/>
      <c r="BQ284" s="320"/>
      <c r="BR284" s="320"/>
      <c r="BS284" s="320"/>
      <c r="BT284" s="320"/>
      <c r="BU284" s="320"/>
      <c r="BV284" s="320"/>
      <c r="BW284" s="320"/>
      <c r="BX284" s="320"/>
      <c r="BY284" s="320"/>
      <c r="BZ284" s="320"/>
      <c r="CA284" s="320"/>
      <c r="CB284" s="320"/>
      <c r="CC284" s="320"/>
      <c r="CD284" s="320"/>
      <c r="CE284" s="320"/>
      <c r="CF284" s="320"/>
      <c r="CG284" s="320"/>
      <c r="CH284" s="320"/>
      <c r="CI284" s="320"/>
      <c r="CJ284" s="320"/>
      <c r="CK284" s="320"/>
      <c r="CL284" s="320"/>
      <c r="CM284" s="320"/>
      <c r="CN284" s="320"/>
      <c r="CO284" s="320"/>
      <c r="CP284" s="320"/>
      <c r="CQ284" s="320"/>
      <c r="CR284" s="320"/>
      <c r="CS284" s="320"/>
      <c r="CT284" s="320"/>
      <c r="CU284" s="320"/>
      <c r="CV284" s="320"/>
      <c r="CW284" s="320"/>
      <c r="CX284" s="320"/>
      <c r="CY284" s="320"/>
      <c r="CZ284" s="320"/>
      <c r="DA284" s="320"/>
      <c r="DB284" s="320"/>
      <c r="DC284" s="320"/>
      <c r="DD284" s="320"/>
      <c r="DE284" s="320"/>
      <c r="DF284" s="320"/>
      <c r="DG284" s="320"/>
      <c r="DH284" s="320"/>
      <c r="DI284" s="320"/>
      <c r="DJ284" s="320"/>
      <c r="DK284" s="320"/>
    </row>
    <row r="285" spans="1:115" s="322" customFormat="1" ht="21" customHeight="1">
      <c r="A285" s="341"/>
      <c r="B285" s="340"/>
      <c r="C285" s="339"/>
      <c r="D285" s="333" t="s">
        <v>1133</v>
      </c>
      <c r="E285" s="326" t="s">
        <v>41</v>
      </c>
      <c r="F285" s="331">
        <v>2.9990000000000001</v>
      </c>
      <c r="G285" s="332">
        <v>375</v>
      </c>
      <c r="H285" s="331">
        <v>110</v>
      </c>
      <c r="I285" s="332" t="s">
        <v>70</v>
      </c>
      <c r="J285" s="331">
        <v>2356</v>
      </c>
      <c r="K285" s="326">
        <v>4521</v>
      </c>
      <c r="L285" s="326">
        <v>2000</v>
      </c>
      <c r="M285" s="326" t="s">
        <v>31</v>
      </c>
      <c r="N285" s="342">
        <v>11.4</v>
      </c>
      <c r="O285" s="337">
        <f>IF(N285&gt;0,1/N285*37.7*68.6,"")</f>
        <v>226.8614035087719</v>
      </c>
      <c r="P285" s="328">
        <v>10.35</v>
      </c>
      <c r="Q285" s="327" t="s">
        <v>43</v>
      </c>
      <c r="R285" s="326" t="s">
        <v>33</v>
      </c>
      <c r="S285" s="326" t="s">
        <v>66</v>
      </c>
      <c r="T285" s="326"/>
      <c r="U285" s="325"/>
      <c r="V285" s="324">
        <f>IF(N285&lt;&gt;0, IF(N285&gt;=P285,ROUNDDOWN(N285/P285*100,0),""),"")</f>
        <v>110</v>
      </c>
      <c r="W285" s="311"/>
      <c r="X285" s="323"/>
      <c r="Y285" s="311"/>
      <c r="Z285" s="320"/>
      <c r="AA285" s="320"/>
      <c r="AB285" s="320"/>
      <c r="AC285" s="320"/>
      <c r="AD285" s="320"/>
      <c r="AE285" s="320"/>
      <c r="AF285" s="320"/>
      <c r="AG285" s="320"/>
      <c r="AH285" s="320"/>
      <c r="AI285" s="320"/>
      <c r="AJ285" s="320"/>
      <c r="AK285" s="320"/>
      <c r="AL285" s="320"/>
      <c r="AM285" s="320"/>
      <c r="AN285" s="320"/>
      <c r="AO285" s="320"/>
      <c r="AP285" s="320"/>
      <c r="AQ285" s="320"/>
      <c r="AR285" s="320"/>
      <c r="AS285" s="320"/>
      <c r="AT285" s="320"/>
      <c r="AU285" s="320"/>
      <c r="AV285" s="320"/>
      <c r="AW285" s="320"/>
      <c r="AX285" s="320"/>
      <c r="AY285" s="320"/>
      <c r="AZ285" s="320"/>
      <c r="BA285" s="320"/>
      <c r="BB285" s="320"/>
      <c r="BC285" s="320"/>
      <c r="BD285" s="320"/>
      <c r="BE285" s="320"/>
      <c r="BF285" s="320"/>
      <c r="BG285" s="320"/>
      <c r="BH285" s="320"/>
      <c r="BI285" s="320"/>
      <c r="BJ285" s="320"/>
      <c r="BK285" s="320"/>
      <c r="BL285" s="320"/>
      <c r="BM285" s="320"/>
      <c r="BN285" s="320"/>
      <c r="BO285" s="320"/>
      <c r="BP285" s="320"/>
      <c r="BQ285" s="320"/>
      <c r="BR285" s="320"/>
      <c r="BS285" s="320"/>
      <c r="BT285" s="320"/>
      <c r="BU285" s="320"/>
      <c r="BV285" s="320"/>
      <c r="BW285" s="320"/>
      <c r="BX285" s="320"/>
      <c r="BY285" s="320"/>
      <c r="BZ285" s="320"/>
      <c r="CA285" s="320"/>
      <c r="CB285" s="320"/>
      <c r="CC285" s="320"/>
      <c r="CD285" s="320"/>
      <c r="CE285" s="320"/>
      <c r="CF285" s="320"/>
      <c r="CG285" s="320"/>
      <c r="CH285" s="320"/>
      <c r="CI285" s="320"/>
      <c r="CJ285" s="320"/>
      <c r="CK285" s="320"/>
      <c r="CL285" s="320"/>
      <c r="CM285" s="320"/>
      <c r="CN285" s="320"/>
      <c r="CO285" s="320"/>
      <c r="CP285" s="320"/>
      <c r="CQ285" s="320"/>
      <c r="CR285" s="320"/>
      <c r="CS285" s="320"/>
      <c r="CT285" s="320"/>
      <c r="CU285" s="320"/>
      <c r="CV285" s="320"/>
      <c r="CW285" s="320"/>
      <c r="CX285" s="320"/>
      <c r="CY285" s="320"/>
      <c r="CZ285" s="320"/>
      <c r="DA285" s="320"/>
      <c r="DB285" s="320"/>
      <c r="DC285" s="320"/>
      <c r="DD285" s="320"/>
      <c r="DE285" s="320"/>
      <c r="DF285" s="320"/>
      <c r="DG285" s="320"/>
      <c r="DH285" s="320"/>
      <c r="DI285" s="320"/>
      <c r="DJ285" s="320"/>
      <c r="DK285" s="320"/>
    </row>
    <row r="286" spans="1:115" s="322" customFormat="1" ht="21" customHeight="1">
      <c r="A286" s="341"/>
      <c r="B286" s="340"/>
      <c r="C286" s="339"/>
      <c r="D286" s="333" t="s">
        <v>1132</v>
      </c>
      <c r="E286" s="326" t="s">
        <v>41</v>
      </c>
      <c r="F286" s="331">
        <v>2.9990000000000001</v>
      </c>
      <c r="G286" s="332" t="s">
        <v>467</v>
      </c>
      <c r="H286" s="331" t="s">
        <v>466</v>
      </c>
      <c r="I286" s="332" t="s">
        <v>70</v>
      </c>
      <c r="J286" s="331">
        <v>2356</v>
      </c>
      <c r="K286" s="326">
        <v>4521</v>
      </c>
      <c r="L286" s="326">
        <v>2000</v>
      </c>
      <c r="M286" s="326" t="s">
        <v>31</v>
      </c>
      <c r="N286" s="342">
        <v>11.4</v>
      </c>
      <c r="O286" s="337">
        <f>IF(N286&gt;0,1/N286*37.7*68.6,"")</f>
        <v>226.8614035087719</v>
      </c>
      <c r="P286" s="328">
        <v>10.35</v>
      </c>
      <c r="Q286" s="327" t="s">
        <v>63</v>
      </c>
      <c r="R286" s="326" t="s">
        <v>33</v>
      </c>
      <c r="S286" s="326" t="s">
        <v>34</v>
      </c>
      <c r="T286" s="326"/>
      <c r="U286" s="325"/>
      <c r="V286" s="324">
        <f>IF(N286&lt;&gt;0, IF(N286&gt;=P286,ROUNDDOWN(N286/P286*100,0),""),"")</f>
        <v>110</v>
      </c>
      <c r="W286" s="311"/>
      <c r="X286" s="320"/>
      <c r="Y286" s="320"/>
      <c r="Z286" s="320"/>
      <c r="AA286" s="320"/>
      <c r="AB286" s="320"/>
      <c r="AC286" s="320"/>
      <c r="AD286" s="320"/>
      <c r="AE286" s="320"/>
      <c r="AF286" s="320"/>
      <c r="AG286" s="320"/>
      <c r="AH286" s="320"/>
      <c r="AI286" s="320"/>
      <c r="AJ286" s="320"/>
      <c r="AK286" s="320"/>
      <c r="AL286" s="320"/>
      <c r="AM286" s="320"/>
      <c r="AN286" s="320"/>
      <c r="AO286" s="320"/>
      <c r="AP286" s="320"/>
      <c r="AQ286" s="320"/>
    </row>
    <row r="287" spans="1:115" s="322" customFormat="1" ht="21" customHeight="1">
      <c r="A287" s="341"/>
      <c r="B287" s="340"/>
      <c r="C287" s="339"/>
      <c r="D287" s="333" t="s">
        <v>1131</v>
      </c>
      <c r="E287" s="326" t="s">
        <v>41</v>
      </c>
      <c r="F287" s="331">
        <v>2.9990000000000001</v>
      </c>
      <c r="G287" s="332">
        <v>375</v>
      </c>
      <c r="H287" s="331">
        <v>110</v>
      </c>
      <c r="I287" s="332" t="s">
        <v>70</v>
      </c>
      <c r="J287" s="331">
        <v>2356</v>
      </c>
      <c r="K287" s="326">
        <v>4521</v>
      </c>
      <c r="L287" s="326">
        <v>2000</v>
      </c>
      <c r="M287" s="326" t="s">
        <v>31</v>
      </c>
      <c r="N287" s="342">
        <v>11.4</v>
      </c>
      <c r="O287" s="337">
        <f>IF(N287&gt;0,1/N287*37.7*68.6,"")</f>
        <v>226.8614035087719</v>
      </c>
      <c r="P287" s="328">
        <v>10.35</v>
      </c>
      <c r="Q287" s="327" t="s">
        <v>43</v>
      </c>
      <c r="R287" s="326" t="s">
        <v>33</v>
      </c>
      <c r="S287" s="326" t="s">
        <v>66</v>
      </c>
      <c r="T287" s="326"/>
      <c r="U287" s="325"/>
      <c r="V287" s="324">
        <f>IF(N287&lt;&gt;0, IF(N287&gt;=P287,ROUNDDOWN(N287/P287*100,0),""),"")</f>
        <v>110</v>
      </c>
      <c r="W287" s="311"/>
      <c r="X287" s="323"/>
      <c r="Y287" s="311"/>
      <c r="Z287" s="320"/>
      <c r="AA287" s="320"/>
      <c r="AB287" s="320"/>
      <c r="AC287" s="320"/>
      <c r="AD287" s="320"/>
      <c r="AE287" s="320"/>
      <c r="AF287" s="320"/>
      <c r="AG287" s="320"/>
      <c r="AH287" s="320"/>
      <c r="AI287" s="320"/>
      <c r="AJ287" s="320"/>
      <c r="AK287" s="320"/>
      <c r="AL287" s="320"/>
      <c r="AM287" s="320"/>
      <c r="AN287" s="320"/>
      <c r="AO287" s="320"/>
      <c r="AP287" s="320"/>
      <c r="AQ287" s="320"/>
      <c r="AR287" s="320"/>
      <c r="AS287" s="320"/>
      <c r="AT287" s="320"/>
      <c r="AU287" s="320"/>
      <c r="AV287" s="320"/>
      <c r="AW287" s="320"/>
      <c r="AX287" s="320"/>
      <c r="AY287" s="320"/>
      <c r="AZ287" s="320"/>
      <c r="BA287" s="320"/>
      <c r="BB287" s="320"/>
      <c r="BC287" s="320"/>
      <c r="BD287" s="320"/>
      <c r="BE287" s="320"/>
      <c r="BF287" s="320"/>
      <c r="BG287" s="320"/>
      <c r="BH287" s="320"/>
      <c r="BI287" s="320"/>
      <c r="BJ287" s="320"/>
      <c r="BK287" s="320"/>
      <c r="BL287" s="320"/>
      <c r="BM287" s="320"/>
      <c r="BN287" s="320"/>
      <c r="BO287" s="320"/>
      <c r="BP287" s="320"/>
      <c r="BQ287" s="320"/>
      <c r="BR287" s="320"/>
      <c r="BS287" s="320"/>
      <c r="BT287" s="320"/>
      <c r="BU287" s="320"/>
      <c r="BV287" s="320"/>
      <c r="BW287" s="320"/>
      <c r="BX287" s="320"/>
      <c r="BY287" s="320"/>
      <c r="BZ287" s="320"/>
      <c r="CA287" s="320"/>
      <c r="CB287" s="320"/>
      <c r="CC287" s="320"/>
      <c r="CD287" s="320"/>
      <c r="CE287" s="320"/>
      <c r="CF287" s="320"/>
      <c r="CG287" s="320"/>
      <c r="CH287" s="320"/>
      <c r="CI287" s="320"/>
      <c r="CJ287" s="320"/>
      <c r="CK287" s="320"/>
      <c r="CL287" s="320"/>
      <c r="CM287" s="320"/>
      <c r="CN287" s="320"/>
      <c r="CO287" s="320"/>
      <c r="CP287" s="320"/>
      <c r="CQ287" s="320"/>
      <c r="CR287" s="320"/>
      <c r="CS287" s="320"/>
      <c r="CT287" s="320"/>
      <c r="CU287" s="320"/>
      <c r="CV287" s="320"/>
      <c r="CW287" s="320"/>
      <c r="CX287" s="320"/>
      <c r="CY287" s="320"/>
      <c r="CZ287" s="320"/>
      <c r="DA287" s="320"/>
      <c r="DB287" s="320"/>
      <c r="DC287" s="320"/>
      <c r="DD287" s="320"/>
      <c r="DE287" s="320"/>
      <c r="DF287" s="320"/>
      <c r="DG287" s="320"/>
      <c r="DH287" s="320"/>
      <c r="DI287" s="320"/>
      <c r="DJ287" s="320"/>
      <c r="DK287" s="320"/>
    </row>
    <row r="288" spans="1:115" s="322" customFormat="1" ht="21" customHeight="1">
      <c r="A288" s="341"/>
      <c r="B288" s="340"/>
      <c r="C288" s="339"/>
      <c r="D288" s="333" t="s">
        <v>1130</v>
      </c>
      <c r="E288" s="326" t="s">
        <v>41</v>
      </c>
      <c r="F288" s="331">
        <v>2.9990000000000001</v>
      </c>
      <c r="G288" s="332">
        <v>375</v>
      </c>
      <c r="H288" s="331">
        <v>110</v>
      </c>
      <c r="I288" s="332" t="s">
        <v>70</v>
      </c>
      <c r="J288" s="331">
        <v>2356</v>
      </c>
      <c r="K288" s="326">
        <v>4521</v>
      </c>
      <c r="L288" s="326">
        <v>2000</v>
      </c>
      <c r="M288" s="326" t="s">
        <v>31</v>
      </c>
      <c r="N288" s="342">
        <v>11.4</v>
      </c>
      <c r="O288" s="337">
        <f>IF(N288&gt;0,1/N288*37.7*68.6,"")</f>
        <v>226.8614035087719</v>
      </c>
      <c r="P288" s="328">
        <v>10.35</v>
      </c>
      <c r="Q288" s="327" t="s">
        <v>43</v>
      </c>
      <c r="R288" s="326" t="s">
        <v>33</v>
      </c>
      <c r="S288" s="326" t="s">
        <v>66</v>
      </c>
      <c r="T288" s="326"/>
      <c r="U288" s="325"/>
      <c r="V288" s="324">
        <f>IF(N288&lt;&gt;0, IF(N288&gt;=P288,ROUNDDOWN(N288/P288*100,0),""),"")</f>
        <v>110</v>
      </c>
      <c r="W288" s="311"/>
      <c r="X288" s="323"/>
      <c r="Y288" s="311"/>
      <c r="Z288" s="320"/>
      <c r="AA288" s="320"/>
      <c r="AB288" s="320"/>
      <c r="AC288" s="320"/>
      <c r="AD288" s="320"/>
      <c r="AE288" s="320"/>
      <c r="AF288" s="320"/>
      <c r="AG288" s="320"/>
      <c r="AH288" s="320"/>
      <c r="AI288" s="320"/>
      <c r="AJ288" s="320"/>
      <c r="AK288" s="320"/>
      <c r="AL288" s="320"/>
      <c r="AM288" s="320"/>
      <c r="AN288" s="320"/>
      <c r="AO288" s="320"/>
      <c r="AP288" s="320"/>
      <c r="AQ288" s="320"/>
      <c r="AR288" s="320"/>
      <c r="AS288" s="320"/>
      <c r="AT288" s="320"/>
      <c r="AU288" s="320"/>
      <c r="AV288" s="320"/>
      <c r="AW288" s="320"/>
      <c r="AX288" s="320"/>
      <c r="AY288" s="320"/>
      <c r="AZ288" s="320"/>
      <c r="BA288" s="320"/>
      <c r="BB288" s="320"/>
      <c r="BC288" s="320"/>
      <c r="BD288" s="320"/>
      <c r="BE288" s="320"/>
      <c r="BF288" s="320"/>
      <c r="BG288" s="320"/>
      <c r="BH288" s="320"/>
      <c r="BI288" s="320"/>
      <c r="BJ288" s="320"/>
      <c r="BK288" s="320"/>
      <c r="BL288" s="320"/>
      <c r="BM288" s="320"/>
      <c r="BN288" s="320"/>
      <c r="BO288" s="320"/>
      <c r="BP288" s="320"/>
      <c r="BQ288" s="320"/>
      <c r="BR288" s="320"/>
      <c r="BS288" s="320"/>
      <c r="BT288" s="320"/>
      <c r="BU288" s="320"/>
      <c r="BV288" s="320"/>
      <c r="BW288" s="320"/>
      <c r="BX288" s="320"/>
      <c r="BY288" s="320"/>
      <c r="BZ288" s="320"/>
      <c r="CA288" s="320"/>
      <c r="CB288" s="320"/>
      <c r="CC288" s="320"/>
      <c r="CD288" s="320"/>
      <c r="CE288" s="320"/>
      <c r="CF288" s="320"/>
      <c r="CG288" s="320"/>
      <c r="CH288" s="320"/>
      <c r="CI288" s="320"/>
      <c r="CJ288" s="320"/>
      <c r="CK288" s="320"/>
      <c r="CL288" s="320"/>
      <c r="CM288" s="320"/>
      <c r="CN288" s="320"/>
      <c r="CO288" s="320"/>
      <c r="CP288" s="320"/>
      <c r="CQ288" s="320"/>
      <c r="CR288" s="320"/>
      <c r="CS288" s="320"/>
      <c r="CT288" s="320"/>
      <c r="CU288" s="320"/>
      <c r="CV288" s="320"/>
      <c r="CW288" s="320"/>
      <c r="CX288" s="320"/>
      <c r="CY288" s="320"/>
      <c r="CZ288" s="320"/>
      <c r="DA288" s="320"/>
      <c r="DB288" s="320"/>
      <c r="DC288" s="320"/>
      <c r="DD288" s="320"/>
      <c r="DE288" s="320"/>
      <c r="DF288" s="320"/>
      <c r="DG288" s="320"/>
      <c r="DH288" s="320"/>
      <c r="DI288" s="320"/>
      <c r="DJ288" s="320"/>
      <c r="DK288" s="320"/>
    </row>
    <row r="289" spans="1:115" s="322" customFormat="1" ht="21" customHeight="1">
      <c r="A289" s="341"/>
      <c r="B289" s="340"/>
      <c r="C289" s="339"/>
      <c r="D289" s="333" t="s">
        <v>1129</v>
      </c>
      <c r="E289" s="326" t="s">
        <v>41</v>
      </c>
      <c r="F289" s="331">
        <v>2.9990000000000001</v>
      </c>
      <c r="G289" s="332">
        <v>375</v>
      </c>
      <c r="H289" s="331">
        <v>110</v>
      </c>
      <c r="I289" s="332" t="s">
        <v>70</v>
      </c>
      <c r="J289" s="331">
        <v>2356</v>
      </c>
      <c r="K289" s="326">
        <v>4521</v>
      </c>
      <c r="L289" s="326">
        <v>2000</v>
      </c>
      <c r="M289" s="326" t="s">
        <v>31</v>
      </c>
      <c r="N289" s="342">
        <v>11.4</v>
      </c>
      <c r="O289" s="337">
        <f>IF(N289&gt;0,1/N289*37.7*68.6,"")</f>
        <v>226.8614035087719</v>
      </c>
      <c r="P289" s="328">
        <v>10.35</v>
      </c>
      <c r="Q289" s="327" t="s">
        <v>43</v>
      </c>
      <c r="R289" s="326" t="s">
        <v>33</v>
      </c>
      <c r="S289" s="326" t="s">
        <v>66</v>
      </c>
      <c r="T289" s="326"/>
      <c r="U289" s="325"/>
      <c r="V289" s="324">
        <f>IF(N289&lt;&gt;0, IF(N289&gt;=P289,ROUNDDOWN(N289/P289*100,0),""),"")</f>
        <v>110</v>
      </c>
      <c r="W289" s="311"/>
      <c r="X289" s="323"/>
      <c r="Y289" s="311"/>
      <c r="Z289" s="320"/>
      <c r="AA289" s="320"/>
      <c r="AB289" s="320"/>
      <c r="AC289" s="320"/>
      <c r="AD289" s="320"/>
      <c r="AE289" s="320"/>
      <c r="AF289" s="320"/>
      <c r="AG289" s="320"/>
      <c r="AH289" s="320"/>
      <c r="AI289" s="320"/>
      <c r="AJ289" s="320"/>
      <c r="AK289" s="320"/>
      <c r="AL289" s="320"/>
      <c r="AM289" s="320"/>
      <c r="AN289" s="320"/>
      <c r="AO289" s="320"/>
      <c r="AP289" s="320"/>
      <c r="AQ289" s="320"/>
      <c r="AR289" s="320"/>
      <c r="AS289" s="320"/>
      <c r="AT289" s="320"/>
      <c r="AU289" s="320"/>
      <c r="AV289" s="320"/>
      <c r="AW289" s="320"/>
      <c r="AX289" s="320"/>
      <c r="AY289" s="320"/>
      <c r="AZ289" s="320"/>
      <c r="BA289" s="320"/>
      <c r="BB289" s="320"/>
      <c r="BC289" s="320"/>
      <c r="BD289" s="320"/>
      <c r="BE289" s="320"/>
      <c r="BF289" s="320"/>
      <c r="BG289" s="320"/>
      <c r="BH289" s="320"/>
      <c r="BI289" s="320"/>
      <c r="BJ289" s="320"/>
      <c r="BK289" s="320"/>
      <c r="BL289" s="320"/>
      <c r="BM289" s="320"/>
      <c r="BN289" s="320"/>
      <c r="BO289" s="320"/>
      <c r="BP289" s="320"/>
      <c r="BQ289" s="320"/>
      <c r="BR289" s="320"/>
      <c r="BS289" s="320"/>
      <c r="BT289" s="320"/>
      <c r="BU289" s="320"/>
      <c r="BV289" s="320"/>
      <c r="BW289" s="320"/>
      <c r="BX289" s="320"/>
      <c r="BY289" s="320"/>
      <c r="BZ289" s="320"/>
      <c r="CA289" s="320"/>
      <c r="CB289" s="320"/>
      <c r="CC289" s="320"/>
      <c r="CD289" s="320"/>
      <c r="CE289" s="320"/>
      <c r="CF289" s="320"/>
      <c r="CG289" s="320"/>
      <c r="CH289" s="320"/>
      <c r="CI289" s="320"/>
      <c r="CJ289" s="320"/>
      <c r="CK289" s="320"/>
      <c r="CL289" s="320"/>
      <c r="CM289" s="320"/>
      <c r="CN289" s="320"/>
      <c r="CO289" s="320"/>
      <c r="CP289" s="320"/>
      <c r="CQ289" s="320"/>
      <c r="CR289" s="320"/>
      <c r="CS289" s="320"/>
      <c r="CT289" s="320"/>
      <c r="CU289" s="320"/>
      <c r="CV289" s="320"/>
      <c r="CW289" s="320"/>
      <c r="CX289" s="320"/>
      <c r="CY289" s="320"/>
      <c r="CZ289" s="320"/>
      <c r="DA289" s="320"/>
      <c r="DB289" s="320"/>
      <c r="DC289" s="320"/>
      <c r="DD289" s="320"/>
      <c r="DE289" s="320"/>
      <c r="DF289" s="320"/>
      <c r="DG289" s="320"/>
      <c r="DH289" s="320"/>
      <c r="DI289" s="320"/>
      <c r="DJ289" s="320"/>
      <c r="DK289" s="320"/>
    </row>
    <row r="290" spans="1:115" s="322" customFormat="1" ht="21" customHeight="1">
      <c r="A290" s="341"/>
      <c r="B290" s="340"/>
      <c r="C290" s="339"/>
      <c r="D290" s="333" t="s">
        <v>1128</v>
      </c>
      <c r="E290" s="326" t="s">
        <v>41</v>
      </c>
      <c r="F290" s="331">
        <v>2.9990000000000001</v>
      </c>
      <c r="G290" s="332">
        <v>375</v>
      </c>
      <c r="H290" s="331">
        <v>110</v>
      </c>
      <c r="I290" s="332" t="s">
        <v>70</v>
      </c>
      <c r="J290" s="331">
        <v>2356</v>
      </c>
      <c r="K290" s="326">
        <v>4521</v>
      </c>
      <c r="L290" s="326">
        <v>2000</v>
      </c>
      <c r="M290" s="326" t="s">
        <v>31</v>
      </c>
      <c r="N290" s="342">
        <v>11.4</v>
      </c>
      <c r="O290" s="337">
        <f>IF(N290&gt;0,1/N290*37.7*68.6,"")</f>
        <v>226.8614035087719</v>
      </c>
      <c r="P290" s="328">
        <v>10.35</v>
      </c>
      <c r="Q290" s="327" t="s">
        <v>43</v>
      </c>
      <c r="R290" s="326" t="s">
        <v>33</v>
      </c>
      <c r="S290" s="326" t="s">
        <v>66</v>
      </c>
      <c r="T290" s="326"/>
      <c r="U290" s="325"/>
      <c r="V290" s="324">
        <f>IF(N290&lt;&gt;0, IF(N290&gt;=P290,ROUNDDOWN(N290/P290*100,0),""),"")</f>
        <v>110</v>
      </c>
      <c r="W290" s="311"/>
      <c r="X290" s="323"/>
      <c r="Y290" s="311"/>
      <c r="Z290" s="320"/>
      <c r="AA290" s="320"/>
      <c r="AB290" s="320"/>
      <c r="AC290" s="320"/>
      <c r="AD290" s="320"/>
      <c r="AE290" s="320"/>
      <c r="AF290" s="320"/>
      <c r="AG290" s="320"/>
      <c r="AH290" s="320"/>
      <c r="AI290" s="320"/>
      <c r="AJ290" s="320"/>
      <c r="AK290" s="320"/>
      <c r="AL290" s="320"/>
      <c r="AM290" s="320"/>
      <c r="AN290" s="320"/>
      <c r="AO290" s="320"/>
      <c r="AP290" s="320"/>
      <c r="AQ290" s="320"/>
      <c r="AR290" s="320"/>
      <c r="AS290" s="320"/>
      <c r="AT290" s="320"/>
      <c r="AU290" s="320"/>
      <c r="AV290" s="320"/>
      <c r="AW290" s="320"/>
      <c r="AX290" s="320"/>
      <c r="AY290" s="320"/>
      <c r="AZ290" s="320"/>
      <c r="BA290" s="320"/>
      <c r="BB290" s="320"/>
      <c r="BC290" s="320"/>
      <c r="BD290" s="320"/>
      <c r="BE290" s="320"/>
      <c r="BF290" s="320"/>
      <c r="BG290" s="320"/>
      <c r="BH290" s="320"/>
      <c r="BI290" s="320"/>
      <c r="BJ290" s="320"/>
      <c r="BK290" s="320"/>
      <c r="BL290" s="320"/>
      <c r="BM290" s="320"/>
      <c r="BN290" s="320"/>
      <c r="BO290" s="320"/>
      <c r="BP290" s="320"/>
      <c r="BQ290" s="320"/>
      <c r="BR290" s="320"/>
      <c r="BS290" s="320"/>
      <c r="BT290" s="320"/>
      <c r="BU290" s="320"/>
      <c r="BV290" s="320"/>
      <c r="BW290" s="320"/>
      <c r="BX290" s="320"/>
      <c r="BY290" s="320"/>
      <c r="BZ290" s="320"/>
      <c r="CA290" s="320"/>
      <c r="CB290" s="320"/>
      <c r="CC290" s="320"/>
      <c r="CD290" s="320"/>
      <c r="CE290" s="320"/>
      <c r="CF290" s="320"/>
      <c r="CG290" s="320"/>
      <c r="CH290" s="320"/>
      <c r="CI290" s="320"/>
      <c r="CJ290" s="320"/>
      <c r="CK290" s="320"/>
      <c r="CL290" s="320"/>
      <c r="CM290" s="320"/>
      <c r="CN290" s="320"/>
      <c r="CO290" s="320"/>
      <c r="CP290" s="320"/>
      <c r="CQ290" s="320"/>
      <c r="CR290" s="320"/>
      <c r="CS290" s="320"/>
      <c r="CT290" s="320"/>
      <c r="CU290" s="320"/>
      <c r="CV290" s="320"/>
      <c r="CW290" s="320"/>
      <c r="CX290" s="320"/>
      <c r="CY290" s="320"/>
      <c r="CZ290" s="320"/>
      <c r="DA290" s="320"/>
      <c r="DB290" s="320"/>
      <c r="DC290" s="320"/>
      <c r="DD290" s="320"/>
      <c r="DE290" s="320"/>
      <c r="DF290" s="320"/>
      <c r="DG290" s="320"/>
      <c r="DH290" s="320"/>
      <c r="DI290" s="320"/>
      <c r="DJ290" s="320"/>
      <c r="DK290" s="320"/>
    </row>
    <row r="291" spans="1:115" s="322" customFormat="1" ht="21" customHeight="1">
      <c r="A291" s="341"/>
      <c r="B291" s="340"/>
      <c r="C291" s="339"/>
      <c r="D291" s="333" t="s">
        <v>1127</v>
      </c>
      <c r="E291" s="326" t="s">
        <v>41</v>
      </c>
      <c r="F291" s="331">
        <v>2.9990000000000001</v>
      </c>
      <c r="G291" s="332">
        <v>375</v>
      </c>
      <c r="H291" s="331">
        <v>110</v>
      </c>
      <c r="I291" s="332" t="s">
        <v>70</v>
      </c>
      <c r="J291" s="331">
        <v>2356</v>
      </c>
      <c r="K291" s="326">
        <v>4521</v>
      </c>
      <c r="L291" s="326">
        <v>2000</v>
      </c>
      <c r="M291" s="326" t="s">
        <v>31</v>
      </c>
      <c r="N291" s="342">
        <v>11</v>
      </c>
      <c r="O291" s="337">
        <f>IF(N291&gt;0,1/N291*37.7*68.6,"")</f>
        <v>235.1109090909091</v>
      </c>
      <c r="P291" s="328">
        <v>10.35</v>
      </c>
      <c r="Q291" s="327" t="s">
        <v>63</v>
      </c>
      <c r="R291" s="326" t="s">
        <v>33</v>
      </c>
      <c r="S291" s="326" t="s">
        <v>66</v>
      </c>
      <c r="T291" s="326"/>
      <c r="U291" s="325"/>
      <c r="V291" s="324">
        <f>IF(N291&lt;&gt;0, IF(N291&gt;=P291,ROUNDDOWN(N291/P291*100,0),""),"")</f>
        <v>106</v>
      </c>
      <c r="W291" s="311"/>
      <c r="X291" s="323"/>
      <c r="Y291" s="311"/>
      <c r="Z291" s="320"/>
      <c r="AA291" s="320"/>
      <c r="AB291" s="320"/>
      <c r="AC291" s="320"/>
      <c r="AD291" s="320"/>
      <c r="AE291" s="320"/>
      <c r="AF291" s="320"/>
      <c r="AG291" s="320"/>
      <c r="AH291" s="320"/>
      <c r="AI291" s="320"/>
      <c r="AJ291" s="320"/>
      <c r="AK291" s="320"/>
      <c r="AL291" s="320"/>
      <c r="AM291" s="320"/>
      <c r="AN291" s="320"/>
      <c r="AO291" s="320"/>
      <c r="AP291" s="320"/>
      <c r="AQ291" s="320"/>
      <c r="AR291" s="320"/>
      <c r="AS291" s="320"/>
      <c r="AT291" s="320"/>
      <c r="AU291" s="320"/>
      <c r="AV291" s="320"/>
      <c r="AW291" s="320"/>
      <c r="AX291" s="320"/>
      <c r="AY291" s="320"/>
      <c r="AZ291" s="320"/>
      <c r="BA291" s="320"/>
      <c r="BB291" s="320"/>
      <c r="BC291" s="320"/>
      <c r="BD291" s="320"/>
      <c r="BE291" s="320"/>
      <c r="BF291" s="320"/>
      <c r="BG291" s="320"/>
      <c r="BH291" s="320"/>
      <c r="BI291" s="320"/>
      <c r="BJ291" s="320"/>
      <c r="BK291" s="320"/>
      <c r="BL291" s="320"/>
      <c r="BM291" s="320"/>
      <c r="BN291" s="320"/>
      <c r="BO291" s="320"/>
      <c r="BP291" s="320"/>
      <c r="BQ291" s="320"/>
      <c r="BR291" s="320"/>
      <c r="BS291" s="320"/>
      <c r="BT291" s="320"/>
      <c r="BU291" s="320"/>
      <c r="BV291" s="320"/>
      <c r="BW291" s="320"/>
      <c r="BX291" s="320"/>
      <c r="BY291" s="320"/>
      <c r="BZ291" s="320"/>
      <c r="CA291" s="320"/>
      <c r="CB291" s="320"/>
      <c r="CC291" s="320"/>
      <c r="CD291" s="320"/>
      <c r="CE291" s="320"/>
      <c r="CF291" s="320"/>
      <c r="CG291" s="320"/>
      <c r="CH291" s="320"/>
      <c r="CI291" s="320"/>
      <c r="CJ291" s="320"/>
      <c r="CK291" s="320"/>
      <c r="CL291" s="320"/>
      <c r="CM291" s="320"/>
      <c r="CN291" s="320"/>
      <c r="CO291" s="320"/>
      <c r="CP291" s="320"/>
      <c r="CQ291" s="320"/>
      <c r="CR291" s="320"/>
      <c r="CS291" s="320"/>
      <c r="CT291" s="320"/>
      <c r="CU291" s="320"/>
      <c r="CV291" s="320"/>
      <c r="CW291" s="320"/>
      <c r="CX291" s="320"/>
      <c r="CY291" s="320"/>
      <c r="CZ291" s="320"/>
      <c r="DA291" s="320"/>
      <c r="DB291" s="320"/>
      <c r="DC291" s="320"/>
      <c r="DD291" s="320"/>
      <c r="DE291" s="320"/>
      <c r="DF291" s="320"/>
      <c r="DG291" s="320"/>
      <c r="DH291" s="320"/>
      <c r="DI291" s="320"/>
      <c r="DJ291" s="320"/>
      <c r="DK291" s="320"/>
    </row>
    <row r="292" spans="1:115" s="322" customFormat="1" ht="21" customHeight="1">
      <c r="A292" s="341"/>
      <c r="B292" s="340"/>
      <c r="C292" s="339"/>
      <c r="D292" s="333" t="s">
        <v>1126</v>
      </c>
      <c r="E292" s="326" t="s">
        <v>41</v>
      </c>
      <c r="F292" s="331">
        <v>2.9990000000000001</v>
      </c>
      <c r="G292" s="332">
        <v>375</v>
      </c>
      <c r="H292" s="331">
        <v>110</v>
      </c>
      <c r="I292" s="332" t="s">
        <v>70</v>
      </c>
      <c r="J292" s="331">
        <v>2356</v>
      </c>
      <c r="K292" s="326">
        <v>4521</v>
      </c>
      <c r="L292" s="326">
        <v>2000</v>
      </c>
      <c r="M292" s="326" t="s">
        <v>31</v>
      </c>
      <c r="N292" s="342">
        <v>11</v>
      </c>
      <c r="O292" s="337">
        <f>IF(N292&gt;0,1/N292*37.7*68.6,"")</f>
        <v>235.1109090909091</v>
      </c>
      <c r="P292" s="328">
        <v>10.35</v>
      </c>
      <c r="Q292" s="327" t="s">
        <v>63</v>
      </c>
      <c r="R292" s="326" t="s">
        <v>33</v>
      </c>
      <c r="S292" s="326" t="s">
        <v>66</v>
      </c>
      <c r="T292" s="326"/>
      <c r="U292" s="325"/>
      <c r="V292" s="324">
        <f>IF(N292&lt;&gt;0, IF(N292&gt;=P292,ROUNDDOWN(N292/P292*100,0),""),"")</f>
        <v>106</v>
      </c>
      <c r="W292" s="311"/>
      <c r="X292" s="323"/>
      <c r="Y292" s="311"/>
      <c r="Z292" s="320"/>
      <c r="AA292" s="320"/>
      <c r="AB292" s="320"/>
      <c r="AC292" s="320"/>
      <c r="AD292" s="320"/>
      <c r="AE292" s="320"/>
      <c r="AF292" s="320"/>
      <c r="AG292" s="320"/>
      <c r="AH292" s="320"/>
      <c r="AI292" s="320"/>
      <c r="AJ292" s="320"/>
      <c r="AK292" s="320"/>
      <c r="AL292" s="320"/>
      <c r="AM292" s="320"/>
      <c r="AN292" s="320"/>
      <c r="AO292" s="320"/>
      <c r="AP292" s="320"/>
      <c r="AQ292" s="320"/>
      <c r="AR292" s="320"/>
      <c r="AS292" s="320"/>
      <c r="AT292" s="320"/>
      <c r="AU292" s="320"/>
      <c r="AV292" s="320"/>
      <c r="AW292" s="320"/>
      <c r="AX292" s="320"/>
      <c r="AY292" s="320"/>
      <c r="AZ292" s="320"/>
      <c r="BA292" s="320"/>
      <c r="BB292" s="320"/>
      <c r="BC292" s="320"/>
      <c r="BD292" s="320"/>
      <c r="BE292" s="320"/>
      <c r="BF292" s="320"/>
      <c r="BG292" s="320"/>
      <c r="BH292" s="320"/>
      <c r="BI292" s="320"/>
      <c r="BJ292" s="320"/>
      <c r="BK292" s="320"/>
      <c r="BL292" s="320"/>
      <c r="BM292" s="320"/>
      <c r="BN292" s="320"/>
      <c r="BO292" s="320"/>
      <c r="BP292" s="320"/>
      <c r="BQ292" s="320"/>
      <c r="BR292" s="320"/>
      <c r="BS292" s="320"/>
      <c r="BT292" s="320"/>
      <c r="BU292" s="320"/>
      <c r="BV292" s="320"/>
      <c r="BW292" s="320"/>
      <c r="BX292" s="320"/>
      <c r="BY292" s="320"/>
      <c r="BZ292" s="320"/>
      <c r="CA292" s="320"/>
      <c r="CB292" s="320"/>
      <c r="CC292" s="320"/>
      <c r="CD292" s="320"/>
      <c r="CE292" s="320"/>
      <c r="CF292" s="320"/>
      <c r="CG292" s="320"/>
      <c r="CH292" s="320"/>
      <c r="CI292" s="320"/>
      <c r="CJ292" s="320"/>
      <c r="CK292" s="320"/>
      <c r="CL292" s="320"/>
      <c r="CM292" s="320"/>
      <c r="CN292" s="320"/>
      <c r="CO292" s="320"/>
      <c r="CP292" s="320"/>
      <c r="CQ292" s="320"/>
      <c r="CR292" s="320"/>
      <c r="CS292" s="320"/>
      <c r="CT292" s="320"/>
      <c r="CU292" s="320"/>
      <c r="CV292" s="320"/>
      <c r="CW292" s="320"/>
      <c r="CX292" s="320"/>
      <c r="CY292" s="320"/>
      <c r="CZ292" s="320"/>
      <c r="DA292" s="320"/>
      <c r="DB292" s="320"/>
      <c r="DC292" s="320"/>
      <c r="DD292" s="320"/>
      <c r="DE292" s="320"/>
      <c r="DF292" s="320"/>
      <c r="DG292" s="320"/>
      <c r="DH292" s="320"/>
      <c r="DI292" s="320"/>
      <c r="DJ292" s="320"/>
      <c r="DK292" s="320"/>
    </row>
    <row r="293" spans="1:115" s="322" customFormat="1" ht="21" customHeight="1">
      <c r="A293" s="341"/>
      <c r="B293" s="340"/>
      <c r="C293" s="339"/>
      <c r="D293" s="333" t="s">
        <v>1125</v>
      </c>
      <c r="E293" s="326" t="s">
        <v>41</v>
      </c>
      <c r="F293" s="331">
        <v>2.9990000000000001</v>
      </c>
      <c r="G293" s="332">
        <v>375</v>
      </c>
      <c r="H293" s="331">
        <v>110</v>
      </c>
      <c r="I293" s="332" t="s">
        <v>70</v>
      </c>
      <c r="J293" s="331">
        <v>2356</v>
      </c>
      <c r="K293" s="326">
        <v>4521</v>
      </c>
      <c r="L293" s="326">
        <v>2000</v>
      </c>
      <c r="M293" s="326" t="s">
        <v>31</v>
      </c>
      <c r="N293" s="342">
        <v>11</v>
      </c>
      <c r="O293" s="337">
        <f>IF(N293&gt;0,1/N293*37.7*68.6,"")</f>
        <v>235.1109090909091</v>
      </c>
      <c r="P293" s="328">
        <v>10.35</v>
      </c>
      <c r="Q293" s="327" t="s">
        <v>63</v>
      </c>
      <c r="R293" s="326" t="s">
        <v>33</v>
      </c>
      <c r="S293" s="326" t="s">
        <v>66</v>
      </c>
      <c r="T293" s="326"/>
      <c r="U293" s="325"/>
      <c r="V293" s="324">
        <f>IF(N293&lt;&gt;0, IF(N293&gt;=P293,ROUNDDOWN(N293/P293*100,0),""),"")</f>
        <v>106</v>
      </c>
      <c r="W293" s="311"/>
      <c r="X293" s="323"/>
      <c r="Y293" s="311"/>
      <c r="Z293" s="320"/>
      <c r="AA293" s="320"/>
      <c r="AB293" s="320"/>
      <c r="AC293" s="320"/>
      <c r="AD293" s="320"/>
      <c r="AE293" s="320"/>
      <c r="AF293" s="320"/>
      <c r="AG293" s="320"/>
      <c r="AH293" s="320"/>
      <c r="AI293" s="320"/>
      <c r="AJ293" s="320"/>
      <c r="AK293" s="320"/>
      <c r="AL293" s="320"/>
      <c r="AM293" s="320"/>
      <c r="AN293" s="320"/>
      <c r="AO293" s="320"/>
      <c r="AP293" s="320"/>
      <c r="AQ293" s="320"/>
      <c r="AR293" s="320"/>
      <c r="AS293" s="320"/>
      <c r="AT293" s="320"/>
      <c r="AU293" s="320"/>
      <c r="AV293" s="320"/>
      <c r="AW293" s="320"/>
      <c r="AX293" s="320"/>
      <c r="AY293" s="320"/>
      <c r="AZ293" s="320"/>
      <c r="BA293" s="320"/>
      <c r="BB293" s="320"/>
      <c r="BC293" s="320"/>
      <c r="BD293" s="320"/>
      <c r="BE293" s="320"/>
      <c r="BF293" s="320"/>
      <c r="BG293" s="320"/>
      <c r="BH293" s="320"/>
      <c r="BI293" s="320"/>
      <c r="BJ293" s="320"/>
      <c r="BK293" s="320"/>
      <c r="BL293" s="320"/>
      <c r="BM293" s="320"/>
      <c r="BN293" s="320"/>
      <c r="BO293" s="320"/>
      <c r="BP293" s="320"/>
      <c r="BQ293" s="320"/>
      <c r="BR293" s="320"/>
      <c r="BS293" s="320"/>
      <c r="BT293" s="320"/>
      <c r="BU293" s="320"/>
      <c r="BV293" s="320"/>
      <c r="BW293" s="320"/>
      <c r="BX293" s="320"/>
      <c r="BY293" s="320"/>
      <c r="BZ293" s="320"/>
      <c r="CA293" s="320"/>
      <c r="CB293" s="320"/>
      <c r="CC293" s="320"/>
      <c r="CD293" s="320"/>
      <c r="CE293" s="320"/>
      <c r="CF293" s="320"/>
      <c r="CG293" s="320"/>
      <c r="CH293" s="320"/>
      <c r="CI293" s="320"/>
      <c r="CJ293" s="320"/>
      <c r="CK293" s="320"/>
      <c r="CL293" s="320"/>
      <c r="CM293" s="320"/>
      <c r="CN293" s="320"/>
      <c r="CO293" s="320"/>
      <c r="CP293" s="320"/>
      <c r="CQ293" s="320"/>
      <c r="CR293" s="320"/>
      <c r="CS293" s="320"/>
      <c r="CT293" s="320"/>
      <c r="CU293" s="320"/>
      <c r="CV293" s="320"/>
      <c r="CW293" s="320"/>
      <c r="CX293" s="320"/>
      <c r="CY293" s="320"/>
      <c r="CZ293" s="320"/>
      <c r="DA293" s="320"/>
      <c r="DB293" s="320"/>
      <c r="DC293" s="320"/>
      <c r="DD293" s="320"/>
      <c r="DE293" s="320"/>
      <c r="DF293" s="320"/>
      <c r="DG293" s="320"/>
      <c r="DH293" s="320"/>
      <c r="DI293" s="320"/>
      <c r="DJ293" s="320"/>
      <c r="DK293" s="320"/>
    </row>
    <row r="294" spans="1:115" s="322" customFormat="1" ht="21" customHeight="1">
      <c r="A294" s="341"/>
      <c r="B294" s="340"/>
      <c r="C294" s="339"/>
      <c r="D294" s="333" t="s">
        <v>1125</v>
      </c>
      <c r="E294" s="326" t="s">
        <v>41</v>
      </c>
      <c r="F294" s="331">
        <v>2.9990000000000001</v>
      </c>
      <c r="G294" s="332">
        <v>375</v>
      </c>
      <c r="H294" s="331">
        <v>110</v>
      </c>
      <c r="I294" s="332" t="s">
        <v>70</v>
      </c>
      <c r="J294" s="331">
        <v>2652</v>
      </c>
      <c r="K294" s="326">
        <v>5812</v>
      </c>
      <c r="L294" s="326">
        <v>2995</v>
      </c>
      <c r="M294" s="326" t="s">
        <v>31</v>
      </c>
      <c r="N294" s="342">
        <v>10.4</v>
      </c>
      <c r="O294" s="337">
        <f>IF(N294&gt;0,1/N294*37.7*68.6,"")</f>
        <v>248.67499999999998</v>
      </c>
      <c r="P294" s="328">
        <v>9.51</v>
      </c>
      <c r="Q294" s="327" t="s">
        <v>43</v>
      </c>
      <c r="R294" s="326" t="s">
        <v>33</v>
      </c>
      <c r="S294" s="326" t="s">
        <v>66</v>
      </c>
      <c r="T294" s="326"/>
      <c r="U294" s="325"/>
      <c r="V294" s="324">
        <f>IF(N294&lt;&gt;0, IF(N294&gt;=P294,ROUNDDOWN(N294/P294*100,0),""),"")</f>
        <v>109</v>
      </c>
      <c r="W294" s="311"/>
      <c r="X294" s="323"/>
      <c r="Y294" s="311"/>
      <c r="Z294" s="320"/>
      <c r="AA294" s="320"/>
      <c r="AB294" s="320"/>
      <c r="AC294" s="320"/>
      <c r="AD294" s="320"/>
      <c r="AE294" s="320"/>
      <c r="AF294" s="320"/>
      <c r="AG294" s="320"/>
      <c r="AH294" s="320"/>
      <c r="AI294" s="320"/>
      <c r="AJ294" s="320"/>
      <c r="AK294" s="320"/>
      <c r="AL294" s="320"/>
      <c r="AM294" s="320"/>
      <c r="AN294" s="320"/>
      <c r="AO294" s="320"/>
      <c r="AP294" s="320"/>
      <c r="AQ294" s="320"/>
      <c r="AR294" s="320"/>
      <c r="AS294" s="320"/>
      <c r="AT294" s="320"/>
      <c r="AU294" s="320"/>
      <c r="AV294" s="320"/>
      <c r="AW294" s="320"/>
      <c r="AX294" s="320"/>
      <c r="AY294" s="320"/>
      <c r="AZ294" s="320"/>
      <c r="BA294" s="320"/>
      <c r="BB294" s="320"/>
      <c r="BC294" s="320"/>
      <c r="BD294" s="320"/>
      <c r="BE294" s="320"/>
      <c r="BF294" s="320"/>
      <c r="BG294" s="320"/>
      <c r="BH294" s="320"/>
      <c r="BI294" s="320"/>
      <c r="BJ294" s="320"/>
      <c r="BK294" s="320"/>
      <c r="BL294" s="320"/>
      <c r="BM294" s="320"/>
      <c r="BN294" s="320"/>
      <c r="BO294" s="320"/>
      <c r="BP294" s="320"/>
      <c r="BQ294" s="320"/>
      <c r="BR294" s="320"/>
      <c r="BS294" s="320"/>
      <c r="BT294" s="320"/>
      <c r="BU294" s="320"/>
      <c r="BV294" s="320"/>
      <c r="BW294" s="320"/>
      <c r="BX294" s="320"/>
      <c r="BY294" s="320"/>
      <c r="BZ294" s="320"/>
      <c r="CA294" s="320"/>
      <c r="CB294" s="320"/>
      <c r="CC294" s="320"/>
      <c r="CD294" s="320"/>
      <c r="CE294" s="320"/>
      <c r="CF294" s="320"/>
      <c r="CG294" s="320"/>
      <c r="CH294" s="320"/>
      <c r="CI294" s="320"/>
      <c r="CJ294" s="320"/>
      <c r="CK294" s="320"/>
      <c r="CL294" s="320"/>
      <c r="CM294" s="320"/>
      <c r="CN294" s="320"/>
      <c r="CO294" s="320"/>
      <c r="CP294" s="320"/>
      <c r="CQ294" s="320"/>
      <c r="CR294" s="320"/>
      <c r="CS294" s="320"/>
      <c r="CT294" s="320"/>
      <c r="CU294" s="320"/>
      <c r="CV294" s="320"/>
      <c r="CW294" s="320"/>
      <c r="CX294" s="320"/>
      <c r="CY294" s="320"/>
      <c r="CZ294" s="320"/>
      <c r="DA294" s="320"/>
      <c r="DB294" s="320"/>
      <c r="DC294" s="320"/>
      <c r="DD294" s="320"/>
      <c r="DE294" s="320"/>
      <c r="DF294" s="320"/>
      <c r="DG294" s="320"/>
      <c r="DH294" s="320"/>
      <c r="DI294" s="320"/>
      <c r="DJ294" s="320"/>
      <c r="DK294" s="320"/>
    </row>
    <row r="295" spans="1:115" s="322" customFormat="1" ht="21" customHeight="1">
      <c r="A295" s="341"/>
      <c r="B295" s="340"/>
      <c r="C295" s="339"/>
      <c r="D295" s="333" t="s">
        <v>1125</v>
      </c>
      <c r="E295" s="326" t="s">
        <v>41</v>
      </c>
      <c r="F295" s="331">
        <v>2.9990000000000001</v>
      </c>
      <c r="G295" s="332">
        <v>375</v>
      </c>
      <c r="H295" s="331">
        <v>110</v>
      </c>
      <c r="I295" s="332" t="s">
        <v>70</v>
      </c>
      <c r="J295" s="331">
        <v>2652</v>
      </c>
      <c r="K295" s="326">
        <v>5812</v>
      </c>
      <c r="L295" s="326">
        <v>2995</v>
      </c>
      <c r="M295" s="326" t="s">
        <v>31</v>
      </c>
      <c r="N295" s="342">
        <v>10.199999999999999</v>
      </c>
      <c r="O295" s="337">
        <f>IF(N295&gt;0,1/N295*37.7*68.6,"")</f>
        <v>253.55098039215687</v>
      </c>
      <c r="P295" s="328">
        <v>9.51</v>
      </c>
      <c r="Q295" s="327" t="s">
        <v>63</v>
      </c>
      <c r="R295" s="326" t="s">
        <v>33</v>
      </c>
      <c r="S295" s="326" t="s">
        <v>66</v>
      </c>
      <c r="T295" s="326"/>
      <c r="U295" s="325"/>
      <c r="V295" s="324">
        <f>IF(N295&lt;&gt;0, IF(N295&gt;=P295,ROUNDDOWN(N295/P295*100,0),""),"")</f>
        <v>107</v>
      </c>
      <c r="W295" s="311"/>
      <c r="X295" s="323"/>
      <c r="Y295" s="311"/>
      <c r="Z295" s="320"/>
      <c r="AA295" s="320"/>
      <c r="AB295" s="320"/>
      <c r="AC295" s="320"/>
      <c r="AD295" s="320"/>
      <c r="AE295" s="320"/>
      <c r="AF295" s="320"/>
      <c r="AG295" s="320"/>
      <c r="AH295" s="320"/>
      <c r="AI295" s="320"/>
      <c r="AJ295" s="320"/>
      <c r="AK295" s="320"/>
      <c r="AL295" s="320"/>
      <c r="AM295" s="320"/>
      <c r="AN295" s="320"/>
      <c r="AO295" s="320"/>
      <c r="AP295" s="320"/>
      <c r="AQ295" s="320"/>
      <c r="AR295" s="320"/>
      <c r="AS295" s="320"/>
      <c r="AT295" s="320"/>
      <c r="AU295" s="320"/>
      <c r="AV295" s="320"/>
      <c r="AW295" s="320"/>
      <c r="AX295" s="320"/>
      <c r="AY295" s="320"/>
      <c r="AZ295" s="320"/>
      <c r="BA295" s="320"/>
      <c r="BB295" s="320"/>
      <c r="BC295" s="320"/>
      <c r="BD295" s="320"/>
      <c r="BE295" s="320"/>
      <c r="BF295" s="320"/>
      <c r="BG295" s="320"/>
      <c r="BH295" s="320"/>
      <c r="BI295" s="320"/>
      <c r="BJ295" s="320"/>
      <c r="BK295" s="320"/>
      <c r="BL295" s="320"/>
      <c r="BM295" s="320"/>
      <c r="BN295" s="320"/>
      <c r="BO295" s="320"/>
      <c r="BP295" s="320"/>
      <c r="BQ295" s="320"/>
      <c r="BR295" s="320"/>
      <c r="BS295" s="320"/>
      <c r="BT295" s="320"/>
      <c r="BU295" s="320"/>
      <c r="BV295" s="320"/>
      <c r="BW295" s="320"/>
      <c r="BX295" s="320"/>
      <c r="BY295" s="320"/>
      <c r="BZ295" s="320"/>
      <c r="CA295" s="320"/>
      <c r="CB295" s="320"/>
      <c r="CC295" s="320"/>
      <c r="CD295" s="320"/>
      <c r="CE295" s="320"/>
      <c r="CF295" s="320"/>
      <c r="CG295" s="320"/>
      <c r="CH295" s="320"/>
      <c r="CI295" s="320"/>
      <c r="CJ295" s="320"/>
      <c r="CK295" s="320"/>
      <c r="CL295" s="320"/>
      <c r="CM295" s="320"/>
      <c r="CN295" s="320"/>
      <c r="CO295" s="320"/>
      <c r="CP295" s="320"/>
      <c r="CQ295" s="320"/>
      <c r="CR295" s="320"/>
      <c r="CS295" s="320"/>
      <c r="CT295" s="320"/>
      <c r="CU295" s="320"/>
      <c r="CV295" s="320"/>
      <c r="CW295" s="320"/>
      <c r="CX295" s="320"/>
      <c r="CY295" s="320"/>
      <c r="CZ295" s="320"/>
      <c r="DA295" s="320"/>
      <c r="DB295" s="320"/>
      <c r="DC295" s="320"/>
      <c r="DD295" s="320"/>
      <c r="DE295" s="320"/>
      <c r="DF295" s="320"/>
      <c r="DG295" s="320"/>
      <c r="DH295" s="320"/>
      <c r="DI295" s="320"/>
      <c r="DJ295" s="320"/>
      <c r="DK295" s="320"/>
    </row>
    <row r="296" spans="1:115" s="322" customFormat="1" ht="21" customHeight="1">
      <c r="A296" s="341"/>
      <c r="B296" s="340"/>
      <c r="C296" s="339"/>
      <c r="D296" s="333" t="s">
        <v>1124</v>
      </c>
      <c r="E296" s="326" t="s">
        <v>41</v>
      </c>
      <c r="F296" s="331">
        <v>2.9990000000000001</v>
      </c>
      <c r="G296" s="332">
        <v>375</v>
      </c>
      <c r="H296" s="331">
        <v>110</v>
      </c>
      <c r="I296" s="332" t="s">
        <v>70</v>
      </c>
      <c r="J296" s="331">
        <v>2356</v>
      </c>
      <c r="K296" s="326">
        <v>4521</v>
      </c>
      <c r="L296" s="326">
        <v>2000</v>
      </c>
      <c r="M296" s="326" t="s">
        <v>31</v>
      </c>
      <c r="N296" s="342">
        <v>11</v>
      </c>
      <c r="O296" s="337">
        <f>IF(N296&gt;0,1/N296*37.7*68.6,"")</f>
        <v>235.1109090909091</v>
      </c>
      <c r="P296" s="328">
        <v>10.35</v>
      </c>
      <c r="Q296" s="327" t="s">
        <v>63</v>
      </c>
      <c r="R296" s="326" t="s">
        <v>33</v>
      </c>
      <c r="S296" s="326" t="s">
        <v>66</v>
      </c>
      <c r="T296" s="326"/>
      <c r="U296" s="325"/>
      <c r="V296" s="324">
        <f>IF(N296&lt;&gt;0, IF(N296&gt;=P296,ROUNDDOWN(N296/P296*100,0),""),"")</f>
        <v>106</v>
      </c>
      <c r="W296" s="311"/>
      <c r="X296" s="323"/>
      <c r="Y296" s="311"/>
      <c r="Z296" s="320"/>
      <c r="AA296" s="320"/>
      <c r="AB296" s="320"/>
      <c r="AC296" s="320"/>
      <c r="AD296" s="320"/>
      <c r="AE296" s="320"/>
      <c r="AF296" s="320"/>
      <c r="AG296" s="320"/>
      <c r="AH296" s="320"/>
      <c r="AI296" s="320"/>
      <c r="AJ296" s="320"/>
      <c r="AK296" s="320"/>
      <c r="AL296" s="320"/>
      <c r="AM296" s="320"/>
      <c r="AN296" s="320"/>
      <c r="AO296" s="320"/>
      <c r="AP296" s="320"/>
      <c r="AQ296" s="320"/>
      <c r="AR296" s="320"/>
      <c r="AS296" s="320"/>
      <c r="AT296" s="320"/>
      <c r="AU296" s="320"/>
      <c r="AV296" s="320"/>
      <c r="AW296" s="320"/>
      <c r="AX296" s="320"/>
      <c r="AY296" s="320"/>
      <c r="AZ296" s="320"/>
      <c r="BA296" s="320"/>
      <c r="BB296" s="320"/>
      <c r="BC296" s="320"/>
      <c r="BD296" s="320"/>
      <c r="BE296" s="320"/>
      <c r="BF296" s="320"/>
      <c r="BG296" s="320"/>
      <c r="BH296" s="320"/>
      <c r="BI296" s="320"/>
      <c r="BJ296" s="320"/>
      <c r="BK296" s="320"/>
      <c r="BL296" s="320"/>
      <c r="BM296" s="320"/>
      <c r="BN296" s="320"/>
      <c r="BO296" s="320"/>
      <c r="BP296" s="320"/>
      <c r="BQ296" s="320"/>
      <c r="BR296" s="320"/>
      <c r="BS296" s="320"/>
      <c r="BT296" s="320"/>
      <c r="BU296" s="320"/>
      <c r="BV296" s="320"/>
      <c r="BW296" s="320"/>
      <c r="BX296" s="320"/>
      <c r="BY296" s="320"/>
      <c r="BZ296" s="320"/>
      <c r="CA296" s="320"/>
      <c r="CB296" s="320"/>
      <c r="CC296" s="320"/>
      <c r="CD296" s="320"/>
      <c r="CE296" s="320"/>
      <c r="CF296" s="320"/>
      <c r="CG296" s="320"/>
      <c r="CH296" s="320"/>
      <c r="CI296" s="320"/>
      <c r="CJ296" s="320"/>
      <c r="CK296" s="320"/>
      <c r="CL296" s="320"/>
      <c r="CM296" s="320"/>
      <c r="CN296" s="320"/>
      <c r="CO296" s="320"/>
      <c r="CP296" s="320"/>
      <c r="CQ296" s="320"/>
      <c r="CR296" s="320"/>
      <c r="CS296" s="320"/>
      <c r="CT296" s="320"/>
      <c r="CU296" s="320"/>
      <c r="CV296" s="320"/>
      <c r="CW296" s="320"/>
      <c r="CX296" s="320"/>
      <c r="CY296" s="320"/>
      <c r="CZ296" s="320"/>
      <c r="DA296" s="320"/>
      <c r="DB296" s="320"/>
      <c r="DC296" s="320"/>
      <c r="DD296" s="320"/>
      <c r="DE296" s="320"/>
      <c r="DF296" s="320"/>
      <c r="DG296" s="320"/>
      <c r="DH296" s="320"/>
      <c r="DI296" s="320"/>
      <c r="DJ296" s="320"/>
      <c r="DK296" s="320"/>
    </row>
    <row r="297" spans="1:115" s="322" customFormat="1" ht="21" customHeight="1">
      <c r="A297" s="341"/>
      <c r="B297" s="340"/>
      <c r="C297" s="339"/>
      <c r="D297" s="333" t="s">
        <v>1124</v>
      </c>
      <c r="E297" s="326" t="s">
        <v>41</v>
      </c>
      <c r="F297" s="331">
        <v>2.9990000000000001</v>
      </c>
      <c r="G297" s="332">
        <v>375</v>
      </c>
      <c r="H297" s="331">
        <v>110</v>
      </c>
      <c r="I297" s="332" t="s">
        <v>70</v>
      </c>
      <c r="J297" s="331">
        <v>2652</v>
      </c>
      <c r="K297" s="326">
        <v>5812</v>
      </c>
      <c r="L297" s="326">
        <v>2995</v>
      </c>
      <c r="M297" s="326" t="s">
        <v>31</v>
      </c>
      <c r="N297" s="342">
        <v>10.4</v>
      </c>
      <c r="O297" s="337">
        <f>IF(N297&gt;0,1/N297*37.7*68.6,"")</f>
        <v>248.67499999999998</v>
      </c>
      <c r="P297" s="328">
        <v>9.51</v>
      </c>
      <c r="Q297" s="327" t="s">
        <v>43</v>
      </c>
      <c r="R297" s="326" t="s">
        <v>33</v>
      </c>
      <c r="S297" s="326" t="s">
        <v>66</v>
      </c>
      <c r="T297" s="326"/>
      <c r="U297" s="325"/>
      <c r="V297" s="324">
        <f>IF(N297&lt;&gt;0, IF(N297&gt;=P297,ROUNDDOWN(N297/P297*100,0),""),"")</f>
        <v>109</v>
      </c>
      <c r="W297" s="311"/>
      <c r="X297" s="323"/>
      <c r="Y297" s="311"/>
      <c r="Z297" s="320"/>
      <c r="AA297" s="320"/>
      <c r="AB297" s="320"/>
      <c r="AC297" s="320"/>
      <c r="AD297" s="320"/>
      <c r="AE297" s="320"/>
      <c r="AF297" s="320"/>
      <c r="AG297" s="320"/>
      <c r="AH297" s="320"/>
      <c r="AI297" s="320"/>
      <c r="AJ297" s="320"/>
      <c r="AK297" s="320"/>
      <c r="AL297" s="320"/>
      <c r="AM297" s="320"/>
      <c r="AN297" s="320"/>
      <c r="AO297" s="320"/>
      <c r="AP297" s="320"/>
      <c r="AQ297" s="320"/>
      <c r="AR297" s="320"/>
      <c r="AS297" s="320"/>
      <c r="AT297" s="320"/>
      <c r="AU297" s="320"/>
      <c r="AV297" s="320"/>
      <c r="AW297" s="320"/>
      <c r="AX297" s="320"/>
      <c r="AY297" s="320"/>
      <c r="AZ297" s="320"/>
      <c r="BA297" s="320"/>
      <c r="BB297" s="320"/>
      <c r="BC297" s="320"/>
      <c r="BD297" s="320"/>
      <c r="BE297" s="320"/>
      <c r="BF297" s="320"/>
      <c r="BG297" s="320"/>
      <c r="BH297" s="320"/>
      <c r="BI297" s="320"/>
      <c r="BJ297" s="320"/>
      <c r="BK297" s="320"/>
      <c r="BL297" s="320"/>
      <c r="BM297" s="320"/>
      <c r="BN297" s="320"/>
      <c r="BO297" s="320"/>
      <c r="BP297" s="320"/>
      <c r="BQ297" s="320"/>
      <c r="BR297" s="320"/>
      <c r="BS297" s="320"/>
      <c r="BT297" s="320"/>
      <c r="BU297" s="320"/>
      <c r="BV297" s="320"/>
      <c r="BW297" s="320"/>
      <c r="BX297" s="320"/>
      <c r="BY297" s="320"/>
      <c r="BZ297" s="320"/>
      <c r="CA297" s="320"/>
      <c r="CB297" s="320"/>
      <c r="CC297" s="320"/>
      <c r="CD297" s="320"/>
      <c r="CE297" s="320"/>
      <c r="CF297" s="320"/>
      <c r="CG297" s="320"/>
      <c r="CH297" s="320"/>
      <c r="CI297" s="320"/>
      <c r="CJ297" s="320"/>
      <c r="CK297" s="320"/>
      <c r="CL297" s="320"/>
      <c r="CM297" s="320"/>
      <c r="CN297" s="320"/>
      <c r="CO297" s="320"/>
      <c r="CP297" s="320"/>
      <c r="CQ297" s="320"/>
      <c r="CR297" s="320"/>
      <c r="CS297" s="320"/>
      <c r="CT297" s="320"/>
      <c r="CU297" s="320"/>
      <c r="CV297" s="320"/>
      <c r="CW297" s="320"/>
      <c r="CX297" s="320"/>
      <c r="CY297" s="320"/>
      <c r="CZ297" s="320"/>
      <c r="DA297" s="320"/>
      <c r="DB297" s="320"/>
      <c r="DC297" s="320"/>
      <c r="DD297" s="320"/>
      <c r="DE297" s="320"/>
      <c r="DF297" s="320"/>
      <c r="DG297" s="320"/>
      <c r="DH297" s="320"/>
      <c r="DI297" s="320"/>
      <c r="DJ297" s="320"/>
      <c r="DK297" s="320"/>
    </row>
    <row r="298" spans="1:115" s="322" customFormat="1" ht="21" customHeight="1">
      <c r="A298" s="341"/>
      <c r="B298" s="340"/>
      <c r="C298" s="339"/>
      <c r="D298" s="333" t="s">
        <v>1124</v>
      </c>
      <c r="E298" s="326" t="s">
        <v>41</v>
      </c>
      <c r="F298" s="331">
        <v>2.9990000000000001</v>
      </c>
      <c r="G298" s="332">
        <v>375</v>
      </c>
      <c r="H298" s="331">
        <v>110</v>
      </c>
      <c r="I298" s="332" t="s">
        <v>70</v>
      </c>
      <c r="J298" s="331">
        <v>2652</v>
      </c>
      <c r="K298" s="326">
        <v>5812</v>
      </c>
      <c r="L298" s="326">
        <v>2995</v>
      </c>
      <c r="M298" s="326" t="s">
        <v>31</v>
      </c>
      <c r="N298" s="342">
        <v>10.199999999999999</v>
      </c>
      <c r="O298" s="337">
        <f>IF(N298&gt;0,1/N298*37.7*68.6,"")</f>
        <v>253.55098039215687</v>
      </c>
      <c r="P298" s="328">
        <v>9.51</v>
      </c>
      <c r="Q298" s="327" t="s">
        <v>63</v>
      </c>
      <c r="R298" s="326" t="s">
        <v>33</v>
      </c>
      <c r="S298" s="326" t="s">
        <v>66</v>
      </c>
      <c r="T298" s="326"/>
      <c r="U298" s="325"/>
      <c r="V298" s="324">
        <f>IF(N298&lt;&gt;0, IF(N298&gt;=P298,ROUNDDOWN(N298/P298*100,0),""),"")</f>
        <v>107</v>
      </c>
      <c r="W298" s="311"/>
      <c r="X298" s="323"/>
      <c r="Y298" s="311"/>
      <c r="Z298" s="320"/>
      <c r="AA298" s="320"/>
      <c r="AB298" s="320"/>
      <c r="AC298" s="320"/>
      <c r="AD298" s="320"/>
      <c r="AE298" s="320"/>
      <c r="AF298" s="320"/>
      <c r="AG298" s="320"/>
      <c r="AH298" s="320"/>
      <c r="AI298" s="320"/>
      <c r="AJ298" s="320"/>
      <c r="AK298" s="320"/>
      <c r="AL298" s="320"/>
      <c r="AM298" s="320"/>
      <c r="AN298" s="320"/>
      <c r="AO298" s="320"/>
      <c r="AP298" s="320"/>
      <c r="AQ298" s="320"/>
      <c r="AR298" s="320"/>
      <c r="AS298" s="320"/>
      <c r="AT298" s="320"/>
      <c r="AU298" s="320"/>
      <c r="AV298" s="320"/>
      <c r="AW298" s="320"/>
      <c r="AX298" s="320"/>
      <c r="AY298" s="320"/>
      <c r="AZ298" s="320"/>
      <c r="BA298" s="320"/>
      <c r="BB298" s="320"/>
      <c r="BC298" s="320"/>
      <c r="BD298" s="320"/>
      <c r="BE298" s="320"/>
      <c r="BF298" s="320"/>
      <c r="BG298" s="320"/>
      <c r="BH298" s="320"/>
      <c r="BI298" s="320"/>
      <c r="BJ298" s="320"/>
      <c r="BK298" s="320"/>
      <c r="BL298" s="320"/>
      <c r="BM298" s="320"/>
      <c r="BN298" s="320"/>
      <c r="BO298" s="320"/>
      <c r="BP298" s="320"/>
      <c r="BQ298" s="320"/>
      <c r="BR298" s="320"/>
      <c r="BS298" s="320"/>
      <c r="BT298" s="320"/>
      <c r="BU298" s="320"/>
      <c r="BV298" s="320"/>
      <c r="BW298" s="320"/>
      <c r="BX298" s="320"/>
      <c r="BY298" s="320"/>
      <c r="BZ298" s="320"/>
      <c r="CA298" s="320"/>
      <c r="CB298" s="320"/>
      <c r="CC298" s="320"/>
      <c r="CD298" s="320"/>
      <c r="CE298" s="320"/>
      <c r="CF298" s="320"/>
      <c r="CG298" s="320"/>
      <c r="CH298" s="320"/>
      <c r="CI298" s="320"/>
      <c r="CJ298" s="320"/>
      <c r="CK298" s="320"/>
      <c r="CL298" s="320"/>
      <c r="CM298" s="320"/>
      <c r="CN298" s="320"/>
      <c r="CO298" s="320"/>
      <c r="CP298" s="320"/>
      <c r="CQ298" s="320"/>
      <c r="CR298" s="320"/>
      <c r="CS298" s="320"/>
      <c r="CT298" s="320"/>
      <c r="CU298" s="320"/>
      <c r="CV298" s="320"/>
      <c r="CW298" s="320"/>
      <c r="CX298" s="320"/>
      <c r="CY298" s="320"/>
      <c r="CZ298" s="320"/>
      <c r="DA298" s="320"/>
      <c r="DB298" s="320"/>
      <c r="DC298" s="320"/>
      <c r="DD298" s="320"/>
      <c r="DE298" s="320"/>
      <c r="DF298" s="320"/>
      <c r="DG298" s="320"/>
      <c r="DH298" s="320"/>
      <c r="DI298" s="320"/>
      <c r="DJ298" s="320"/>
      <c r="DK298" s="320"/>
    </row>
    <row r="299" spans="1:115" s="322" customFormat="1" ht="21" customHeight="1">
      <c r="A299" s="341"/>
      <c r="B299" s="340"/>
      <c r="C299" s="339"/>
      <c r="D299" s="333" t="s">
        <v>1123</v>
      </c>
      <c r="E299" s="326" t="s">
        <v>41</v>
      </c>
      <c r="F299" s="331">
        <v>2.9990000000000001</v>
      </c>
      <c r="G299" s="332">
        <v>375</v>
      </c>
      <c r="H299" s="331">
        <v>110</v>
      </c>
      <c r="I299" s="332" t="s">
        <v>70</v>
      </c>
      <c r="J299" s="331">
        <v>2356</v>
      </c>
      <c r="K299" s="326">
        <v>4521</v>
      </c>
      <c r="L299" s="326">
        <v>2000</v>
      </c>
      <c r="M299" s="326" t="s">
        <v>31</v>
      </c>
      <c r="N299" s="342">
        <v>11</v>
      </c>
      <c r="O299" s="337">
        <f>IF(N299&gt;0,1/N299*37.7*68.6,"")</f>
        <v>235.1109090909091</v>
      </c>
      <c r="P299" s="328">
        <v>10.35</v>
      </c>
      <c r="Q299" s="327" t="s">
        <v>63</v>
      </c>
      <c r="R299" s="326" t="s">
        <v>33</v>
      </c>
      <c r="S299" s="326" t="s">
        <v>66</v>
      </c>
      <c r="T299" s="326"/>
      <c r="U299" s="325"/>
      <c r="V299" s="324">
        <f>IF(N299&lt;&gt;0, IF(N299&gt;=P299,ROUNDDOWN(N299/P299*100,0),""),"")</f>
        <v>106</v>
      </c>
      <c r="W299" s="311"/>
      <c r="X299" s="323"/>
      <c r="Y299" s="311"/>
      <c r="Z299" s="320"/>
      <c r="AA299" s="320"/>
      <c r="AB299" s="320"/>
      <c r="AC299" s="320"/>
      <c r="AD299" s="320"/>
      <c r="AE299" s="320"/>
      <c r="AF299" s="320"/>
      <c r="AG299" s="320"/>
      <c r="AH299" s="320"/>
      <c r="AI299" s="320"/>
      <c r="AJ299" s="320"/>
      <c r="AK299" s="320"/>
      <c r="AL299" s="320"/>
      <c r="AM299" s="320"/>
      <c r="AN299" s="320"/>
      <c r="AO299" s="320"/>
      <c r="AP299" s="320"/>
      <c r="AQ299" s="320"/>
      <c r="AR299" s="320"/>
      <c r="AS299" s="320"/>
      <c r="AT299" s="320"/>
      <c r="AU299" s="320"/>
      <c r="AV299" s="320"/>
      <c r="AW299" s="320"/>
      <c r="AX299" s="320"/>
      <c r="AY299" s="320"/>
      <c r="AZ299" s="320"/>
      <c r="BA299" s="320"/>
      <c r="BB299" s="320"/>
      <c r="BC299" s="320"/>
      <c r="BD299" s="320"/>
      <c r="BE299" s="320"/>
      <c r="BF299" s="320"/>
      <c r="BG299" s="320"/>
      <c r="BH299" s="320"/>
      <c r="BI299" s="320"/>
      <c r="BJ299" s="320"/>
      <c r="BK299" s="320"/>
      <c r="BL299" s="320"/>
      <c r="BM299" s="320"/>
      <c r="BN299" s="320"/>
      <c r="BO299" s="320"/>
      <c r="BP299" s="320"/>
      <c r="BQ299" s="320"/>
      <c r="BR299" s="320"/>
      <c r="BS299" s="320"/>
      <c r="BT299" s="320"/>
      <c r="BU299" s="320"/>
      <c r="BV299" s="320"/>
      <c r="BW299" s="320"/>
      <c r="BX299" s="320"/>
      <c r="BY299" s="320"/>
      <c r="BZ299" s="320"/>
      <c r="CA299" s="320"/>
      <c r="CB299" s="320"/>
      <c r="CC299" s="320"/>
      <c r="CD299" s="320"/>
      <c r="CE299" s="320"/>
      <c r="CF299" s="320"/>
      <c r="CG299" s="320"/>
      <c r="CH299" s="320"/>
      <c r="CI299" s="320"/>
      <c r="CJ299" s="320"/>
      <c r="CK299" s="320"/>
      <c r="CL299" s="320"/>
      <c r="CM299" s="320"/>
      <c r="CN299" s="320"/>
      <c r="CO299" s="320"/>
      <c r="CP299" s="320"/>
      <c r="CQ299" s="320"/>
      <c r="CR299" s="320"/>
      <c r="CS299" s="320"/>
      <c r="CT299" s="320"/>
      <c r="CU299" s="320"/>
      <c r="CV299" s="320"/>
      <c r="CW299" s="320"/>
      <c r="CX299" s="320"/>
      <c r="CY299" s="320"/>
      <c r="CZ299" s="320"/>
      <c r="DA299" s="320"/>
      <c r="DB299" s="320"/>
      <c r="DC299" s="320"/>
      <c r="DD299" s="320"/>
      <c r="DE299" s="320"/>
      <c r="DF299" s="320"/>
      <c r="DG299" s="320"/>
      <c r="DH299" s="320"/>
      <c r="DI299" s="320"/>
      <c r="DJ299" s="320"/>
      <c r="DK299" s="320"/>
    </row>
    <row r="300" spans="1:115" s="322" customFormat="1" ht="21" customHeight="1">
      <c r="A300" s="341"/>
      <c r="B300" s="340"/>
      <c r="C300" s="339"/>
      <c r="D300" s="333" t="s">
        <v>1122</v>
      </c>
      <c r="E300" s="326" t="s">
        <v>41</v>
      </c>
      <c r="F300" s="331">
        <v>2.9990000000000001</v>
      </c>
      <c r="G300" s="332">
        <v>375</v>
      </c>
      <c r="H300" s="331">
        <v>110</v>
      </c>
      <c r="I300" s="332" t="s">
        <v>70</v>
      </c>
      <c r="J300" s="331">
        <v>2356</v>
      </c>
      <c r="K300" s="326">
        <v>4521</v>
      </c>
      <c r="L300" s="326">
        <v>2000</v>
      </c>
      <c r="M300" s="326" t="s">
        <v>31</v>
      </c>
      <c r="N300" s="342">
        <v>11</v>
      </c>
      <c r="O300" s="337">
        <f>IF(N300&gt;0,1/N300*37.7*68.6,"")</f>
        <v>235.1109090909091</v>
      </c>
      <c r="P300" s="328">
        <v>10.35</v>
      </c>
      <c r="Q300" s="327" t="s">
        <v>63</v>
      </c>
      <c r="R300" s="326" t="s">
        <v>33</v>
      </c>
      <c r="S300" s="326" t="s">
        <v>66</v>
      </c>
      <c r="T300" s="326"/>
      <c r="U300" s="325"/>
      <c r="V300" s="324">
        <f>IF(N300&lt;&gt;0, IF(N300&gt;=P300,ROUNDDOWN(N300/P300*100,0),""),"")</f>
        <v>106</v>
      </c>
      <c r="W300" s="311"/>
      <c r="X300" s="323"/>
      <c r="Y300" s="311"/>
      <c r="Z300" s="320"/>
      <c r="AA300" s="320"/>
      <c r="AB300" s="320"/>
      <c r="AC300" s="320"/>
      <c r="AD300" s="320"/>
      <c r="AE300" s="320"/>
      <c r="AF300" s="320"/>
      <c r="AG300" s="320"/>
      <c r="AH300" s="320"/>
      <c r="AI300" s="320"/>
      <c r="AJ300" s="320"/>
      <c r="AK300" s="320"/>
      <c r="AL300" s="320"/>
      <c r="AM300" s="320"/>
      <c r="AN300" s="320"/>
      <c r="AO300" s="320"/>
      <c r="AP300" s="320"/>
      <c r="AQ300" s="320"/>
      <c r="AR300" s="320"/>
      <c r="AS300" s="320"/>
      <c r="AT300" s="320"/>
      <c r="AU300" s="320"/>
      <c r="AV300" s="320"/>
      <c r="AW300" s="320"/>
      <c r="AX300" s="320"/>
      <c r="AY300" s="320"/>
      <c r="AZ300" s="320"/>
      <c r="BA300" s="320"/>
      <c r="BB300" s="320"/>
      <c r="BC300" s="320"/>
      <c r="BD300" s="320"/>
      <c r="BE300" s="320"/>
      <c r="BF300" s="320"/>
      <c r="BG300" s="320"/>
      <c r="BH300" s="320"/>
      <c r="BI300" s="320"/>
      <c r="BJ300" s="320"/>
      <c r="BK300" s="320"/>
      <c r="BL300" s="320"/>
      <c r="BM300" s="320"/>
      <c r="BN300" s="320"/>
      <c r="BO300" s="320"/>
      <c r="BP300" s="320"/>
      <c r="BQ300" s="320"/>
      <c r="BR300" s="320"/>
      <c r="BS300" s="320"/>
      <c r="BT300" s="320"/>
      <c r="BU300" s="320"/>
      <c r="BV300" s="320"/>
      <c r="BW300" s="320"/>
      <c r="BX300" s="320"/>
      <c r="BY300" s="320"/>
      <c r="BZ300" s="320"/>
      <c r="CA300" s="320"/>
      <c r="CB300" s="320"/>
      <c r="CC300" s="320"/>
      <c r="CD300" s="320"/>
      <c r="CE300" s="320"/>
      <c r="CF300" s="320"/>
      <c r="CG300" s="320"/>
      <c r="CH300" s="320"/>
      <c r="CI300" s="320"/>
      <c r="CJ300" s="320"/>
      <c r="CK300" s="320"/>
      <c r="CL300" s="320"/>
      <c r="CM300" s="320"/>
      <c r="CN300" s="320"/>
      <c r="CO300" s="320"/>
      <c r="CP300" s="320"/>
      <c r="CQ300" s="320"/>
      <c r="CR300" s="320"/>
      <c r="CS300" s="320"/>
      <c r="CT300" s="320"/>
      <c r="CU300" s="320"/>
      <c r="CV300" s="320"/>
      <c r="CW300" s="320"/>
      <c r="CX300" s="320"/>
      <c r="CY300" s="320"/>
      <c r="CZ300" s="320"/>
      <c r="DA300" s="320"/>
      <c r="DB300" s="320"/>
      <c r="DC300" s="320"/>
      <c r="DD300" s="320"/>
      <c r="DE300" s="320"/>
      <c r="DF300" s="320"/>
      <c r="DG300" s="320"/>
      <c r="DH300" s="320"/>
      <c r="DI300" s="320"/>
      <c r="DJ300" s="320"/>
      <c r="DK300" s="320"/>
    </row>
    <row r="301" spans="1:115" s="322" customFormat="1" ht="21" customHeight="1">
      <c r="A301" s="341"/>
      <c r="B301" s="340"/>
      <c r="C301" s="339"/>
      <c r="D301" s="333" t="s">
        <v>1122</v>
      </c>
      <c r="E301" s="326" t="s">
        <v>41</v>
      </c>
      <c r="F301" s="331">
        <v>2.9990000000000001</v>
      </c>
      <c r="G301" s="332">
        <v>375</v>
      </c>
      <c r="H301" s="331">
        <v>110</v>
      </c>
      <c r="I301" s="332" t="s">
        <v>70</v>
      </c>
      <c r="J301" s="331">
        <v>2652</v>
      </c>
      <c r="K301" s="326">
        <v>5812</v>
      </c>
      <c r="L301" s="326">
        <v>2995</v>
      </c>
      <c r="M301" s="326" t="s">
        <v>31</v>
      </c>
      <c r="N301" s="342">
        <v>10.4</v>
      </c>
      <c r="O301" s="337">
        <f>IF(N301&gt;0,1/N301*37.7*68.6,"")</f>
        <v>248.67499999999998</v>
      </c>
      <c r="P301" s="328">
        <v>9.51</v>
      </c>
      <c r="Q301" s="327" t="s">
        <v>43</v>
      </c>
      <c r="R301" s="326" t="s">
        <v>33</v>
      </c>
      <c r="S301" s="326" t="s">
        <v>66</v>
      </c>
      <c r="T301" s="326"/>
      <c r="U301" s="325"/>
      <c r="V301" s="324">
        <f>IF(N301&lt;&gt;0, IF(N301&gt;=P301,ROUNDDOWN(N301/P301*100,0),""),"")</f>
        <v>109</v>
      </c>
      <c r="W301" s="311"/>
      <c r="X301" s="323"/>
      <c r="Y301" s="311"/>
      <c r="Z301" s="320"/>
      <c r="AA301" s="320"/>
      <c r="AB301" s="320"/>
      <c r="AC301" s="320"/>
      <c r="AD301" s="320"/>
      <c r="AE301" s="320"/>
      <c r="AF301" s="320"/>
      <c r="AG301" s="320"/>
      <c r="AH301" s="320"/>
      <c r="AI301" s="320"/>
      <c r="AJ301" s="320"/>
      <c r="AK301" s="320"/>
      <c r="AL301" s="320"/>
      <c r="AM301" s="320"/>
      <c r="AN301" s="320"/>
      <c r="AO301" s="320"/>
      <c r="AP301" s="320"/>
      <c r="AQ301" s="320"/>
      <c r="AR301" s="320"/>
      <c r="AS301" s="320"/>
      <c r="AT301" s="320"/>
      <c r="AU301" s="320"/>
      <c r="AV301" s="320"/>
      <c r="AW301" s="320"/>
      <c r="AX301" s="320"/>
      <c r="AY301" s="320"/>
      <c r="AZ301" s="320"/>
      <c r="BA301" s="320"/>
      <c r="BB301" s="320"/>
      <c r="BC301" s="320"/>
      <c r="BD301" s="320"/>
      <c r="BE301" s="320"/>
      <c r="BF301" s="320"/>
      <c r="BG301" s="320"/>
      <c r="BH301" s="320"/>
      <c r="BI301" s="320"/>
      <c r="BJ301" s="320"/>
      <c r="BK301" s="320"/>
      <c r="BL301" s="320"/>
      <c r="BM301" s="320"/>
      <c r="BN301" s="320"/>
      <c r="BO301" s="320"/>
      <c r="BP301" s="320"/>
      <c r="BQ301" s="320"/>
      <c r="BR301" s="320"/>
      <c r="BS301" s="320"/>
      <c r="BT301" s="320"/>
      <c r="BU301" s="320"/>
      <c r="BV301" s="320"/>
      <c r="BW301" s="320"/>
      <c r="BX301" s="320"/>
      <c r="BY301" s="320"/>
      <c r="BZ301" s="320"/>
      <c r="CA301" s="320"/>
      <c r="CB301" s="320"/>
      <c r="CC301" s="320"/>
      <c r="CD301" s="320"/>
      <c r="CE301" s="320"/>
      <c r="CF301" s="320"/>
      <c r="CG301" s="320"/>
      <c r="CH301" s="320"/>
      <c r="CI301" s="320"/>
      <c r="CJ301" s="320"/>
      <c r="CK301" s="320"/>
      <c r="CL301" s="320"/>
      <c r="CM301" s="320"/>
      <c r="CN301" s="320"/>
      <c r="CO301" s="320"/>
      <c r="CP301" s="320"/>
      <c r="CQ301" s="320"/>
      <c r="CR301" s="320"/>
      <c r="CS301" s="320"/>
      <c r="CT301" s="320"/>
      <c r="CU301" s="320"/>
      <c r="CV301" s="320"/>
      <c r="CW301" s="320"/>
      <c r="CX301" s="320"/>
      <c r="CY301" s="320"/>
      <c r="CZ301" s="320"/>
      <c r="DA301" s="320"/>
      <c r="DB301" s="320"/>
      <c r="DC301" s="320"/>
      <c r="DD301" s="320"/>
      <c r="DE301" s="320"/>
      <c r="DF301" s="320"/>
      <c r="DG301" s="320"/>
      <c r="DH301" s="320"/>
      <c r="DI301" s="320"/>
      <c r="DJ301" s="320"/>
      <c r="DK301" s="320"/>
    </row>
    <row r="302" spans="1:115" s="322" customFormat="1" ht="21" customHeight="1">
      <c r="A302" s="341"/>
      <c r="B302" s="340"/>
      <c r="C302" s="339"/>
      <c r="D302" s="333" t="s">
        <v>1122</v>
      </c>
      <c r="E302" s="326" t="s">
        <v>41</v>
      </c>
      <c r="F302" s="331">
        <v>2.9990000000000001</v>
      </c>
      <c r="G302" s="332">
        <v>375</v>
      </c>
      <c r="H302" s="331">
        <v>110</v>
      </c>
      <c r="I302" s="332" t="s">
        <v>70</v>
      </c>
      <c r="J302" s="331">
        <v>2652</v>
      </c>
      <c r="K302" s="326">
        <v>5812</v>
      </c>
      <c r="L302" s="326">
        <v>2995</v>
      </c>
      <c r="M302" s="326" t="s">
        <v>31</v>
      </c>
      <c r="N302" s="342">
        <v>10.199999999999999</v>
      </c>
      <c r="O302" s="337">
        <f>IF(N302&gt;0,1/N302*37.7*68.6,"")</f>
        <v>253.55098039215687</v>
      </c>
      <c r="P302" s="328">
        <v>9.51</v>
      </c>
      <c r="Q302" s="327" t="s">
        <v>63</v>
      </c>
      <c r="R302" s="326" t="s">
        <v>33</v>
      </c>
      <c r="S302" s="326" t="s">
        <v>66</v>
      </c>
      <c r="T302" s="326"/>
      <c r="U302" s="325"/>
      <c r="V302" s="324">
        <f>IF(N302&lt;&gt;0, IF(N302&gt;=P302,ROUNDDOWN(N302/P302*100,0),""),"")</f>
        <v>107</v>
      </c>
      <c r="W302" s="311"/>
      <c r="X302" s="323"/>
      <c r="Y302" s="311"/>
      <c r="Z302" s="320"/>
      <c r="AA302" s="320"/>
      <c r="AB302" s="320"/>
      <c r="AC302" s="320"/>
      <c r="AD302" s="320"/>
      <c r="AE302" s="320"/>
      <c r="AF302" s="320"/>
      <c r="AG302" s="320"/>
      <c r="AH302" s="320"/>
      <c r="AI302" s="320"/>
      <c r="AJ302" s="320"/>
      <c r="AK302" s="320"/>
      <c r="AL302" s="320"/>
      <c r="AM302" s="320"/>
      <c r="AN302" s="320"/>
      <c r="AO302" s="320"/>
      <c r="AP302" s="320"/>
      <c r="AQ302" s="320"/>
      <c r="AR302" s="320"/>
      <c r="AS302" s="320"/>
      <c r="AT302" s="320"/>
      <c r="AU302" s="320"/>
      <c r="AV302" s="320"/>
      <c r="AW302" s="320"/>
      <c r="AX302" s="320"/>
      <c r="AY302" s="320"/>
      <c r="AZ302" s="320"/>
      <c r="BA302" s="320"/>
      <c r="BB302" s="320"/>
      <c r="BC302" s="320"/>
      <c r="BD302" s="320"/>
      <c r="BE302" s="320"/>
      <c r="BF302" s="320"/>
      <c r="BG302" s="320"/>
      <c r="BH302" s="320"/>
      <c r="BI302" s="320"/>
      <c r="BJ302" s="320"/>
      <c r="BK302" s="320"/>
      <c r="BL302" s="320"/>
      <c r="BM302" s="320"/>
      <c r="BN302" s="320"/>
      <c r="BO302" s="320"/>
      <c r="BP302" s="320"/>
      <c r="BQ302" s="320"/>
      <c r="BR302" s="320"/>
      <c r="BS302" s="320"/>
      <c r="BT302" s="320"/>
      <c r="BU302" s="320"/>
      <c r="BV302" s="320"/>
      <c r="BW302" s="320"/>
      <c r="BX302" s="320"/>
      <c r="BY302" s="320"/>
      <c r="BZ302" s="320"/>
      <c r="CA302" s="320"/>
      <c r="CB302" s="320"/>
      <c r="CC302" s="320"/>
      <c r="CD302" s="320"/>
      <c r="CE302" s="320"/>
      <c r="CF302" s="320"/>
      <c r="CG302" s="320"/>
      <c r="CH302" s="320"/>
      <c r="CI302" s="320"/>
      <c r="CJ302" s="320"/>
      <c r="CK302" s="320"/>
      <c r="CL302" s="320"/>
      <c r="CM302" s="320"/>
      <c r="CN302" s="320"/>
      <c r="CO302" s="320"/>
      <c r="CP302" s="320"/>
      <c r="CQ302" s="320"/>
      <c r="CR302" s="320"/>
      <c r="CS302" s="320"/>
      <c r="CT302" s="320"/>
      <c r="CU302" s="320"/>
      <c r="CV302" s="320"/>
      <c r="CW302" s="320"/>
      <c r="CX302" s="320"/>
      <c r="CY302" s="320"/>
      <c r="CZ302" s="320"/>
      <c r="DA302" s="320"/>
      <c r="DB302" s="320"/>
      <c r="DC302" s="320"/>
      <c r="DD302" s="320"/>
      <c r="DE302" s="320"/>
      <c r="DF302" s="320"/>
      <c r="DG302" s="320"/>
      <c r="DH302" s="320"/>
      <c r="DI302" s="320"/>
      <c r="DJ302" s="320"/>
      <c r="DK302" s="320"/>
    </row>
    <row r="303" spans="1:115" s="322" customFormat="1" ht="21" customHeight="1">
      <c r="A303" s="341"/>
      <c r="B303" s="340"/>
      <c r="C303" s="339"/>
      <c r="D303" s="333" t="s">
        <v>1121</v>
      </c>
      <c r="E303" s="326" t="s">
        <v>41</v>
      </c>
      <c r="F303" s="331">
        <v>2.9990000000000001</v>
      </c>
      <c r="G303" s="332">
        <v>375</v>
      </c>
      <c r="H303" s="331">
        <v>110</v>
      </c>
      <c r="I303" s="332" t="s">
        <v>70</v>
      </c>
      <c r="J303" s="331">
        <v>2356</v>
      </c>
      <c r="K303" s="326">
        <v>4521</v>
      </c>
      <c r="L303" s="326">
        <v>2000</v>
      </c>
      <c r="M303" s="326" t="s">
        <v>31</v>
      </c>
      <c r="N303" s="342">
        <v>11</v>
      </c>
      <c r="O303" s="337">
        <f>IF(N303&gt;0,1/N303*37.7*68.6,"")</f>
        <v>235.1109090909091</v>
      </c>
      <c r="P303" s="328">
        <v>10.35</v>
      </c>
      <c r="Q303" s="327" t="s">
        <v>63</v>
      </c>
      <c r="R303" s="326" t="s">
        <v>33</v>
      </c>
      <c r="S303" s="326" t="s">
        <v>66</v>
      </c>
      <c r="T303" s="326"/>
      <c r="U303" s="325"/>
      <c r="V303" s="324">
        <f>IF(N303&lt;&gt;0, IF(N303&gt;=P303,ROUNDDOWN(N303/P303*100,0),""),"")</f>
        <v>106</v>
      </c>
      <c r="W303" s="311"/>
      <c r="X303" s="323"/>
      <c r="Y303" s="311"/>
      <c r="Z303" s="320"/>
      <c r="AA303" s="320"/>
      <c r="AB303" s="320"/>
      <c r="AC303" s="320"/>
      <c r="AD303" s="320"/>
      <c r="AE303" s="320"/>
      <c r="AF303" s="320"/>
      <c r="AG303" s="320"/>
      <c r="AH303" s="320"/>
      <c r="AI303" s="320"/>
      <c r="AJ303" s="320"/>
      <c r="AK303" s="320"/>
      <c r="AL303" s="320"/>
      <c r="AM303" s="320"/>
      <c r="AN303" s="320"/>
      <c r="AO303" s="320"/>
      <c r="AP303" s="320"/>
      <c r="AQ303" s="320"/>
      <c r="AR303" s="320"/>
      <c r="AS303" s="320"/>
      <c r="AT303" s="320"/>
      <c r="AU303" s="320"/>
      <c r="AV303" s="320"/>
      <c r="AW303" s="320"/>
      <c r="AX303" s="320"/>
      <c r="AY303" s="320"/>
      <c r="AZ303" s="320"/>
      <c r="BA303" s="320"/>
      <c r="BB303" s="320"/>
      <c r="BC303" s="320"/>
      <c r="BD303" s="320"/>
      <c r="BE303" s="320"/>
      <c r="BF303" s="320"/>
      <c r="BG303" s="320"/>
      <c r="BH303" s="320"/>
      <c r="BI303" s="320"/>
      <c r="BJ303" s="320"/>
      <c r="BK303" s="320"/>
      <c r="BL303" s="320"/>
      <c r="BM303" s="320"/>
      <c r="BN303" s="320"/>
      <c r="BO303" s="320"/>
      <c r="BP303" s="320"/>
      <c r="BQ303" s="320"/>
      <c r="BR303" s="320"/>
      <c r="BS303" s="320"/>
      <c r="BT303" s="320"/>
      <c r="BU303" s="320"/>
      <c r="BV303" s="320"/>
      <c r="BW303" s="320"/>
      <c r="BX303" s="320"/>
      <c r="BY303" s="320"/>
      <c r="BZ303" s="320"/>
      <c r="CA303" s="320"/>
      <c r="CB303" s="320"/>
      <c r="CC303" s="320"/>
      <c r="CD303" s="320"/>
      <c r="CE303" s="320"/>
      <c r="CF303" s="320"/>
      <c r="CG303" s="320"/>
      <c r="CH303" s="320"/>
      <c r="CI303" s="320"/>
      <c r="CJ303" s="320"/>
      <c r="CK303" s="320"/>
      <c r="CL303" s="320"/>
      <c r="CM303" s="320"/>
      <c r="CN303" s="320"/>
      <c r="CO303" s="320"/>
      <c r="CP303" s="320"/>
      <c r="CQ303" s="320"/>
      <c r="CR303" s="320"/>
      <c r="CS303" s="320"/>
      <c r="CT303" s="320"/>
      <c r="CU303" s="320"/>
      <c r="CV303" s="320"/>
      <c r="CW303" s="320"/>
      <c r="CX303" s="320"/>
      <c r="CY303" s="320"/>
      <c r="CZ303" s="320"/>
      <c r="DA303" s="320"/>
      <c r="DB303" s="320"/>
      <c r="DC303" s="320"/>
      <c r="DD303" s="320"/>
      <c r="DE303" s="320"/>
      <c r="DF303" s="320"/>
      <c r="DG303" s="320"/>
      <c r="DH303" s="320"/>
      <c r="DI303" s="320"/>
      <c r="DJ303" s="320"/>
      <c r="DK303" s="320"/>
    </row>
    <row r="304" spans="1:115" s="322" customFormat="1" ht="21" customHeight="1">
      <c r="A304" s="341"/>
      <c r="B304" s="340"/>
      <c r="C304" s="339"/>
      <c r="D304" s="333" t="s">
        <v>1121</v>
      </c>
      <c r="E304" s="326" t="s">
        <v>41</v>
      </c>
      <c r="F304" s="331">
        <v>2.9990000000000001</v>
      </c>
      <c r="G304" s="332">
        <v>375</v>
      </c>
      <c r="H304" s="331">
        <v>110</v>
      </c>
      <c r="I304" s="332" t="s">
        <v>70</v>
      </c>
      <c r="J304" s="331">
        <v>2652</v>
      </c>
      <c r="K304" s="326">
        <v>5812</v>
      </c>
      <c r="L304" s="326">
        <v>2995</v>
      </c>
      <c r="M304" s="326" t="s">
        <v>31</v>
      </c>
      <c r="N304" s="342">
        <v>10.4</v>
      </c>
      <c r="O304" s="337">
        <f>IF(N304&gt;0,1/N304*37.7*68.6,"")</f>
        <v>248.67499999999998</v>
      </c>
      <c r="P304" s="328">
        <v>9.51</v>
      </c>
      <c r="Q304" s="327" t="s">
        <v>43</v>
      </c>
      <c r="R304" s="326" t="s">
        <v>33</v>
      </c>
      <c r="S304" s="326" t="s">
        <v>66</v>
      </c>
      <c r="T304" s="326"/>
      <c r="U304" s="325"/>
      <c r="V304" s="324">
        <f>IF(N304&lt;&gt;0, IF(N304&gt;=P304,ROUNDDOWN(N304/P304*100,0),""),"")</f>
        <v>109</v>
      </c>
      <c r="W304" s="311"/>
      <c r="X304" s="323"/>
      <c r="Y304" s="311"/>
      <c r="Z304" s="320"/>
      <c r="AA304" s="320"/>
      <c r="AB304" s="320"/>
      <c r="AC304" s="320"/>
      <c r="AD304" s="320"/>
      <c r="AE304" s="320"/>
      <c r="AF304" s="320"/>
      <c r="AG304" s="320"/>
      <c r="AH304" s="320"/>
      <c r="AI304" s="320"/>
      <c r="AJ304" s="320"/>
      <c r="AK304" s="320"/>
      <c r="AL304" s="320"/>
      <c r="AM304" s="320"/>
      <c r="AN304" s="320"/>
      <c r="AO304" s="320"/>
      <c r="AP304" s="320"/>
      <c r="AQ304" s="320"/>
      <c r="AR304" s="320"/>
      <c r="AS304" s="320"/>
      <c r="AT304" s="320"/>
      <c r="AU304" s="320"/>
      <c r="AV304" s="320"/>
      <c r="AW304" s="320"/>
      <c r="AX304" s="320"/>
      <c r="AY304" s="320"/>
      <c r="AZ304" s="320"/>
      <c r="BA304" s="320"/>
      <c r="BB304" s="320"/>
      <c r="BC304" s="320"/>
      <c r="BD304" s="320"/>
      <c r="BE304" s="320"/>
      <c r="BF304" s="320"/>
      <c r="BG304" s="320"/>
      <c r="BH304" s="320"/>
      <c r="BI304" s="320"/>
      <c r="BJ304" s="320"/>
      <c r="BK304" s="320"/>
      <c r="BL304" s="320"/>
      <c r="BM304" s="320"/>
      <c r="BN304" s="320"/>
      <c r="BO304" s="320"/>
      <c r="BP304" s="320"/>
      <c r="BQ304" s="320"/>
      <c r="BR304" s="320"/>
      <c r="BS304" s="320"/>
      <c r="BT304" s="320"/>
      <c r="BU304" s="320"/>
      <c r="BV304" s="320"/>
      <c r="BW304" s="320"/>
      <c r="BX304" s="320"/>
      <c r="BY304" s="320"/>
      <c r="BZ304" s="320"/>
      <c r="CA304" s="320"/>
      <c r="CB304" s="320"/>
      <c r="CC304" s="320"/>
      <c r="CD304" s="320"/>
      <c r="CE304" s="320"/>
      <c r="CF304" s="320"/>
      <c r="CG304" s="320"/>
      <c r="CH304" s="320"/>
      <c r="CI304" s="320"/>
      <c r="CJ304" s="320"/>
      <c r="CK304" s="320"/>
      <c r="CL304" s="320"/>
      <c r="CM304" s="320"/>
      <c r="CN304" s="320"/>
      <c r="CO304" s="320"/>
      <c r="CP304" s="320"/>
      <c r="CQ304" s="320"/>
      <c r="CR304" s="320"/>
      <c r="CS304" s="320"/>
      <c r="CT304" s="320"/>
      <c r="CU304" s="320"/>
      <c r="CV304" s="320"/>
      <c r="CW304" s="320"/>
      <c r="CX304" s="320"/>
      <c r="CY304" s="320"/>
      <c r="CZ304" s="320"/>
      <c r="DA304" s="320"/>
      <c r="DB304" s="320"/>
      <c r="DC304" s="320"/>
      <c r="DD304" s="320"/>
      <c r="DE304" s="320"/>
      <c r="DF304" s="320"/>
      <c r="DG304" s="320"/>
      <c r="DH304" s="320"/>
      <c r="DI304" s="320"/>
      <c r="DJ304" s="320"/>
      <c r="DK304" s="320"/>
    </row>
    <row r="305" spans="1:115" s="322" customFormat="1" ht="21" customHeight="1">
      <c r="A305" s="341"/>
      <c r="B305" s="340"/>
      <c r="C305" s="339"/>
      <c r="D305" s="333" t="s">
        <v>1121</v>
      </c>
      <c r="E305" s="326" t="s">
        <v>41</v>
      </c>
      <c r="F305" s="331">
        <v>2.9990000000000001</v>
      </c>
      <c r="G305" s="332">
        <v>375</v>
      </c>
      <c r="H305" s="331">
        <v>110</v>
      </c>
      <c r="I305" s="332" t="s">
        <v>70</v>
      </c>
      <c r="J305" s="331">
        <v>2652</v>
      </c>
      <c r="K305" s="326">
        <v>5812</v>
      </c>
      <c r="L305" s="326">
        <v>2995</v>
      </c>
      <c r="M305" s="326" t="s">
        <v>31</v>
      </c>
      <c r="N305" s="342">
        <v>10.199999999999999</v>
      </c>
      <c r="O305" s="337">
        <f>IF(N305&gt;0,1/N305*37.7*68.6,"")</f>
        <v>253.55098039215687</v>
      </c>
      <c r="P305" s="328">
        <v>9.51</v>
      </c>
      <c r="Q305" s="327" t="s">
        <v>63</v>
      </c>
      <c r="R305" s="326" t="s">
        <v>33</v>
      </c>
      <c r="S305" s="326" t="s">
        <v>66</v>
      </c>
      <c r="T305" s="326"/>
      <c r="U305" s="325"/>
      <c r="V305" s="324">
        <f>IF(N305&lt;&gt;0, IF(N305&gt;=P305,ROUNDDOWN(N305/P305*100,0),""),"")</f>
        <v>107</v>
      </c>
      <c r="W305" s="311"/>
      <c r="X305" s="323"/>
      <c r="Y305" s="311"/>
      <c r="Z305" s="320"/>
      <c r="AA305" s="320"/>
      <c r="AB305" s="320"/>
      <c r="AC305" s="320"/>
      <c r="AD305" s="320"/>
      <c r="AE305" s="320"/>
      <c r="AF305" s="320"/>
      <c r="AG305" s="320"/>
      <c r="AH305" s="320"/>
      <c r="AI305" s="320"/>
      <c r="AJ305" s="320"/>
      <c r="AK305" s="320"/>
      <c r="AL305" s="320"/>
      <c r="AM305" s="320"/>
      <c r="AN305" s="320"/>
      <c r="AO305" s="320"/>
      <c r="AP305" s="320"/>
      <c r="AQ305" s="320"/>
      <c r="AR305" s="320"/>
      <c r="AS305" s="320"/>
      <c r="AT305" s="320"/>
      <c r="AU305" s="320"/>
      <c r="AV305" s="320"/>
      <c r="AW305" s="320"/>
      <c r="AX305" s="320"/>
      <c r="AY305" s="320"/>
      <c r="AZ305" s="320"/>
      <c r="BA305" s="320"/>
      <c r="BB305" s="320"/>
      <c r="BC305" s="320"/>
      <c r="BD305" s="320"/>
      <c r="BE305" s="320"/>
      <c r="BF305" s="320"/>
      <c r="BG305" s="320"/>
      <c r="BH305" s="320"/>
      <c r="BI305" s="320"/>
      <c r="BJ305" s="320"/>
      <c r="BK305" s="320"/>
      <c r="BL305" s="320"/>
      <c r="BM305" s="320"/>
      <c r="BN305" s="320"/>
      <c r="BO305" s="320"/>
      <c r="BP305" s="320"/>
      <c r="BQ305" s="320"/>
      <c r="BR305" s="320"/>
      <c r="BS305" s="320"/>
      <c r="BT305" s="320"/>
      <c r="BU305" s="320"/>
      <c r="BV305" s="320"/>
      <c r="BW305" s="320"/>
      <c r="BX305" s="320"/>
      <c r="BY305" s="320"/>
      <c r="BZ305" s="320"/>
      <c r="CA305" s="320"/>
      <c r="CB305" s="320"/>
      <c r="CC305" s="320"/>
      <c r="CD305" s="320"/>
      <c r="CE305" s="320"/>
      <c r="CF305" s="320"/>
      <c r="CG305" s="320"/>
      <c r="CH305" s="320"/>
      <c r="CI305" s="320"/>
      <c r="CJ305" s="320"/>
      <c r="CK305" s="320"/>
      <c r="CL305" s="320"/>
      <c r="CM305" s="320"/>
      <c r="CN305" s="320"/>
      <c r="CO305" s="320"/>
      <c r="CP305" s="320"/>
      <c r="CQ305" s="320"/>
      <c r="CR305" s="320"/>
      <c r="CS305" s="320"/>
      <c r="CT305" s="320"/>
      <c r="CU305" s="320"/>
      <c r="CV305" s="320"/>
      <c r="CW305" s="320"/>
      <c r="CX305" s="320"/>
      <c r="CY305" s="320"/>
      <c r="CZ305" s="320"/>
      <c r="DA305" s="320"/>
      <c r="DB305" s="320"/>
      <c r="DC305" s="320"/>
      <c r="DD305" s="320"/>
      <c r="DE305" s="320"/>
      <c r="DF305" s="320"/>
      <c r="DG305" s="320"/>
      <c r="DH305" s="320"/>
      <c r="DI305" s="320"/>
      <c r="DJ305" s="320"/>
      <c r="DK305" s="320"/>
    </row>
    <row r="306" spans="1:115" s="322" customFormat="1" ht="21" customHeight="1">
      <c r="A306" s="341"/>
      <c r="B306" s="340"/>
      <c r="C306" s="339"/>
      <c r="D306" s="333" t="s">
        <v>1120</v>
      </c>
      <c r="E306" s="326" t="s">
        <v>41</v>
      </c>
      <c r="F306" s="331">
        <v>2.9990000000000001</v>
      </c>
      <c r="G306" s="332">
        <v>375</v>
      </c>
      <c r="H306" s="331" t="s">
        <v>466</v>
      </c>
      <c r="I306" s="332" t="s">
        <v>42</v>
      </c>
      <c r="J306" s="331">
        <v>2652</v>
      </c>
      <c r="K306" s="326">
        <v>5812</v>
      </c>
      <c r="L306" s="326">
        <v>2995</v>
      </c>
      <c r="M306" s="326" t="s">
        <v>31</v>
      </c>
      <c r="N306" s="342">
        <v>11</v>
      </c>
      <c r="O306" s="337">
        <f>IF(N306&gt;0,1/N306*37.7*68.6,"")</f>
        <v>235.1109090909091</v>
      </c>
      <c r="P306" s="328">
        <v>9.51</v>
      </c>
      <c r="Q306" s="327" t="s">
        <v>43</v>
      </c>
      <c r="R306" s="326" t="s">
        <v>33</v>
      </c>
      <c r="S306" s="326" t="s">
        <v>34</v>
      </c>
      <c r="T306" s="326"/>
      <c r="U306" s="325"/>
      <c r="V306" s="324">
        <f>IF(N306&lt;&gt;0, IF(N306&gt;=P306,ROUNDDOWN(N306/P306*100,0),""),"")</f>
        <v>115</v>
      </c>
      <c r="W306" s="311"/>
      <c r="X306" s="320"/>
      <c r="Y306" s="320"/>
      <c r="Z306" s="320"/>
      <c r="AA306" s="320"/>
      <c r="AB306" s="320"/>
      <c r="AC306" s="320"/>
      <c r="AD306" s="320"/>
      <c r="AE306" s="320"/>
      <c r="AF306" s="320"/>
      <c r="AG306" s="320"/>
      <c r="AH306" s="320"/>
      <c r="AI306" s="320"/>
      <c r="AJ306" s="320"/>
      <c r="AK306" s="320"/>
      <c r="AL306" s="320"/>
      <c r="AM306" s="320"/>
      <c r="AN306" s="320"/>
      <c r="AO306" s="320"/>
      <c r="AP306" s="320"/>
      <c r="AQ306" s="320"/>
    </row>
    <row r="307" spans="1:115" s="322" customFormat="1" ht="21" customHeight="1">
      <c r="A307" s="341"/>
      <c r="B307" s="340"/>
      <c r="C307" s="339"/>
      <c r="D307" s="333" t="s">
        <v>1119</v>
      </c>
      <c r="E307" s="326" t="s">
        <v>41</v>
      </c>
      <c r="F307" s="331">
        <v>2.9990000000000001</v>
      </c>
      <c r="G307" s="332" t="s">
        <v>464</v>
      </c>
      <c r="H307" s="331" t="s">
        <v>463</v>
      </c>
      <c r="I307" s="332" t="s">
        <v>71</v>
      </c>
      <c r="J307" s="331">
        <v>2652</v>
      </c>
      <c r="K307" s="326">
        <v>5812</v>
      </c>
      <c r="L307" s="326">
        <v>2995</v>
      </c>
      <c r="M307" s="326" t="s">
        <v>31</v>
      </c>
      <c r="N307" s="342">
        <v>10.4</v>
      </c>
      <c r="O307" s="337">
        <f>IF(N307&gt;0,1/N307*37.7*68.6,"")</f>
        <v>248.67499999999998</v>
      </c>
      <c r="P307" s="328">
        <v>9.51</v>
      </c>
      <c r="Q307" s="327" t="s">
        <v>63</v>
      </c>
      <c r="R307" s="326" t="s">
        <v>33</v>
      </c>
      <c r="S307" s="326" t="s">
        <v>34</v>
      </c>
      <c r="T307" s="326"/>
      <c r="U307" s="325"/>
      <c r="V307" s="324">
        <f>IF(N307&lt;&gt;0, IF(N307&gt;=P307,ROUNDDOWN(N307/P307*100,0),""),"")</f>
        <v>109</v>
      </c>
      <c r="W307" s="311"/>
      <c r="X307" s="320"/>
      <c r="Y307" s="320"/>
      <c r="Z307" s="320"/>
      <c r="AA307" s="320"/>
      <c r="AB307" s="320"/>
      <c r="AC307" s="320"/>
      <c r="AD307" s="320"/>
      <c r="AE307" s="320"/>
      <c r="AF307" s="320"/>
      <c r="AG307" s="320"/>
      <c r="AH307" s="320"/>
      <c r="AI307" s="320"/>
      <c r="AJ307" s="320"/>
      <c r="AK307" s="320"/>
      <c r="AL307" s="320"/>
      <c r="AM307" s="320"/>
      <c r="AN307" s="320"/>
      <c r="AO307" s="320"/>
      <c r="AP307" s="320"/>
      <c r="AQ307" s="320"/>
    </row>
    <row r="308" spans="1:115" s="322" customFormat="1" ht="21" customHeight="1">
      <c r="A308" s="341"/>
      <c r="B308" s="340"/>
      <c r="C308" s="339"/>
      <c r="D308" s="333" t="s">
        <v>1119</v>
      </c>
      <c r="E308" s="326" t="s">
        <v>41</v>
      </c>
      <c r="F308" s="331">
        <v>2.9990000000000001</v>
      </c>
      <c r="G308" s="332" t="s">
        <v>467</v>
      </c>
      <c r="H308" s="331" t="s">
        <v>466</v>
      </c>
      <c r="I308" s="332" t="s">
        <v>71</v>
      </c>
      <c r="J308" s="331">
        <v>2979</v>
      </c>
      <c r="K308" s="326">
        <v>6893</v>
      </c>
      <c r="L308" s="326">
        <v>3749</v>
      </c>
      <c r="M308" s="326" t="s">
        <v>31</v>
      </c>
      <c r="N308" s="342">
        <v>8.8000000000000007</v>
      </c>
      <c r="O308" s="337">
        <f>IF(N308&gt;0,1/N308*37.7*68.6,"")</f>
        <v>293.88863636363635</v>
      </c>
      <c r="P308" s="328">
        <v>8.1199999999999992</v>
      </c>
      <c r="Q308" s="327" t="s">
        <v>63</v>
      </c>
      <c r="R308" s="326" t="s">
        <v>33</v>
      </c>
      <c r="S308" s="326" t="s">
        <v>34</v>
      </c>
      <c r="T308" s="326"/>
      <c r="U308" s="325"/>
      <c r="V308" s="324">
        <f>IF(N308&lt;&gt;0, IF(N308&gt;=P308,ROUNDDOWN(N308/P308*100,0),""),"")</f>
        <v>108</v>
      </c>
      <c r="W308" s="311"/>
      <c r="X308" s="320"/>
      <c r="Y308" s="320"/>
      <c r="Z308" s="320"/>
      <c r="AA308" s="320"/>
      <c r="AB308" s="320"/>
      <c r="AC308" s="320"/>
      <c r="AD308" s="320"/>
      <c r="AE308" s="320"/>
      <c r="AF308" s="320"/>
      <c r="AG308" s="320"/>
      <c r="AH308" s="320"/>
      <c r="AI308" s="320"/>
      <c r="AJ308" s="320"/>
      <c r="AK308" s="320"/>
      <c r="AL308" s="320"/>
      <c r="AM308" s="320"/>
      <c r="AN308" s="320"/>
      <c r="AO308" s="320"/>
      <c r="AP308" s="320"/>
      <c r="AQ308" s="320"/>
    </row>
    <row r="309" spans="1:115" s="322" customFormat="1" ht="21" customHeight="1">
      <c r="A309" s="341"/>
      <c r="B309" s="340"/>
      <c r="C309" s="339"/>
      <c r="D309" s="333" t="s">
        <v>1119</v>
      </c>
      <c r="E309" s="326" t="s">
        <v>41</v>
      </c>
      <c r="F309" s="331">
        <v>2.9990000000000001</v>
      </c>
      <c r="G309" s="332" t="s">
        <v>464</v>
      </c>
      <c r="H309" s="331" t="s">
        <v>463</v>
      </c>
      <c r="I309" s="332" t="s">
        <v>71</v>
      </c>
      <c r="J309" s="331">
        <v>2979</v>
      </c>
      <c r="K309" s="326">
        <v>6893</v>
      </c>
      <c r="L309" s="326">
        <v>3749</v>
      </c>
      <c r="M309" s="326" t="s">
        <v>31</v>
      </c>
      <c r="N309" s="342">
        <v>8.8000000000000007</v>
      </c>
      <c r="O309" s="337">
        <f>IF(N309&gt;0,1/N309*37.7*68.6,"")</f>
        <v>293.88863636363635</v>
      </c>
      <c r="P309" s="328">
        <v>8.1199999999999992</v>
      </c>
      <c r="Q309" s="327" t="s">
        <v>63</v>
      </c>
      <c r="R309" s="326" t="s">
        <v>33</v>
      </c>
      <c r="S309" s="326" t="s">
        <v>34</v>
      </c>
      <c r="T309" s="326"/>
      <c r="U309" s="325"/>
      <c r="V309" s="324">
        <f>IF(N309&lt;&gt;0, IF(N309&gt;=P309,ROUNDDOWN(N309/P309*100,0),""),"")</f>
        <v>108</v>
      </c>
      <c r="W309" s="311"/>
      <c r="X309" s="320"/>
      <c r="Y309" s="320"/>
      <c r="Z309" s="320"/>
      <c r="AA309" s="320"/>
      <c r="AB309" s="320"/>
      <c r="AC309" s="320"/>
      <c r="AD309" s="320"/>
      <c r="AE309" s="320"/>
      <c r="AF309" s="320"/>
      <c r="AG309" s="320"/>
      <c r="AH309" s="320"/>
      <c r="AI309" s="320"/>
      <c r="AJ309" s="320"/>
      <c r="AK309" s="320"/>
      <c r="AL309" s="320"/>
      <c r="AM309" s="320"/>
      <c r="AN309" s="320"/>
      <c r="AO309" s="320"/>
      <c r="AP309" s="320"/>
      <c r="AQ309" s="320"/>
    </row>
    <row r="310" spans="1:115" s="322" customFormat="1" ht="21" customHeight="1">
      <c r="A310" s="341"/>
      <c r="B310" s="340"/>
      <c r="C310" s="339"/>
      <c r="D310" s="333" t="s">
        <v>1118</v>
      </c>
      <c r="E310" s="326" t="s">
        <v>41</v>
      </c>
      <c r="F310" s="331">
        <v>2.9990000000000001</v>
      </c>
      <c r="G310" s="332" t="s">
        <v>464</v>
      </c>
      <c r="H310" s="331" t="s">
        <v>463</v>
      </c>
      <c r="I310" s="332" t="s">
        <v>71</v>
      </c>
      <c r="J310" s="331">
        <v>2652</v>
      </c>
      <c r="K310" s="326">
        <v>5812</v>
      </c>
      <c r="L310" s="326">
        <v>2995</v>
      </c>
      <c r="M310" s="326" t="s">
        <v>31</v>
      </c>
      <c r="N310" s="342">
        <v>10.4</v>
      </c>
      <c r="O310" s="337">
        <f>IF(N310&gt;0,1/N310*37.7*68.6,"")</f>
        <v>248.67499999999998</v>
      </c>
      <c r="P310" s="328">
        <v>9.51</v>
      </c>
      <c r="Q310" s="327" t="s">
        <v>63</v>
      </c>
      <c r="R310" s="326" t="s">
        <v>33</v>
      </c>
      <c r="S310" s="326" t="s">
        <v>34</v>
      </c>
      <c r="T310" s="326"/>
      <c r="U310" s="325"/>
      <c r="V310" s="324">
        <f>IF(N310&lt;&gt;0, IF(N310&gt;=P310,ROUNDDOWN(N310/P310*100,0),""),"")</f>
        <v>109</v>
      </c>
      <c r="W310" s="311"/>
      <c r="X310" s="320"/>
      <c r="Y310" s="320"/>
      <c r="Z310" s="320"/>
      <c r="AA310" s="320"/>
      <c r="AB310" s="320"/>
      <c r="AC310" s="320"/>
      <c r="AD310" s="320"/>
      <c r="AE310" s="320"/>
      <c r="AF310" s="320"/>
      <c r="AG310" s="320"/>
      <c r="AH310" s="320"/>
      <c r="AI310" s="320"/>
      <c r="AJ310" s="320"/>
      <c r="AK310" s="320"/>
      <c r="AL310" s="320"/>
      <c r="AM310" s="320"/>
      <c r="AN310" s="320"/>
      <c r="AO310" s="320"/>
      <c r="AP310" s="320"/>
      <c r="AQ310" s="320"/>
    </row>
    <row r="311" spans="1:115" s="322" customFormat="1" ht="21" customHeight="1">
      <c r="A311" s="341"/>
      <c r="B311" s="340"/>
      <c r="C311" s="339"/>
      <c r="D311" s="333" t="s">
        <v>1118</v>
      </c>
      <c r="E311" s="326" t="s">
        <v>41</v>
      </c>
      <c r="F311" s="331">
        <v>2.9990000000000001</v>
      </c>
      <c r="G311" s="332" t="s">
        <v>467</v>
      </c>
      <c r="H311" s="331" t="s">
        <v>466</v>
      </c>
      <c r="I311" s="332" t="s">
        <v>71</v>
      </c>
      <c r="J311" s="331">
        <v>2979</v>
      </c>
      <c r="K311" s="326">
        <v>6893</v>
      </c>
      <c r="L311" s="326">
        <v>3749</v>
      </c>
      <c r="M311" s="326" t="s">
        <v>31</v>
      </c>
      <c r="N311" s="342">
        <v>8.8000000000000007</v>
      </c>
      <c r="O311" s="337">
        <f>IF(N311&gt;0,1/N311*37.7*68.6,"")</f>
        <v>293.88863636363635</v>
      </c>
      <c r="P311" s="328">
        <v>8.1199999999999992</v>
      </c>
      <c r="Q311" s="327" t="s">
        <v>63</v>
      </c>
      <c r="R311" s="326" t="s">
        <v>33</v>
      </c>
      <c r="S311" s="326" t="s">
        <v>34</v>
      </c>
      <c r="T311" s="326"/>
      <c r="U311" s="325"/>
      <c r="V311" s="324">
        <f>IF(N311&lt;&gt;0, IF(N311&gt;=P311,ROUNDDOWN(N311/P311*100,0),""),"")</f>
        <v>108</v>
      </c>
      <c r="W311" s="311"/>
      <c r="X311" s="320"/>
      <c r="Y311" s="320"/>
      <c r="Z311" s="320"/>
      <c r="AA311" s="320"/>
      <c r="AB311" s="320"/>
      <c r="AC311" s="320"/>
      <c r="AD311" s="320"/>
      <c r="AE311" s="320"/>
      <c r="AF311" s="320"/>
      <c r="AG311" s="320"/>
      <c r="AH311" s="320"/>
      <c r="AI311" s="320"/>
      <c r="AJ311" s="320"/>
      <c r="AK311" s="320"/>
      <c r="AL311" s="320"/>
      <c r="AM311" s="320"/>
      <c r="AN311" s="320"/>
      <c r="AO311" s="320"/>
      <c r="AP311" s="320"/>
      <c r="AQ311" s="320"/>
    </row>
    <row r="312" spans="1:115" s="322" customFormat="1" ht="21" customHeight="1">
      <c r="A312" s="341"/>
      <c r="B312" s="340"/>
      <c r="C312" s="339"/>
      <c r="D312" s="333" t="s">
        <v>1118</v>
      </c>
      <c r="E312" s="326" t="s">
        <v>41</v>
      </c>
      <c r="F312" s="331">
        <v>2.9990000000000001</v>
      </c>
      <c r="G312" s="332" t="s">
        <v>464</v>
      </c>
      <c r="H312" s="331" t="s">
        <v>463</v>
      </c>
      <c r="I312" s="332" t="s">
        <v>71</v>
      </c>
      <c r="J312" s="331">
        <v>2979</v>
      </c>
      <c r="K312" s="326">
        <v>6893</v>
      </c>
      <c r="L312" s="326">
        <v>3749</v>
      </c>
      <c r="M312" s="326" t="s">
        <v>31</v>
      </c>
      <c r="N312" s="342">
        <v>8.8000000000000007</v>
      </c>
      <c r="O312" s="337">
        <f>IF(N312&gt;0,1/N312*37.7*68.6,"")</f>
        <v>293.88863636363635</v>
      </c>
      <c r="P312" s="328">
        <v>8.1199999999999992</v>
      </c>
      <c r="Q312" s="327" t="s">
        <v>63</v>
      </c>
      <c r="R312" s="326" t="s">
        <v>33</v>
      </c>
      <c r="S312" s="326" t="s">
        <v>34</v>
      </c>
      <c r="T312" s="326"/>
      <c r="U312" s="325"/>
      <c r="V312" s="324">
        <f>IF(N312&lt;&gt;0, IF(N312&gt;=P312,ROUNDDOWN(N312/P312*100,0),""),"")</f>
        <v>108</v>
      </c>
      <c r="W312" s="311"/>
      <c r="X312" s="320"/>
      <c r="Y312" s="320"/>
      <c r="Z312" s="320"/>
      <c r="AA312" s="320"/>
      <c r="AB312" s="320"/>
      <c r="AC312" s="320"/>
      <c r="AD312" s="320"/>
      <c r="AE312" s="320"/>
      <c r="AF312" s="320"/>
      <c r="AG312" s="320"/>
      <c r="AH312" s="320"/>
      <c r="AI312" s="320"/>
      <c r="AJ312" s="320"/>
      <c r="AK312" s="320"/>
      <c r="AL312" s="320"/>
      <c r="AM312" s="320"/>
      <c r="AN312" s="320"/>
      <c r="AO312" s="320"/>
      <c r="AP312" s="320"/>
      <c r="AQ312" s="320"/>
    </row>
    <row r="313" spans="1:115" s="322" customFormat="1" ht="21" customHeight="1">
      <c r="A313" s="341"/>
      <c r="B313" s="340"/>
      <c r="C313" s="339"/>
      <c r="D313" s="333" t="s">
        <v>1117</v>
      </c>
      <c r="E313" s="326" t="s">
        <v>41</v>
      </c>
      <c r="F313" s="331">
        <v>2.9990000000000001</v>
      </c>
      <c r="G313" s="332" t="s">
        <v>467</v>
      </c>
      <c r="H313" s="331" t="s">
        <v>466</v>
      </c>
      <c r="I313" s="332" t="s">
        <v>42</v>
      </c>
      <c r="J313" s="331">
        <v>2979</v>
      </c>
      <c r="K313" s="326">
        <v>6893</v>
      </c>
      <c r="L313" s="326">
        <v>3749</v>
      </c>
      <c r="M313" s="326" t="s">
        <v>31</v>
      </c>
      <c r="N313" s="342">
        <v>9.1999999999999993</v>
      </c>
      <c r="O313" s="337">
        <f>IF(N313&gt;0,1/N313*37.7*68.6,"")</f>
        <v>281.1108695652174</v>
      </c>
      <c r="P313" s="328">
        <v>8.1199999999999992</v>
      </c>
      <c r="Q313" s="327" t="s">
        <v>43</v>
      </c>
      <c r="R313" s="326" t="s">
        <v>33</v>
      </c>
      <c r="S313" s="326" t="s">
        <v>34</v>
      </c>
      <c r="T313" s="326"/>
      <c r="U313" s="325"/>
      <c r="V313" s="324">
        <f>IF(N313&lt;&gt;0, IF(N313&gt;=P313,ROUNDDOWN(N313/P313*100,0),""),"")</f>
        <v>113</v>
      </c>
      <c r="W313" s="311"/>
      <c r="X313" s="320"/>
      <c r="Y313" s="320"/>
      <c r="Z313" s="320"/>
      <c r="AA313" s="320"/>
      <c r="AB313" s="320"/>
      <c r="AC313" s="320"/>
      <c r="AD313" s="320"/>
      <c r="AE313" s="320"/>
      <c r="AF313" s="320"/>
      <c r="AG313" s="320"/>
      <c r="AH313" s="320"/>
      <c r="AI313" s="320"/>
      <c r="AJ313" s="320"/>
      <c r="AK313" s="320"/>
      <c r="AL313" s="320"/>
      <c r="AM313" s="320"/>
      <c r="AN313" s="320"/>
      <c r="AO313" s="320"/>
      <c r="AP313" s="320"/>
      <c r="AQ313" s="320"/>
    </row>
    <row r="314" spans="1:115" s="322" customFormat="1" ht="21" customHeight="1">
      <c r="A314" s="341"/>
      <c r="B314" s="340"/>
      <c r="C314" s="339"/>
      <c r="D314" s="333" t="s">
        <v>1117</v>
      </c>
      <c r="E314" s="326" t="s">
        <v>41</v>
      </c>
      <c r="F314" s="331">
        <v>2.9990000000000001</v>
      </c>
      <c r="G314" s="332" t="s">
        <v>464</v>
      </c>
      <c r="H314" s="331" t="s">
        <v>463</v>
      </c>
      <c r="I314" s="332" t="s">
        <v>42</v>
      </c>
      <c r="J314" s="331">
        <v>2979</v>
      </c>
      <c r="K314" s="326">
        <v>6893</v>
      </c>
      <c r="L314" s="326">
        <v>3749</v>
      </c>
      <c r="M314" s="326" t="s">
        <v>31</v>
      </c>
      <c r="N314" s="342">
        <v>9.1999999999999993</v>
      </c>
      <c r="O314" s="337">
        <f>IF(N314&gt;0,1/N314*37.7*68.6,"")</f>
        <v>281.1108695652174</v>
      </c>
      <c r="P314" s="328">
        <v>8.1199999999999992</v>
      </c>
      <c r="Q314" s="327" t="s">
        <v>43</v>
      </c>
      <c r="R314" s="326" t="s">
        <v>33</v>
      </c>
      <c r="S314" s="326" t="s">
        <v>34</v>
      </c>
      <c r="T314" s="326"/>
      <c r="U314" s="325"/>
      <c r="V314" s="324">
        <f>IF(N314&lt;&gt;0, IF(N314&gt;=P314,ROUNDDOWN(N314/P314*100,0),""),"")</f>
        <v>113</v>
      </c>
      <c r="W314" s="311"/>
      <c r="X314" s="320"/>
      <c r="Y314" s="320"/>
      <c r="Z314" s="320"/>
      <c r="AA314" s="320"/>
      <c r="AB314" s="320"/>
      <c r="AC314" s="320"/>
      <c r="AD314" s="320"/>
      <c r="AE314" s="320"/>
      <c r="AF314" s="320"/>
      <c r="AG314" s="320"/>
      <c r="AH314" s="320"/>
      <c r="AI314" s="320"/>
      <c r="AJ314" s="320"/>
      <c r="AK314" s="320"/>
      <c r="AL314" s="320"/>
      <c r="AM314" s="320"/>
      <c r="AN314" s="320"/>
      <c r="AO314" s="320"/>
      <c r="AP314" s="320"/>
      <c r="AQ314" s="320"/>
    </row>
    <row r="315" spans="1:115" s="322" customFormat="1" ht="21" customHeight="1">
      <c r="A315" s="341"/>
      <c r="B315" s="340"/>
      <c r="C315" s="339"/>
      <c r="D315" s="333" t="s">
        <v>1117</v>
      </c>
      <c r="E315" s="326" t="s">
        <v>41</v>
      </c>
      <c r="F315" s="331">
        <v>2.9990000000000001</v>
      </c>
      <c r="G315" s="332" t="s">
        <v>467</v>
      </c>
      <c r="H315" s="331" t="s">
        <v>466</v>
      </c>
      <c r="I315" s="332" t="s">
        <v>71</v>
      </c>
      <c r="J315" s="331">
        <v>2979</v>
      </c>
      <c r="K315" s="326">
        <v>6893</v>
      </c>
      <c r="L315" s="326">
        <v>3749</v>
      </c>
      <c r="M315" s="326" t="s">
        <v>31</v>
      </c>
      <c r="N315" s="342">
        <v>9</v>
      </c>
      <c r="O315" s="337">
        <f>IF(N315&gt;0,1/N315*37.7*68.6,"")</f>
        <v>287.35777777777776</v>
      </c>
      <c r="P315" s="328">
        <v>8.1199999999999992</v>
      </c>
      <c r="Q315" s="327" t="s">
        <v>43</v>
      </c>
      <c r="R315" s="326" t="s">
        <v>33</v>
      </c>
      <c r="S315" s="326" t="s">
        <v>34</v>
      </c>
      <c r="T315" s="326"/>
      <c r="U315" s="325"/>
      <c r="V315" s="324">
        <f>IF(N315&lt;&gt;0, IF(N315&gt;=P315,ROUNDDOWN(N315/P315*100,0),""),"")</f>
        <v>110</v>
      </c>
      <c r="W315" s="311"/>
      <c r="X315" s="320"/>
      <c r="Y315" s="320"/>
      <c r="Z315" s="320"/>
      <c r="AA315" s="320"/>
      <c r="AB315" s="320"/>
      <c r="AC315" s="320"/>
      <c r="AD315" s="320"/>
      <c r="AE315" s="320"/>
      <c r="AF315" s="320"/>
      <c r="AG315" s="320"/>
      <c r="AH315" s="320"/>
      <c r="AI315" s="320"/>
      <c r="AJ315" s="320"/>
      <c r="AK315" s="320"/>
      <c r="AL315" s="320"/>
      <c r="AM315" s="320"/>
      <c r="AN315" s="320"/>
      <c r="AO315" s="320"/>
      <c r="AP315" s="320"/>
      <c r="AQ315" s="320"/>
    </row>
    <row r="316" spans="1:115" s="322" customFormat="1" ht="21" customHeight="1">
      <c r="A316" s="341"/>
      <c r="B316" s="340"/>
      <c r="C316" s="339"/>
      <c r="D316" s="333" t="s">
        <v>1117</v>
      </c>
      <c r="E316" s="326" t="s">
        <v>41</v>
      </c>
      <c r="F316" s="331">
        <v>2.9990000000000001</v>
      </c>
      <c r="G316" s="332" t="s">
        <v>464</v>
      </c>
      <c r="H316" s="331" t="s">
        <v>463</v>
      </c>
      <c r="I316" s="332" t="s">
        <v>71</v>
      </c>
      <c r="J316" s="331">
        <v>2979</v>
      </c>
      <c r="K316" s="326">
        <v>6893</v>
      </c>
      <c r="L316" s="326">
        <v>3749</v>
      </c>
      <c r="M316" s="326" t="s">
        <v>31</v>
      </c>
      <c r="N316" s="342">
        <v>9</v>
      </c>
      <c r="O316" s="337">
        <f>IF(N316&gt;0,1/N316*37.7*68.6,"")</f>
        <v>287.35777777777776</v>
      </c>
      <c r="P316" s="328">
        <v>8.1199999999999992</v>
      </c>
      <c r="Q316" s="327" t="s">
        <v>43</v>
      </c>
      <c r="R316" s="326" t="s">
        <v>33</v>
      </c>
      <c r="S316" s="326" t="s">
        <v>34</v>
      </c>
      <c r="T316" s="326"/>
      <c r="U316" s="325"/>
      <c r="V316" s="324">
        <f>IF(N316&lt;&gt;0, IF(N316&gt;=P316,ROUNDDOWN(N316/P316*100,0),""),"")</f>
        <v>110</v>
      </c>
      <c r="W316" s="311"/>
      <c r="X316" s="320"/>
      <c r="Y316" s="320"/>
      <c r="Z316" s="320"/>
      <c r="AA316" s="320"/>
      <c r="AB316" s="320"/>
      <c r="AC316" s="320"/>
      <c r="AD316" s="320"/>
      <c r="AE316" s="320"/>
      <c r="AF316" s="320"/>
      <c r="AG316" s="320"/>
      <c r="AH316" s="320"/>
      <c r="AI316" s="320"/>
      <c r="AJ316" s="320"/>
      <c r="AK316" s="320"/>
      <c r="AL316" s="320"/>
      <c r="AM316" s="320"/>
      <c r="AN316" s="320"/>
      <c r="AO316" s="320"/>
      <c r="AP316" s="320"/>
      <c r="AQ316" s="320"/>
    </row>
    <row r="317" spans="1:115" s="322" customFormat="1" ht="21" customHeight="1">
      <c r="A317" s="341"/>
      <c r="B317" s="340"/>
      <c r="C317" s="339"/>
      <c r="D317" s="333" t="s">
        <v>1117</v>
      </c>
      <c r="E317" s="326" t="s">
        <v>41</v>
      </c>
      <c r="F317" s="331">
        <v>2.9990000000000001</v>
      </c>
      <c r="G317" s="332" t="s">
        <v>467</v>
      </c>
      <c r="H317" s="331" t="s">
        <v>466</v>
      </c>
      <c r="I317" s="332" t="s">
        <v>42</v>
      </c>
      <c r="J317" s="331">
        <v>2979</v>
      </c>
      <c r="K317" s="326">
        <v>6893</v>
      </c>
      <c r="L317" s="326">
        <v>3749</v>
      </c>
      <c r="M317" s="326" t="s">
        <v>31</v>
      </c>
      <c r="N317" s="342">
        <v>9</v>
      </c>
      <c r="O317" s="337">
        <f>IF(N317&gt;0,1/N317*37.7*68.6,"")</f>
        <v>287.35777777777776</v>
      </c>
      <c r="P317" s="328">
        <v>8.1199999999999992</v>
      </c>
      <c r="Q317" s="327" t="s">
        <v>63</v>
      </c>
      <c r="R317" s="326" t="s">
        <v>33</v>
      </c>
      <c r="S317" s="326" t="s">
        <v>34</v>
      </c>
      <c r="T317" s="326"/>
      <c r="U317" s="325"/>
      <c r="V317" s="324">
        <f>IF(N317&lt;&gt;0, IF(N317&gt;=P317,ROUNDDOWN(N317/P317*100,0),""),"")</f>
        <v>110</v>
      </c>
      <c r="W317" s="311"/>
      <c r="X317" s="320"/>
      <c r="Y317" s="320"/>
      <c r="Z317" s="320"/>
      <c r="AA317" s="320"/>
      <c r="AB317" s="320"/>
      <c r="AC317" s="320"/>
      <c r="AD317" s="320"/>
      <c r="AE317" s="320"/>
      <c r="AF317" s="320"/>
      <c r="AG317" s="320"/>
      <c r="AH317" s="320"/>
      <c r="AI317" s="320"/>
      <c r="AJ317" s="320"/>
      <c r="AK317" s="320"/>
      <c r="AL317" s="320"/>
      <c r="AM317" s="320"/>
      <c r="AN317" s="320"/>
      <c r="AO317" s="320"/>
      <c r="AP317" s="320"/>
      <c r="AQ317" s="320"/>
    </row>
    <row r="318" spans="1:115" s="322" customFormat="1" ht="21" customHeight="1">
      <c r="A318" s="341"/>
      <c r="B318" s="340"/>
      <c r="C318" s="339"/>
      <c r="D318" s="333" t="s">
        <v>1117</v>
      </c>
      <c r="E318" s="326" t="s">
        <v>41</v>
      </c>
      <c r="F318" s="331">
        <v>2.9990000000000001</v>
      </c>
      <c r="G318" s="332" t="s">
        <v>464</v>
      </c>
      <c r="H318" s="331" t="s">
        <v>463</v>
      </c>
      <c r="I318" s="332" t="s">
        <v>42</v>
      </c>
      <c r="J318" s="331">
        <v>2979</v>
      </c>
      <c r="K318" s="326">
        <v>6893</v>
      </c>
      <c r="L318" s="326">
        <v>3749</v>
      </c>
      <c r="M318" s="326" t="s">
        <v>31</v>
      </c>
      <c r="N318" s="342">
        <v>9</v>
      </c>
      <c r="O318" s="337">
        <f>IF(N318&gt;0,1/N318*37.7*68.6,"")</f>
        <v>287.35777777777776</v>
      </c>
      <c r="P318" s="328">
        <v>8.1199999999999992</v>
      </c>
      <c r="Q318" s="327" t="s">
        <v>63</v>
      </c>
      <c r="R318" s="326" t="s">
        <v>33</v>
      </c>
      <c r="S318" s="326" t="s">
        <v>34</v>
      </c>
      <c r="T318" s="326"/>
      <c r="U318" s="325"/>
      <c r="V318" s="324">
        <f>IF(N318&lt;&gt;0, IF(N318&gt;=P318,ROUNDDOWN(N318/P318*100,0),""),"")</f>
        <v>110</v>
      </c>
      <c r="W318" s="311"/>
      <c r="X318" s="320"/>
      <c r="Y318" s="320"/>
      <c r="Z318" s="320"/>
      <c r="AA318" s="320"/>
      <c r="AB318" s="320"/>
      <c r="AC318" s="320"/>
      <c r="AD318" s="320"/>
      <c r="AE318" s="320"/>
      <c r="AF318" s="320"/>
      <c r="AG318" s="320"/>
      <c r="AH318" s="320"/>
      <c r="AI318" s="320"/>
      <c r="AJ318" s="320"/>
      <c r="AK318" s="320"/>
      <c r="AL318" s="320"/>
      <c r="AM318" s="320"/>
      <c r="AN318" s="320"/>
      <c r="AO318" s="320"/>
      <c r="AP318" s="320"/>
      <c r="AQ318" s="320"/>
    </row>
    <row r="319" spans="1:115" s="322" customFormat="1" ht="21" customHeight="1">
      <c r="A319" s="341"/>
      <c r="B319" s="340"/>
      <c r="C319" s="339"/>
      <c r="D319" s="333" t="s">
        <v>1116</v>
      </c>
      <c r="E319" s="326" t="s">
        <v>41</v>
      </c>
      <c r="F319" s="331">
        <v>2.9990000000000001</v>
      </c>
      <c r="G319" s="332">
        <v>375</v>
      </c>
      <c r="H319" s="331">
        <v>110</v>
      </c>
      <c r="I319" s="332" t="s">
        <v>71</v>
      </c>
      <c r="J319" s="331">
        <v>2979</v>
      </c>
      <c r="K319" s="326">
        <v>6893</v>
      </c>
      <c r="L319" s="326">
        <v>3749</v>
      </c>
      <c r="M319" s="326" t="s">
        <v>31</v>
      </c>
      <c r="N319" s="342">
        <v>9.1</v>
      </c>
      <c r="O319" s="337">
        <f>IF(N319&gt;0,1/N319*37.7*68.6,"")</f>
        <v>284.2</v>
      </c>
      <c r="P319" s="328">
        <v>8.1199999999999992</v>
      </c>
      <c r="Q319" s="327" t="s">
        <v>43</v>
      </c>
      <c r="R319" s="326" t="s">
        <v>33</v>
      </c>
      <c r="S319" s="326" t="s">
        <v>34</v>
      </c>
      <c r="T319" s="326"/>
      <c r="U319" s="325"/>
      <c r="V319" s="324">
        <f>IF(N319&lt;&gt;0, IF(N319&gt;=P319,ROUNDDOWN(N319/P319*100,0),""),"")</f>
        <v>112</v>
      </c>
      <c r="W319" s="311"/>
      <c r="X319" s="323"/>
      <c r="Y319" s="311"/>
      <c r="Z319" s="320"/>
      <c r="AA319" s="320"/>
      <c r="AB319" s="320"/>
      <c r="AC319" s="320"/>
      <c r="AD319" s="320"/>
      <c r="AE319" s="320"/>
      <c r="AF319" s="320"/>
      <c r="AG319" s="320"/>
      <c r="AH319" s="320"/>
      <c r="AI319" s="320"/>
      <c r="AJ319" s="320"/>
      <c r="AK319" s="320"/>
      <c r="AL319" s="320"/>
      <c r="AM319" s="320"/>
      <c r="AN319" s="320"/>
      <c r="AO319" s="320"/>
      <c r="AP319" s="320"/>
      <c r="AQ319" s="320"/>
      <c r="AR319" s="320"/>
      <c r="AS319" s="320"/>
      <c r="AT319" s="320"/>
      <c r="AU319" s="320"/>
      <c r="AV319" s="320"/>
      <c r="AW319" s="320"/>
      <c r="AX319" s="320"/>
      <c r="AY319" s="320"/>
      <c r="AZ319" s="320"/>
      <c r="BA319" s="320"/>
      <c r="BB319" s="320"/>
      <c r="BC319" s="320"/>
      <c r="BD319" s="320"/>
      <c r="BE319" s="320"/>
      <c r="BF319" s="320"/>
      <c r="BG319" s="320"/>
      <c r="BH319" s="320"/>
      <c r="BI319" s="320"/>
      <c r="BJ319" s="320"/>
      <c r="BK319" s="320"/>
      <c r="BL319" s="320"/>
      <c r="BM319" s="320"/>
      <c r="BN319" s="320"/>
      <c r="BO319" s="320"/>
      <c r="BP319" s="320"/>
      <c r="BQ319" s="320"/>
      <c r="BR319" s="320"/>
      <c r="BS319" s="320"/>
      <c r="BT319" s="320"/>
      <c r="BU319" s="320"/>
      <c r="BV319" s="320"/>
      <c r="BW319" s="320"/>
      <c r="BX319" s="320"/>
      <c r="BY319" s="320"/>
      <c r="BZ319" s="320"/>
      <c r="CA319" s="320"/>
      <c r="CB319" s="320"/>
      <c r="CC319" s="320"/>
      <c r="CD319" s="320"/>
      <c r="CE319" s="320"/>
      <c r="CF319" s="320"/>
      <c r="CG319" s="320"/>
      <c r="CH319" s="320"/>
      <c r="CI319" s="320"/>
      <c r="CJ319" s="320"/>
      <c r="CK319" s="320"/>
      <c r="CL319" s="320"/>
      <c r="CM319" s="320"/>
      <c r="CN319" s="320"/>
      <c r="CO319" s="320"/>
      <c r="CP319" s="320"/>
      <c r="CQ319" s="320"/>
      <c r="CR319" s="320"/>
      <c r="CS319" s="320"/>
      <c r="CT319" s="320"/>
      <c r="CU319" s="320"/>
      <c r="CV319" s="320"/>
      <c r="CW319" s="320"/>
      <c r="CX319" s="320"/>
      <c r="CY319" s="320"/>
      <c r="CZ319" s="320"/>
      <c r="DA319" s="320"/>
      <c r="DB319" s="320"/>
      <c r="DC319" s="320"/>
      <c r="DD319" s="320"/>
      <c r="DE319" s="320"/>
      <c r="DF319" s="320"/>
      <c r="DG319" s="320"/>
      <c r="DH319" s="320"/>
      <c r="DI319" s="320"/>
      <c r="DJ319" s="320"/>
      <c r="DK319" s="320"/>
    </row>
    <row r="320" spans="1:115" s="322" customFormat="1" ht="21" customHeight="1">
      <c r="A320" s="341"/>
      <c r="B320" s="340"/>
      <c r="C320" s="339"/>
      <c r="D320" s="333" t="s">
        <v>1116</v>
      </c>
      <c r="E320" s="326" t="s">
        <v>41</v>
      </c>
      <c r="F320" s="331">
        <v>2.9990000000000001</v>
      </c>
      <c r="G320" s="332">
        <v>430</v>
      </c>
      <c r="H320" s="331">
        <v>129</v>
      </c>
      <c r="I320" s="332" t="s">
        <v>71</v>
      </c>
      <c r="J320" s="331">
        <v>2979</v>
      </c>
      <c r="K320" s="326">
        <v>6893</v>
      </c>
      <c r="L320" s="326">
        <v>3749</v>
      </c>
      <c r="M320" s="326" t="s">
        <v>31</v>
      </c>
      <c r="N320" s="342">
        <v>9.1</v>
      </c>
      <c r="O320" s="337">
        <f>IF(N320&gt;0,1/N320*37.7*68.6,"")</f>
        <v>284.2</v>
      </c>
      <c r="P320" s="328">
        <v>8.1199999999999992</v>
      </c>
      <c r="Q320" s="327" t="s">
        <v>43</v>
      </c>
      <c r="R320" s="326" t="s">
        <v>33</v>
      </c>
      <c r="S320" s="326" t="s">
        <v>34</v>
      </c>
      <c r="T320" s="326"/>
      <c r="U320" s="325"/>
      <c r="V320" s="324">
        <f>IF(N320&lt;&gt;0, IF(N320&gt;=P320,ROUNDDOWN(N320/P320*100,0),""),"")</f>
        <v>112</v>
      </c>
      <c r="W320" s="311"/>
      <c r="X320" s="323"/>
      <c r="Y320" s="311"/>
      <c r="Z320" s="320"/>
      <c r="AA320" s="320"/>
      <c r="AB320" s="320"/>
      <c r="AC320" s="320"/>
      <c r="AD320" s="320"/>
      <c r="AE320" s="320"/>
      <c r="AF320" s="320"/>
      <c r="AG320" s="320"/>
      <c r="AH320" s="320"/>
      <c r="AI320" s="320"/>
      <c r="AJ320" s="320"/>
      <c r="AK320" s="320"/>
      <c r="AL320" s="320"/>
      <c r="AM320" s="320"/>
      <c r="AN320" s="320"/>
      <c r="AO320" s="320"/>
      <c r="AP320" s="320"/>
      <c r="AQ320" s="320"/>
      <c r="AR320" s="320"/>
      <c r="AS320" s="320"/>
      <c r="AT320" s="320"/>
      <c r="AU320" s="320"/>
      <c r="AV320" s="320"/>
      <c r="AW320" s="320"/>
      <c r="AX320" s="320"/>
      <c r="AY320" s="320"/>
      <c r="AZ320" s="320"/>
      <c r="BA320" s="320"/>
      <c r="BB320" s="320"/>
      <c r="BC320" s="320"/>
      <c r="BD320" s="320"/>
      <c r="BE320" s="320"/>
      <c r="BF320" s="320"/>
      <c r="BG320" s="320"/>
      <c r="BH320" s="320"/>
      <c r="BI320" s="320"/>
      <c r="BJ320" s="320"/>
      <c r="BK320" s="320"/>
      <c r="BL320" s="320"/>
      <c r="BM320" s="320"/>
      <c r="BN320" s="320"/>
      <c r="BO320" s="320"/>
      <c r="BP320" s="320"/>
      <c r="BQ320" s="320"/>
      <c r="BR320" s="320"/>
      <c r="BS320" s="320"/>
      <c r="BT320" s="320"/>
      <c r="BU320" s="320"/>
      <c r="BV320" s="320"/>
      <c r="BW320" s="320"/>
      <c r="BX320" s="320"/>
      <c r="BY320" s="320"/>
      <c r="BZ320" s="320"/>
      <c r="CA320" s="320"/>
      <c r="CB320" s="320"/>
      <c r="CC320" s="320"/>
      <c r="CD320" s="320"/>
      <c r="CE320" s="320"/>
      <c r="CF320" s="320"/>
      <c r="CG320" s="320"/>
      <c r="CH320" s="320"/>
      <c r="CI320" s="320"/>
      <c r="CJ320" s="320"/>
      <c r="CK320" s="320"/>
      <c r="CL320" s="320"/>
      <c r="CM320" s="320"/>
      <c r="CN320" s="320"/>
      <c r="CO320" s="320"/>
      <c r="CP320" s="320"/>
      <c r="CQ320" s="320"/>
      <c r="CR320" s="320"/>
      <c r="CS320" s="320"/>
      <c r="CT320" s="320"/>
      <c r="CU320" s="320"/>
      <c r="CV320" s="320"/>
      <c r="CW320" s="320"/>
      <c r="CX320" s="320"/>
      <c r="CY320" s="320"/>
      <c r="CZ320" s="320"/>
      <c r="DA320" s="320"/>
      <c r="DB320" s="320"/>
      <c r="DC320" s="320"/>
      <c r="DD320" s="320"/>
      <c r="DE320" s="320"/>
      <c r="DF320" s="320"/>
      <c r="DG320" s="320"/>
      <c r="DH320" s="320"/>
      <c r="DI320" s="320"/>
      <c r="DJ320" s="320"/>
      <c r="DK320" s="320"/>
    </row>
    <row r="321" spans="1:115" s="322" customFormat="1" ht="21" customHeight="1">
      <c r="A321" s="341"/>
      <c r="B321" s="340"/>
      <c r="C321" s="339"/>
      <c r="D321" s="333" t="s">
        <v>1115</v>
      </c>
      <c r="E321" s="326" t="s">
        <v>41</v>
      </c>
      <c r="F321" s="331">
        <v>2.9990000000000001</v>
      </c>
      <c r="G321" s="332">
        <v>375</v>
      </c>
      <c r="H321" s="331">
        <v>110</v>
      </c>
      <c r="I321" s="332" t="s">
        <v>71</v>
      </c>
      <c r="J321" s="331">
        <v>2979</v>
      </c>
      <c r="K321" s="326">
        <v>6893</v>
      </c>
      <c r="L321" s="326">
        <v>3749</v>
      </c>
      <c r="M321" s="326" t="s">
        <v>31</v>
      </c>
      <c r="N321" s="342">
        <v>8.9</v>
      </c>
      <c r="O321" s="337">
        <f>IF(N321&gt;0,1/N321*37.7*68.6,"")</f>
        <v>290.58651685393255</v>
      </c>
      <c r="P321" s="328">
        <v>8.1199999999999992</v>
      </c>
      <c r="Q321" s="327" t="s">
        <v>63</v>
      </c>
      <c r="R321" s="326" t="s">
        <v>33</v>
      </c>
      <c r="S321" s="326" t="s">
        <v>34</v>
      </c>
      <c r="T321" s="326"/>
      <c r="U321" s="325"/>
      <c r="V321" s="324">
        <f>IF(N321&lt;&gt;0, IF(N321&gt;=P321,ROUNDDOWN(N321/P321*100,0),""),"")</f>
        <v>109</v>
      </c>
      <c r="W321" s="311"/>
      <c r="X321" s="323"/>
      <c r="Y321" s="311"/>
      <c r="Z321" s="320"/>
      <c r="AA321" s="320"/>
      <c r="AB321" s="320"/>
      <c r="AC321" s="320"/>
      <c r="AD321" s="320"/>
      <c r="AE321" s="320"/>
      <c r="AF321" s="320"/>
      <c r="AG321" s="320"/>
      <c r="AH321" s="320"/>
      <c r="AI321" s="320"/>
      <c r="AJ321" s="320"/>
      <c r="AK321" s="320"/>
      <c r="AL321" s="320"/>
      <c r="AM321" s="320"/>
      <c r="AN321" s="320"/>
      <c r="AO321" s="320"/>
      <c r="AP321" s="320"/>
      <c r="AQ321" s="320"/>
      <c r="AR321" s="320"/>
      <c r="AS321" s="320"/>
      <c r="AT321" s="320"/>
      <c r="AU321" s="320"/>
      <c r="AV321" s="320"/>
      <c r="AW321" s="320"/>
      <c r="AX321" s="320"/>
      <c r="AY321" s="320"/>
      <c r="AZ321" s="320"/>
      <c r="BA321" s="320"/>
      <c r="BB321" s="320"/>
      <c r="BC321" s="320"/>
      <c r="BD321" s="320"/>
      <c r="BE321" s="320"/>
      <c r="BF321" s="320"/>
      <c r="BG321" s="320"/>
      <c r="BH321" s="320"/>
      <c r="BI321" s="320"/>
      <c r="BJ321" s="320"/>
      <c r="BK321" s="320"/>
      <c r="BL321" s="320"/>
      <c r="BM321" s="320"/>
      <c r="BN321" s="320"/>
      <c r="BO321" s="320"/>
      <c r="BP321" s="320"/>
      <c r="BQ321" s="320"/>
      <c r="BR321" s="320"/>
      <c r="BS321" s="320"/>
      <c r="BT321" s="320"/>
      <c r="BU321" s="320"/>
      <c r="BV321" s="320"/>
      <c r="BW321" s="320"/>
      <c r="BX321" s="320"/>
      <c r="BY321" s="320"/>
      <c r="BZ321" s="320"/>
      <c r="CA321" s="320"/>
      <c r="CB321" s="320"/>
      <c r="CC321" s="320"/>
      <c r="CD321" s="320"/>
      <c r="CE321" s="320"/>
      <c r="CF321" s="320"/>
      <c r="CG321" s="320"/>
      <c r="CH321" s="320"/>
      <c r="CI321" s="320"/>
      <c r="CJ321" s="320"/>
      <c r="CK321" s="320"/>
      <c r="CL321" s="320"/>
      <c r="CM321" s="320"/>
      <c r="CN321" s="320"/>
      <c r="CO321" s="320"/>
      <c r="CP321" s="320"/>
      <c r="CQ321" s="320"/>
      <c r="CR321" s="320"/>
      <c r="CS321" s="320"/>
      <c r="CT321" s="320"/>
      <c r="CU321" s="320"/>
      <c r="CV321" s="320"/>
      <c r="CW321" s="320"/>
      <c r="CX321" s="320"/>
      <c r="CY321" s="320"/>
      <c r="CZ321" s="320"/>
      <c r="DA321" s="320"/>
      <c r="DB321" s="320"/>
      <c r="DC321" s="320"/>
      <c r="DD321" s="320"/>
      <c r="DE321" s="320"/>
      <c r="DF321" s="320"/>
      <c r="DG321" s="320"/>
      <c r="DH321" s="320"/>
      <c r="DI321" s="320"/>
      <c r="DJ321" s="320"/>
      <c r="DK321" s="320"/>
    </row>
    <row r="322" spans="1:115" s="322" customFormat="1" ht="21" customHeight="1">
      <c r="A322" s="341"/>
      <c r="B322" s="340"/>
      <c r="C322" s="339"/>
      <c r="D322" s="333" t="s">
        <v>1114</v>
      </c>
      <c r="E322" s="326" t="s">
        <v>41</v>
      </c>
      <c r="F322" s="331">
        <v>2.9990000000000001</v>
      </c>
      <c r="G322" s="332">
        <v>375</v>
      </c>
      <c r="H322" s="331">
        <v>110</v>
      </c>
      <c r="I322" s="332" t="s">
        <v>71</v>
      </c>
      <c r="J322" s="331">
        <v>2979</v>
      </c>
      <c r="K322" s="326">
        <v>6893</v>
      </c>
      <c r="L322" s="326">
        <v>3749</v>
      </c>
      <c r="M322" s="326" t="s">
        <v>31</v>
      </c>
      <c r="N322" s="342">
        <v>8.9</v>
      </c>
      <c r="O322" s="337">
        <f>IF(N322&gt;0,1/N322*37.7*68.6,"")</f>
        <v>290.58651685393255</v>
      </c>
      <c r="P322" s="328">
        <v>8.1199999999999992</v>
      </c>
      <c r="Q322" s="327" t="s">
        <v>63</v>
      </c>
      <c r="R322" s="326" t="s">
        <v>33</v>
      </c>
      <c r="S322" s="326" t="s">
        <v>34</v>
      </c>
      <c r="T322" s="326"/>
      <c r="U322" s="325"/>
      <c r="V322" s="324">
        <f>IF(N322&lt;&gt;0, IF(N322&gt;=P322,ROUNDDOWN(N322/P322*100,0),""),"")</f>
        <v>109</v>
      </c>
      <c r="W322" s="311"/>
      <c r="X322" s="323"/>
      <c r="Y322" s="311"/>
      <c r="Z322" s="320"/>
      <c r="AA322" s="320"/>
      <c r="AB322" s="320"/>
      <c r="AC322" s="320"/>
      <c r="AD322" s="320"/>
      <c r="AE322" s="320"/>
      <c r="AF322" s="320"/>
      <c r="AG322" s="320"/>
      <c r="AH322" s="320"/>
      <c r="AI322" s="320"/>
      <c r="AJ322" s="320"/>
      <c r="AK322" s="320"/>
      <c r="AL322" s="320"/>
      <c r="AM322" s="320"/>
      <c r="AN322" s="320"/>
      <c r="AO322" s="320"/>
      <c r="AP322" s="320"/>
      <c r="AQ322" s="320"/>
      <c r="AR322" s="320"/>
      <c r="AS322" s="320"/>
      <c r="AT322" s="320"/>
      <c r="AU322" s="320"/>
      <c r="AV322" s="320"/>
      <c r="AW322" s="320"/>
      <c r="AX322" s="320"/>
      <c r="AY322" s="320"/>
      <c r="AZ322" s="320"/>
      <c r="BA322" s="320"/>
      <c r="BB322" s="320"/>
      <c r="BC322" s="320"/>
      <c r="BD322" s="320"/>
      <c r="BE322" s="320"/>
      <c r="BF322" s="320"/>
      <c r="BG322" s="320"/>
      <c r="BH322" s="320"/>
      <c r="BI322" s="320"/>
      <c r="BJ322" s="320"/>
      <c r="BK322" s="320"/>
      <c r="BL322" s="320"/>
      <c r="BM322" s="320"/>
      <c r="BN322" s="320"/>
      <c r="BO322" s="320"/>
      <c r="BP322" s="320"/>
      <c r="BQ322" s="320"/>
      <c r="BR322" s="320"/>
      <c r="BS322" s="320"/>
      <c r="BT322" s="320"/>
      <c r="BU322" s="320"/>
      <c r="BV322" s="320"/>
      <c r="BW322" s="320"/>
      <c r="BX322" s="320"/>
      <c r="BY322" s="320"/>
      <c r="BZ322" s="320"/>
      <c r="CA322" s="320"/>
      <c r="CB322" s="320"/>
      <c r="CC322" s="320"/>
      <c r="CD322" s="320"/>
      <c r="CE322" s="320"/>
      <c r="CF322" s="320"/>
      <c r="CG322" s="320"/>
      <c r="CH322" s="320"/>
      <c r="CI322" s="320"/>
      <c r="CJ322" s="320"/>
      <c r="CK322" s="320"/>
      <c r="CL322" s="320"/>
      <c r="CM322" s="320"/>
      <c r="CN322" s="320"/>
      <c r="CO322" s="320"/>
      <c r="CP322" s="320"/>
      <c r="CQ322" s="320"/>
      <c r="CR322" s="320"/>
      <c r="CS322" s="320"/>
      <c r="CT322" s="320"/>
      <c r="CU322" s="320"/>
      <c r="CV322" s="320"/>
      <c r="CW322" s="320"/>
      <c r="CX322" s="320"/>
      <c r="CY322" s="320"/>
      <c r="CZ322" s="320"/>
      <c r="DA322" s="320"/>
      <c r="DB322" s="320"/>
      <c r="DC322" s="320"/>
      <c r="DD322" s="320"/>
      <c r="DE322" s="320"/>
      <c r="DF322" s="320"/>
      <c r="DG322" s="320"/>
      <c r="DH322" s="320"/>
      <c r="DI322" s="320"/>
      <c r="DJ322" s="320"/>
      <c r="DK322" s="320"/>
    </row>
    <row r="323" spans="1:115" s="322" customFormat="1" ht="21" customHeight="1">
      <c r="A323" s="341"/>
      <c r="B323" s="340"/>
      <c r="C323" s="339"/>
      <c r="D323" s="333" t="s">
        <v>1113</v>
      </c>
      <c r="E323" s="326" t="s">
        <v>41</v>
      </c>
      <c r="F323" s="331">
        <v>2.9990000000000001</v>
      </c>
      <c r="G323" s="332">
        <v>375</v>
      </c>
      <c r="H323" s="331">
        <v>110</v>
      </c>
      <c r="I323" s="332" t="s">
        <v>71</v>
      </c>
      <c r="J323" s="331">
        <v>2979</v>
      </c>
      <c r="K323" s="326">
        <v>6893</v>
      </c>
      <c r="L323" s="326">
        <v>3749</v>
      </c>
      <c r="M323" s="326" t="s">
        <v>31</v>
      </c>
      <c r="N323" s="342">
        <v>8.9</v>
      </c>
      <c r="O323" s="337">
        <f>IF(N323&gt;0,1/N323*37.7*68.6,"")</f>
        <v>290.58651685393255</v>
      </c>
      <c r="P323" s="328">
        <v>8.1199999999999992</v>
      </c>
      <c r="Q323" s="327" t="s">
        <v>63</v>
      </c>
      <c r="R323" s="326" t="s">
        <v>33</v>
      </c>
      <c r="S323" s="326" t="s">
        <v>34</v>
      </c>
      <c r="T323" s="326"/>
      <c r="U323" s="325"/>
      <c r="V323" s="324">
        <f>IF(N323&lt;&gt;0, IF(N323&gt;=P323,ROUNDDOWN(N323/P323*100,0),""),"")</f>
        <v>109</v>
      </c>
      <c r="W323" s="311"/>
      <c r="X323" s="323"/>
      <c r="Y323" s="311"/>
      <c r="Z323" s="320"/>
      <c r="AA323" s="320"/>
      <c r="AB323" s="320"/>
      <c r="AC323" s="320"/>
      <c r="AD323" s="320"/>
      <c r="AE323" s="320"/>
      <c r="AF323" s="320"/>
      <c r="AG323" s="320"/>
      <c r="AH323" s="320"/>
      <c r="AI323" s="320"/>
      <c r="AJ323" s="320"/>
      <c r="AK323" s="320"/>
      <c r="AL323" s="320"/>
      <c r="AM323" s="320"/>
      <c r="AN323" s="320"/>
      <c r="AO323" s="320"/>
      <c r="AP323" s="320"/>
      <c r="AQ323" s="320"/>
      <c r="AR323" s="320"/>
      <c r="AS323" s="320"/>
      <c r="AT323" s="320"/>
      <c r="AU323" s="320"/>
      <c r="AV323" s="320"/>
      <c r="AW323" s="320"/>
      <c r="AX323" s="320"/>
      <c r="AY323" s="320"/>
      <c r="AZ323" s="320"/>
      <c r="BA323" s="320"/>
      <c r="BB323" s="320"/>
      <c r="BC323" s="320"/>
      <c r="BD323" s="320"/>
      <c r="BE323" s="320"/>
      <c r="BF323" s="320"/>
      <c r="BG323" s="320"/>
      <c r="BH323" s="320"/>
      <c r="BI323" s="320"/>
      <c r="BJ323" s="320"/>
      <c r="BK323" s="320"/>
      <c r="BL323" s="320"/>
      <c r="BM323" s="320"/>
      <c r="BN323" s="320"/>
      <c r="BO323" s="320"/>
      <c r="BP323" s="320"/>
      <c r="BQ323" s="320"/>
      <c r="BR323" s="320"/>
      <c r="BS323" s="320"/>
      <c r="BT323" s="320"/>
      <c r="BU323" s="320"/>
      <c r="BV323" s="320"/>
      <c r="BW323" s="320"/>
      <c r="BX323" s="320"/>
      <c r="BY323" s="320"/>
      <c r="BZ323" s="320"/>
      <c r="CA323" s="320"/>
      <c r="CB323" s="320"/>
      <c r="CC323" s="320"/>
      <c r="CD323" s="320"/>
      <c r="CE323" s="320"/>
      <c r="CF323" s="320"/>
      <c r="CG323" s="320"/>
      <c r="CH323" s="320"/>
      <c r="CI323" s="320"/>
      <c r="CJ323" s="320"/>
      <c r="CK323" s="320"/>
      <c r="CL323" s="320"/>
      <c r="CM323" s="320"/>
      <c r="CN323" s="320"/>
      <c r="CO323" s="320"/>
      <c r="CP323" s="320"/>
      <c r="CQ323" s="320"/>
      <c r="CR323" s="320"/>
      <c r="CS323" s="320"/>
      <c r="CT323" s="320"/>
      <c r="CU323" s="320"/>
      <c r="CV323" s="320"/>
      <c r="CW323" s="320"/>
      <c r="CX323" s="320"/>
      <c r="CY323" s="320"/>
      <c r="CZ323" s="320"/>
      <c r="DA323" s="320"/>
      <c r="DB323" s="320"/>
      <c r="DC323" s="320"/>
      <c r="DD323" s="320"/>
      <c r="DE323" s="320"/>
      <c r="DF323" s="320"/>
      <c r="DG323" s="320"/>
      <c r="DH323" s="320"/>
      <c r="DI323" s="320"/>
      <c r="DJ323" s="320"/>
      <c r="DK323" s="320"/>
    </row>
    <row r="324" spans="1:115" s="322" customFormat="1" ht="21" customHeight="1">
      <c r="A324" s="341"/>
      <c r="B324" s="340"/>
      <c r="C324" s="339"/>
      <c r="D324" s="333" t="s">
        <v>1112</v>
      </c>
      <c r="E324" s="326" t="s">
        <v>41</v>
      </c>
      <c r="F324" s="331">
        <v>2.9990000000000001</v>
      </c>
      <c r="G324" s="332">
        <v>375</v>
      </c>
      <c r="H324" s="331">
        <v>110</v>
      </c>
      <c r="I324" s="332" t="s">
        <v>71</v>
      </c>
      <c r="J324" s="331">
        <v>2979</v>
      </c>
      <c r="K324" s="326">
        <v>6893</v>
      </c>
      <c r="L324" s="326">
        <v>3749</v>
      </c>
      <c r="M324" s="326" t="s">
        <v>31</v>
      </c>
      <c r="N324" s="342">
        <v>8.9</v>
      </c>
      <c r="O324" s="337">
        <f>IF(N324&gt;0,1/N324*37.7*68.6,"")</f>
        <v>290.58651685393255</v>
      </c>
      <c r="P324" s="328">
        <v>8.1199999999999992</v>
      </c>
      <c r="Q324" s="327" t="s">
        <v>63</v>
      </c>
      <c r="R324" s="326" t="s">
        <v>33</v>
      </c>
      <c r="S324" s="326" t="s">
        <v>34</v>
      </c>
      <c r="T324" s="326"/>
      <c r="U324" s="325"/>
      <c r="V324" s="324">
        <f>IF(N324&lt;&gt;0, IF(N324&gt;=P324,ROUNDDOWN(N324/P324*100,0),""),"")</f>
        <v>109</v>
      </c>
      <c r="W324" s="311"/>
      <c r="X324" s="323"/>
      <c r="Y324" s="311"/>
      <c r="Z324" s="320"/>
      <c r="AA324" s="320"/>
      <c r="AB324" s="320"/>
      <c r="AC324" s="320"/>
      <c r="AD324" s="320"/>
      <c r="AE324" s="320"/>
      <c r="AF324" s="320"/>
      <c r="AG324" s="320"/>
      <c r="AH324" s="320"/>
      <c r="AI324" s="320"/>
      <c r="AJ324" s="320"/>
      <c r="AK324" s="320"/>
      <c r="AL324" s="320"/>
      <c r="AM324" s="320"/>
      <c r="AN324" s="320"/>
      <c r="AO324" s="320"/>
      <c r="AP324" s="320"/>
      <c r="AQ324" s="320"/>
      <c r="AR324" s="320"/>
      <c r="AS324" s="320"/>
      <c r="AT324" s="320"/>
      <c r="AU324" s="320"/>
      <c r="AV324" s="320"/>
      <c r="AW324" s="320"/>
      <c r="AX324" s="320"/>
      <c r="AY324" s="320"/>
      <c r="AZ324" s="320"/>
      <c r="BA324" s="320"/>
      <c r="BB324" s="320"/>
      <c r="BC324" s="320"/>
      <c r="BD324" s="320"/>
      <c r="BE324" s="320"/>
      <c r="BF324" s="320"/>
      <c r="BG324" s="320"/>
      <c r="BH324" s="320"/>
      <c r="BI324" s="320"/>
      <c r="BJ324" s="320"/>
      <c r="BK324" s="320"/>
      <c r="BL324" s="320"/>
      <c r="BM324" s="320"/>
      <c r="BN324" s="320"/>
      <c r="BO324" s="320"/>
      <c r="BP324" s="320"/>
      <c r="BQ324" s="320"/>
      <c r="BR324" s="320"/>
      <c r="BS324" s="320"/>
      <c r="BT324" s="320"/>
      <c r="BU324" s="320"/>
      <c r="BV324" s="320"/>
      <c r="BW324" s="320"/>
      <c r="BX324" s="320"/>
      <c r="BY324" s="320"/>
      <c r="BZ324" s="320"/>
      <c r="CA324" s="320"/>
      <c r="CB324" s="320"/>
      <c r="CC324" s="320"/>
      <c r="CD324" s="320"/>
      <c r="CE324" s="320"/>
      <c r="CF324" s="320"/>
      <c r="CG324" s="320"/>
      <c r="CH324" s="320"/>
      <c r="CI324" s="320"/>
      <c r="CJ324" s="320"/>
      <c r="CK324" s="320"/>
      <c r="CL324" s="320"/>
      <c r="CM324" s="320"/>
      <c r="CN324" s="320"/>
      <c r="CO324" s="320"/>
      <c r="CP324" s="320"/>
      <c r="CQ324" s="320"/>
      <c r="CR324" s="320"/>
      <c r="CS324" s="320"/>
      <c r="CT324" s="320"/>
      <c r="CU324" s="320"/>
      <c r="CV324" s="320"/>
      <c r="CW324" s="320"/>
      <c r="CX324" s="320"/>
      <c r="CY324" s="320"/>
      <c r="CZ324" s="320"/>
      <c r="DA324" s="320"/>
      <c r="DB324" s="320"/>
      <c r="DC324" s="320"/>
      <c r="DD324" s="320"/>
      <c r="DE324" s="320"/>
      <c r="DF324" s="320"/>
      <c r="DG324" s="320"/>
      <c r="DH324" s="320"/>
      <c r="DI324" s="320"/>
      <c r="DJ324" s="320"/>
      <c r="DK324" s="320"/>
    </row>
    <row r="325" spans="1:115" s="322" customFormat="1" ht="21" customHeight="1">
      <c r="A325" s="341"/>
      <c r="B325" s="340"/>
      <c r="C325" s="339"/>
      <c r="D325" s="333" t="s">
        <v>1111</v>
      </c>
      <c r="E325" s="326" t="s">
        <v>41</v>
      </c>
      <c r="F325" s="331">
        <v>2.9990000000000001</v>
      </c>
      <c r="G325" s="332">
        <v>375</v>
      </c>
      <c r="H325" s="331">
        <v>110</v>
      </c>
      <c r="I325" s="332" t="s">
        <v>71</v>
      </c>
      <c r="J325" s="331">
        <v>2979</v>
      </c>
      <c r="K325" s="326">
        <v>6893</v>
      </c>
      <c r="L325" s="326">
        <v>3749</v>
      </c>
      <c r="M325" s="326" t="s">
        <v>31</v>
      </c>
      <c r="N325" s="342">
        <v>8.9</v>
      </c>
      <c r="O325" s="337">
        <f>IF(N325&gt;0,1/N325*37.7*68.6,"")</f>
        <v>290.58651685393255</v>
      </c>
      <c r="P325" s="328">
        <v>8.1199999999999992</v>
      </c>
      <c r="Q325" s="327" t="s">
        <v>63</v>
      </c>
      <c r="R325" s="326" t="s">
        <v>33</v>
      </c>
      <c r="S325" s="326" t="s">
        <v>34</v>
      </c>
      <c r="T325" s="326"/>
      <c r="U325" s="325"/>
      <c r="V325" s="324">
        <f>IF(N325&lt;&gt;0, IF(N325&gt;=P325,ROUNDDOWN(N325/P325*100,0),""),"")</f>
        <v>109</v>
      </c>
      <c r="W325" s="311"/>
      <c r="X325" s="323"/>
      <c r="Y325" s="311"/>
      <c r="Z325" s="320"/>
      <c r="AA325" s="320"/>
      <c r="AB325" s="320"/>
      <c r="AC325" s="320"/>
      <c r="AD325" s="320"/>
      <c r="AE325" s="320"/>
      <c r="AF325" s="320"/>
      <c r="AG325" s="320"/>
      <c r="AH325" s="320"/>
      <c r="AI325" s="320"/>
      <c r="AJ325" s="320"/>
      <c r="AK325" s="320"/>
      <c r="AL325" s="320"/>
      <c r="AM325" s="320"/>
      <c r="AN325" s="320"/>
      <c r="AO325" s="320"/>
      <c r="AP325" s="320"/>
      <c r="AQ325" s="320"/>
      <c r="AR325" s="320"/>
      <c r="AS325" s="320"/>
      <c r="AT325" s="320"/>
      <c r="AU325" s="320"/>
      <c r="AV325" s="320"/>
      <c r="AW325" s="320"/>
      <c r="AX325" s="320"/>
      <c r="AY325" s="320"/>
      <c r="AZ325" s="320"/>
      <c r="BA325" s="320"/>
      <c r="BB325" s="320"/>
      <c r="BC325" s="320"/>
      <c r="BD325" s="320"/>
      <c r="BE325" s="320"/>
      <c r="BF325" s="320"/>
      <c r="BG325" s="320"/>
      <c r="BH325" s="320"/>
      <c r="BI325" s="320"/>
      <c r="BJ325" s="320"/>
      <c r="BK325" s="320"/>
      <c r="BL325" s="320"/>
      <c r="BM325" s="320"/>
      <c r="BN325" s="320"/>
      <c r="BO325" s="320"/>
      <c r="BP325" s="320"/>
      <c r="BQ325" s="320"/>
      <c r="BR325" s="320"/>
      <c r="BS325" s="320"/>
      <c r="BT325" s="320"/>
      <c r="BU325" s="320"/>
      <c r="BV325" s="320"/>
      <c r="BW325" s="320"/>
      <c r="BX325" s="320"/>
      <c r="BY325" s="320"/>
      <c r="BZ325" s="320"/>
      <c r="CA325" s="320"/>
      <c r="CB325" s="320"/>
      <c r="CC325" s="320"/>
      <c r="CD325" s="320"/>
      <c r="CE325" s="320"/>
      <c r="CF325" s="320"/>
      <c r="CG325" s="320"/>
      <c r="CH325" s="320"/>
      <c r="CI325" s="320"/>
      <c r="CJ325" s="320"/>
      <c r="CK325" s="320"/>
      <c r="CL325" s="320"/>
      <c r="CM325" s="320"/>
      <c r="CN325" s="320"/>
      <c r="CO325" s="320"/>
      <c r="CP325" s="320"/>
      <c r="CQ325" s="320"/>
      <c r="CR325" s="320"/>
      <c r="CS325" s="320"/>
      <c r="CT325" s="320"/>
      <c r="CU325" s="320"/>
      <c r="CV325" s="320"/>
      <c r="CW325" s="320"/>
      <c r="CX325" s="320"/>
      <c r="CY325" s="320"/>
      <c r="CZ325" s="320"/>
      <c r="DA325" s="320"/>
      <c r="DB325" s="320"/>
      <c r="DC325" s="320"/>
      <c r="DD325" s="320"/>
      <c r="DE325" s="320"/>
      <c r="DF325" s="320"/>
      <c r="DG325" s="320"/>
      <c r="DH325" s="320"/>
      <c r="DI325" s="320"/>
      <c r="DJ325" s="320"/>
      <c r="DK325" s="320"/>
    </row>
    <row r="326" spans="1:115" s="322" customFormat="1" ht="21" customHeight="1">
      <c r="A326" s="341"/>
      <c r="B326" s="340"/>
      <c r="C326" s="339"/>
      <c r="D326" s="333" t="s">
        <v>1111</v>
      </c>
      <c r="E326" s="326" t="s">
        <v>41</v>
      </c>
      <c r="F326" s="331">
        <v>2.9990000000000001</v>
      </c>
      <c r="G326" s="332">
        <v>430</v>
      </c>
      <c r="H326" s="331">
        <v>129</v>
      </c>
      <c r="I326" s="332" t="s">
        <v>71</v>
      </c>
      <c r="J326" s="331">
        <v>2979</v>
      </c>
      <c r="K326" s="326">
        <v>6893</v>
      </c>
      <c r="L326" s="326">
        <v>3749</v>
      </c>
      <c r="M326" s="326" t="s">
        <v>31</v>
      </c>
      <c r="N326" s="342">
        <v>8.9</v>
      </c>
      <c r="O326" s="337">
        <f>IF(N326&gt;0,1/N326*37.7*68.6,"")</f>
        <v>290.58651685393255</v>
      </c>
      <c r="P326" s="328">
        <v>8.1199999999999992</v>
      </c>
      <c r="Q326" s="327" t="s">
        <v>63</v>
      </c>
      <c r="R326" s="326" t="s">
        <v>33</v>
      </c>
      <c r="S326" s="326" t="s">
        <v>34</v>
      </c>
      <c r="T326" s="326"/>
      <c r="U326" s="325"/>
      <c r="V326" s="324">
        <f>IF(N326&lt;&gt;0, IF(N326&gt;=P326,ROUNDDOWN(N326/P326*100,0),""),"")</f>
        <v>109</v>
      </c>
      <c r="W326" s="311"/>
      <c r="X326" s="323"/>
      <c r="Y326" s="311"/>
      <c r="Z326" s="320"/>
      <c r="AA326" s="320"/>
      <c r="AB326" s="320"/>
      <c r="AC326" s="320"/>
      <c r="AD326" s="320"/>
      <c r="AE326" s="320"/>
      <c r="AF326" s="320"/>
      <c r="AG326" s="320"/>
      <c r="AH326" s="320"/>
      <c r="AI326" s="320"/>
      <c r="AJ326" s="320"/>
      <c r="AK326" s="320"/>
      <c r="AL326" s="320"/>
      <c r="AM326" s="320"/>
      <c r="AN326" s="320"/>
      <c r="AO326" s="320"/>
      <c r="AP326" s="320"/>
      <c r="AQ326" s="320"/>
      <c r="AR326" s="320"/>
      <c r="AS326" s="320"/>
      <c r="AT326" s="320"/>
      <c r="AU326" s="320"/>
      <c r="AV326" s="320"/>
      <c r="AW326" s="320"/>
      <c r="AX326" s="320"/>
      <c r="AY326" s="320"/>
      <c r="AZ326" s="320"/>
      <c r="BA326" s="320"/>
      <c r="BB326" s="320"/>
      <c r="BC326" s="320"/>
      <c r="BD326" s="320"/>
      <c r="BE326" s="320"/>
      <c r="BF326" s="320"/>
      <c r="BG326" s="320"/>
      <c r="BH326" s="320"/>
      <c r="BI326" s="320"/>
      <c r="BJ326" s="320"/>
      <c r="BK326" s="320"/>
      <c r="BL326" s="320"/>
      <c r="BM326" s="320"/>
      <c r="BN326" s="320"/>
      <c r="BO326" s="320"/>
      <c r="BP326" s="320"/>
      <c r="BQ326" s="320"/>
      <c r="BR326" s="320"/>
      <c r="BS326" s="320"/>
      <c r="BT326" s="320"/>
      <c r="BU326" s="320"/>
      <c r="BV326" s="320"/>
      <c r="BW326" s="320"/>
      <c r="BX326" s="320"/>
      <c r="BY326" s="320"/>
      <c r="BZ326" s="320"/>
      <c r="CA326" s="320"/>
      <c r="CB326" s="320"/>
      <c r="CC326" s="320"/>
      <c r="CD326" s="320"/>
      <c r="CE326" s="320"/>
      <c r="CF326" s="320"/>
      <c r="CG326" s="320"/>
      <c r="CH326" s="320"/>
      <c r="CI326" s="320"/>
      <c r="CJ326" s="320"/>
      <c r="CK326" s="320"/>
      <c r="CL326" s="320"/>
      <c r="CM326" s="320"/>
      <c r="CN326" s="320"/>
      <c r="CO326" s="320"/>
      <c r="CP326" s="320"/>
      <c r="CQ326" s="320"/>
      <c r="CR326" s="320"/>
      <c r="CS326" s="320"/>
      <c r="CT326" s="320"/>
      <c r="CU326" s="320"/>
      <c r="CV326" s="320"/>
      <c r="CW326" s="320"/>
      <c r="CX326" s="320"/>
      <c r="CY326" s="320"/>
      <c r="CZ326" s="320"/>
      <c r="DA326" s="320"/>
      <c r="DB326" s="320"/>
      <c r="DC326" s="320"/>
      <c r="DD326" s="320"/>
      <c r="DE326" s="320"/>
      <c r="DF326" s="320"/>
      <c r="DG326" s="320"/>
      <c r="DH326" s="320"/>
      <c r="DI326" s="320"/>
      <c r="DJ326" s="320"/>
      <c r="DK326" s="320"/>
    </row>
    <row r="327" spans="1:115" s="322" customFormat="1" ht="21" customHeight="1">
      <c r="A327" s="341"/>
      <c r="B327" s="340"/>
      <c r="C327" s="339"/>
      <c r="D327" s="333" t="s">
        <v>1110</v>
      </c>
      <c r="E327" s="326" t="s">
        <v>41</v>
      </c>
      <c r="F327" s="331">
        <v>2.9990000000000001</v>
      </c>
      <c r="G327" s="332">
        <v>375</v>
      </c>
      <c r="H327" s="331">
        <v>110</v>
      </c>
      <c r="I327" s="332" t="s">
        <v>71</v>
      </c>
      <c r="J327" s="331">
        <v>2979</v>
      </c>
      <c r="K327" s="326">
        <v>6893</v>
      </c>
      <c r="L327" s="326">
        <v>3749</v>
      </c>
      <c r="M327" s="326" t="s">
        <v>31</v>
      </c>
      <c r="N327" s="342">
        <v>8.9</v>
      </c>
      <c r="O327" s="337">
        <f>IF(N327&gt;0,1/N327*37.7*68.6,"")</f>
        <v>290.58651685393255</v>
      </c>
      <c r="P327" s="328">
        <v>8.1199999999999992</v>
      </c>
      <c r="Q327" s="327" t="s">
        <v>63</v>
      </c>
      <c r="R327" s="326" t="s">
        <v>33</v>
      </c>
      <c r="S327" s="326" t="s">
        <v>34</v>
      </c>
      <c r="T327" s="326"/>
      <c r="U327" s="325"/>
      <c r="V327" s="324">
        <f>IF(N327&lt;&gt;0, IF(N327&gt;=P327,ROUNDDOWN(N327/P327*100,0),""),"")</f>
        <v>109</v>
      </c>
      <c r="W327" s="311"/>
      <c r="X327" s="323"/>
      <c r="Y327" s="311"/>
      <c r="Z327" s="320"/>
      <c r="AA327" s="320"/>
      <c r="AB327" s="320"/>
      <c r="AC327" s="320"/>
      <c r="AD327" s="320"/>
      <c r="AE327" s="320"/>
      <c r="AF327" s="320"/>
      <c r="AG327" s="320"/>
      <c r="AH327" s="320"/>
      <c r="AI327" s="320"/>
      <c r="AJ327" s="320"/>
      <c r="AK327" s="320"/>
      <c r="AL327" s="320"/>
      <c r="AM327" s="320"/>
      <c r="AN327" s="320"/>
      <c r="AO327" s="320"/>
      <c r="AP327" s="320"/>
      <c r="AQ327" s="320"/>
      <c r="AR327" s="320"/>
      <c r="AS327" s="320"/>
      <c r="AT327" s="320"/>
      <c r="AU327" s="320"/>
      <c r="AV327" s="320"/>
      <c r="AW327" s="320"/>
      <c r="AX327" s="320"/>
      <c r="AY327" s="320"/>
      <c r="AZ327" s="320"/>
      <c r="BA327" s="320"/>
      <c r="BB327" s="320"/>
      <c r="BC327" s="320"/>
      <c r="BD327" s="320"/>
      <c r="BE327" s="320"/>
      <c r="BF327" s="320"/>
      <c r="BG327" s="320"/>
      <c r="BH327" s="320"/>
      <c r="BI327" s="320"/>
      <c r="BJ327" s="320"/>
      <c r="BK327" s="320"/>
      <c r="BL327" s="320"/>
      <c r="BM327" s="320"/>
      <c r="BN327" s="320"/>
      <c r="BO327" s="320"/>
      <c r="BP327" s="320"/>
      <c r="BQ327" s="320"/>
      <c r="BR327" s="320"/>
      <c r="BS327" s="320"/>
      <c r="BT327" s="320"/>
      <c r="BU327" s="320"/>
      <c r="BV327" s="320"/>
      <c r="BW327" s="320"/>
      <c r="BX327" s="320"/>
      <c r="BY327" s="320"/>
      <c r="BZ327" s="320"/>
      <c r="CA327" s="320"/>
      <c r="CB327" s="320"/>
      <c r="CC327" s="320"/>
      <c r="CD327" s="320"/>
      <c r="CE327" s="320"/>
      <c r="CF327" s="320"/>
      <c r="CG327" s="320"/>
      <c r="CH327" s="320"/>
      <c r="CI327" s="320"/>
      <c r="CJ327" s="320"/>
      <c r="CK327" s="320"/>
      <c r="CL327" s="320"/>
      <c r="CM327" s="320"/>
      <c r="CN327" s="320"/>
      <c r="CO327" s="320"/>
      <c r="CP327" s="320"/>
      <c r="CQ327" s="320"/>
      <c r="CR327" s="320"/>
      <c r="CS327" s="320"/>
      <c r="CT327" s="320"/>
      <c r="CU327" s="320"/>
      <c r="CV327" s="320"/>
      <c r="CW327" s="320"/>
      <c r="CX327" s="320"/>
      <c r="CY327" s="320"/>
      <c r="CZ327" s="320"/>
      <c r="DA327" s="320"/>
      <c r="DB327" s="320"/>
      <c r="DC327" s="320"/>
      <c r="DD327" s="320"/>
      <c r="DE327" s="320"/>
      <c r="DF327" s="320"/>
      <c r="DG327" s="320"/>
      <c r="DH327" s="320"/>
      <c r="DI327" s="320"/>
      <c r="DJ327" s="320"/>
      <c r="DK327" s="320"/>
    </row>
    <row r="328" spans="1:115" s="322" customFormat="1" ht="21" customHeight="1">
      <c r="A328" s="341"/>
      <c r="B328" s="340"/>
      <c r="C328" s="339"/>
      <c r="D328" s="333" t="s">
        <v>1110</v>
      </c>
      <c r="E328" s="326" t="s">
        <v>41</v>
      </c>
      <c r="F328" s="331">
        <v>2.9990000000000001</v>
      </c>
      <c r="G328" s="332">
        <v>430</v>
      </c>
      <c r="H328" s="331">
        <v>129</v>
      </c>
      <c r="I328" s="332" t="s">
        <v>71</v>
      </c>
      <c r="J328" s="331">
        <v>2979</v>
      </c>
      <c r="K328" s="326">
        <v>6893</v>
      </c>
      <c r="L328" s="326">
        <v>3749</v>
      </c>
      <c r="M328" s="326" t="s">
        <v>31</v>
      </c>
      <c r="N328" s="342">
        <v>8.9</v>
      </c>
      <c r="O328" s="337">
        <f>IF(N328&gt;0,1/N328*37.7*68.6,"")</f>
        <v>290.58651685393255</v>
      </c>
      <c r="P328" s="328">
        <v>8.1199999999999992</v>
      </c>
      <c r="Q328" s="327" t="s">
        <v>63</v>
      </c>
      <c r="R328" s="326" t="s">
        <v>33</v>
      </c>
      <c r="S328" s="326" t="s">
        <v>34</v>
      </c>
      <c r="T328" s="326"/>
      <c r="U328" s="325"/>
      <c r="V328" s="324">
        <f>IF(N328&lt;&gt;0, IF(N328&gt;=P328,ROUNDDOWN(N328/P328*100,0),""),"")</f>
        <v>109</v>
      </c>
      <c r="W328" s="311"/>
      <c r="X328" s="323"/>
      <c r="Y328" s="311"/>
      <c r="Z328" s="320"/>
      <c r="AA328" s="320"/>
      <c r="AB328" s="320"/>
      <c r="AC328" s="320"/>
      <c r="AD328" s="320"/>
      <c r="AE328" s="320"/>
      <c r="AF328" s="320"/>
      <c r="AG328" s="320"/>
      <c r="AH328" s="320"/>
      <c r="AI328" s="320"/>
      <c r="AJ328" s="320"/>
      <c r="AK328" s="320"/>
      <c r="AL328" s="320"/>
      <c r="AM328" s="320"/>
      <c r="AN328" s="320"/>
      <c r="AO328" s="320"/>
      <c r="AP328" s="320"/>
      <c r="AQ328" s="320"/>
      <c r="AR328" s="320"/>
      <c r="AS328" s="320"/>
      <c r="AT328" s="320"/>
      <c r="AU328" s="320"/>
      <c r="AV328" s="320"/>
      <c r="AW328" s="320"/>
      <c r="AX328" s="320"/>
      <c r="AY328" s="320"/>
      <c r="AZ328" s="320"/>
      <c r="BA328" s="320"/>
      <c r="BB328" s="320"/>
      <c r="BC328" s="320"/>
      <c r="BD328" s="320"/>
      <c r="BE328" s="320"/>
      <c r="BF328" s="320"/>
      <c r="BG328" s="320"/>
      <c r="BH328" s="320"/>
      <c r="BI328" s="320"/>
      <c r="BJ328" s="320"/>
      <c r="BK328" s="320"/>
      <c r="BL328" s="320"/>
      <c r="BM328" s="320"/>
      <c r="BN328" s="320"/>
      <c r="BO328" s="320"/>
      <c r="BP328" s="320"/>
      <c r="BQ328" s="320"/>
      <c r="BR328" s="320"/>
      <c r="BS328" s="320"/>
      <c r="BT328" s="320"/>
      <c r="BU328" s="320"/>
      <c r="BV328" s="320"/>
      <c r="BW328" s="320"/>
      <c r="BX328" s="320"/>
      <c r="BY328" s="320"/>
      <c r="BZ328" s="320"/>
      <c r="CA328" s="320"/>
      <c r="CB328" s="320"/>
      <c r="CC328" s="320"/>
      <c r="CD328" s="320"/>
      <c r="CE328" s="320"/>
      <c r="CF328" s="320"/>
      <c r="CG328" s="320"/>
      <c r="CH328" s="320"/>
      <c r="CI328" s="320"/>
      <c r="CJ328" s="320"/>
      <c r="CK328" s="320"/>
      <c r="CL328" s="320"/>
      <c r="CM328" s="320"/>
      <c r="CN328" s="320"/>
      <c r="CO328" s="320"/>
      <c r="CP328" s="320"/>
      <c r="CQ328" s="320"/>
      <c r="CR328" s="320"/>
      <c r="CS328" s="320"/>
      <c r="CT328" s="320"/>
      <c r="CU328" s="320"/>
      <c r="CV328" s="320"/>
      <c r="CW328" s="320"/>
      <c r="CX328" s="320"/>
      <c r="CY328" s="320"/>
      <c r="CZ328" s="320"/>
      <c r="DA328" s="320"/>
      <c r="DB328" s="320"/>
      <c r="DC328" s="320"/>
      <c r="DD328" s="320"/>
      <c r="DE328" s="320"/>
      <c r="DF328" s="320"/>
      <c r="DG328" s="320"/>
      <c r="DH328" s="320"/>
      <c r="DI328" s="320"/>
      <c r="DJ328" s="320"/>
      <c r="DK328" s="320"/>
    </row>
    <row r="329" spans="1:115" s="322" customFormat="1" ht="21" customHeight="1">
      <c r="A329" s="341"/>
      <c r="B329" s="340"/>
      <c r="C329" s="339"/>
      <c r="D329" s="333" t="s">
        <v>1109</v>
      </c>
      <c r="E329" s="326" t="s">
        <v>41</v>
      </c>
      <c r="F329" s="331">
        <v>2.9990000000000001</v>
      </c>
      <c r="G329" s="332">
        <v>375</v>
      </c>
      <c r="H329" s="331">
        <v>110</v>
      </c>
      <c r="I329" s="332" t="s">
        <v>71</v>
      </c>
      <c r="J329" s="331">
        <v>2979</v>
      </c>
      <c r="K329" s="326">
        <v>6893</v>
      </c>
      <c r="L329" s="326">
        <v>3749</v>
      </c>
      <c r="M329" s="326" t="s">
        <v>31</v>
      </c>
      <c r="N329" s="342">
        <v>8.9</v>
      </c>
      <c r="O329" s="337">
        <f>IF(N329&gt;0,1/N329*37.7*68.6,"")</f>
        <v>290.58651685393255</v>
      </c>
      <c r="P329" s="328">
        <v>8.1199999999999992</v>
      </c>
      <c r="Q329" s="327" t="s">
        <v>63</v>
      </c>
      <c r="R329" s="326" t="s">
        <v>33</v>
      </c>
      <c r="S329" s="326" t="s">
        <v>34</v>
      </c>
      <c r="T329" s="326"/>
      <c r="U329" s="325"/>
      <c r="V329" s="324">
        <f>IF(N329&lt;&gt;0, IF(N329&gt;=P329,ROUNDDOWN(N329/P329*100,0),""),"")</f>
        <v>109</v>
      </c>
      <c r="W329" s="311"/>
      <c r="X329" s="323"/>
      <c r="Y329" s="311"/>
      <c r="Z329" s="320"/>
      <c r="AA329" s="320"/>
      <c r="AB329" s="320"/>
      <c r="AC329" s="320"/>
      <c r="AD329" s="320"/>
      <c r="AE329" s="320"/>
      <c r="AF329" s="320"/>
      <c r="AG329" s="320"/>
      <c r="AH329" s="320"/>
      <c r="AI329" s="320"/>
      <c r="AJ329" s="320"/>
      <c r="AK329" s="320"/>
      <c r="AL329" s="320"/>
      <c r="AM329" s="320"/>
      <c r="AN329" s="320"/>
      <c r="AO329" s="320"/>
      <c r="AP329" s="320"/>
      <c r="AQ329" s="320"/>
      <c r="AR329" s="320"/>
      <c r="AS329" s="320"/>
      <c r="AT329" s="320"/>
      <c r="AU329" s="320"/>
      <c r="AV329" s="320"/>
      <c r="AW329" s="320"/>
      <c r="AX329" s="320"/>
      <c r="AY329" s="320"/>
      <c r="AZ329" s="320"/>
      <c r="BA329" s="320"/>
      <c r="BB329" s="320"/>
      <c r="BC329" s="320"/>
      <c r="BD329" s="320"/>
      <c r="BE329" s="320"/>
      <c r="BF329" s="320"/>
      <c r="BG329" s="320"/>
      <c r="BH329" s="320"/>
      <c r="BI329" s="320"/>
      <c r="BJ329" s="320"/>
      <c r="BK329" s="320"/>
      <c r="BL329" s="320"/>
      <c r="BM329" s="320"/>
      <c r="BN329" s="320"/>
      <c r="BO329" s="320"/>
      <c r="BP329" s="320"/>
      <c r="BQ329" s="320"/>
      <c r="BR329" s="320"/>
      <c r="BS329" s="320"/>
      <c r="BT329" s="320"/>
      <c r="BU329" s="320"/>
      <c r="BV329" s="320"/>
      <c r="BW329" s="320"/>
      <c r="BX329" s="320"/>
      <c r="BY329" s="320"/>
      <c r="BZ329" s="320"/>
      <c r="CA329" s="320"/>
      <c r="CB329" s="320"/>
      <c r="CC329" s="320"/>
      <c r="CD329" s="320"/>
      <c r="CE329" s="320"/>
      <c r="CF329" s="320"/>
      <c r="CG329" s="320"/>
      <c r="CH329" s="320"/>
      <c r="CI329" s="320"/>
      <c r="CJ329" s="320"/>
      <c r="CK329" s="320"/>
      <c r="CL329" s="320"/>
      <c r="CM329" s="320"/>
      <c r="CN329" s="320"/>
      <c r="CO329" s="320"/>
      <c r="CP329" s="320"/>
      <c r="CQ329" s="320"/>
      <c r="CR329" s="320"/>
      <c r="CS329" s="320"/>
      <c r="CT329" s="320"/>
      <c r="CU329" s="320"/>
      <c r="CV329" s="320"/>
      <c r="CW329" s="320"/>
      <c r="CX329" s="320"/>
      <c r="CY329" s="320"/>
      <c r="CZ329" s="320"/>
      <c r="DA329" s="320"/>
      <c r="DB329" s="320"/>
      <c r="DC329" s="320"/>
      <c r="DD329" s="320"/>
      <c r="DE329" s="320"/>
      <c r="DF329" s="320"/>
      <c r="DG329" s="320"/>
      <c r="DH329" s="320"/>
      <c r="DI329" s="320"/>
      <c r="DJ329" s="320"/>
      <c r="DK329" s="320"/>
    </row>
    <row r="330" spans="1:115" s="322" customFormat="1" ht="21" customHeight="1">
      <c r="A330" s="341"/>
      <c r="B330" s="340"/>
      <c r="C330" s="339"/>
      <c r="D330" s="333" t="s">
        <v>1109</v>
      </c>
      <c r="E330" s="326" t="s">
        <v>41</v>
      </c>
      <c r="F330" s="331">
        <v>2.9990000000000001</v>
      </c>
      <c r="G330" s="332">
        <v>430</v>
      </c>
      <c r="H330" s="331">
        <v>129</v>
      </c>
      <c r="I330" s="332" t="s">
        <v>71</v>
      </c>
      <c r="J330" s="331">
        <v>2979</v>
      </c>
      <c r="K330" s="326">
        <v>6893</v>
      </c>
      <c r="L330" s="326">
        <v>3749</v>
      </c>
      <c r="M330" s="326" t="s">
        <v>31</v>
      </c>
      <c r="N330" s="342">
        <v>8.9</v>
      </c>
      <c r="O330" s="337">
        <f>IF(N330&gt;0,1/N330*37.7*68.6,"")</f>
        <v>290.58651685393255</v>
      </c>
      <c r="P330" s="328">
        <v>8.1199999999999992</v>
      </c>
      <c r="Q330" s="327" t="s">
        <v>63</v>
      </c>
      <c r="R330" s="326" t="s">
        <v>33</v>
      </c>
      <c r="S330" s="326" t="s">
        <v>34</v>
      </c>
      <c r="T330" s="326"/>
      <c r="U330" s="325"/>
      <c r="V330" s="324">
        <f>IF(N330&lt;&gt;0, IF(N330&gt;=P330,ROUNDDOWN(N330/P330*100,0),""),"")</f>
        <v>109</v>
      </c>
      <c r="W330" s="311"/>
      <c r="X330" s="323"/>
      <c r="Y330" s="311"/>
      <c r="Z330" s="320"/>
      <c r="AA330" s="320"/>
      <c r="AB330" s="320"/>
      <c r="AC330" s="320"/>
      <c r="AD330" s="320"/>
      <c r="AE330" s="320"/>
      <c r="AF330" s="320"/>
      <c r="AG330" s="320"/>
      <c r="AH330" s="320"/>
      <c r="AI330" s="320"/>
      <c r="AJ330" s="320"/>
      <c r="AK330" s="320"/>
      <c r="AL330" s="320"/>
      <c r="AM330" s="320"/>
      <c r="AN330" s="320"/>
      <c r="AO330" s="320"/>
      <c r="AP330" s="320"/>
      <c r="AQ330" s="320"/>
      <c r="AR330" s="320"/>
      <c r="AS330" s="320"/>
      <c r="AT330" s="320"/>
      <c r="AU330" s="320"/>
      <c r="AV330" s="320"/>
      <c r="AW330" s="320"/>
      <c r="AX330" s="320"/>
      <c r="AY330" s="320"/>
      <c r="AZ330" s="320"/>
      <c r="BA330" s="320"/>
      <c r="BB330" s="320"/>
      <c r="BC330" s="320"/>
      <c r="BD330" s="320"/>
      <c r="BE330" s="320"/>
      <c r="BF330" s="320"/>
      <c r="BG330" s="320"/>
      <c r="BH330" s="320"/>
      <c r="BI330" s="320"/>
      <c r="BJ330" s="320"/>
      <c r="BK330" s="320"/>
      <c r="BL330" s="320"/>
      <c r="BM330" s="320"/>
      <c r="BN330" s="320"/>
      <c r="BO330" s="320"/>
      <c r="BP330" s="320"/>
      <c r="BQ330" s="320"/>
      <c r="BR330" s="320"/>
      <c r="BS330" s="320"/>
      <c r="BT330" s="320"/>
      <c r="BU330" s="320"/>
      <c r="BV330" s="320"/>
      <c r="BW330" s="320"/>
      <c r="BX330" s="320"/>
      <c r="BY330" s="320"/>
      <c r="BZ330" s="320"/>
      <c r="CA330" s="320"/>
      <c r="CB330" s="320"/>
      <c r="CC330" s="320"/>
      <c r="CD330" s="320"/>
      <c r="CE330" s="320"/>
      <c r="CF330" s="320"/>
      <c r="CG330" s="320"/>
      <c r="CH330" s="320"/>
      <c r="CI330" s="320"/>
      <c r="CJ330" s="320"/>
      <c r="CK330" s="320"/>
      <c r="CL330" s="320"/>
      <c r="CM330" s="320"/>
      <c r="CN330" s="320"/>
      <c r="CO330" s="320"/>
      <c r="CP330" s="320"/>
      <c r="CQ330" s="320"/>
      <c r="CR330" s="320"/>
      <c r="CS330" s="320"/>
      <c r="CT330" s="320"/>
      <c r="CU330" s="320"/>
      <c r="CV330" s="320"/>
      <c r="CW330" s="320"/>
      <c r="CX330" s="320"/>
      <c r="CY330" s="320"/>
      <c r="CZ330" s="320"/>
      <c r="DA330" s="320"/>
      <c r="DB330" s="320"/>
      <c r="DC330" s="320"/>
      <c r="DD330" s="320"/>
      <c r="DE330" s="320"/>
      <c r="DF330" s="320"/>
      <c r="DG330" s="320"/>
      <c r="DH330" s="320"/>
      <c r="DI330" s="320"/>
      <c r="DJ330" s="320"/>
      <c r="DK330" s="320"/>
    </row>
    <row r="331" spans="1:115" s="322" customFormat="1" ht="21" customHeight="1">
      <c r="A331" s="341"/>
      <c r="B331" s="340"/>
      <c r="C331" s="339"/>
      <c r="D331" s="333" t="s">
        <v>1108</v>
      </c>
      <c r="E331" s="326" t="s">
        <v>41</v>
      </c>
      <c r="F331" s="331">
        <v>2.9990000000000001</v>
      </c>
      <c r="G331" s="332">
        <v>375</v>
      </c>
      <c r="H331" s="331" t="s">
        <v>466</v>
      </c>
      <c r="I331" s="332" t="s">
        <v>71</v>
      </c>
      <c r="J331" s="331">
        <v>2979</v>
      </c>
      <c r="K331" s="326">
        <v>6893</v>
      </c>
      <c r="L331" s="326">
        <v>3749</v>
      </c>
      <c r="M331" s="326" t="s">
        <v>31</v>
      </c>
      <c r="N331" s="342">
        <v>8.8000000000000007</v>
      </c>
      <c r="O331" s="337">
        <f>IF(N331&gt;0,1/N331*37.7*68.6,"")</f>
        <v>293.88863636363635</v>
      </c>
      <c r="P331" s="328">
        <v>8.1199999999999992</v>
      </c>
      <c r="Q331" s="327" t="s">
        <v>63</v>
      </c>
      <c r="R331" s="326" t="s">
        <v>33</v>
      </c>
      <c r="S331" s="326" t="s">
        <v>34</v>
      </c>
      <c r="T331" s="326"/>
      <c r="U331" s="325"/>
      <c r="V331" s="324">
        <f>IF(N331&lt;&gt;0, IF(N331&gt;=P331,ROUNDDOWN(N331/P331*100,0),""),"")</f>
        <v>108</v>
      </c>
      <c r="W331" s="311"/>
      <c r="X331" s="320"/>
      <c r="Y331" s="320"/>
      <c r="Z331" s="320"/>
      <c r="AA331" s="320"/>
      <c r="AB331" s="320"/>
      <c r="AC331" s="320"/>
      <c r="AD331" s="320"/>
      <c r="AE331" s="320"/>
      <c r="AF331" s="320"/>
      <c r="AG331" s="320"/>
      <c r="AH331" s="320"/>
      <c r="AI331" s="320"/>
      <c r="AJ331" s="320"/>
      <c r="AK331" s="320"/>
      <c r="AL331" s="320"/>
      <c r="AM331" s="320"/>
      <c r="AN331" s="320"/>
      <c r="AO331" s="320"/>
      <c r="AP331" s="320"/>
      <c r="AQ331" s="320"/>
    </row>
    <row r="332" spans="1:115" s="322" customFormat="1" ht="21" customHeight="1">
      <c r="A332" s="341"/>
      <c r="B332" s="340"/>
      <c r="C332" s="339"/>
      <c r="D332" s="333" t="s">
        <v>1107</v>
      </c>
      <c r="E332" s="326" t="s">
        <v>41</v>
      </c>
      <c r="F332" s="331">
        <v>2.9990000000000001</v>
      </c>
      <c r="G332" s="332">
        <v>375</v>
      </c>
      <c r="H332" s="331" t="s">
        <v>466</v>
      </c>
      <c r="I332" s="332" t="s">
        <v>71</v>
      </c>
      <c r="J332" s="331">
        <v>2979</v>
      </c>
      <c r="K332" s="326">
        <v>6893</v>
      </c>
      <c r="L332" s="326">
        <v>3749</v>
      </c>
      <c r="M332" s="326" t="s">
        <v>31</v>
      </c>
      <c r="N332" s="342">
        <v>8.8000000000000007</v>
      </c>
      <c r="O332" s="337">
        <f>IF(N332&gt;0,1/N332*37.7*68.6,"")</f>
        <v>293.88863636363635</v>
      </c>
      <c r="P332" s="328">
        <v>8.1199999999999992</v>
      </c>
      <c r="Q332" s="327" t="s">
        <v>63</v>
      </c>
      <c r="R332" s="326" t="s">
        <v>33</v>
      </c>
      <c r="S332" s="326" t="s">
        <v>34</v>
      </c>
      <c r="T332" s="326"/>
      <c r="U332" s="325"/>
      <c r="V332" s="324">
        <f>IF(N332&lt;&gt;0, IF(N332&gt;=P332,ROUNDDOWN(N332/P332*100,0),""),"")</f>
        <v>108</v>
      </c>
      <c r="W332" s="311"/>
      <c r="X332" s="320"/>
      <c r="Y332" s="320"/>
      <c r="Z332" s="320"/>
      <c r="AA332" s="320"/>
      <c r="AB332" s="320"/>
      <c r="AC332" s="320"/>
      <c r="AD332" s="320"/>
      <c r="AE332" s="320"/>
      <c r="AF332" s="320"/>
      <c r="AG332" s="320"/>
      <c r="AH332" s="320"/>
      <c r="AI332" s="320"/>
      <c r="AJ332" s="320"/>
      <c r="AK332" s="320"/>
      <c r="AL332" s="320"/>
      <c r="AM332" s="320"/>
      <c r="AN332" s="320"/>
      <c r="AO332" s="320"/>
      <c r="AP332" s="320"/>
      <c r="AQ332" s="320"/>
    </row>
    <row r="333" spans="1:115" s="322" customFormat="1" ht="21" customHeight="1">
      <c r="A333" s="341"/>
      <c r="B333" s="340"/>
      <c r="C333" s="339"/>
      <c r="D333" s="333" t="s">
        <v>1106</v>
      </c>
      <c r="E333" s="326" t="s">
        <v>41</v>
      </c>
      <c r="F333" s="331">
        <v>2.9990000000000001</v>
      </c>
      <c r="G333" s="332" t="s">
        <v>467</v>
      </c>
      <c r="H333" s="331" t="s">
        <v>466</v>
      </c>
      <c r="I333" s="332" t="s">
        <v>71</v>
      </c>
      <c r="J333" s="331">
        <v>2979</v>
      </c>
      <c r="K333" s="326">
        <v>6893</v>
      </c>
      <c r="L333" s="326">
        <v>3749</v>
      </c>
      <c r="M333" s="326" t="s">
        <v>31</v>
      </c>
      <c r="N333" s="342">
        <v>8.8000000000000007</v>
      </c>
      <c r="O333" s="337">
        <f>IF(N333&gt;0,1/N333*37.7*68.6,"")</f>
        <v>293.88863636363635</v>
      </c>
      <c r="P333" s="328">
        <v>8.1199999999999992</v>
      </c>
      <c r="Q333" s="327" t="s">
        <v>63</v>
      </c>
      <c r="R333" s="326" t="s">
        <v>33</v>
      </c>
      <c r="S333" s="326" t="s">
        <v>34</v>
      </c>
      <c r="T333" s="326"/>
      <c r="U333" s="325"/>
      <c r="V333" s="324">
        <f>IF(N333&lt;&gt;0, IF(N333&gt;=P333,ROUNDDOWN(N333/P333*100,0),""),"")</f>
        <v>108</v>
      </c>
      <c r="W333" s="311"/>
      <c r="X333" s="320"/>
      <c r="Y333" s="320"/>
      <c r="Z333" s="320"/>
      <c r="AA333" s="320"/>
      <c r="AB333" s="320"/>
      <c r="AC333" s="320"/>
      <c r="AD333" s="320"/>
      <c r="AE333" s="320"/>
      <c r="AF333" s="320"/>
      <c r="AG333" s="320"/>
      <c r="AH333" s="320"/>
      <c r="AI333" s="320"/>
      <c r="AJ333" s="320"/>
      <c r="AK333" s="320"/>
      <c r="AL333" s="320"/>
      <c r="AM333" s="320"/>
      <c r="AN333" s="320"/>
      <c r="AO333" s="320"/>
      <c r="AP333" s="320"/>
      <c r="AQ333" s="320"/>
    </row>
    <row r="334" spans="1:115" s="322" customFormat="1" ht="21" customHeight="1">
      <c r="A334" s="341"/>
      <c r="B334" s="340"/>
      <c r="C334" s="339"/>
      <c r="D334" s="333" t="s">
        <v>1105</v>
      </c>
      <c r="E334" s="326" t="s">
        <v>41</v>
      </c>
      <c r="F334" s="331">
        <v>2.9990000000000001</v>
      </c>
      <c r="G334" s="332" t="s">
        <v>467</v>
      </c>
      <c r="H334" s="331" t="s">
        <v>466</v>
      </c>
      <c r="I334" s="332" t="s">
        <v>71</v>
      </c>
      <c r="J334" s="331">
        <v>2979</v>
      </c>
      <c r="K334" s="326">
        <v>6893</v>
      </c>
      <c r="L334" s="326">
        <v>3749</v>
      </c>
      <c r="M334" s="326" t="s">
        <v>31</v>
      </c>
      <c r="N334" s="342">
        <v>8.8000000000000007</v>
      </c>
      <c r="O334" s="337">
        <f>IF(N334&gt;0,1/N334*37.7*68.6,"")</f>
        <v>293.88863636363635</v>
      </c>
      <c r="P334" s="328">
        <v>8.1199999999999992</v>
      </c>
      <c r="Q334" s="327" t="s">
        <v>63</v>
      </c>
      <c r="R334" s="326" t="s">
        <v>33</v>
      </c>
      <c r="S334" s="326" t="s">
        <v>34</v>
      </c>
      <c r="T334" s="326"/>
      <c r="U334" s="325"/>
      <c r="V334" s="324">
        <f>IF(N334&lt;&gt;0, IF(N334&gt;=P334,ROUNDDOWN(N334/P334*100,0),""),"")</f>
        <v>108</v>
      </c>
      <c r="W334" s="311"/>
      <c r="X334" s="320"/>
      <c r="Y334" s="320"/>
      <c r="Z334" s="320"/>
      <c r="AA334" s="320"/>
      <c r="AB334" s="320"/>
      <c r="AC334" s="320"/>
      <c r="AD334" s="320"/>
      <c r="AE334" s="320"/>
      <c r="AF334" s="320"/>
      <c r="AG334" s="320"/>
      <c r="AH334" s="320"/>
      <c r="AI334" s="320"/>
      <c r="AJ334" s="320"/>
      <c r="AK334" s="320"/>
      <c r="AL334" s="320"/>
      <c r="AM334" s="320"/>
      <c r="AN334" s="320"/>
      <c r="AO334" s="320"/>
      <c r="AP334" s="320"/>
      <c r="AQ334" s="320"/>
    </row>
    <row r="335" spans="1:115" s="322" customFormat="1" ht="21" customHeight="1">
      <c r="A335" s="341"/>
      <c r="B335" s="340"/>
      <c r="C335" s="339"/>
      <c r="D335" s="333" t="s">
        <v>1104</v>
      </c>
      <c r="E335" s="326" t="s">
        <v>41</v>
      </c>
      <c r="F335" s="331">
        <v>2.9990000000000001</v>
      </c>
      <c r="G335" s="332" t="s">
        <v>467</v>
      </c>
      <c r="H335" s="331" t="s">
        <v>466</v>
      </c>
      <c r="I335" s="332" t="s">
        <v>71</v>
      </c>
      <c r="J335" s="331">
        <v>2979</v>
      </c>
      <c r="K335" s="326">
        <v>6893</v>
      </c>
      <c r="L335" s="326">
        <v>3749</v>
      </c>
      <c r="M335" s="326" t="s">
        <v>31</v>
      </c>
      <c r="N335" s="342">
        <v>8.8000000000000007</v>
      </c>
      <c r="O335" s="337">
        <f>IF(N335&gt;0,1/N335*37.7*68.6,"")</f>
        <v>293.88863636363635</v>
      </c>
      <c r="P335" s="328">
        <v>8.1199999999999992</v>
      </c>
      <c r="Q335" s="327" t="s">
        <v>63</v>
      </c>
      <c r="R335" s="326" t="s">
        <v>33</v>
      </c>
      <c r="S335" s="326" t="s">
        <v>34</v>
      </c>
      <c r="T335" s="326"/>
      <c r="U335" s="325"/>
      <c r="V335" s="324">
        <f>IF(N335&lt;&gt;0, IF(N335&gt;=P335,ROUNDDOWN(N335/P335*100,0),""),"")</f>
        <v>108</v>
      </c>
      <c r="W335" s="311"/>
      <c r="X335" s="320"/>
      <c r="Y335" s="320"/>
      <c r="Z335" s="320"/>
      <c r="AA335" s="320"/>
      <c r="AB335" s="320"/>
      <c r="AC335" s="320"/>
      <c r="AD335" s="320"/>
      <c r="AE335" s="320"/>
      <c r="AF335" s="320"/>
      <c r="AG335" s="320"/>
      <c r="AH335" s="320"/>
      <c r="AI335" s="320"/>
      <c r="AJ335" s="320"/>
      <c r="AK335" s="320"/>
      <c r="AL335" s="320"/>
      <c r="AM335" s="320"/>
      <c r="AN335" s="320"/>
      <c r="AO335" s="320"/>
      <c r="AP335" s="320"/>
      <c r="AQ335" s="320"/>
    </row>
    <row r="336" spans="1:115" s="322" customFormat="1" ht="21" customHeight="1">
      <c r="A336" s="341"/>
      <c r="B336" s="340"/>
      <c r="C336" s="339"/>
      <c r="D336" s="333" t="s">
        <v>1104</v>
      </c>
      <c r="E336" s="326" t="s">
        <v>41</v>
      </c>
      <c r="F336" s="331">
        <v>2.9990000000000001</v>
      </c>
      <c r="G336" s="332" t="s">
        <v>464</v>
      </c>
      <c r="H336" s="331" t="s">
        <v>463</v>
      </c>
      <c r="I336" s="332" t="s">
        <v>71</v>
      </c>
      <c r="J336" s="331">
        <v>2979</v>
      </c>
      <c r="K336" s="326">
        <v>6893</v>
      </c>
      <c r="L336" s="326">
        <v>3749</v>
      </c>
      <c r="M336" s="326" t="s">
        <v>31</v>
      </c>
      <c r="N336" s="342">
        <v>8.8000000000000007</v>
      </c>
      <c r="O336" s="337">
        <f>IF(N336&gt;0,1/N336*37.7*68.6,"")</f>
        <v>293.88863636363635</v>
      </c>
      <c r="P336" s="328">
        <v>8.1199999999999992</v>
      </c>
      <c r="Q336" s="327" t="s">
        <v>63</v>
      </c>
      <c r="R336" s="326" t="s">
        <v>33</v>
      </c>
      <c r="S336" s="326" t="s">
        <v>34</v>
      </c>
      <c r="T336" s="326"/>
      <c r="U336" s="325"/>
      <c r="V336" s="324">
        <f>IF(N336&lt;&gt;0, IF(N336&gt;=P336,ROUNDDOWN(N336/P336*100,0),""),"")</f>
        <v>108</v>
      </c>
      <c r="W336" s="311"/>
      <c r="X336" s="320"/>
      <c r="Y336" s="320"/>
      <c r="Z336" s="320"/>
      <c r="AA336" s="320"/>
      <c r="AB336" s="320"/>
      <c r="AC336" s="320"/>
      <c r="AD336" s="320"/>
      <c r="AE336" s="320"/>
      <c r="AF336" s="320"/>
      <c r="AG336" s="320"/>
      <c r="AH336" s="320"/>
      <c r="AI336" s="320"/>
      <c r="AJ336" s="320"/>
      <c r="AK336" s="320"/>
      <c r="AL336" s="320"/>
      <c r="AM336" s="320"/>
      <c r="AN336" s="320"/>
      <c r="AO336" s="320"/>
      <c r="AP336" s="320"/>
      <c r="AQ336" s="320"/>
    </row>
    <row r="337" spans="1:115" s="322" customFormat="1" ht="21" customHeight="1">
      <c r="A337" s="341"/>
      <c r="B337" s="340"/>
      <c r="C337" s="339"/>
      <c r="D337" s="333" t="s">
        <v>1103</v>
      </c>
      <c r="E337" s="326" t="s">
        <v>41</v>
      </c>
      <c r="F337" s="331">
        <v>2.9990000000000001</v>
      </c>
      <c r="G337" s="332">
        <v>375</v>
      </c>
      <c r="H337" s="331" t="s">
        <v>466</v>
      </c>
      <c r="I337" s="332" t="s">
        <v>42</v>
      </c>
      <c r="J337" s="331">
        <v>3543</v>
      </c>
      <c r="K337" s="326">
        <v>7928</v>
      </c>
      <c r="L337" s="326">
        <v>4275</v>
      </c>
      <c r="M337" s="326" t="s">
        <v>31</v>
      </c>
      <c r="N337" s="342">
        <v>8.1999999999999993</v>
      </c>
      <c r="O337" s="337">
        <f>IF(N337&gt;0,1/N337*37.7*68.6,"")</f>
        <v>315.39268292682931</v>
      </c>
      <c r="P337" s="328">
        <v>7.24</v>
      </c>
      <c r="Q337" s="327" t="s">
        <v>43</v>
      </c>
      <c r="R337" s="326" t="s">
        <v>33</v>
      </c>
      <c r="S337" s="326" t="s">
        <v>34</v>
      </c>
      <c r="T337" s="326"/>
      <c r="U337" s="325"/>
      <c r="V337" s="324">
        <f>IF(N337&lt;&gt;0, IF(N337&gt;=P337,ROUNDDOWN(N337/P337*100,0),""),"")</f>
        <v>113</v>
      </c>
      <c r="W337" s="311"/>
      <c r="X337" s="320"/>
      <c r="Y337" s="320"/>
      <c r="Z337" s="320"/>
      <c r="AA337" s="320"/>
      <c r="AB337" s="320"/>
      <c r="AC337" s="320"/>
      <c r="AD337" s="320"/>
      <c r="AE337" s="320"/>
      <c r="AF337" s="320"/>
      <c r="AG337" s="320"/>
      <c r="AH337" s="320"/>
      <c r="AI337" s="320"/>
      <c r="AJ337" s="320"/>
      <c r="AK337" s="320"/>
      <c r="AL337" s="320"/>
      <c r="AM337" s="320"/>
      <c r="AN337" s="320"/>
      <c r="AO337" s="320"/>
      <c r="AP337" s="320"/>
      <c r="AQ337" s="320"/>
    </row>
    <row r="338" spans="1:115" s="322" customFormat="1" ht="21" customHeight="1">
      <c r="A338" s="341"/>
      <c r="B338" s="340"/>
      <c r="C338" s="339"/>
      <c r="D338" s="333" t="s">
        <v>1103</v>
      </c>
      <c r="E338" s="326" t="s">
        <v>41</v>
      </c>
      <c r="F338" s="331">
        <v>2.9990000000000001</v>
      </c>
      <c r="G338" s="332">
        <v>375</v>
      </c>
      <c r="H338" s="331" t="s">
        <v>466</v>
      </c>
      <c r="I338" s="332" t="s">
        <v>42</v>
      </c>
      <c r="J338" s="331">
        <v>3543</v>
      </c>
      <c r="K338" s="326">
        <v>7928</v>
      </c>
      <c r="L338" s="326">
        <v>4275</v>
      </c>
      <c r="M338" s="326" t="s">
        <v>31</v>
      </c>
      <c r="N338" s="342">
        <v>8.1</v>
      </c>
      <c r="O338" s="337">
        <f>IF(N338&gt;0,1/N338*37.7*68.6,"")</f>
        <v>319.28641975308642</v>
      </c>
      <c r="P338" s="328">
        <v>7.24</v>
      </c>
      <c r="Q338" s="327" t="s">
        <v>63</v>
      </c>
      <c r="R338" s="326" t="s">
        <v>33</v>
      </c>
      <c r="S338" s="326" t="s">
        <v>34</v>
      </c>
      <c r="T338" s="326"/>
      <c r="U338" s="325"/>
      <c r="V338" s="324">
        <f>IF(N338&lt;&gt;0, IF(N338&gt;=P338,ROUNDDOWN(N338/P338*100,0),""),"")</f>
        <v>111</v>
      </c>
      <c r="W338" s="311"/>
      <c r="X338" s="320"/>
      <c r="Y338" s="320"/>
      <c r="Z338" s="320"/>
      <c r="AA338" s="320"/>
      <c r="AB338" s="320"/>
      <c r="AC338" s="320"/>
      <c r="AD338" s="320"/>
      <c r="AE338" s="320"/>
      <c r="AF338" s="320"/>
      <c r="AG338" s="320"/>
      <c r="AH338" s="320"/>
      <c r="AI338" s="320"/>
      <c r="AJ338" s="320"/>
      <c r="AK338" s="320"/>
      <c r="AL338" s="320"/>
      <c r="AM338" s="320"/>
      <c r="AN338" s="320"/>
      <c r="AO338" s="320"/>
      <c r="AP338" s="320"/>
      <c r="AQ338" s="320"/>
    </row>
    <row r="339" spans="1:115" s="322" customFormat="1" ht="21" customHeight="1">
      <c r="A339" s="341"/>
      <c r="B339" s="340"/>
      <c r="C339" s="339"/>
      <c r="D339" s="333" t="s">
        <v>1103</v>
      </c>
      <c r="E339" s="326" t="s">
        <v>41</v>
      </c>
      <c r="F339" s="331">
        <v>2.9990000000000001</v>
      </c>
      <c r="G339" s="332">
        <v>375</v>
      </c>
      <c r="H339" s="331" t="s">
        <v>466</v>
      </c>
      <c r="I339" s="332" t="s">
        <v>71</v>
      </c>
      <c r="J339" s="331">
        <v>3543</v>
      </c>
      <c r="K339" s="326">
        <v>7928</v>
      </c>
      <c r="L339" s="326">
        <v>4275</v>
      </c>
      <c r="M339" s="326" t="s">
        <v>31</v>
      </c>
      <c r="N339" s="342">
        <v>8</v>
      </c>
      <c r="O339" s="337">
        <f>IF(N339&gt;0,1/N339*37.7*68.6,"")</f>
        <v>323.27749999999997</v>
      </c>
      <c r="P339" s="328">
        <v>7.24</v>
      </c>
      <c r="Q339" s="327" t="s">
        <v>43</v>
      </c>
      <c r="R339" s="326" t="s">
        <v>33</v>
      </c>
      <c r="S339" s="326" t="s">
        <v>34</v>
      </c>
      <c r="T339" s="326"/>
      <c r="U339" s="325"/>
      <c r="V339" s="324">
        <f>IF(N339&lt;&gt;0, IF(N339&gt;=P339,ROUNDDOWN(N339/P339*100,0),""),"")</f>
        <v>110</v>
      </c>
      <c r="W339" s="311"/>
      <c r="X339" s="320"/>
      <c r="Y339" s="320"/>
      <c r="Z339" s="320"/>
      <c r="AA339" s="320"/>
      <c r="AB339" s="320"/>
      <c r="AC339" s="320"/>
      <c r="AD339" s="320"/>
      <c r="AE339" s="320"/>
      <c r="AF339" s="320"/>
      <c r="AG339" s="320"/>
      <c r="AH339" s="320"/>
      <c r="AI339" s="320"/>
      <c r="AJ339" s="320"/>
      <c r="AK339" s="320"/>
      <c r="AL339" s="320"/>
      <c r="AM339" s="320"/>
      <c r="AN339" s="320"/>
      <c r="AO339" s="320"/>
      <c r="AP339" s="320"/>
      <c r="AQ339" s="320"/>
    </row>
    <row r="340" spans="1:115" s="322" customFormat="1" ht="21" customHeight="1">
      <c r="A340" s="341"/>
      <c r="B340" s="340"/>
      <c r="C340" s="343"/>
      <c r="D340" s="333" t="s">
        <v>1102</v>
      </c>
      <c r="E340" s="326" t="s">
        <v>41</v>
      </c>
      <c r="F340" s="331">
        <v>2.9990000000000001</v>
      </c>
      <c r="G340" s="332" t="s">
        <v>467</v>
      </c>
      <c r="H340" s="331" t="s">
        <v>466</v>
      </c>
      <c r="I340" s="332" t="s">
        <v>42</v>
      </c>
      <c r="J340" s="331">
        <v>3543</v>
      </c>
      <c r="K340" s="326">
        <v>7928</v>
      </c>
      <c r="L340" s="326">
        <v>4275</v>
      </c>
      <c r="M340" s="326" t="s">
        <v>31</v>
      </c>
      <c r="N340" s="342">
        <v>8.1999999999999993</v>
      </c>
      <c r="O340" s="337">
        <f>IF(N340&gt;0,1/N340*37.7*68.6,"")</f>
        <v>315.39268292682931</v>
      </c>
      <c r="P340" s="328">
        <v>7.24</v>
      </c>
      <c r="Q340" s="327" t="s">
        <v>43</v>
      </c>
      <c r="R340" s="326" t="s">
        <v>33</v>
      </c>
      <c r="S340" s="326" t="s">
        <v>34</v>
      </c>
      <c r="T340" s="326"/>
      <c r="U340" s="325"/>
      <c r="V340" s="324">
        <f>IF(N340&lt;&gt;0, IF(N340&gt;=P340,ROUNDDOWN(N340/P340*100,0),""),"")</f>
        <v>113</v>
      </c>
      <c r="W340" s="311"/>
      <c r="X340" s="320"/>
      <c r="Y340" s="320"/>
      <c r="Z340" s="320"/>
      <c r="AA340" s="320"/>
      <c r="AB340" s="320"/>
      <c r="AC340" s="320"/>
      <c r="AD340" s="320"/>
      <c r="AE340" s="320"/>
      <c r="AF340" s="320"/>
      <c r="AG340" s="320"/>
      <c r="AH340" s="320"/>
      <c r="AI340" s="320"/>
      <c r="AJ340" s="320"/>
      <c r="AK340" s="320"/>
      <c r="AL340" s="320"/>
      <c r="AM340" s="320"/>
      <c r="AN340" s="320"/>
      <c r="AO340" s="320"/>
      <c r="AP340" s="320"/>
      <c r="AQ340" s="320"/>
    </row>
    <row r="341" spans="1:115" s="322" customFormat="1" ht="21" customHeight="1">
      <c r="A341" s="341"/>
      <c r="B341" s="340"/>
      <c r="C341" s="339"/>
      <c r="D341" s="333" t="s">
        <v>1102</v>
      </c>
      <c r="E341" s="326" t="s">
        <v>41</v>
      </c>
      <c r="F341" s="331">
        <v>2.9990000000000001</v>
      </c>
      <c r="G341" s="332" t="s">
        <v>464</v>
      </c>
      <c r="H341" s="331" t="s">
        <v>463</v>
      </c>
      <c r="I341" s="332" t="s">
        <v>71</v>
      </c>
      <c r="J341" s="331">
        <v>3543</v>
      </c>
      <c r="K341" s="326">
        <v>7928</v>
      </c>
      <c r="L341" s="326">
        <v>4275</v>
      </c>
      <c r="M341" s="326" t="s">
        <v>31</v>
      </c>
      <c r="N341" s="342">
        <v>8.1</v>
      </c>
      <c r="O341" s="337">
        <f>IF(N341&gt;0,1/N341*37.7*68.6,"")</f>
        <v>319.28641975308642</v>
      </c>
      <c r="P341" s="328">
        <v>7.24</v>
      </c>
      <c r="Q341" s="327" t="s">
        <v>43</v>
      </c>
      <c r="R341" s="326" t="s">
        <v>33</v>
      </c>
      <c r="S341" s="326" t="s">
        <v>34</v>
      </c>
      <c r="T341" s="326"/>
      <c r="U341" s="325"/>
      <c r="V341" s="324">
        <f>IF(N341&lt;&gt;0, IF(N341&gt;=P341,ROUNDDOWN(N341/P341*100,0),""),"")</f>
        <v>111</v>
      </c>
      <c r="W341" s="311"/>
      <c r="X341" s="320"/>
      <c r="Y341" s="320"/>
      <c r="Z341" s="320"/>
      <c r="AA341" s="320"/>
      <c r="AB341" s="320"/>
      <c r="AC341" s="320"/>
      <c r="AD341" s="320"/>
      <c r="AE341" s="320"/>
      <c r="AF341" s="320"/>
      <c r="AG341" s="320"/>
      <c r="AH341" s="320"/>
      <c r="AI341" s="320"/>
      <c r="AJ341" s="320"/>
      <c r="AK341" s="320"/>
      <c r="AL341" s="320"/>
      <c r="AM341" s="320"/>
      <c r="AN341" s="320"/>
      <c r="AO341" s="320"/>
      <c r="AP341" s="320"/>
      <c r="AQ341" s="320"/>
    </row>
    <row r="342" spans="1:115" s="322" customFormat="1" ht="21" customHeight="1">
      <c r="A342" s="341"/>
      <c r="B342" s="340"/>
      <c r="C342" s="339"/>
      <c r="D342" s="333" t="s">
        <v>1102</v>
      </c>
      <c r="E342" s="326" t="s">
        <v>41</v>
      </c>
      <c r="F342" s="331">
        <v>2.9990000000000001</v>
      </c>
      <c r="G342" s="332" t="s">
        <v>464</v>
      </c>
      <c r="H342" s="331" t="s">
        <v>463</v>
      </c>
      <c r="I342" s="332" t="s">
        <v>42</v>
      </c>
      <c r="J342" s="331">
        <v>3543</v>
      </c>
      <c r="K342" s="326">
        <v>7928</v>
      </c>
      <c r="L342" s="326">
        <v>4275</v>
      </c>
      <c r="M342" s="326" t="s">
        <v>31</v>
      </c>
      <c r="N342" s="342">
        <v>8.1</v>
      </c>
      <c r="O342" s="337">
        <f>IF(N342&gt;0,1/N342*37.7*68.6,"")</f>
        <v>319.28641975308642</v>
      </c>
      <c r="P342" s="328">
        <v>7.24</v>
      </c>
      <c r="Q342" s="327" t="s">
        <v>43</v>
      </c>
      <c r="R342" s="326" t="s">
        <v>33</v>
      </c>
      <c r="S342" s="326" t="s">
        <v>34</v>
      </c>
      <c r="T342" s="326"/>
      <c r="U342" s="325"/>
      <c r="V342" s="324">
        <f>IF(N342&lt;&gt;0, IF(N342&gt;=P342,ROUNDDOWN(N342/P342*100,0),""),"")</f>
        <v>111</v>
      </c>
      <c r="W342" s="311"/>
      <c r="X342" s="320"/>
      <c r="Y342" s="320"/>
      <c r="Z342" s="320"/>
      <c r="AA342" s="320"/>
      <c r="AB342" s="320"/>
      <c r="AC342" s="320"/>
      <c r="AD342" s="320"/>
      <c r="AE342" s="320"/>
      <c r="AF342" s="320"/>
      <c r="AG342" s="320"/>
      <c r="AH342" s="320"/>
      <c r="AI342" s="320"/>
      <c r="AJ342" s="320"/>
      <c r="AK342" s="320"/>
      <c r="AL342" s="320"/>
      <c r="AM342" s="320"/>
      <c r="AN342" s="320"/>
      <c r="AO342" s="320"/>
      <c r="AP342" s="320"/>
      <c r="AQ342" s="320"/>
    </row>
    <row r="343" spans="1:115" s="322" customFormat="1" ht="21" customHeight="1">
      <c r="A343" s="341"/>
      <c r="B343" s="340"/>
      <c r="C343" s="339"/>
      <c r="D343" s="333" t="s">
        <v>1102</v>
      </c>
      <c r="E343" s="326" t="s">
        <v>41</v>
      </c>
      <c r="F343" s="331">
        <v>2.9990000000000001</v>
      </c>
      <c r="G343" s="332" t="s">
        <v>467</v>
      </c>
      <c r="H343" s="331" t="s">
        <v>466</v>
      </c>
      <c r="I343" s="332" t="s">
        <v>42</v>
      </c>
      <c r="J343" s="331">
        <v>3543</v>
      </c>
      <c r="K343" s="326">
        <v>7928</v>
      </c>
      <c r="L343" s="326">
        <v>4275</v>
      </c>
      <c r="M343" s="326" t="s">
        <v>31</v>
      </c>
      <c r="N343" s="342">
        <v>8.1</v>
      </c>
      <c r="O343" s="337">
        <f>IF(N343&gt;0,1/N343*37.7*68.6,"")</f>
        <v>319.28641975308642</v>
      </c>
      <c r="P343" s="328">
        <v>7.24</v>
      </c>
      <c r="Q343" s="327" t="s">
        <v>63</v>
      </c>
      <c r="R343" s="326" t="s">
        <v>33</v>
      </c>
      <c r="S343" s="326" t="s">
        <v>34</v>
      </c>
      <c r="T343" s="326"/>
      <c r="U343" s="325"/>
      <c r="V343" s="324">
        <f>IF(N343&lt;&gt;0, IF(N343&gt;=P343,ROUNDDOWN(N343/P343*100,0),""),"")</f>
        <v>111</v>
      </c>
      <c r="W343" s="311"/>
      <c r="X343" s="320"/>
      <c r="Y343" s="320"/>
      <c r="Z343" s="320"/>
      <c r="AA343" s="320"/>
      <c r="AB343" s="320"/>
      <c r="AC343" s="320"/>
      <c r="AD343" s="320"/>
      <c r="AE343" s="320"/>
      <c r="AF343" s="320"/>
      <c r="AG343" s="320"/>
      <c r="AH343" s="320"/>
      <c r="AI343" s="320"/>
      <c r="AJ343" s="320"/>
      <c r="AK343" s="320"/>
      <c r="AL343" s="320"/>
      <c r="AM343" s="320"/>
      <c r="AN343" s="320"/>
      <c r="AO343" s="320"/>
      <c r="AP343" s="320"/>
      <c r="AQ343" s="320"/>
    </row>
    <row r="344" spans="1:115" s="322" customFormat="1" ht="21" customHeight="1">
      <c r="A344" s="341"/>
      <c r="B344" s="340"/>
      <c r="C344" s="339"/>
      <c r="D344" s="333" t="s">
        <v>1102</v>
      </c>
      <c r="E344" s="326" t="s">
        <v>41</v>
      </c>
      <c r="F344" s="331">
        <v>2.9990000000000001</v>
      </c>
      <c r="G344" s="332" t="s">
        <v>467</v>
      </c>
      <c r="H344" s="331" t="s">
        <v>466</v>
      </c>
      <c r="I344" s="332" t="s">
        <v>71</v>
      </c>
      <c r="J344" s="331">
        <v>3543</v>
      </c>
      <c r="K344" s="326">
        <v>7928</v>
      </c>
      <c r="L344" s="326">
        <v>4275</v>
      </c>
      <c r="M344" s="326" t="s">
        <v>31</v>
      </c>
      <c r="N344" s="342">
        <v>8</v>
      </c>
      <c r="O344" s="337">
        <f>IF(N344&gt;0,1/N344*37.7*68.6,"")</f>
        <v>323.27749999999997</v>
      </c>
      <c r="P344" s="328">
        <v>7.24</v>
      </c>
      <c r="Q344" s="327" t="s">
        <v>43</v>
      </c>
      <c r="R344" s="326" t="s">
        <v>33</v>
      </c>
      <c r="S344" s="326" t="s">
        <v>34</v>
      </c>
      <c r="T344" s="326"/>
      <c r="U344" s="325"/>
      <c r="V344" s="324">
        <f>IF(N344&lt;&gt;0, IF(N344&gt;=P344,ROUNDDOWN(N344/P344*100,0),""),"")</f>
        <v>110</v>
      </c>
      <c r="W344" s="311"/>
      <c r="X344" s="320"/>
      <c r="Y344" s="320"/>
      <c r="Z344" s="320"/>
      <c r="AA344" s="320"/>
      <c r="AB344" s="320"/>
      <c r="AC344" s="320"/>
      <c r="AD344" s="320"/>
      <c r="AE344" s="320"/>
      <c r="AF344" s="320"/>
      <c r="AG344" s="320"/>
      <c r="AH344" s="320"/>
      <c r="AI344" s="320"/>
      <c r="AJ344" s="320"/>
      <c r="AK344" s="320"/>
      <c r="AL344" s="320"/>
      <c r="AM344" s="320"/>
      <c r="AN344" s="320"/>
      <c r="AO344" s="320"/>
      <c r="AP344" s="320"/>
      <c r="AQ344" s="320"/>
    </row>
    <row r="345" spans="1:115" s="322" customFormat="1" ht="21" customHeight="1">
      <c r="A345" s="341"/>
      <c r="B345" s="340"/>
      <c r="C345" s="339"/>
      <c r="D345" s="333" t="s">
        <v>1102</v>
      </c>
      <c r="E345" s="326" t="s">
        <v>41</v>
      </c>
      <c r="F345" s="331">
        <v>2.9990000000000001</v>
      </c>
      <c r="G345" s="332" t="s">
        <v>464</v>
      </c>
      <c r="H345" s="331" t="s">
        <v>463</v>
      </c>
      <c r="I345" s="332" t="s">
        <v>71</v>
      </c>
      <c r="J345" s="331">
        <v>3543</v>
      </c>
      <c r="K345" s="326">
        <v>7928</v>
      </c>
      <c r="L345" s="326">
        <v>4275</v>
      </c>
      <c r="M345" s="326" t="s">
        <v>31</v>
      </c>
      <c r="N345" s="342">
        <v>8</v>
      </c>
      <c r="O345" s="337">
        <f>IF(N345&gt;0,1/N345*37.7*68.6,"")</f>
        <v>323.27749999999997</v>
      </c>
      <c r="P345" s="328">
        <v>7.24</v>
      </c>
      <c r="Q345" s="327" t="s">
        <v>63</v>
      </c>
      <c r="R345" s="326" t="s">
        <v>33</v>
      </c>
      <c r="S345" s="326" t="s">
        <v>34</v>
      </c>
      <c r="T345" s="326"/>
      <c r="U345" s="325"/>
      <c r="V345" s="324">
        <f>IF(N345&lt;&gt;0, IF(N345&gt;=P345,ROUNDDOWN(N345/P345*100,0),""),"")</f>
        <v>110</v>
      </c>
      <c r="W345" s="311"/>
      <c r="X345" s="320"/>
      <c r="Y345" s="320"/>
      <c r="Z345" s="320"/>
      <c r="AA345" s="320"/>
      <c r="AB345" s="320"/>
      <c r="AC345" s="320"/>
      <c r="AD345" s="320"/>
      <c r="AE345" s="320"/>
      <c r="AF345" s="320"/>
      <c r="AG345" s="320"/>
      <c r="AH345" s="320"/>
      <c r="AI345" s="320"/>
      <c r="AJ345" s="320"/>
      <c r="AK345" s="320"/>
      <c r="AL345" s="320"/>
      <c r="AM345" s="320"/>
      <c r="AN345" s="320"/>
      <c r="AO345" s="320"/>
      <c r="AP345" s="320"/>
      <c r="AQ345" s="320"/>
    </row>
    <row r="346" spans="1:115" s="322" customFormat="1" ht="21" customHeight="1">
      <c r="A346" s="341"/>
      <c r="B346" s="340"/>
      <c r="C346" s="339"/>
      <c r="D346" s="333" t="s">
        <v>1101</v>
      </c>
      <c r="E346" s="326" t="s">
        <v>41</v>
      </c>
      <c r="F346" s="331">
        <v>2.9990000000000001</v>
      </c>
      <c r="G346" s="332" t="s">
        <v>467</v>
      </c>
      <c r="H346" s="331" t="s">
        <v>466</v>
      </c>
      <c r="I346" s="332" t="s">
        <v>42</v>
      </c>
      <c r="J346" s="331">
        <v>3543</v>
      </c>
      <c r="K346" s="326">
        <v>7928</v>
      </c>
      <c r="L346" s="326">
        <v>4275</v>
      </c>
      <c r="M346" s="326" t="s">
        <v>31</v>
      </c>
      <c r="N346" s="342">
        <v>8.1999999999999993</v>
      </c>
      <c r="O346" s="337">
        <f>IF(N346&gt;0,1/N346*37.7*68.6,"")</f>
        <v>315.39268292682931</v>
      </c>
      <c r="P346" s="328">
        <v>7.24</v>
      </c>
      <c r="Q346" s="327" t="s">
        <v>43</v>
      </c>
      <c r="R346" s="326" t="s">
        <v>33</v>
      </c>
      <c r="S346" s="326" t="s">
        <v>34</v>
      </c>
      <c r="T346" s="326"/>
      <c r="U346" s="325"/>
      <c r="V346" s="324">
        <f>IF(N346&lt;&gt;0, IF(N346&gt;=P346,ROUNDDOWN(N346/P346*100,0),""),"")</f>
        <v>113</v>
      </c>
      <c r="W346" s="311"/>
      <c r="X346" s="320"/>
      <c r="Y346" s="320"/>
      <c r="Z346" s="320"/>
      <c r="AA346" s="320"/>
      <c r="AB346" s="320"/>
      <c r="AC346" s="320"/>
      <c r="AD346" s="320"/>
      <c r="AE346" s="320"/>
      <c r="AF346" s="320"/>
      <c r="AG346" s="320"/>
      <c r="AH346" s="320"/>
      <c r="AI346" s="320"/>
      <c r="AJ346" s="320"/>
      <c r="AK346" s="320"/>
      <c r="AL346" s="320"/>
      <c r="AM346" s="320"/>
      <c r="AN346" s="320"/>
      <c r="AO346" s="320"/>
      <c r="AP346" s="320"/>
      <c r="AQ346" s="320"/>
    </row>
    <row r="347" spans="1:115" s="322" customFormat="1" ht="21" customHeight="1">
      <c r="A347" s="341"/>
      <c r="B347" s="340"/>
      <c r="C347" s="339"/>
      <c r="D347" s="333" t="s">
        <v>1101</v>
      </c>
      <c r="E347" s="326" t="s">
        <v>41</v>
      </c>
      <c r="F347" s="331">
        <v>2.9990000000000001</v>
      </c>
      <c r="G347" s="332" t="s">
        <v>464</v>
      </c>
      <c r="H347" s="331" t="s">
        <v>463</v>
      </c>
      <c r="I347" s="332" t="s">
        <v>71</v>
      </c>
      <c r="J347" s="331">
        <v>3543</v>
      </c>
      <c r="K347" s="326">
        <v>7928</v>
      </c>
      <c r="L347" s="326">
        <v>4275</v>
      </c>
      <c r="M347" s="326" t="s">
        <v>31</v>
      </c>
      <c r="N347" s="342">
        <v>8.1</v>
      </c>
      <c r="O347" s="337">
        <f>IF(N347&gt;0,1/N347*37.7*68.6,"")</f>
        <v>319.28641975308642</v>
      </c>
      <c r="P347" s="328">
        <v>7.24</v>
      </c>
      <c r="Q347" s="327" t="s">
        <v>43</v>
      </c>
      <c r="R347" s="326" t="s">
        <v>33</v>
      </c>
      <c r="S347" s="326" t="s">
        <v>34</v>
      </c>
      <c r="T347" s="326"/>
      <c r="U347" s="325"/>
      <c r="V347" s="324">
        <f>IF(N347&lt;&gt;0, IF(N347&gt;=P347,ROUNDDOWN(N347/P347*100,0),""),"")</f>
        <v>111</v>
      </c>
      <c r="W347" s="311"/>
      <c r="X347" s="320"/>
      <c r="Y347" s="320"/>
      <c r="Z347" s="320"/>
      <c r="AA347" s="320"/>
      <c r="AB347" s="320"/>
      <c r="AC347" s="320"/>
      <c r="AD347" s="320"/>
      <c r="AE347" s="320"/>
      <c r="AF347" s="320"/>
      <c r="AG347" s="320"/>
      <c r="AH347" s="320"/>
      <c r="AI347" s="320"/>
      <c r="AJ347" s="320"/>
      <c r="AK347" s="320"/>
      <c r="AL347" s="320"/>
      <c r="AM347" s="320"/>
      <c r="AN347" s="320"/>
      <c r="AO347" s="320"/>
      <c r="AP347" s="320"/>
      <c r="AQ347" s="320"/>
    </row>
    <row r="348" spans="1:115" s="322" customFormat="1" ht="21" customHeight="1">
      <c r="A348" s="341"/>
      <c r="B348" s="340"/>
      <c r="C348" s="339"/>
      <c r="D348" s="333" t="s">
        <v>1101</v>
      </c>
      <c r="E348" s="326" t="s">
        <v>41</v>
      </c>
      <c r="F348" s="331">
        <v>2.9990000000000001</v>
      </c>
      <c r="G348" s="332" t="s">
        <v>464</v>
      </c>
      <c r="H348" s="331" t="s">
        <v>463</v>
      </c>
      <c r="I348" s="332" t="s">
        <v>42</v>
      </c>
      <c r="J348" s="331">
        <v>3543</v>
      </c>
      <c r="K348" s="326">
        <v>7928</v>
      </c>
      <c r="L348" s="326">
        <v>4275</v>
      </c>
      <c r="M348" s="326" t="s">
        <v>31</v>
      </c>
      <c r="N348" s="342">
        <v>8.1</v>
      </c>
      <c r="O348" s="337">
        <f>IF(N348&gt;0,1/N348*37.7*68.6,"")</f>
        <v>319.28641975308642</v>
      </c>
      <c r="P348" s="328">
        <v>7.24</v>
      </c>
      <c r="Q348" s="327" t="s">
        <v>43</v>
      </c>
      <c r="R348" s="326" t="s">
        <v>33</v>
      </c>
      <c r="S348" s="326" t="s">
        <v>34</v>
      </c>
      <c r="T348" s="326"/>
      <c r="U348" s="325"/>
      <c r="V348" s="324">
        <f>IF(N348&lt;&gt;0, IF(N348&gt;=P348,ROUNDDOWN(N348/P348*100,0),""),"")</f>
        <v>111</v>
      </c>
      <c r="W348" s="311"/>
      <c r="X348" s="320"/>
      <c r="Y348" s="320"/>
      <c r="Z348" s="320"/>
      <c r="AA348" s="320"/>
      <c r="AB348" s="320"/>
      <c r="AC348" s="320"/>
      <c r="AD348" s="320"/>
      <c r="AE348" s="320"/>
      <c r="AF348" s="320"/>
      <c r="AG348" s="320"/>
      <c r="AH348" s="320"/>
      <c r="AI348" s="320"/>
      <c r="AJ348" s="320"/>
      <c r="AK348" s="320"/>
      <c r="AL348" s="320"/>
      <c r="AM348" s="320"/>
      <c r="AN348" s="320"/>
      <c r="AO348" s="320"/>
      <c r="AP348" s="320"/>
      <c r="AQ348" s="320"/>
    </row>
    <row r="349" spans="1:115" s="322" customFormat="1" ht="21" customHeight="1">
      <c r="A349" s="341"/>
      <c r="B349" s="340"/>
      <c r="C349" s="339"/>
      <c r="D349" s="333" t="s">
        <v>1101</v>
      </c>
      <c r="E349" s="326" t="s">
        <v>41</v>
      </c>
      <c r="F349" s="331">
        <v>2.9990000000000001</v>
      </c>
      <c r="G349" s="332" t="s">
        <v>467</v>
      </c>
      <c r="H349" s="331" t="s">
        <v>466</v>
      </c>
      <c r="I349" s="332" t="s">
        <v>42</v>
      </c>
      <c r="J349" s="331">
        <v>3543</v>
      </c>
      <c r="K349" s="326">
        <v>7928</v>
      </c>
      <c r="L349" s="326">
        <v>4275</v>
      </c>
      <c r="M349" s="326" t="s">
        <v>31</v>
      </c>
      <c r="N349" s="342">
        <v>8.1</v>
      </c>
      <c r="O349" s="337">
        <f>IF(N349&gt;0,1/N349*37.7*68.6,"")</f>
        <v>319.28641975308642</v>
      </c>
      <c r="P349" s="328">
        <v>7.24</v>
      </c>
      <c r="Q349" s="327" t="s">
        <v>63</v>
      </c>
      <c r="R349" s="326" t="s">
        <v>33</v>
      </c>
      <c r="S349" s="326" t="s">
        <v>34</v>
      </c>
      <c r="T349" s="326"/>
      <c r="U349" s="325"/>
      <c r="V349" s="324">
        <f>IF(N349&lt;&gt;0, IF(N349&gt;=P349,ROUNDDOWN(N349/P349*100,0),""),"")</f>
        <v>111</v>
      </c>
      <c r="W349" s="311"/>
      <c r="X349" s="320"/>
      <c r="Y349" s="320"/>
      <c r="Z349" s="320"/>
      <c r="AA349" s="320"/>
      <c r="AB349" s="320"/>
      <c r="AC349" s="320"/>
      <c r="AD349" s="320"/>
      <c r="AE349" s="320"/>
      <c r="AF349" s="320"/>
      <c r="AG349" s="320"/>
      <c r="AH349" s="320"/>
      <c r="AI349" s="320"/>
      <c r="AJ349" s="320"/>
      <c r="AK349" s="320"/>
      <c r="AL349" s="320"/>
      <c r="AM349" s="320"/>
      <c r="AN349" s="320"/>
      <c r="AO349" s="320"/>
      <c r="AP349" s="320"/>
      <c r="AQ349" s="320"/>
    </row>
    <row r="350" spans="1:115" s="322" customFormat="1" ht="21" customHeight="1">
      <c r="A350" s="341"/>
      <c r="B350" s="340"/>
      <c r="C350" s="339"/>
      <c r="D350" s="333" t="s">
        <v>1101</v>
      </c>
      <c r="E350" s="326" t="s">
        <v>41</v>
      </c>
      <c r="F350" s="331">
        <v>2.9990000000000001</v>
      </c>
      <c r="G350" s="332" t="s">
        <v>467</v>
      </c>
      <c r="H350" s="331" t="s">
        <v>466</v>
      </c>
      <c r="I350" s="332" t="s">
        <v>71</v>
      </c>
      <c r="J350" s="331">
        <v>3543</v>
      </c>
      <c r="K350" s="326">
        <v>7928</v>
      </c>
      <c r="L350" s="326">
        <v>4275</v>
      </c>
      <c r="M350" s="326" t="s">
        <v>31</v>
      </c>
      <c r="N350" s="342">
        <v>8</v>
      </c>
      <c r="O350" s="337">
        <f>IF(N350&gt;0,1/N350*37.7*68.6,"")</f>
        <v>323.27749999999997</v>
      </c>
      <c r="P350" s="328">
        <v>7.24</v>
      </c>
      <c r="Q350" s="327" t="s">
        <v>43</v>
      </c>
      <c r="R350" s="326" t="s">
        <v>33</v>
      </c>
      <c r="S350" s="326" t="s">
        <v>34</v>
      </c>
      <c r="T350" s="326"/>
      <c r="U350" s="325"/>
      <c r="V350" s="324">
        <f>IF(N350&lt;&gt;0, IF(N350&gt;=P350,ROUNDDOWN(N350/P350*100,0),""),"")</f>
        <v>110</v>
      </c>
      <c r="W350" s="311"/>
      <c r="X350" s="320"/>
      <c r="Y350" s="320"/>
      <c r="Z350" s="320"/>
      <c r="AA350" s="320"/>
      <c r="AB350" s="320"/>
      <c r="AC350" s="320"/>
      <c r="AD350" s="320"/>
      <c r="AE350" s="320"/>
      <c r="AF350" s="320"/>
      <c r="AG350" s="320"/>
      <c r="AH350" s="320"/>
      <c r="AI350" s="320"/>
      <c r="AJ350" s="320"/>
      <c r="AK350" s="320"/>
      <c r="AL350" s="320"/>
      <c r="AM350" s="320"/>
      <c r="AN350" s="320"/>
      <c r="AO350" s="320"/>
      <c r="AP350" s="320"/>
      <c r="AQ350" s="320"/>
    </row>
    <row r="351" spans="1:115" s="322" customFormat="1" ht="21" customHeight="1">
      <c r="A351" s="341"/>
      <c r="B351" s="340"/>
      <c r="C351" s="339"/>
      <c r="D351" s="333" t="s">
        <v>1101</v>
      </c>
      <c r="E351" s="326" t="s">
        <v>41</v>
      </c>
      <c r="F351" s="331">
        <v>2.9990000000000001</v>
      </c>
      <c r="G351" s="332" t="s">
        <v>464</v>
      </c>
      <c r="H351" s="331" t="s">
        <v>463</v>
      </c>
      <c r="I351" s="332" t="s">
        <v>71</v>
      </c>
      <c r="J351" s="331">
        <v>3543</v>
      </c>
      <c r="K351" s="326">
        <v>7928</v>
      </c>
      <c r="L351" s="326">
        <v>4275</v>
      </c>
      <c r="M351" s="326" t="s">
        <v>31</v>
      </c>
      <c r="N351" s="342">
        <v>8</v>
      </c>
      <c r="O351" s="337">
        <f>IF(N351&gt;0,1/N351*37.7*68.6,"")</f>
        <v>323.27749999999997</v>
      </c>
      <c r="P351" s="328">
        <v>7.24</v>
      </c>
      <c r="Q351" s="327" t="s">
        <v>63</v>
      </c>
      <c r="R351" s="326" t="s">
        <v>33</v>
      </c>
      <c r="S351" s="326" t="s">
        <v>34</v>
      </c>
      <c r="T351" s="326"/>
      <c r="U351" s="325"/>
      <c r="V351" s="324">
        <f>IF(N351&lt;&gt;0, IF(N351&gt;=P351,ROUNDDOWN(N351/P351*100,0),""),"")</f>
        <v>110</v>
      </c>
      <c r="W351" s="311"/>
      <c r="X351" s="320"/>
      <c r="Y351" s="320"/>
      <c r="Z351" s="320"/>
      <c r="AA351" s="320"/>
      <c r="AB351" s="320"/>
      <c r="AC351" s="320"/>
      <c r="AD351" s="320"/>
      <c r="AE351" s="320"/>
      <c r="AF351" s="320"/>
      <c r="AG351" s="320"/>
      <c r="AH351" s="320"/>
      <c r="AI351" s="320"/>
      <c r="AJ351" s="320"/>
      <c r="AK351" s="320"/>
      <c r="AL351" s="320"/>
      <c r="AM351" s="320"/>
      <c r="AN351" s="320"/>
      <c r="AO351" s="320"/>
      <c r="AP351" s="320"/>
      <c r="AQ351" s="320"/>
    </row>
    <row r="352" spans="1:115" s="322" customFormat="1" ht="21" customHeight="1">
      <c r="A352" s="341"/>
      <c r="B352" s="340"/>
      <c r="C352" s="339"/>
      <c r="D352" s="333" t="s">
        <v>1100</v>
      </c>
      <c r="E352" s="326" t="s">
        <v>41</v>
      </c>
      <c r="F352" s="331">
        <v>2.9990000000000001</v>
      </c>
      <c r="G352" s="332">
        <v>430</v>
      </c>
      <c r="H352" s="331">
        <v>129</v>
      </c>
      <c r="I352" s="332" t="s">
        <v>71</v>
      </c>
      <c r="J352" s="331">
        <v>3543</v>
      </c>
      <c r="K352" s="326">
        <v>7928</v>
      </c>
      <c r="L352" s="326">
        <v>4275</v>
      </c>
      <c r="M352" s="326" t="s">
        <v>31</v>
      </c>
      <c r="N352" s="342">
        <v>8.1999999999999993</v>
      </c>
      <c r="O352" s="337">
        <f>IF(N352&gt;0,1/N352*37.7*68.6,"")</f>
        <v>315.39268292682931</v>
      </c>
      <c r="P352" s="328">
        <v>7.24</v>
      </c>
      <c r="Q352" s="327" t="s">
        <v>43</v>
      </c>
      <c r="R352" s="326" t="s">
        <v>33</v>
      </c>
      <c r="S352" s="326" t="s">
        <v>34</v>
      </c>
      <c r="T352" s="326"/>
      <c r="U352" s="325"/>
      <c r="V352" s="324">
        <f>IF(N352&lt;&gt;0, IF(N352&gt;=P352,ROUNDDOWN(N352/P352*100,0),""),"")</f>
        <v>113</v>
      </c>
      <c r="W352" s="311"/>
      <c r="X352" s="323"/>
      <c r="Y352" s="311"/>
      <c r="Z352" s="320"/>
      <c r="AA352" s="320"/>
      <c r="AB352" s="320"/>
      <c r="AC352" s="320"/>
      <c r="AD352" s="320"/>
      <c r="AE352" s="320"/>
      <c r="AF352" s="320"/>
      <c r="AG352" s="320"/>
      <c r="AH352" s="320"/>
      <c r="AI352" s="320"/>
      <c r="AJ352" s="320"/>
      <c r="AK352" s="320"/>
      <c r="AL352" s="320"/>
      <c r="AM352" s="320"/>
      <c r="AN352" s="320"/>
      <c r="AO352" s="320"/>
      <c r="AP352" s="320"/>
      <c r="AQ352" s="320"/>
      <c r="AR352" s="320"/>
      <c r="AS352" s="320"/>
      <c r="AT352" s="320"/>
      <c r="AU352" s="320"/>
      <c r="AV352" s="320"/>
      <c r="AW352" s="320"/>
      <c r="AX352" s="320"/>
      <c r="AY352" s="320"/>
      <c r="AZ352" s="320"/>
      <c r="BA352" s="320"/>
      <c r="BB352" s="320"/>
      <c r="BC352" s="320"/>
      <c r="BD352" s="320"/>
      <c r="BE352" s="320"/>
      <c r="BF352" s="320"/>
      <c r="BG352" s="320"/>
      <c r="BH352" s="320"/>
      <c r="BI352" s="320"/>
      <c r="BJ352" s="320"/>
      <c r="BK352" s="320"/>
      <c r="BL352" s="320"/>
      <c r="BM352" s="320"/>
      <c r="BN352" s="320"/>
      <c r="BO352" s="320"/>
      <c r="BP352" s="320"/>
      <c r="BQ352" s="320"/>
      <c r="BR352" s="320"/>
      <c r="BS352" s="320"/>
      <c r="BT352" s="320"/>
      <c r="BU352" s="320"/>
      <c r="BV352" s="320"/>
      <c r="BW352" s="320"/>
      <c r="BX352" s="320"/>
      <c r="BY352" s="320"/>
      <c r="BZ352" s="320"/>
      <c r="CA352" s="320"/>
      <c r="CB352" s="320"/>
      <c r="CC352" s="320"/>
      <c r="CD352" s="320"/>
      <c r="CE352" s="320"/>
      <c r="CF352" s="320"/>
      <c r="CG352" s="320"/>
      <c r="CH352" s="320"/>
      <c r="CI352" s="320"/>
      <c r="CJ352" s="320"/>
      <c r="CK352" s="320"/>
      <c r="CL352" s="320"/>
      <c r="CM352" s="320"/>
      <c r="CN352" s="320"/>
      <c r="CO352" s="320"/>
      <c r="CP352" s="320"/>
      <c r="CQ352" s="320"/>
      <c r="CR352" s="320"/>
      <c r="CS352" s="320"/>
      <c r="CT352" s="320"/>
      <c r="CU352" s="320"/>
      <c r="CV352" s="320"/>
      <c r="CW352" s="320"/>
      <c r="CX352" s="320"/>
      <c r="CY352" s="320"/>
      <c r="CZ352" s="320"/>
      <c r="DA352" s="320"/>
      <c r="DB352" s="320"/>
      <c r="DC352" s="320"/>
      <c r="DD352" s="320"/>
      <c r="DE352" s="320"/>
      <c r="DF352" s="320"/>
      <c r="DG352" s="320"/>
      <c r="DH352" s="320"/>
      <c r="DI352" s="320"/>
      <c r="DJ352" s="320"/>
      <c r="DK352" s="320"/>
    </row>
    <row r="353" spans="1:115" s="322" customFormat="1" ht="21" customHeight="1">
      <c r="A353" s="341"/>
      <c r="B353" s="340"/>
      <c r="C353" s="339"/>
      <c r="D353" s="333" t="s">
        <v>1100</v>
      </c>
      <c r="E353" s="326" t="s">
        <v>41</v>
      </c>
      <c r="F353" s="331">
        <v>2.9990000000000001</v>
      </c>
      <c r="G353" s="332">
        <v>375</v>
      </c>
      <c r="H353" s="331">
        <v>110</v>
      </c>
      <c r="I353" s="332" t="s">
        <v>71</v>
      </c>
      <c r="J353" s="331">
        <v>3543</v>
      </c>
      <c r="K353" s="326">
        <v>7928</v>
      </c>
      <c r="L353" s="326">
        <v>4275</v>
      </c>
      <c r="M353" s="326" t="s">
        <v>31</v>
      </c>
      <c r="N353" s="342">
        <v>8.1</v>
      </c>
      <c r="O353" s="337">
        <f>IF(N353&gt;0,1/N353*37.7*68.6,"")</f>
        <v>319.28641975308642</v>
      </c>
      <c r="P353" s="328">
        <v>7.24</v>
      </c>
      <c r="Q353" s="327" t="s">
        <v>43</v>
      </c>
      <c r="R353" s="326" t="s">
        <v>33</v>
      </c>
      <c r="S353" s="326" t="s">
        <v>34</v>
      </c>
      <c r="T353" s="326"/>
      <c r="U353" s="325"/>
      <c r="V353" s="324">
        <f>IF(N353&lt;&gt;0, IF(N353&gt;=P353,ROUNDDOWN(N353/P353*100,0),""),"")</f>
        <v>111</v>
      </c>
      <c r="W353" s="311"/>
      <c r="X353" s="323"/>
      <c r="Y353" s="311"/>
      <c r="Z353" s="320"/>
      <c r="AA353" s="320"/>
      <c r="AB353" s="320"/>
      <c r="AC353" s="320"/>
      <c r="AD353" s="320"/>
      <c r="AE353" s="320"/>
      <c r="AF353" s="320"/>
      <c r="AG353" s="320"/>
      <c r="AH353" s="320"/>
      <c r="AI353" s="320"/>
      <c r="AJ353" s="320"/>
      <c r="AK353" s="320"/>
      <c r="AL353" s="320"/>
      <c r="AM353" s="320"/>
      <c r="AN353" s="320"/>
      <c r="AO353" s="320"/>
      <c r="AP353" s="320"/>
      <c r="AQ353" s="320"/>
      <c r="AR353" s="320"/>
      <c r="AS353" s="320"/>
      <c r="AT353" s="320"/>
      <c r="AU353" s="320"/>
      <c r="AV353" s="320"/>
      <c r="AW353" s="320"/>
      <c r="AX353" s="320"/>
      <c r="AY353" s="320"/>
      <c r="AZ353" s="320"/>
      <c r="BA353" s="320"/>
      <c r="BB353" s="320"/>
      <c r="BC353" s="320"/>
      <c r="BD353" s="320"/>
      <c r="BE353" s="320"/>
      <c r="BF353" s="320"/>
      <c r="BG353" s="320"/>
      <c r="BH353" s="320"/>
      <c r="BI353" s="320"/>
      <c r="BJ353" s="320"/>
      <c r="BK353" s="320"/>
      <c r="BL353" s="320"/>
      <c r="BM353" s="320"/>
      <c r="BN353" s="320"/>
      <c r="BO353" s="320"/>
      <c r="BP353" s="320"/>
      <c r="BQ353" s="320"/>
      <c r="BR353" s="320"/>
      <c r="BS353" s="320"/>
      <c r="BT353" s="320"/>
      <c r="BU353" s="320"/>
      <c r="BV353" s="320"/>
      <c r="BW353" s="320"/>
      <c r="BX353" s="320"/>
      <c r="BY353" s="320"/>
      <c r="BZ353" s="320"/>
      <c r="CA353" s="320"/>
      <c r="CB353" s="320"/>
      <c r="CC353" s="320"/>
      <c r="CD353" s="320"/>
      <c r="CE353" s="320"/>
      <c r="CF353" s="320"/>
      <c r="CG353" s="320"/>
      <c r="CH353" s="320"/>
      <c r="CI353" s="320"/>
      <c r="CJ353" s="320"/>
      <c r="CK353" s="320"/>
      <c r="CL353" s="320"/>
      <c r="CM353" s="320"/>
      <c r="CN353" s="320"/>
      <c r="CO353" s="320"/>
      <c r="CP353" s="320"/>
      <c r="CQ353" s="320"/>
      <c r="CR353" s="320"/>
      <c r="CS353" s="320"/>
      <c r="CT353" s="320"/>
      <c r="CU353" s="320"/>
      <c r="CV353" s="320"/>
      <c r="CW353" s="320"/>
      <c r="CX353" s="320"/>
      <c r="CY353" s="320"/>
      <c r="CZ353" s="320"/>
      <c r="DA353" s="320"/>
      <c r="DB353" s="320"/>
      <c r="DC353" s="320"/>
      <c r="DD353" s="320"/>
      <c r="DE353" s="320"/>
      <c r="DF353" s="320"/>
      <c r="DG353" s="320"/>
      <c r="DH353" s="320"/>
      <c r="DI353" s="320"/>
      <c r="DJ353" s="320"/>
      <c r="DK353" s="320"/>
    </row>
    <row r="354" spans="1:115" s="322" customFormat="1" ht="21" customHeight="1">
      <c r="A354" s="341"/>
      <c r="B354" s="340"/>
      <c r="C354" s="339"/>
      <c r="D354" s="333" t="s">
        <v>1100</v>
      </c>
      <c r="E354" s="326" t="s">
        <v>41</v>
      </c>
      <c r="F354" s="331">
        <v>2.9990000000000001</v>
      </c>
      <c r="G354" s="332">
        <v>430</v>
      </c>
      <c r="H354" s="331">
        <v>129</v>
      </c>
      <c r="I354" s="332" t="s">
        <v>71</v>
      </c>
      <c r="J354" s="331">
        <v>3543</v>
      </c>
      <c r="K354" s="326">
        <v>7928</v>
      </c>
      <c r="L354" s="326">
        <v>4275</v>
      </c>
      <c r="M354" s="326" t="s">
        <v>31</v>
      </c>
      <c r="N354" s="342">
        <v>8</v>
      </c>
      <c r="O354" s="337">
        <f>IF(N354&gt;0,1/N354*37.7*68.6,"")</f>
        <v>323.27749999999997</v>
      </c>
      <c r="P354" s="328">
        <v>7.24</v>
      </c>
      <c r="Q354" s="327" t="s">
        <v>63</v>
      </c>
      <c r="R354" s="326" t="s">
        <v>33</v>
      </c>
      <c r="S354" s="326" t="s">
        <v>34</v>
      </c>
      <c r="T354" s="326"/>
      <c r="U354" s="325"/>
      <c r="V354" s="324">
        <f>IF(N354&lt;&gt;0, IF(N354&gt;=P354,ROUNDDOWN(N354/P354*100,0),""),"")</f>
        <v>110</v>
      </c>
      <c r="W354" s="311"/>
      <c r="X354" s="323"/>
      <c r="Y354" s="311"/>
      <c r="Z354" s="320"/>
      <c r="AA354" s="320"/>
      <c r="AB354" s="320"/>
      <c r="AC354" s="320"/>
      <c r="AD354" s="320"/>
      <c r="AE354" s="320"/>
      <c r="AF354" s="320"/>
      <c r="AG354" s="320"/>
      <c r="AH354" s="320"/>
      <c r="AI354" s="320"/>
      <c r="AJ354" s="320"/>
      <c r="AK354" s="320"/>
      <c r="AL354" s="320"/>
      <c r="AM354" s="320"/>
      <c r="AN354" s="320"/>
      <c r="AO354" s="320"/>
      <c r="AP354" s="320"/>
      <c r="AQ354" s="320"/>
      <c r="AR354" s="320"/>
      <c r="AS354" s="320"/>
      <c r="AT354" s="320"/>
      <c r="AU354" s="320"/>
      <c r="AV354" s="320"/>
      <c r="AW354" s="320"/>
      <c r="AX354" s="320"/>
      <c r="AY354" s="320"/>
      <c r="AZ354" s="320"/>
      <c r="BA354" s="320"/>
      <c r="BB354" s="320"/>
      <c r="BC354" s="320"/>
      <c r="BD354" s="320"/>
      <c r="BE354" s="320"/>
      <c r="BF354" s="320"/>
      <c r="BG354" s="320"/>
      <c r="BH354" s="320"/>
      <c r="BI354" s="320"/>
      <c r="BJ354" s="320"/>
      <c r="BK354" s="320"/>
      <c r="BL354" s="320"/>
      <c r="BM354" s="320"/>
      <c r="BN354" s="320"/>
      <c r="BO354" s="320"/>
      <c r="BP354" s="320"/>
      <c r="BQ354" s="320"/>
      <c r="BR354" s="320"/>
      <c r="BS354" s="320"/>
      <c r="BT354" s="320"/>
      <c r="BU354" s="320"/>
      <c r="BV354" s="320"/>
      <c r="BW354" s="320"/>
      <c r="BX354" s="320"/>
      <c r="BY354" s="320"/>
      <c r="BZ354" s="320"/>
      <c r="CA354" s="320"/>
      <c r="CB354" s="320"/>
      <c r="CC354" s="320"/>
      <c r="CD354" s="320"/>
      <c r="CE354" s="320"/>
      <c r="CF354" s="320"/>
      <c r="CG354" s="320"/>
      <c r="CH354" s="320"/>
      <c r="CI354" s="320"/>
      <c r="CJ354" s="320"/>
      <c r="CK354" s="320"/>
      <c r="CL354" s="320"/>
      <c r="CM354" s="320"/>
      <c r="CN354" s="320"/>
      <c r="CO354" s="320"/>
      <c r="CP354" s="320"/>
      <c r="CQ354" s="320"/>
      <c r="CR354" s="320"/>
      <c r="CS354" s="320"/>
      <c r="CT354" s="320"/>
      <c r="CU354" s="320"/>
      <c r="CV354" s="320"/>
      <c r="CW354" s="320"/>
      <c r="CX354" s="320"/>
      <c r="CY354" s="320"/>
      <c r="CZ354" s="320"/>
      <c r="DA354" s="320"/>
      <c r="DB354" s="320"/>
      <c r="DC354" s="320"/>
      <c r="DD354" s="320"/>
      <c r="DE354" s="320"/>
      <c r="DF354" s="320"/>
      <c r="DG354" s="320"/>
      <c r="DH354" s="320"/>
      <c r="DI354" s="320"/>
      <c r="DJ354" s="320"/>
      <c r="DK354" s="320"/>
    </row>
    <row r="355" spans="1:115" s="322" customFormat="1" ht="21" customHeight="1">
      <c r="A355" s="341"/>
      <c r="B355" s="340"/>
      <c r="C355" s="339"/>
      <c r="D355" s="333" t="s">
        <v>1099</v>
      </c>
      <c r="E355" s="326" t="s">
        <v>41</v>
      </c>
      <c r="F355" s="331">
        <v>2.9990000000000001</v>
      </c>
      <c r="G355" s="332">
        <v>375</v>
      </c>
      <c r="H355" s="331">
        <v>110</v>
      </c>
      <c r="I355" s="332" t="s">
        <v>71</v>
      </c>
      <c r="J355" s="331">
        <v>3543</v>
      </c>
      <c r="K355" s="326">
        <v>7928</v>
      </c>
      <c r="L355" s="326">
        <v>4275</v>
      </c>
      <c r="M355" s="326" t="s">
        <v>31</v>
      </c>
      <c r="N355" s="342">
        <v>8.1</v>
      </c>
      <c r="O355" s="337">
        <f>IF(N355&gt;0,1/N355*37.7*68.6,"")</f>
        <v>319.28641975308642</v>
      </c>
      <c r="P355" s="328">
        <v>7.24</v>
      </c>
      <c r="Q355" s="327" t="s">
        <v>43</v>
      </c>
      <c r="R355" s="326" t="s">
        <v>33</v>
      </c>
      <c r="S355" s="326" t="s">
        <v>34</v>
      </c>
      <c r="T355" s="326"/>
      <c r="U355" s="325"/>
      <c r="V355" s="324">
        <f>IF(N355&lt;&gt;0, IF(N355&gt;=P355,ROUNDDOWN(N355/P355*100,0),""),"")</f>
        <v>111</v>
      </c>
      <c r="W355" s="311"/>
      <c r="X355" s="323"/>
      <c r="Y355" s="311"/>
      <c r="Z355" s="320"/>
      <c r="AA355" s="320"/>
      <c r="AB355" s="320"/>
      <c r="AC355" s="320"/>
      <c r="AD355" s="320"/>
      <c r="AE355" s="320"/>
      <c r="AF355" s="320"/>
      <c r="AG355" s="320"/>
      <c r="AH355" s="320"/>
      <c r="AI355" s="320"/>
      <c r="AJ355" s="320"/>
      <c r="AK355" s="320"/>
      <c r="AL355" s="320"/>
      <c r="AM355" s="320"/>
      <c r="AN355" s="320"/>
      <c r="AO355" s="320"/>
      <c r="AP355" s="320"/>
      <c r="AQ355" s="320"/>
      <c r="AR355" s="320"/>
      <c r="AS355" s="320"/>
      <c r="AT355" s="320"/>
      <c r="AU355" s="320"/>
      <c r="AV355" s="320"/>
      <c r="AW355" s="320"/>
      <c r="AX355" s="320"/>
      <c r="AY355" s="320"/>
      <c r="AZ355" s="320"/>
      <c r="BA355" s="320"/>
      <c r="BB355" s="320"/>
      <c r="BC355" s="320"/>
      <c r="BD355" s="320"/>
      <c r="BE355" s="320"/>
      <c r="BF355" s="320"/>
      <c r="BG355" s="320"/>
      <c r="BH355" s="320"/>
      <c r="BI355" s="320"/>
      <c r="BJ355" s="320"/>
      <c r="BK355" s="320"/>
      <c r="BL355" s="320"/>
      <c r="BM355" s="320"/>
      <c r="BN355" s="320"/>
      <c r="BO355" s="320"/>
      <c r="BP355" s="320"/>
      <c r="BQ355" s="320"/>
      <c r="BR355" s="320"/>
      <c r="BS355" s="320"/>
      <c r="BT355" s="320"/>
      <c r="BU355" s="320"/>
      <c r="BV355" s="320"/>
      <c r="BW355" s="320"/>
      <c r="BX355" s="320"/>
      <c r="BY355" s="320"/>
      <c r="BZ355" s="320"/>
      <c r="CA355" s="320"/>
      <c r="CB355" s="320"/>
      <c r="CC355" s="320"/>
      <c r="CD355" s="320"/>
      <c r="CE355" s="320"/>
      <c r="CF355" s="320"/>
      <c r="CG355" s="320"/>
      <c r="CH355" s="320"/>
      <c r="CI355" s="320"/>
      <c r="CJ355" s="320"/>
      <c r="CK355" s="320"/>
      <c r="CL355" s="320"/>
      <c r="CM355" s="320"/>
      <c r="CN355" s="320"/>
      <c r="CO355" s="320"/>
      <c r="CP355" s="320"/>
      <c r="CQ355" s="320"/>
      <c r="CR355" s="320"/>
      <c r="CS355" s="320"/>
      <c r="CT355" s="320"/>
      <c r="CU355" s="320"/>
      <c r="CV355" s="320"/>
      <c r="CW355" s="320"/>
      <c r="CX355" s="320"/>
      <c r="CY355" s="320"/>
      <c r="CZ355" s="320"/>
      <c r="DA355" s="320"/>
      <c r="DB355" s="320"/>
      <c r="DC355" s="320"/>
      <c r="DD355" s="320"/>
      <c r="DE355" s="320"/>
      <c r="DF355" s="320"/>
      <c r="DG355" s="320"/>
      <c r="DH355" s="320"/>
      <c r="DI355" s="320"/>
      <c r="DJ355" s="320"/>
      <c r="DK355" s="320"/>
    </row>
    <row r="356" spans="1:115" s="322" customFormat="1" ht="21" customHeight="1">
      <c r="A356" s="341"/>
      <c r="B356" s="340"/>
      <c r="C356" s="339"/>
      <c r="D356" s="333" t="s">
        <v>1098</v>
      </c>
      <c r="E356" s="326" t="s">
        <v>41</v>
      </c>
      <c r="F356" s="331">
        <v>2.9990000000000001</v>
      </c>
      <c r="G356" s="332">
        <v>375</v>
      </c>
      <c r="H356" s="331" t="s">
        <v>466</v>
      </c>
      <c r="I356" s="332" t="s">
        <v>71</v>
      </c>
      <c r="J356" s="331">
        <v>3543</v>
      </c>
      <c r="K356" s="326">
        <v>7928</v>
      </c>
      <c r="L356" s="326">
        <v>4275</v>
      </c>
      <c r="M356" s="326" t="s">
        <v>31</v>
      </c>
      <c r="N356" s="342">
        <v>7.9</v>
      </c>
      <c r="O356" s="337">
        <f>IF(N356&gt;0,1/N356*37.7*68.6,"")</f>
        <v>327.3696202531645</v>
      </c>
      <c r="P356" s="328">
        <v>7.24</v>
      </c>
      <c r="Q356" s="327" t="s">
        <v>63</v>
      </c>
      <c r="R356" s="326" t="s">
        <v>33</v>
      </c>
      <c r="S356" s="326" t="s">
        <v>34</v>
      </c>
      <c r="T356" s="326"/>
      <c r="U356" s="325"/>
      <c r="V356" s="324">
        <f>IF(N356&lt;&gt;0, IF(N356&gt;=P356,ROUNDDOWN(N356/P356*100,0),""),"")</f>
        <v>109</v>
      </c>
      <c r="W356" s="311"/>
      <c r="X356" s="320"/>
      <c r="Y356" s="320"/>
      <c r="Z356" s="320"/>
      <c r="AA356" s="320"/>
      <c r="AB356" s="320"/>
      <c r="AC356" s="320"/>
      <c r="AD356" s="320"/>
      <c r="AE356" s="320"/>
      <c r="AF356" s="320"/>
      <c r="AG356" s="320"/>
      <c r="AH356" s="320"/>
      <c r="AI356" s="320"/>
      <c r="AJ356" s="320"/>
      <c r="AK356" s="320"/>
      <c r="AL356" s="320"/>
      <c r="AM356" s="320"/>
      <c r="AN356" s="320"/>
      <c r="AO356" s="320"/>
      <c r="AP356" s="320"/>
      <c r="AQ356" s="320"/>
    </row>
    <row r="357" spans="1:115" s="322" customFormat="1" ht="21" customHeight="1">
      <c r="A357" s="341"/>
      <c r="B357" s="340"/>
      <c r="C357" s="339"/>
      <c r="D357" s="333" t="s">
        <v>1097</v>
      </c>
      <c r="E357" s="326" t="s">
        <v>41</v>
      </c>
      <c r="F357" s="331">
        <v>2.9990000000000001</v>
      </c>
      <c r="G357" s="332">
        <v>375</v>
      </c>
      <c r="H357" s="331">
        <v>110</v>
      </c>
      <c r="I357" s="332" t="s">
        <v>71</v>
      </c>
      <c r="J357" s="331">
        <v>3543</v>
      </c>
      <c r="K357" s="326">
        <v>7928</v>
      </c>
      <c r="L357" s="326">
        <v>4275</v>
      </c>
      <c r="M357" s="326" t="s">
        <v>31</v>
      </c>
      <c r="N357" s="342">
        <v>7.9</v>
      </c>
      <c r="O357" s="337">
        <f>IF(N357&gt;0,1/N357*37.7*68.6,"")</f>
        <v>327.3696202531645</v>
      </c>
      <c r="P357" s="328">
        <v>7.24</v>
      </c>
      <c r="Q357" s="327" t="s">
        <v>63</v>
      </c>
      <c r="R357" s="326" t="s">
        <v>33</v>
      </c>
      <c r="S357" s="326" t="s">
        <v>34</v>
      </c>
      <c r="T357" s="326"/>
      <c r="U357" s="325"/>
      <c r="V357" s="324">
        <f>IF(N357&lt;&gt;0, IF(N357&gt;=P357,ROUNDDOWN(N357/P357*100,0),""),"")</f>
        <v>109</v>
      </c>
      <c r="W357" s="311"/>
      <c r="X357" s="323"/>
      <c r="Y357" s="311"/>
      <c r="Z357" s="320"/>
      <c r="AA357" s="320"/>
      <c r="AB357" s="320"/>
      <c r="AC357" s="320"/>
      <c r="AD357" s="320"/>
      <c r="AE357" s="320"/>
      <c r="AF357" s="320"/>
      <c r="AG357" s="320"/>
      <c r="AH357" s="320"/>
      <c r="AI357" s="320"/>
      <c r="AJ357" s="320"/>
      <c r="AK357" s="320"/>
      <c r="AL357" s="320"/>
      <c r="AM357" s="320"/>
      <c r="AN357" s="320"/>
      <c r="AO357" s="320"/>
      <c r="AP357" s="320"/>
      <c r="AQ357" s="320"/>
      <c r="AR357" s="320"/>
      <c r="AS357" s="320"/>
      <c r="AT357" s="320"/>
      <c r="AU357" s="320"/>
      <c r="AV357" s="320"/>
      <c r="AW357" s="320"/>
      <c r="AX357" s="320"/>
      <c r="AY357" s="320"/>
      <c r="AZ357" s="320"/>
      <c r="BA357" s="320"/>
      <c r="BB357" s="320"/>
      <c r="BC357" s="320"/>
      <c r="BD357" s="320"/>
      <c r="BE357" s="320"/>
      <c r="BF357" s="320"/>
      <c r="BG357" s="320"/>
      <c r="BH357" s="320"/>
      <c r="BI357" s="320"/>
      <c r="BJ357" s="320"/>
      <c r="BK357" s="320"/>
      <c r="BL357" s="320"/>
      <c r="BM357" s="320"/>
      <c r="BN357" s="320"/>
      <c r="BO357" s="320"/>
      <c r="BP357" s="320"/>
      <c r="BQ357" s="320"/>
      <c r="BR357" s="320"/>
      <c r="BS357" s="320"/>
      <c r="BT357" s="320"/>
      <c r="BU357" s="320"/>
      <c r="BV357" s="320"/>
      <c r="BW357" s="320"/>
      <c r="BX357" s="320"/>
      <c r="BY357" s="320"/>
      <c r="BZ357" s="320"/>
      <c r="CA357" s="320"/>
      <c r="CB357" s="320"/>
      <c r="CC357" s="320"/>
      <c r="CD357" s="320"/>
      <c r="CE357" s="320"/>
      <c r="CF357" s="320"/>
      <c r="CG357" s="320"/>
      <c r="CH357" s="320"/>
      <c r="CI357" s="320"/>
      <c r="CJ357" s="320"/>
      <c r="CK357" s="320"/>
      <c r="CL357" s="320"/>
      <c r="CM357" s="320"/>
      <c r="CN357" s="320"/>
      <c r="CO357" s="320"/>
      <c r="CP357" s="320"/>
      <c r="CQ357" s="320"/>
      <c r="CR357" s="320"/>
      <c r="CS357" s="320"/>
      <c r="CT357" s="320"/>
      <c r="CU357" s="320"/>
      <c r="CV357" s="320"/>
      <c r="CW357" s="320"/>
      <c r="CX357" s="320"/>
      <c r="CY357" s="320"/>
      <c r="CZ357" s="320"/>
      <c r="DA357" s="320"/>
      <c r="DB357" s="320"/>
      <c r="DC357" s="320"/>
      <c r="DD357" s="320"/>
      <c r="DE357" s="320"/>
      <c r="DF357" s="320"/>
      <c r="DG357" s="320"/>
      <c r="DH357" s="320"/>
      <c r="DI357" s="320"/>
      <c r="DJ357" s="320"/>
      <c r="DK357" s="320"/>
    </row>
    <row r="358" spans="1:115" s="322" customFormat="1" ht="21" customHeight="1">
      <c r="A358" s="341"/>
      <c r="B358" s="340"/>
      <c r="C358" s="339"/>
      <c r="D358" s="333" t="s">
        <v>1096</v>
      </c>
      <c r="E358" s="326" t="s">
        <v>41</v>
      </c>
      <c r="F358" s="331">
        <v>2.9990000000000001</v>
      </c>
      <c r="G358" s="332" t="s">
        <v>467</v>
      </c>
      <c r="H358" s="331" t="s">
        <v>466</v>
      </c>
      <c r="I358" s="332" t="s">
        <v>71</v>
      </c>
      <c r="J358" s="331">
        <v>3543</v>
      </c>
      <c r="K358" s="326">
        <v>7928</v>
      </c>
      <c r="L358" s="326">
        <v>4275</v>
      </c>
      <c r="M358" s="326" t="s">
        <v>31</v>
      </c>
      <c r="N358" s="342">
        <v>7.9</v>
      </c>
      <c r="O358" s="337">
        <f>IF(N358&gt;0,1/N358*37.7*68.6,"")</f>
        <v>327.3696202531645</v>
      </c>
      <c r="P358" s="328">
        <v>7.24</v>
      </c>
      <c r="Q358" s="327" t="s">
        <v>63</v>
      </c>
      <c r="R358" s="326" t="s">
        <v>33</v>
      </c>
      <c r="S358" s="326" t="s">
        <v>34</v>
      </c>
      <c r="T358" s="326"/>
      <c r="U358" s="325"/>
      <c r="V358" s="324">
        <f>IF(N358&lt;&gt;0, IF(N358&gt;=P358,ROUNDDOWN(N358/P358*100,0),""),"")</f>
        <v>109</v>
      </c>
      <c r="W358" s="311"/>
      <c r="X358" s="320"/>
      <c r="Y358" s="320"/>
      <c r="Z358" s="320"/>
      <c r="AA358" s="320"/>
      <c r="AB358" s="320"/>
      <c r="AC358" s="320"/>
      <c r="AD358" s="320"/>
      <c r="AE358" s="320"/>
      <c r="AF358" s="320"/>
      <c r="AG358" s="320"/>
      <c r="AH358" s="320"/>
      <c r="AI358" s="320"/>
      <c r="AJ358" s="320"/>
      <c r="AK358" s="320"/>
      <c r="AL358" s="320"/>
      <c r="AM358" s="320"/>
      <c r="AN358" s="320"/>
      <c r="AO358" s="320"/>
      <c r="AP358" s="320"/>
      <c r="AQ358" s="320"/>
    </row>
    <row r="359" spans="1:115" s="322" customFormat="1" ht="21" customHeight="1">
      <c r="A359" s="341"/>
      <c r="B359" s="340"/>
      <c r="C359" s="339"/>
      <c r="D359" s="333" t="s">
        <v>1096</v>
      </c>
      <c r="E359" s="326" t="s">
        <v>41</v>
      </c>
      <c r="F359" s="331">
        <v>2.9990000000000001</v>
      </c>
      <c r="G359" s="332" t="s">
        <v>464</v>
      </c>
      <c r="H359" s="331" t="s">
        <v>463</v>
      </c>
      <c r="I359" s="332" t="s">
        <v>42</v>
      </c>
      <c r="J359" s="331">
        <v>3543</v>
      </c>
      <c r="K359" s="326">
        <v>7928</v>
      </c>
      <c r="L359" s="326">
        <v>4275</v>
      </c>
      <c r="M359" s="326" t="s">
        <v>31</v>
      </c>
      <c r="N359" s="342">
        <v>7.9</v>
      </c>
      <c r="O359" s="337">
        <f>IF(N359&gt;0,1/N359*37.7*68.6,"")</f>
        <v>327.3696202531645</v>
      </c>
      <c r="P359" s="328">
        <v>7.24</v>
      </c>
      <c r="Q359" s="327" t="s">
        <v>63</v>
      </c>
      <c r="R359" s="326" t="s">
        <v>33</v>
      </c>
      <c r="S359" s="326" t="s">
        <v>34</v>
      </c>
      <c r="T359" s="326"/>
      <c r="U359" s="325"/>
      <c r="V359" s="324">
        <f>IF(N359&lt;&gt;0, IF(N359&gt;=P359,ROUNDDOWN(N359/P359*100,0),""),"")</f>
        <v>109</v>
      </c>
      <c r="W359" s="311"/>
      <c r="X359" s="320"/>
      <c r="Y359" s="320"/>
      <c r="Z359" s="320"/>
      <c r="AA359" s="320"/>
      <c r="AB359" s="320"/>
      <c r="AC359" s="320"/>
      <c r="AD359" s="320"/>
      <c r="AE359" s="320"/>
      <c r="AF359" s="320"/>
      <c r="AG359" s="320"/>
      <c r="AH359" s="320"/>
      <c r="AI359" s="320"/>
      <c r="AJ359" s="320"/>
      <c r="AK359" s="320"/>
      <c r="AL359" s="320"/>
      <c r="AM359" s="320"/>
      <c r="AN359" s="320"/>
      <c r="AO359" s="320"/>
      <c r="AP359" s="320"/>
      <c r="AQ359" s="320"/>
    </row>
    <row r="360" spans="1:115" s="322" customFormat="1" ht="21" customHeight="1">
      <c r="A360" s="341"/>
      <c r="B360" s="340"/>
      <c r="C360" s="339"/>
      <c r="D360" s="333" t="s">
        <v>1095</v>
      </c>
      <c r="E360" s="326" t="s">
        <v>41</v>
      </c>
      <c r="F360" s="331">
        <v>2.9990000000000001</v>
      </c>
      <c r="G360" s="332" t="s">
        <v>467</v>
      </c>
      <c r="H360" s="331" t="s">
        <v>466</v>
      </c>
      <c r="I360" s="332" t="s">
        <v>71</v>
      </c>
      <c r="J360" s="331">
        <v>3543</v>
      </c>
      <c r="K360" s="326">
        <v>7928</v>
      </c>
      <c r="L360" s="326">
        <v>4275</v>
      </c>
      <c r="M360" s="326" t="s">
        <v>31</v>
      </c>
      <c r="N360" s="338">
        <v>7.9</v>
      </c>
      <c r="O360" s="337">
        <f>IF(N360&gt;0,1/N360*37.7*68.6,"")</f>
        <v>327.3696202531645</v>
      </c>
      <c r="P360" s="328">
        <v>7.24</v>
      </c>
      <c r="Q360" s="327" t="s">
        <v>63</v>
      </c>
      <c r="R360" s="326" t="s">
        <v>33</v>
      </c>
      <c r="S360" s="326" t="s">
        <v>34</v>
      </c>
      <c r="T360" s="326"/>
      <c r="U360" s="325"/>
      <c r="V360" s="324">
        <f>IF(N360&lt;&gt;0, IF(N360&gt;=P360,ROUNDDOWN(N360/P360*100,0),""),"")</f>
        <v>109</v>
      </c>
      <c r="W360" s="311"/>
      <c r="X360" s="320"/>
      <c r="Y360" s="320"/>
      <c r="Z360" s="320"/>
      <c r="AA360" s="320"/>
      <c r="AB360" s="320"/>
      <c r="AC360" s="320"/>
      <c r="AD360" s="320"/>
      <c r="AE360" s="320"/>
      <c r="AF360" s="320"/>
      <c r="AG360" s="320"/>
      <c r="AH360" s="320"/>
      <c r="AI360" s="320"/>
      <c r="AJ360" s="320"/>
      <c r="AK360" s="320"/>
      <c r="AL360" s="320"/>
      <c r="AM360" s="320"/>
      <c r="AN360" s="320"/>
      <c r="AO360" s="320"/>
      <c r="AP360" s="320"/>
      <c r="AQ360" s="320"/>
    </row>
    <row r="361" spans="1:115" s="322" customFormat="1" ht="21" customHeight="1">
      <c r="A361" s="341"/>
      <c r="B361" s="340"/>
      <c r="C361" s="339"/>
      <c r="D361" s="333" t="s">
        <v>1095</v>
      </c>
      <c r="E361" s="326" t="s">
        <v>41</v>
      </c>
      <c r="F361" s="331">
        <v>2.9990000000000001</v>
      </c>
      <c r="G361" s="332" t="s">
        <v>464</v>
      </c>
      <c r="H361" s="331" t="s">
        <v>463</v>
      </c>
      <c r="I361" s="332" t="s">
        <v>42</v>
      </c>
      <c r="J361" s="331">
        <v>3543</v>
      </c>
      <c r="K361" s="326">
        <v>7928</v>
      </c>
      <c r="L361" s="326">
        <v>4275</v>
      </c>
      <c r="M361" s="326" t="s">
        <v>31</v>
      </c>
      <c r="N361" s="338">
        <v>7.9</v>
      </c>
      <c r="O361" s="337">
        <f>IF(N361&gt;0,1/N361*37.7*68.6,"")</f>
        <v>327.3696202531645</v>
      </c>
      <c r="P361" s="328">
        <v>7.24</v>
      </c>
      <c r="Q361" s="327" t="s">
        <v>63</v>
      </c>
      <c r="R361" s="326" t="s">
        <v>33</v>
      </c>
      <c r="S361" s="326" t="s">
        <v>34</v>
      </c>
      <c r="T361" s="326"/>
      <c r="U361" s="325"/>
      <c r="V361" s="324">
        <f>IF(N361&lt;&gt;0, IF(N361&gt;=P361,ROUNDDOWN(N361/P361*100,0),""),"")</f>
        <v>109</v>
      </c>
      <c r="W361" s="311"/>
      <c r="X361" s="320"/>
      <c r="Y361" s="320"/>
      <c r="Z361" s="320"/>
      <c r="AA361" s="320"/>
      <c r="AB361" s="320"/>
      <c r="AC361" s="320"/>
      <c r="AD361" s="320"/>
      <c r="AE361" s="320"/>
      <c r="AF361" s="320"/>
      <c r="AG361" s="320"/>
      <c r="AH361" s="320"/>
      <c r="AI361" s="320"/>
      <c r="AJ361" s="320"/>
      <c r="AK361" s="320"/>
      <c r="AL361" s="320"/>
      <c r="AM361" s="320"/>
      <c r="AN361" s="320"/>
      <c r="AO361" s="320"/>
      <c r="AP361" s="320"/>
      <c r="AQ361" s="320"/>
    </row>
    <row r="362" spans="1:115" s="322" customFormat="1" ht="21" customHeight="1" thickBot="1">
      <c r="A362" s="336"/>
      <c r="B362" s="335"/>
      <c r="C362" s="334"/>
      <c r="D362" s="333" t="s">
        <v>1094</v>
      </c>
      <c r="E362" s="326" t="s">
        <v>41</v>
      </c>
      <c r="F362" s="331">
        <v>2.9990000000000001</v>
      </c>
      <c r="G362" s="332">
        <v>375</v>
      </c>
      <c r="H362" s="331">
        <v>110</v>
      </c>
      <c r="I362" s="332" t="s">
        <v>71</v>
      </c>
      <c r="J362" s="331">
        <v>3543</v>
      </c>
      <c r="K362" s="326">
        <v>7928</v>
      </c>
      <c r="L362" s="326">
        <v>4275</v>
      </c>
      <c r="M362" s="326" t="s">
        <v>31</v>
      </c>
      <c r="N362" s="330">
        <v>7.9</v>
      </c>
      <c r="O362" s="329">
        <f>IF(N362&gt;0,1/N362*37.7*68.6,"")</f>
        <v>327.3696202531645</v>
      </c>
      <c r="P362" s="328">
        <v>7.24</v>
      </c>
      <c r="Q362" s="327" t="s">
        <v>63</v>
      </c>
      <c r="R362" s="326" t="s">
        <v>33</v>
      </c>
      <c r="S362" s="326" t="s">
        <v>34</v>
      </c>
      <c r="T362" s="326"/>
      <c r="U362" s="325"/>
      <c r="V362" s="324">
        <f>IF(N362&lt;&gt;0, IF(N362&gt;=P362,ROUNDDOWN(N362/P362*100,0),""),"")</f>
        <v>109</v>
      </c>
      <c r="W362" s="311"/>
      <c r="X362" s="323"/>
      <c r="Y362" s="311"/>
      <c r="Z362" s="320"/>
      <c r="AA362" s="320"/>
      <c r="AB362" s="320"/>
      <c r="AC362" s="320"/>
      <c r="AD362" s="320"/>
      <c r="AE362" s="320"/>
      <c r="AF362" s="320"/>
      <c r="AG362" s="320"/>
      <c r="AH362" s="320"/>
      <c r="AI362" s="320"/>
      <c r="AJ362" s="320"/>
      <c r="AK362" s="320"/>
      <c r="AL362" s="320"/>
      <c r="AM362" s="320"/>
      <c r="AN362" s="320"/>
      <c r="AO362" s="320"/>
      <c r="AP362" s="320"/>
      <c r="AQ362" s="320"/>
      <c r="AR362" s="320"/>
      <c r="AS362" s="320"/>
      <c r="AT362" s="320"/>
      <c r="AU362" s="320"/>
      <c r="AV362" s="320"/>
      <c r="AW362" s="320"/>
      <c r="AX362" s="320"/>
      <c r="AY362" s="320"/>
      <c r="AZ362" s="320"/>
      <c r="BA362" s="320"/>
      <c r="BB362" s="320"/>
      <c r="BC362" s="320"/>
      <c r="BD362" s="320"/>
      <c r="BE362" s="320"/>
      <c r="BF362" s="320"/>
      <c r="BG362" s="320"/>
      <c r="BH362" s="320"/>
      <c r="BI362" s="320"/>
      <c r="BJ362" s="320"/>
      <c r="BK362" s="320"/>
      <c r="BL362" s="320"/>
      <c r="BM362" s="320"/>
      <c r="BN362" s="320"/>
      <c r="BO362" s="320"/>
      <c r="BP362" s="320"/>
      <c r="BQ362" s="320"/>
      <c r="BR362" s="320"/>
      <c r="BS362" s="320"/>
      <c r="BT362" s="320"/>
      <c r="BU362" s="320"/>
      <c r="BV362" s="320"/>
      <c r="BW362" s="320"/>
      <c r="BX362" s="320"/>
      <c r="BY362" s="320"/>
      <c r="BZ362" s="320"/>
      <c r="CA362" s="320"/>
      <c r="CB362" s="320"/>
      <c r="CC362" s="320"/>
      <c r="CD362" s="320"/>
      <c r="CE362" s="320"/>
      <c r="CF362" s="320"/>
      <c r="CG362" s="320"/>
      <c r="CH362" s="320"/>
      <c r="CI362" s="320"/>
      <c r="CJ362" s="320"/>
      <c r="CK362" s="320"/>
      <c r="CL362" s="320"/>
      <c r="CM362" s="320"/>
      <c r="CN362" s="320"/>
      <c r="CO362" s="320"/>
      <c r="CP362" s="320"/>
      <c r="CQ362" s="320"/>
      <c r="CR362" s="320"/>
      <c r="CS362" s="320"/>
      <c r="CT362" s="320"/>
      <c r="CU362" s="320"/>
      <c r="CV362" s="320"/>
      <c r="CW362" s="320"/>
      <c r="CX362" s="320"/>
      <c r="CY362" s="320"/>
      <c r="CZ362" s="320"/>
      <c r="DA362" s="320"/>
      <c r="DB362" s="320"/>
      <c r="DC362" s="320"/>
      <c r="DD362" s="320"/>
      <c r="DE362" s="320"/>
      <c r="DF362" s="320"/>
      <c r="DG362" s="320"/>
      <c r="DH362" s="320"/>
      <c r="DI362" s="320"/>
      <c r="DJ362" s="320"/>
      <c r="DK362" s="320"/>
    </row>
    <row r="363" spans="1:115" s="309" customFormat="1" ht="12.75">
      <c r="A363" s="320"/>
      <c r="B363" s="320"/>
      <c r="C363" s="319"/>
      <c r="D363" s="319"/>
      <c r="E363" s="313"/>
      <c r="F363" s="318"/>
      <c r="G363" s="313"/>
      <c r="H363" s="313"/>
      <c r="I363" s="313"/>
      <c r="J363" s="317"/>
      <c r="K363" s="317"/>
      <c r="L363" s="313"/>
      <c r="M363" s="313"/>
      <c r="N363" s="315"/>
      <c r="O363" s="316"/>
      <c r="P363" s="315"/>
      <c r="Q363" s="314"/>
      <c r="R363" s="313"/>
      <c r="S363" s="313"/>
      <c r="T363" s="312"/>
      <c r="U363" s="311"/>
      <c r="V363" s="310"/>
    </row>
    <row r="364" spans="1:115" s="309" customFormat="1" ht="12.75">
      <c r="A364" s="320"/>
      <c r="B364" s="321" t="s">
        <v>1093</v>
      </c>
      <c r="C364" s="319"/>
      <c r="D364" s="319"/>
      <c r="E364" s="313"/>
      <c r="F364" s="318"/>
      <c r="G364" s="313"/>
      <c r="H364" s="313"/>
      <c r="I364" s="313"/>
      <c r="J364" s="317"/>
      <c r="K364" s="317"/>
      <c r="L364" s="313"/>
      <c r="M364" s="313"/>
      <c r="N364" s="315"/>
      <c r="O364" s="316"/>
      <c r="P364" s="315"/>
      <c r="Q364" s="314"/>
      <c r="R364" s="313"/>
      <c r="S364" s="313"/>
      <c r="T364" s="312"/>
      <c r="U364" s="311"/>
      <c r="V364" s="310"/>
    </row>
    <row r="365" spans="1:115" s="309" customFormat="1" ht="12.75">
      <c r="A365" s="320"/>
      <c r="B365" s="305" t="s">
        <v>739</v>
      </c>
      <c r="C365" s="319"/>
      <c r="D365" s="319"/>
      <c r="E365" s="313"/>
      <c r="F365" s="318"/>
      <c r="G365" s="313"/>
      <c r="H365" s="313"/>
      <c r="I365" s="313"/>
      <c r="J365" s="317"/>
      <c r="K365" s="317"/>
      <c r="L365" s="313"/>
      <c r="M365" s="313"/>
      <c r="N365" s="315"/>
      <c r="O365" s="316"/>
      <c r="P365" s="315"/>
      <c r="Q365" s="314"/>
      <c r="R365" s="313"/>
      <c r="S365" s="313"/>
      <c r="T365" s="312"/>
      <c r="U365" s="311"/>
      <c r="V365" s="310"/>
    </row>
    <row r="366" spans="1:115" s="309" customFormat="1" ht="12.75">
      <c r="A366" s="320"/>
      <c r="B366" s="305" t="s">
        <v>1092</v>
      </c>
      <c r="C366" s="319"/>
      <c r="D366" s="319"/>
      <c r="E366" s="313"/>
      <c r="F366" s="318"/>
      <c r="G366" s="313"/>
      <c r="H366" s="313"/>
      <c r="I366" s="313"/>
      <c r="J366" s="317"/>
      <c r="K366" s="317"/>
      <c r="L366" s="313"/>
      <c r="M366" s="313"/>
      <c r="N366" s="315"/>
      <c r="O366" s="316"/>
      <c r="P366" s="315"/>
      <c r="Q366" s="314"/>
      <c r="R366" s="313"/>
      <c r="S366" s="313"/>
      <c r="T366" s="312"/>
      <c r="U366" s="311"/>
      <c r="V366" s="310"/>
    </row>
    <row r="367" spans="1:115" s="309" customFormat="1" ht="12.75">
      <c r="A367" s="320"/>
      <c r="B367" s="320"/>
      <c r="C367" s="319"/>
      <c r="D367" s="319"/>
      <c r="E367" s="313"/>
      <c r="F367" s="318"/>
      <c r="G367" s="313"/>
      <c r="H367" s="313"/>
      <c r="I367" s="313"/>
      <c r="J367" s="317"/>
      <c r="K367" s="317"/>
      <c r="L367" s="313"/>
      <c r="M367" s="313"/>
      <c r="N367" s="315"/>
      <c r="O367" s="316"/>
      <c r="P367" s="315"/>
      <c r="Q367" s="314"/>
      <c r="R367" s="313"/>
      <c r="S367" s="313"/>
      <c r="T367" s="312"/>
      <c r="U367" s="311"/>
      <c r="V367" s="310"/>
    </row>
    <row r="369" spans="2:3" ht="12">
      <c r="B369" s="308" t="s">
        <v>585</v>
      </c>
    </row>
    <row r="370" spans="2:3">
      <c r="B370" s="307" t="s">
        <v>584</v>
      </c>
    </row>
    <row r="371" spans="2:3">
      <c r="B371" s="305" t="s">
        <v>583</v>
      </c>
    </row>
    <row r="372" spans="2:3">
      <c r="B372" s="305" t="s">
        <v>582</v>
      </c>
    </row>
    <row r="373" spans="2:3">
      <c r="B373" s="305" t="s">
        <v>581</v>
      </c>
    </row>
    <row r="374" spans="2:3">
      <c r="B374" s="305" t="s">
        <v>580</v>
      </c>
    </row>
    <row r="375" spans="2:3">
      <c r="B375" s="305" t="s">
        <v>579</v>
      </c>
    </row>
    <row r="376" spans="2:3">
      <c r="B376" s="305" t="s">
        <v>578</v>
      </c>
    </row>
    <row r="377" spans="2:3">
      <c r="B377" s="305" t="s">
        <v>577</v>
      </c>
    </row>
    <row r="378" spans="2:3">
      <c r="C378" s="307" t="s">
        <v>1091</v>
      </c>
    </row>
    <row r="379" spans="2:3">
      <c r="C379" s="307" t="s">
        <v>1090</v>
      </c>
    </row>
  </sheetData>
  <sheetProtection selectLockedCells="1"/>
  <mergeCells count="4">
    <mergeCell ref="S2:V2"/>
    <mergeCell ref="E4:H5"/>
    <mergeCell ref="N4:P4"/>
    <mergeCell ref="R4:T4"/>
  </mergeCells>
  <phoneticPr fontId="8"/>
  <conditionalFormatting sqref="Y9:Y170">
    <cfRule type="cellIs" dxfId="1" priority="2" stopIfTrue="1" operator="equal">
      <formula>FALSE</formula>
    </cfRule>
  </conditionalFormatting>
  <conditionalFormatting sqref="Y171:Y174">
    <cfRule type="cellIs" dxfId="0" priority="1" stopIfTrue="1" operator="equal">
      <formula>FALSE</formula>
    </cfRule>
  </conditionalFormatting>
  <printOptions horizontalCentered="1"/>
  <pageMargins left="0.39370078740157483" right="0.39370078740157483" top="0.39370078740157483" bottom="0.39370078740157483" header="0.19685039370078741" footer="0.39370078740157483"/>
  <pageSetup paperSize="9" scale="57" fitToHeight="0" orientation="landscape" horizontalDpi="400" verticalDpi="400" r:id="rId1"/>
  <headerFooter alignWithMargins="0">
    <oddHeader>&amp;R様式3-2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2252-0EBB-4C59-8058-944AE77232E1}">
  <sheetPr>
    <tabColor theme="6"/>
    <pageSetUpPr fitToPage="1"/>
  </sheetPr>
  <dimension ref="A1:W346"/>
  <sheetViews>
    <sheetView showGridLines="0" view="pageBreakPreview" zoomScale="85" zoomScaleNormal="100" zoomScaleSheetLayoutView="85" workbookViewId="0">
      <selection activeCell="W1" sqref="W1:W1048576"/>
    </sheetView>
  </sheetViews>
  <sheetFormatPr defaultColWidth="9" defaultRowHeight="11.25"/>
  <cols>
    <col min="1" max="1" width="16.25" style="3" customWidth="1"/>
    <col min="2" max="2" width="4.625" style="3" bestFit="1" customWidth="1"/>
    <col min="3" max="3" width="26.875" style="3" customWidth="1"/>
    <col min="4" max="4" width="12.75" style="3" bestFit="1" customWidth="1"/>
    <col min="5" max="5" width="8.625" style="3" bestFit="1" customWidth="1"/>
    <col min="6" max="6" width="8.5" style="3" bestFit="1" customWidth="1"/>
    <col min="7" max="7" width="10.625" style="3" bestFit="1" customWidth="1"/>
    <col min="8" max="8" width="10" style="3" bestFit="1" customWidth="1"/>
    <col min="9" max="9" width="12.5" style="3" bestFit="1" customWidth="1"/>
    <col min="10" max="10" width="7.125" style="3" customWidth="1"/>
    <col min="11" max="11" width="9.875" style="3" customWidth="1"/>
    <col min="12" max="12" width="10.75" style="3" customWidth="1"/>
    <col min="13" max="13" width="9.75" style="3" bestFit="1" customWidth="1"/>
    <col min="14" max="14" width="6.125" style="3" customWidth="1"/>
    <col min="15" max="15" width="9.5" style="3" bestFit="1" customWidth="1"/>
    <col min="16" max="16" width="7.75" style="3" customWidth="1"/>
    <col min="17" max="17" width="17.125" style="3" bestFit="1" customWidth="1"/>
    <col min="18" max="18" width="16.25" style="3" bestFit="1" customWidth="1"/>
    <col min="19" max="19" width="11.375" style="3" bestFit="1" customWidth="1"/>
    <col min="20" max="20" width="9.625" style="3" customWidth="1"/>
    <col min="21" max="21" width="13.25" style="3" bestFit="1" customWidth="1"/>
    <col min="22" max="22" width="9.625" style="10" customWidth="1"/>
    <col min="23" max="16384" width="9" style="3"/>
  </cols>
  <sheetData>
    <row r="1" spans="1:23" ht="21" customHeight="1">
      <c r="A1" s="157"/>
      <c r="V1" s="3"/>
    </row>
    <row r="2" spans="1:23" ht="15.75">
      <c r="C2" s="156"/>
      <c r="F2" s="155"/>
      <c r="G2" s="155"/>
      <c r="H2" s="155"/>
      <c r="L2" s="453" t="s">
        <v>1446</v>
      </c>
      <c r="M2" s="7"/>
      <c r="N2" s="7"/>
      <c r="O2" s="7"/>
      <c r="P2" s="7"/>
      <c r="Q2" s="7"/>
      <c r="R2" s="7"/>
      <c r="S2" s="154"/>
      <c r="T2" s="153"/>
      <c r="U2" s="153"/>
      <c r="V2" s="153"/>
    </row>
    <row r="3" spans="1:23" ht="19.5" customHeight="1">
      <c r="A3" s="152" t="s">
        <v>1</v>
      </c>
      <c r="V3" s="9" t="s">
        <v>2</v>
      </c>
    </row>
    <row r="4" spans="1:23" ht="11.25" customHeight="1" thickBot="1">
      <c r="A4" s="82" t="s">
        <v>3</v>
      </c>
      <c r="B4" s="82" t="s">
        <v>4</v>
      </c>
      <c r="C4" s="114"/>
      <c r="D4" s="82" t="s">
        <v>5</v>
      </c>
      <c r="E4" s="82" t="s">
        <v>6</v>
      </c>
      <c r="F4" s="82"/>
      <c r="G4" s="82"/>
      <c r="H4" s="82"/>
      <c r="I4" s="95" t="s">
        <v>7</v>
      </c>
      <c r="J4" s="95" t="s">
        <v>8</v>
      </c>
      <c r="K4" s="116" t="s">
        <v>9</v>
      </c>
      <c r="L4" s="116" t="s">
        <v>10</v>
      </c>
      <c r="M4" s="117" t="s">
        <v>11</v>
      </c>
      <c r="N4" s="92" t="s">
        <v>12</v>
      </c>
      <c r="O4" s="93"/>
      <c r="P4" s="94"/>
      <c r="Q4" s="95" t="s">
        <v>13</v>
      </c>
      <c r="R4" s="96" t="s">
        <v>14</v>
      </c>
      <c r="S4" s="96"/>
      <c r="T4" s="96"/>
      <c r="U4" s="97" t="s">
        <v>15</v>
      </c>
      <c r="V4" s="100" t="s">
        <v>16</v>
      </c>
    </row>
    <row r="5" spans="1:23" ht="11.25" customHeight="1">
      <c r="A5" s="82"/>
      <c r="B5" s="82"/>
      <c r="C5" s="114"/>
      <c r="D5" s="82"/>
      <c r="E5" s="82"/>
      <c r="F5" s="82"/>
      <c r="G5" s="82"/>
      <c r="H5" s="82"/>
      <c r="I5" s="95"/>
      <c r="J5" s="95"/>
      <c r="K5" s="116"/>
      <c r="L5" s="116"/>
      <c r="M5" s="118"/>
      <c r="N5" s="103" t="s">
        <v>17</v>
      </c>
      <c r="O5" s="106" t="s">
        <v>18</v>
      </c>
      <c r="P5" s="109" t="s">
        <v>19</v>
      </c>
      <c r="Q5" s="95"/>
      <c r="R5" s="96"/>
      <c r="S5" s="96"/>
      <c r="T5" s="96"/>
      <c r="U5" s="98"/>
      <c r="V5" s="101"/>
    </row>
    <row r="6" spans="1:23">
      <c r="A6" s="82"/>
      <c r="B6" s="82"/>
      <c r="C6" s="114"/>
      <c r="D6" s="82"/>
      <c r="E6" s="10"/>
      <c r="F6" s="81" t="s">
        <v>20</v>
      </c>
      <c r="G6" s="81" t="s">
        <v>21</v>
      </c>
      <c r="H6" s="81" t="s">
        <v>22</v>
      </c>
      <c r="I6" s="95"/>
      <c r="J6" s="95"/>
      <c r="K6" s="116"/>
      <c r="L6" s="116"/>
      <c r="M6" s="118"/>
      <c r="N6" s="104"/>
      <c r="O6" s="107"/>
      <c r="P6" s="150"/>
      <c r="Q6" s="95"/>
      <c r="R6" s="151" t="s">
        <v>23</v>
      </c>
      <c r="S6" s="86" t="s">
        <v>24</v>
      </c>
      <c r="T6" s="89" t="s">
        <v>25</v>
      </c>
      <c r="U6" s="98"/>
      <c r="V6" s="101"/>
    </row>
    <row r="7" spans="1:23">
      <c r="A7" s="82"/>
      <c r="B7" s="82"/>
      <c r="C7" s="114"/>
      <c r="D7" s="82"/>
      <c r="E7" s="10" t="s">
        <v>5</v>
      </c>
      <c r="F7" s="82"/>
      <c r="G7" s="82"/>
      <c r="H7" s="82"/>
      <c r="I7" s="95"/>
      <c r="J7" s="95"/>
      <c r="K7" s="116"/>
      <c r="L7" s="116"/>
      <c r="M7" s="118"/>
      <c r="N7" s="104"/>
      <c r="O7" s="107"/>
      <c r="P7" s="150"/>
      <c r="Q7" s="95"/>
      <c r="R7" s="149"/>
      <c r="S7" s="87"/>
      <c r="T7" s="90"/>
      <c r="U7" s="98"/>
      <c r="V7" s="101"/>
    </row>
    <row r="8" spans="1:23">
      <c r="A8" s="82"/>
      <c r="B8" s="82"/>
      <c r="C8" s="114"/>
      <c r="D8" s="82"/>
      <c r="E8" s="7"/>
      <c r="F8" s="82"/>
      <c r="G8" s="82"/>
      <c r="H8" s="82"/>
      <c r="I8" s="95"/>
      <c r="J8" s="95"/>
      <c r="K8" s="116"/>
      <c r="L8" s="116"/>
      <c r="M8" s="119"/>
      <c r="N8" s="105"/>
      <c r="O8" s="108"/>
      <c r="P8" s="111"/>
      <c r="Q8" s="95"/>
      <c r="R8" s="148"/>
      <c r="S8" s="88"/>
      <c r="T8" s="91"/>
      <c r="U8" s="99"/>
      <c r="V8" s="102"/>
    </row>
    <row r="9" spans="1:23" ht="52.5">
      <c r="A9" s="437" t="s">
        <v>1445</v>
      </c>
      <c r="B9" s="429"/>
      <c r="C9" s="452" t="s">
        <v>1444</v>
      </c>
      <c r="D9" s="449" t="s">
        <v>1443</v>
      </c>
      <c r="E9" s="443" t="s">
        <v>906</v>
      </c>
      <c r="F9" s="443">
        <v>2.754</v>
      </c>
      <c r="G9" s="443">
        <v>420</v>
      </c>
      <c r="H9" s="443">
        <v>110</v>
      </c>
      <c r="I9" s="443" t="s">
        <v>1441</v>
      </c>
      <c r="J9" s="443">
        <v>1957</v>
      </c>
      <c r="K9" s="448">
        <v>3612</v>
      </c>
      <c r="L9" s="448">
        <v>1490</v>
      </c>
      <c r="M9" s="447" t="s">
        <v>1440</v>
      </c>
      <c r="N9" s="446">
        <v>11.3</v>
      </c>
      <c r="O9" s="445">
        <f>IF(N9&gt;0,1/N9*37.7*68.6,"")</f>
        <v>228.86902654867257</v>
      </c>
      <c r="P9" s="444">
        <v>10.83</v>
      </c>
      <c r="Q9" s="443" t="s">
        <v>1439</v>
      </c>
      <c r="R9" s="443" t="s">
        <v>1438</v>
      </c>
      <c r="S9" s="443" t="s">
        <v>34</v>
      </c>
      <c r="T9" s="443"/>
      <c r="U9" s="451"/>
      <c r="V9" s="441">
        <f>IFERROR(IF(N9&lt;P9,"",(ROUNDDOWN(N9/P9*100,0))),"")</f>
        <v>104</v>
      </c>
      <c r="W9" s="440" t="s">
        <v>1437</v>
      </c>
    </row>
    <row r="10" spans="1:23" ht="52.5">
      <c r="B10" s="411"/>
      <c r="C10" s="450"/>
      <c r="D10" s="449" t="s">
        <v>1442</v>
      </c>
      <c r="E10" s="443" t="s">
        <v>906</v>
      </c>
      <c r="F10" s="443">
        <v>2.754</v>
      </c>
      <c r="G10" s="443">
        <v>420</v>
      </c>
      <c r="H10" s="443">
        <v>110</v>
      </c>
      <c r="I10" s="443" t="s">
        <v>1441</v>
      </c>
      <c r="J10" s="443">
        <v>1957</v>
      </c>
      <c r="K10" s="448">
        <v>3612</v>
      </c>
      <c r="L10" s="448">
        <v>1490</v>
      </c>
      <c r="M10" s="447" t="s">
        <v>1440</v>
      </c>
      <c r="N10" s="446">
        <v>11.3</v>
      </c>
      <c r="O10" s="445">
        <f>IF(N10&gt;0,1/N10*37.7*68.6,"")</f>
        <v>228.86902654867257</v>
      </c>
      <c r="P10" s="444">
        <v>10.83</v>
      </c>
      <c r="Q10" s="443" t="s">
        <v>1439</v>
      </c>
      <c r="R10" s="443" t="s">
        <v>1438</v>
      </c>
      <c r="S10" s="443" t="s">
        <v>34</v>
      </c>
      <c r="T10" s="443"/>
      <c r="U10" s="442"/>
      <c r="V10" s="441">
        <f>IFERROR(IF(N10&lt;P10,"",(ROUNDDOWN(N10/P10*100,0))),"")</f>
        <v>104</v>
      </c>
      <c r="W10" s="440" t="s">
        <v>1437</v>
      </c>
    </row>
    <row r="11" spans="1:23" ht="24" customHeight="1">
      <c r="A11" s="437"/>
      <c r="B11" s="439" t="s">
        <v>1436</v>
      </c>
      <c r="C11" s="428" t="s">
        <v>1435</v>
      </c>
      <c r="D11" s="422" t="s">
        <v>1434</v>
      </c>
      <c r="E11" s="416" t="s">
        <v>979</v>
      </c>
      <c r="F11" s="421" t="s">
        <v>1271</v>
      </c>
      <c r="G11" s="416" t="s">
        <v>1270</v>
      </c>
      <c r="H11" s="416">
        <v>110</v>
      </c>
      <c r="I11" s="416" t="s">
        <v>839</v>
      </c>
      <c r="J11" s="208">
        <v>2356</v>
      </c>
      <c r="K11" s="208">
        <v>4521</v>
      </c>
      <c r="L11" s="416">
        <v>2000</v>
      </c>
      <c r="M11" s="438" t="s">
        <v>589</v>
      </c>
      <c r="N11" s="425" t="s">
        <v>1430</v>
      </c>
      <c r="O11" s="23">
        <f>IF(N11&gt;0,1/N11*37.7*68.6,"")</f>
        <v>190.16323529411767</v>
      </c>
      <c r="P11" s="418">
        <v>10.35</v>
      </c>
      <c r="Q11" s="417" t="s">
        <v>1307</v>
      </c>
      <c r="R11" s="416" t="s">
        <v>1267</v>
      </c>
      <c r="S11" s="416" t="s">
        <v>34</v>
      </c>
      <c r="T11" s="415"/>
      <c r="U11" s="414"/>
      <c r="V11" s="28">
        <f>IFERROR(IF(N11&lt;P11,"",(ROUNDDOWN(N11/P11*100,0))),"")</f>
        <v>131</v>
      </c>
    </row>
    <row r="12" spans="1:23" ht="24" customHeight="1">
      <c r="A12" s="437"/>
      <c r="B12" s="412"/>
      <c r="C12" s="426"/>
      <c r="D12" s="422" t="s">
        <v>1386</v>
      </c>
      <c r="E12" s="416" t="s">
        <v>979</v>
      </c>
      <c r="F12" s="421" t="s">
        <v>1271</v>
      </c>
      <c r="G12" s="416" t="s">
        <v>1270</v>
      </c>
      <c r="H12" s="416">
        <v>110</v>
      </c>
      <c r="I12" s="416" t="s">
        <v>839</v>
      </c>
      <c r="J12" s="208">
        <v>2356</v>
      </c>
      <c r="K12" s="208">
        <v>4521</v>
      </c>
      <c r="L12" s="416">
        <v>2000</v>
      </c>
      <c r="M12" s="420" t="s">
        <v>589</v>
      </c>
      <c r="N12" s="425" t="s">
        <v>1430</v>
      </c>
      <c r="O12" s="23">
        <f>IF(N12&gt;0,1/N12*37.7*68.6,"")</f>
        <v>190.16323529411767</v>
      </c>
      <c r="P12" s="418">
        <v>10.35</v>
      </c>
      <c r="Q12" s="417" t="s">
        <v>1307</v>
      </c>
      <c r="R12" s="416" t="s">
        <v>1267</v>
      </c>
      <c r="S12" s="416" t="s">
        <v>34</v>
      </c>
      <c r="T12" s="415"/>
      <c r="U12" s="414"/>
      <c r="V12" s="28">
        <f>IFERROR(IF(N12&lt;P12,"",(ROUNDDOWN(N12/P12*100,0))),"")</f>
        <v>131</v>
      </c>
    </row>
    <row r="13" spans="1:23" ht="24" customHeight="1">
      <c r="A13" s="437"/>
      <c r="B13" s="412"/>
      <c r="C13" s="426"/>
      <c r="D13" s="422" t="s">
        <v>1433</v>
      </c>
      <c r="E13" s="416" t="s">
        <v>979</v>
      </c>
      <c r="F13" s="421" t="s">
        <v>1271</v>
      </c>
      <c r="G13" s="416" t="s">
        <v>1270</v>
      </c>
      <c r="H13" s="416">
        <v>110</v>
      </c>
      <c r="I13" s="416" t="s">
        <v>839</v>
      </c>
      <c r="J13" s="208">
        <v>2356</v>
      </c>
      <c r="K13" s="208">
        <v>4521</v>
      </c>
      <c r="L13" s="416">
        <v>2000</v>
      </c>
      <c r="M13" s="420" t="s">
        <v>589</v>
      </c>
      <c r="N13" s="425" t="s">
        <v>1430</v>
      </c>
      <c r="O13" s="23">
        <f>IF(N13&gt;0,1/N13*37.7*68.6,"")</f>
        <v>190.16323529411767</v>
      </c>
      <c r="P13" s="418">
        <v>10.35</v>
      </c>
      <c r="Q13" s="417" t="s">
        <v>1307</v>
      </c>
      <c r="R13" s="416" t="s">
        <v>1267</v>
      </c>
      <c r="S13" s="416" t="s">
        <v>34</v>
      </c>
      <c r="T13" s="415"/>
      <c r="U13" s="414"/>
      <c r="V13" s="28">
        <f>IFERROR(IF(N13&lt;P13,"",(ROUNDDOWN(N13/P13*100,0))),"")</f>
        <v>131</v>
      </c>
    </row>
    <row r="14" spans="1:23" ht="24" customHeight="1">
      <c r="A14" s="437"/>
      <c r="B14" s="412"/>
      <c r="C14" s="426"/>
      <c r="D14" s="422" t="s">
        <v>1384</v>
      </c>
      <c r="E14" s="416" t="s">
        <v>979</v>
      </c>
      <c r="F14" s="421" t="s">
        <v>1271</v>
      </c>
      <c r="G14" s="416" t="s">
        <v>1270</v>
      </c>
      <c r="H14" s="416">
        <v>110</v>
      </c>
      <c r="I14" s="416" t="s">
        <v>839</v>
      </c>
      <c r="J14" s="208">
        <v>2356</v>
      </c>
      <c r="K14" s="208">
        <v>4521</v>
      </c>
      <c r="L14" s="416">
        <v>2000</v>
      </c>
      <c r="M14" s="420" t="s">
        <v>589</v>
      </c>
      <c r="N14" s="425" t="s">
        <v>1430</v>
      </c>
      <c r="O14" s="23">
        <f>IF(N14&gt;0,1/N14*37.7*68.6,"")</f>
        <v>190.16323529411767</v>
      </c>
      <c r="P14" s="418">
        <v>10.35</v>
      </c>
      <c r="Q14" s="417" t="s">
        <v>1307</v>
      </c>
      <c r="R14" s="416" t="s">
        <v>1267</v>
      </c>
      <c r="S14" s="416" t="s">
        <v>34</v>
      </c>
      <c r="T14" s="415"/>
      <c r="U14" s="414"/>
      <c r="V14" s="28">
        <f>IFERROR(IF(N14&lt;P14,"",(ROUNDDOWN(N14/P14*100,0))),"")</f>
        <v>131</v>
      </c>
    </row>
    <row r="15" spans="1:23" ht="24" customHeight="1">
      <c r="A15" s="437"/>
      <c r="B15" s="412"/>
      <c r="C15" s="426"/>
      <c r="D15" s="422" t="s">
        <v>1432</v>
      </c>
      <c r="E15" s="416" t="s">
        <v>979</v>
      </c>
      <c r="F15" s="421" t="s">
        <v>1271</v>
      </c>
      <c r="G15" s="416" t="s">
        <v>1270</v>
      </c>
      <c r="H15" s="416">
        <v>110</v>
      </c>
      <c r="I15" s="416" t="s">
        <v>839</v>
      </c>
      <c r="J15" s="208">
        <v>2356</v>
      </c>
      <c r="K15" s="208">
        <v>4521</v>
      </c>
      <c r="L15" s="416">
        <v>2000</v>
      </c>
      <c r="M15" s="420" t="s">
        <v>589</v>
      </c>
      <c r="N15" s="425" t="s">
        <v>1430</v>
      </c>
      <c r="O15" s="23">
        <f>IF(N15&gt;0,1/N15*37.7*68.6,"")</f>
        <v>190.16323529411767</v>
      </c>
      <c r="P15" s="418">
        <v>10.35</v>
      </c>
      <c r="Q15" s="417" t="s">
        <v>1307</v>
      </c>
      <c r="R15" s="416" t="s">
        <v>1267</v>
      </c>
      <c r="S15" s="416" t="s">
        <v>34</v>
      </c>
      <c r="T15" s="415"/>
      <c r="U15" s="414"/>
      <c r="V15" s="28">
        <f>IFERROR(IF(N15&lt;P15,"",(ROUNDDOWN(N15/P15*100,0))),"")</f>
        <v>131</v>
      </c>
    </row>
    <row r="16" spans="1:23" ht="24" customHeight="1">
      <c r="A16" s="437"/>
      <c r="B16" s="412"/>
      <c r="C16" s="426"/>
      <c r="D16" s="422" t="s">
        <v>1431</v>
      </c>
      <c r="E16" s="416" t="s">
        <v>979</v>
      </c>
      <c r="F16" s="421" t="s">
        <v>1271</v>
      </c>
      <c r="G16" s="416" t="s">
        <v>1270</v>
      </c>
      <c r="H16" s="416">
        <v>110</v>
      </c>
      <c r="I16" s="416" t="s">
        <v>839</v>
      </c>
      <c r="J16" s="208">
        <v>2356</v>
      </c>
      <c r="K16" s="208">
        <v>4521</v>
      </c>
      <c r="L16" s="416">
        <v>2000</v>
      </c>
      <c r="M16" s="420" t="s">
        <v>589</v>
      </c>
      <c r="N16" s="425" t="s">
        <v>1430</v>
      </c>
      <c r="O16" s="23">
        <f>IF(N16&gt;0,1/N16*37.7*68.6,"")</f>
        <v>190.16323529411767</v>
      </c>
      <c r="P16" s="418">
        <v>10.35</v>
      </c>
      <c r="Q16" s="417" t="s">
        <v>1307</v>
      </c>
      <c r="R16" s="416" t="s">
        <v>1267</v>
      </c>
      <c r="S16" s="416" t="s">
        <v>34</v>
      </c>
      <c r="T16" s="415"/>
      <c r="U16" s="414"/>
      <c r="V16" s="28">
        <f>IFERROR(IF(N16&lt;P16,"",(ROUNDDOWN(N16/P16*100,0))),"")</f>
        <v>131</v>
      </c>
    </row>
    <row r="17" spans="1:22" ht="24" customHeight="1">
      <c r="A17" s="437"/>
      <c r="B17" s="412"/>
      <c r="C17" s="426"/>
      <c r="D17" s="422" t="s">
        <v>1429</v>
      </c>
      <c r="E17" s="416" t="s">
        <v>912</v>
      </c>
      <c r="F17" s="421" t="s">
        <v>1271</v>
      </c>
      <c r="G17" s="416" t="s">
        <v>1278</v>
      </c>
      <c r="H17" s="416">
        <v>110</v>
      </c>
      <c r="I17" s="416" t="s">
        <v>71</v>
      </c>
      <c r="J17" s="208">
        <v>2356</v>
      </c>
      <c r="K17" s="208">
        <v>4521</v>
      </c>
      <c r="L17" s="416">
        <v>2000</v>
      </c>
      <c r="M17" s="420" t="s">
        <v>589</v>
      </c>
      <c r="N17" s="425" t="s">
        <v>1419</v>
      </c>
      <c r="O17" s="23">
        <f>IF(N17&gt;0,1/N17*37.7*68.6,"")</f>
        <v>226.8614035087719</v>
      </c>
      <c r="P17" s="418">
        <v>10.35</v>
      </c>
      <c r="Q17" s="417" t="s">
        <v>834</v>
      </c>
      <c r="R17" s="416" t="s">
        <v>1267</v>
      </c>
      <c r="S17" s="416" t="s">
        <v>34</v>
      </c>
      <c r="T17" s="415"/>
      <c r="U17" s="414"/>
      <c r="V17" s="28">
        <f>IFERROR(IF(N17&lt;P17,"",(ROUNDDOWN(N17/P17*100,0))),"")</f>
        <v>110</v>
      </c>
    </row>
    <row r="18" spans="1:22" ht="24" customHeight="1">
      <c r="A18" s="437"/>
      <c r="B18" s="412"/>
      <c r="C18" s="426"/>
      <c r="D18" s="422" t="s">
        <v>1429</v>
      </c>
      <c r="E18" s="416" t="s">
        <v>912</v>
      </c>
      <c r="F18" s="421" t="s">
        <v>1271</v>
      </c>
      <c r="G18" s="416" t="s">
        <v>1278</v>
      </c>
      <c r="H18" s="416">
        <v>110</v>
      </c>
      <c r="I18" s="416" t="s">
        <v>790</v>
      </c>
      <c r="J18" s="208">
        <v>2356</v>
      </c>
      <c r="K18" s="208">
        <v>4521</v>
      </c>
      <c r="L18" s="416">
        <v>2000</v>
      </c>
      <c r="M18" s="420" t="s">
        <v>589</v>
      </c>
      <c r="N18" s="425" t="s">
        <v>1419</v>
      </c>
      <c r="O18" s="23">
        <f>IF(N18&gt;0,1/N18*37.7*68.6,"")</f>
        <v>226.8614035087719</v>
      </c>
      <c r="P18" s="418">
        <v>10.35</v>
      </c>
      <c r="Q18" s="417" t="s">
        <v>834</v>
      </c>
      <c r="R18" s="416" t="s">
        <v>1267</v>
      </c>
      <c r="S18" s="416" t="s">
        <v>34</v>
      </c>
      <c r="T18" s="415"/>
      <c r="U18" s="414"/>
      <c r="V18" s="28">
        <f>IFERROR(IF(N18&lt;P18,"",(ROUNDDOWN(N18/P18*100,0))),"")</f>
        <v>110</v>
      </c>
    </row>
    <row r="19" spans="1:22" ht="24" customHeight="1">
      <c r="A19" s="437"/>
      <c r="B19" s="412"/>
      <c r="C19" s="426"/>
      <c r="D19" s="422" t="s">
        <v>1428</v>
      </c>
      <c r="E19" s="416" t="s">
        <v>912</v>
      </c>
      <c r="F19" s="421" t="s">
        <v>1271</v>
      </c>
      <c r="G19" s="416" t="s">
        <v>1278</v>
      </c>
      <c r="H19" s="416">
        <v>110</v>
      </c>
      <c r="I19" s="416" t="s">
        <v>71</v>
      </c>
      <c r="J19" s="208">
        <v>2356</v>
      </c>
      <c r="K19" s="208">
        <v>4521</v>
      </c>
      <c r="L19" s="416">
        <v>2000</v>
      </c>
      <c r="M19" s="420" t="s">
        <v>589</v>
      </c>
      <c r="N19" s="425" t="s">
        <v>1419</v>
      </c>
      <c r="O19" s="23">
        <f>IF(N19&gt;0,1/N19*37.7*68.6,"")</f>
        <v>226.8614035087719</v>
      </c>
      <c r="P19" s="418">
        <v>10.35</v>
      </c>
      <c r="Q19" s="417" t="s">
        <v>834</v>
      </c>
      <c r="R19" s="416" t="s">
        <v>1267</v>
      </c>
      <c r="S19" s="416" t="s">
        <v>34</v>
      </c>
      <c r="T19" s="415"/>
      <c r="U19" s="414"/>
      <c r="V19" s="28">
        <f>IFERROR(IF(N19&lt;P19,"",(ROUNDDOWN(N19/P19*100,0))),"")</f>
        <v>110</v>
      </c>
    </row>
    <row r="20" spans="1:22" ht="24" customHeight="1">
      <c r="A20" s="437"/>
      <c r="B20" s="412"/>
      <c r="C20" s="426"/>
      <c r="D20" s="422" t="s">
        <v>1428</v>
      </c>
      <c r="E20" s="416" t="s">
        <v>912</v>
      </c>
      <c r="F20" s="421" t="s">
        <v>1271</v>
      </c>
      <c r="G20" s="416" t="s">
        <v>1278</v>
      </c>
      <c r="H20" s="416">
        <v>110</v>
      </c>
      <c r="I20" s="416" t="s">
        <v>790</v>
      </c>
      <c r="J20" s="208">
        <v>2356</v>
      </c>
      <c r="K20" s="208">
        <v>4521</v>
      </c>
      <c r="L20" s="416">
        <v>2000</v>
      </c>
      <c r="M20" s="420" t="s">
        <v>589</v>
      </c>
      <c r="N20" s="425" t="s">
        <v>1419</v>
      </c>
      <c r="O20" s="23">
        <f>IF(N20&gt;0,1/N20*37.7*68.6,"")</f>
        <v>226.8614035087719</v>
      </c>
      <c r="P20" s="418">
        <v>10.35</v>
      </c>
      <c r="Q20" s="417" t="s">
        <v>834</v>
      </c>
      <c r="R20" s="416" t="s">
        <v>1267</v>
      </c>
      <c r="S20" s="416" t="s">
        <v>34</v>
      </c>
      <c r="T20" s="415"/>
      <c r="U20" s="414"/>
      <c r="V20" s="28">
        <f>IFERROR(IF(N20&lt;P20,"",(ROUNDDOWN(N20/P20*100,0))),"")</f>
        <v>110</v>
      </c>
    </row>
    <row r="21" spans="1:22" ht="24" customHeight="1">
      <c r="A21" s="437"/>
      <c r="B21" s="412"/>
      <c r="C21" s="426"/>
      <c r="D21" s="422" t="s">
        <v>1427</v>
      </c>
      <c r="E21" s="416" t="s">
        <v>912</v>
      </c>
      <c r="F21" s="421" t="s">
        <v>1271</v>
      </c>
      <c r="G21" s="416" t="s">
        <v>1278</v>
      </c>
      <c r="H21" s="416">
        <v>110</v>
      </c>
      <c r="I21" s="416" t="s">
        <v>71</v>
      </c>
      <c r="J21" s="208">
        <v>2356</v>
      </c>
      <c r="K21" s="208">
        <v>4521</v>
      </c>
      <c r="L21" s="416">
        <v>2000</v>
      </c>
      <c r="M21" s="420" t="s">
        <v>589</v>
      </c>
      <c r="N21" s="425" t="s">
        <v>1419</v>
      </c>
      <c r="O21" s="23">
        <f>IF(N21&gt;0,1/N21*37.7*68.6,"")</f>
        <v>226.8614035087719</v>
      </c>
      <c r="P21" s="418">
        <v>10.35</v>
      </c>
      <c r="Q21" s="417" t="s">
        <v>834</v>
      </c>
      <c r="R21" s="416" t="s">
        <v>1267</v>
      </c>
      <c r="S21" s="416" t="s">
        <v>34</v>
      </c>
      <c r="T21" s="415"/>
      <c r="U21" s="414"/>
      <c r="V21" s="28">
        <f>IFERROR(IF(N21&lt;P21,"",(ROUNDDOWN(N21/P21*100,0))),"")</f>
        <v>110</v>
      </c>
    </row>
    <row r="22" spans="1:22" ht="24" customHeight="1">
      <c r="A22" s="437"/>
      <c r="B22" s="412"/>
      <c r="C22" s="426"/>
      <c r="D22" s="422" t="s">
        <v>1426</v>
      </c>
      <c r="E22" s="416" t="s">
        <v>912</v>
      </c>
      <c r="F22" s="421" t="s">
        <v>1271</v>
      </c>
      <c r="G22" s="416" t="s">
        <v>1278</v>
      </c>
      <c r="H22" s="416">
        <v>110</v>
      </c>
      <c r="I22" s="416" t="s">
        <v>71</v>
      </c>
      <c r="J22" s="208">
        <v>2356</v>
      </c>
      <c r="K22" s="208">
        <v>4521</v>
      </c>
      <c r="L22" s="416">
        <v>2000</v>
      </c>
      <c r="M22" s="420" t="s">
        <v>589</v>
      </c>
      <c r="N22" s="425" t="s">
        <v>1419</v>
      </c>
      <c r="O22" s="23">
        <f>IF(N22&gt;0,1/N22*37.7*68.6,"")</f>
        <v>226.8614035087719</v>
      </c>
      <c r="P22" s="418">
        <v>10.35</v>
      </c>
      <c r="Q22" s="417" t="s">
        <v>834</v>
      </c>
      <c r="R22" s="416" t="s">
        <v>1267</v>
      </c>
      <c r="S22" s="416" t="s">
        <v>34</v>
      </c>
      <c r="T22" s="415"/>
      <c r="U22" s="414"/>
      <c r="V22" s="28">
        <f>IFERROR(IF(N22&lt;P22,"",(ROUNDDOWN(N22/P22*100,0))),"")</f>
        <v>110</v>
      </c>
    </row>
    <row r="23" spans="1:22" ht="24" customHeight="1">
      <c r="A23" s="437"/>
      <c r="B23" s="412"/>
      <c r="C23" s="426"/>
      <c r="D23" s="422" t="s">
        <v>1426</v>
      </c>
      <c r="E23" s="416" t="s">
        <v>912</v>
      </c>
      <c r="F23" s="421" t="s">
        <v>1271</v>
      </c>
      <c r="G23" s="416" t="s">
        <v>1278</v>
      </c>
      <c r="H23" s="416">
        <v>110</v>
      </c>
      <c r="I23" s="416" t="s">
        <v>790</v>
      </c>
      <c r="J23" s="208">
        <v>2356</v>
      </c>
      <c r="K23" s="208">
        <v>4521</v>
      </c>
      <c r="L23" s="416">
        <v>2000</v>
      </c>
      <c r="M23" s="420" t="s">
        <v>589</v>
      </c>
      <c r="N23" s="425" t="s">
        <v>1419</v>
      </c>
      <c r="O23" s="23">
        <f>IF(N23&gt;0,1/N23*37.7*68.6,"")</f>
        <v>226.8614035087719</v>
      </c>
      <c r="P23" s="418">
        <v>10.35</v>
      </c>
      <c r="Q23" s="417" t="s">
        <v>834</v>
      </c>
      <c r="R23" s="416" t="s">
        <v>1267</v>
      </c>
      <c r="S23" s="416" t="s">
        <v>34</v>
      </c>
      <c r="T23" s="415"/>
      <c r="U23" s="414"/>
      <c r="V23" s="28">
        <f>IFERROR(IF(N23&lt;P23,"",(ROUNDDOWN(N23/P23*100,0))),"")</f>
        <v>110</v>
      </c>
    </row>
    <row r="24" spans="1:22" ht="24" customHeight="1">
      <c r="A24" s="437"/>
      <c r="B24" s="412"/>
      <c r="C24" s="426"/>
      <c r="D24" s="422" t="s">
        <v>1425</v>
      </c>
      <c r="E24" s="416" t="s">
        <v>912</v>
      </c>
      <c r="F24" s="421" t="s">
        <v>1271</v>
      </c>
      <c r="G24" s="416" t="s">
        <v>1278</v>
      </c>
      <c r="H24" s="416">
        <v>110</v>
      </c>
      <c r="I24" s="416" t="s">
        <v>71</v>
      </c>
      <c r="J24" s="208">
        <v>2356</v>
      </c>
      <c r="K24" s="208">
        <v>4521</v>
      </c>
      <c r="L24" s="416">
        <v>2000</v>
      </c>
      <c r="M24" s="420" t="s">
        <v>589</v>
      </c>
      <c r="N24" s="425" t="s">
        <v>1419</v>
      </c>
      <c r="O24" s="23">
        <f>IF(N24&gt;0,1/N24*37.7*68.6,"")</f>
        <v>226.8614035087719</v>
      </c>
      <c r="P24" s="418">
        <v>10.35</v>
      </c>
      <c r="Q24" s="417" t="s">
        <v>834</v>
      </c>
      <c r="R24" s="416" t="s">
        <v>1267</v>
      </c>
      <c r="S24" s="416" t="s">
        <v>34</v>
      </c>
      <c r="T24" s="415"/>
      <c r="U24" s="414"/>
      <c r="V24" s="28">
        <f>IFERROR(IF(N24&lt;P24,"",(ROUNDDOWN(N24/P24*100,0))),"")</f>
        <v>110</v>
      </c>
    </row>
    <row r="25" spans="1:22" ht="24" customHeight="1">
      <c r="A25" s="437"/>
      <c r="B25" s="412"/>
      <c r="C25" s="426"/>
      <c r="D25" s="422" t="s">
        <v>1425</v>
      </c>
      <c r="E25" s="416" t="s">
        <v>912</v>
      </c>
      <c r="F25" s="421" t="s">
        <v>1271</v>
      </c>
      <c r="G25" s="416" t="s">
        <v>1278</v>
      </c>
      <c r="H25" s="416">
        <v>110</v>
      </c>
      <c r="I25" s="416" t="s">
        <v>790</v>
      </c>
      <c r="J25" s="208">
        <v>2356</v>
      </c>
      <c r="K25" s="208">
        <v>4521</v>
      </c>
      <c r="L25" s="416">
        <v>2000</v>
      </c>
      <c r="M25" s="420" t="s">
        <v>589</v>
      </c>
      <c r="N25" s="425" t="s">
        <v>1419</v>
      </c>
      <c r="O25" s="23">
        <f>IF(N25&gt;0,1/N25*37.7*68.6,"")</f>
        <v>226.8614035087719</v>
      </c>
      <c r="P25" s="418">
        <v>10.35</v>
      </c>
      <c r="Q25" s="417" t="s">
        <v>834</v>
      </c>
      <c r="R25" s="416" t="s">
        <v>1267</v>
      </c>
      <c r="S25" s="416" t="s">
        <v>34</v>
      </c>
      <c r="T25" s="415"/>
      <c r="U25" s="414"/>
      <c r="V25" s="28">
        <f>IFERROR(IF(N25&lt;P25,"",(ROUNDDOWN(N25/P25*100,0))),"")</f>
        <v>110</v>
      </c>
    </row>
    <row r="26" spans="1:22" ht="24" customHeight="1">
      <c r="A26" s="437"/>
      <c r="B26" s="412"/>
      <c r="C26" s="426"/>
      <c r="D26" s="422" t="s">
        <v>1424</v>
      </c>
      <c r="E26" s="416" t="s">
        <v>912</v>
      </c>
      <c r="F26" s="421" t="s">
        <v>1271</v>
      </c>
      <c r="G26" s="416" t="s">
        <v>1278</v>
      </c>
      <c r="H26" s="416">
        <v>110</v>
      </c>
      <c r="I26" s="416" t="s">
        <v>71</v>
      </c>
      <c r="J26" s="208">
        <v>2356</v>
      </c>
      <c r="K26" s="208">
        <v>4521</v>
      </c>
      <c r="L26" s="416">
        <v>2000</v>
      </c>
      <c r="M26" s="420" t="s">
        <v>589</v>
      </c>
      <c r="N26" s="425" t="s">
        <v>1419</v>
      </c>
      <c r="O26" s="23">
        <f>IF(N26&gt;0,1/N26*37.7*68.6,"")</f>
        <v>226.8614035087719</v>
      </c>
      <c r="P26" s="418">
        <v>10.35</v>
      </c>
      <c r="Q26" s="417" t="s">
        <v>834</v>
      </c>
      <c r="R26" s="416" t="s">
        <v>1267</v>
      </c>
      <c r="S26" s="416" t="s">
        <v>34</v>
      </c>
      <c r="T26" s="415"/>
      <c r="U26" s="414"/>
      <c r="V26" s="28">
        <f>IFERROR(IF(N26&lt;P26,"",(ROUNDDOWN(N26/P26*100,0))),"")</f>
        <v>110</v>
      </c>
    </row>
    <row r="27" spans="1:22" ht="24" customHeight="1">
      <c r="A27" s="437"/>
      <c r="B27" s="412"/>
      <c r="C27" s="426"/>
      <c r="D27" s="422" t="s">
        <v>1424</v>
      </c>
      <c r="E27" s="416" t="s">
        <v>912</v>
      </c>
      <c r="F27" s="421" t="s">
        <v>1271</v>
      </c>
      <c r="G27" s="416" t="s">
        <v>1278</v>
      </c>
      <c r="H27" s="416">
        <v>110</v>
      </c>
      <c r="I27" s="416" t="s">
        <v>790</v>
      </c>
      <c r="J27" s="208">
        <v>2356</v>
      </c>
      <c r="K27" s="208">
        <v>4521</v>
      </c>
      <c r="L27" s="416">
        <v>2000</v>
      </c>
      <c r="M27" s="420" t="s">
        <v>589</v>
      </c>
      <c r="N27" s="425" t="s">
        <v>1419</v>
      </c>
      <c r="O27" s="23">
        <f>IF(N27&gt;0,1/N27*37.7*68.6,"")</f>
        <v>226.8614035087719</v>
      </c>
      <c r="P27" s="418">
        <v>10.35</v>
      </c>
      <c r="Q27" s="417" t="s">
        <v>834</v>
      </c>
      <c r="R27" s="416" t="s">
        <v>1267</v>
      </c>
      <c r="S27" s="416" t="s">
        <v>34</v>
      </c>
      <c r="T27" s="415"/>
      <c r="U27" s="414"/>
      <c r="V27" s="28">
        <f>IFERROR(IF(N27&lt;P27,"",(ROUNDDOWN(N27/P27*100,0))),"")</f>
        <v>110</v>
      </c>
    </row>
    <row r="28" spans="1:22" ht="24" customHeight="1">
      <c r="A28" s="437"/>
      <c r="B28" s="412"/>
      <c r="C28" s="426"/>
      <c r="D28" s="422" t="s">
        <v>1423</v>
      </c>
      <c r="E28" s="416" t="s">
        <v>912</v>
      </c>
      <c r="F28" s="421" t="s">
        <v>1271</v>
      </c>
      <c r="G28" s="416" t="s">
        <v>1278</v>
      </c>
      <c r="H28" s="416">
        <v>110</v>
      </c>
      <c r="I28" s="416" t="s">
        <v>71</v>
      </c>
      <c r="J28" s="208">
        <v>2356</v>
      </c>
      <c r="K28" s="208">
        <v>4521</v>
      </c>
      <c r="L28" s="416">
        <v>2000</v>
      </c>
      <c r="M28" s="420" t="s">
        <v>589</v>
      </c>
      <c r="N28" s="425" t="s">
        <v>1419</v>
      </c>
      <c r="O28" s="23">
        <f>IF(N28&gt;0,1/N28*37.7*68.6,"")</f>
        <v>226.8614035087719</v>
      </c>
      <c r="P28" s="418">
        <v>10.35</v>
      </c>
      <c r="Q28" s="417" t="s">
        <v>834</v>
      </c>
      <c r="R28" s="416" t="s">
        <v>1267</v>
      </c>
      <c r="S28" s="416" t="s">
        <v>34</v>
      </c>
      <c r="T28" s="415"/>
      <c r="U28" s="414"/>
      <c r="V28" s="28">
        <f>IFERROR(IF(N28&lt;P28,"",(ROUNDDOWN(N28/P28*100,0))),"")</f>
        <v>110</v>
      </c>
    </row>
    <row r="29" spans="1:22" ht="24" customHeight="1">
      <c r="A29" s="437"/>
      <c r="B29" s="412"/>
      <c r="C29" s="426"/>
      <c r="D29" s="422" t="s">
        <v>1423</v>
      </c>
      <c r="E29" s="416" t="s">
        <v>912</v>
      </c>
      <c r="F29" s="421" t="s">
        <v>1271</v>
      </c>
      <c r="G29" s="416" t="s">
        <v>1278</v>
      </c>
      <c r="H29" s="416">
        <v>110</v>
      </c>
      <c r="I29" s="416" t="s">
        <v>790</v>
      </c>
      <c r="J29" s="208">
        <v>2356</v>
      </c>
      <c r="K29" s="208">
        <v>4521</v>
      </c>
      <c r="L29" s="416">
        <v>2000</v>
      </c>
      <c r="M29" s="420" t="s">
        <v>589</v>
      </c>
      <c r="N29" s="425" t="s">
        <v>1419</v>
      </c>
      <c r="O29" s="23">
        <f>IF(N29&gt;0,1/N29*37.7*68.6,"")</f>
        <v>226.8614035087719</v>
      </c>
      <c r="P29" s="418">
        <v>10.35</v>
      </c>
      <c r="Q29" s="417" t="s">
        <v>834</v>
      </c>
      <c r="R29" s="416" t="s">
        <v>1267</v>
      </c>
      <c r="S29" s="416" t="s">
        <v>34</v>
      </c>
      <c r="T29" s="415"/>
      <c r="U29" s="414"/>
      <c r="V29" s="28">
        <f>IFERROR(IF(N29&lt;P29,"",(ROUNDDOWN(N29/P29*100,0))),"")</f>
        <v>110</v>
      </c>
    </row>
    <row r="30" spans="1:22" ht="24" customHeight="1">
      <c r="A30" s="437"/>
      <c r="B30" s="412"/>
      <c r="C30" s="426"/>
      <c r="D30" s="422" t="s">
        <v>1379</v>
      </c>
      <c r="E30" s="416" t="s">
        <v>912</v>
      </c>
      <c r="F30" s="421" t="s">
        <v>1271</v>
      </c>
      <c r="G30" s="416" t="s">
        <v>1278</v>
      </c>
      <c r="H30" s="416">
        <v>110</v>
      </c>
      <c r="I30" s="416" t="s">
        <v>71</v>
      </c>
      <c r="J30" s="208">
        <v>2356</v>
      </c>
      <c r="K30" s="208">
        <v>4521</v>
      </c>
      <c r="L30" s="416">
        <v>2000</v>
      </c>
      <c r="M30" s="420" t="s">
        <v>589</v>
      </c>
      <c r="N30" s="425" t="s">
        <v>1419</v>
      </c>
      <c r="O30" s="23">
        <f>IF(N30&gt;0,1/N30*37.7*68.6,"")</f>
        <v>226.8614035087719</v>
      </c>
      <c r="P30" s="418">
        <v>10.35</v>
      </c>
      <c r="Q30" s="417" t="s">
        <v>834</v>
      </c>
      <c r="R30" s="416" t="s">
        <v>1267</v>
      </c>
      <c r="S30" s="416" t="s">
        <v>34</v>
      </c>
      <c r="T30" s="415"/>
      <c r="U30" s="414"/>
      <c r="V30" s="28">
        <f>IFERROR(IF(N30&lt;P30,"",(ROUNDDOWN(N30/P30*100,0))),"")</f>
        <v>110</v>
      </c>
    </row>
    <row r="31" spans="1:22" ht="24" customHeight="1">
      <c r="A31" s="437"/>
      <c r="B31" s="412"/>
      <c r="C31" s="426"/>
      <c r="D31" s="422" t="s">
        <v>1379</v>
      </c>
      <c r="E31" s="416" t="s">
        <v>912</v>
      </c>
      <c r="F31" s="421" t="s">
        <v>1271</v>
      </c>
      <c r="G31" s="416" t="s">
        <v>1278</v>
      </c>
      <c r="H31" s="416">
        <v>110</v>
      </c>
      <c r="I31" s="416" t="s">
        <v>790</v>
      </c>
      <c r="J31" s="208">
        <v>2356</v>
      </c>
      <c r="K31" s="208">
        <v>4521</v>
      </c>
      <c r="L31" s="416">
        <v>2000</v>
      </c>
      <c r="M31" s="420" t="s">
        <v>589</v>
      </c>
      <c r="N31" s="425" t="s">
        <v>1419</v>
      </c>
      <c r="O31" s="23">
        <f>IF(N31&gt;0,1/N31*37.7*68.6,"")</f>
        <v>226.8614035087719</v>
      </c>
      <c r="P31" s="418">
        <v>10.35</v>
      </c>
      <c r="Q31" s="417" t="s">
        <v>834</v>
      </c>
      <c r="R31" s="416" t="s">
        <v>1267</v>
      </c>
      <c r="S31" s="416" t="s">
        <v>34</v>
      </c>
      <c r="T31" s="415"/>
      <c r="U31" s="414"/>
      <c r="V31" s="28">
        <f>IFERROR(IF(N31&lt;P31,"",(ROUNDDOWN(N31/P31*100,0))),"")</f>
        <v>110</v>
      </c>
    </row>
    <row r="32" spans="1:22" ht="24" customHeight="1">
      <c r="A32" s="437"/>
      <c r="B32" s="412"/>
      <c r="C32" s="426"/>
      <c r="D32" s="422" t="s">
        <v>1377</v>
      </c>
      <c r="E32" s="416" t="s">
        <v>912</v>
      </c>
      <c r="F32" s="421" t="s">
        <v>1271</v>
      </c>
      <c r="G32" s="416" t="s">
        <v>1278</v>
      </c>
      <c r="H32" s="416">
        <v>110</v>
      </c>
      <c r="I32" s="416" t="s">
        <v>71</v>
      </c>
      <c r="J32" s="208">
        <v>2356</v>
      </c>
      <c r="K32" s="208">
        <v>4521</v>
      </c>
      <c r="L32" s="416">
        <v>2000</v>
      </c>
      <c r="M32" s="420" t="s">
        <v>589</v>
      </c>
      <c r="N32" s="425" t="s">
        <v>1419</v>
      </c>
      <c r="O32" s="23">
        <f>IF(N32&gt;0,1/N32*37.7*68.6,"")</f>
        <v>226.8614035087719</v>
      </c>
      <c r="P32" s="418">
        <v>10.35</v>
      </c>
      <c r="Q32" s="417" t="s">
        <v>834</v>
      </c>
      <c r="R32" s="416" t="s">
        <v>1267</v>
      </c>
      <c r="S32" s="416" t="s">
        <v>34</v>
      </c>
      <c r="T32" s="415"/>
      <c r="U32" s="414"/>
      <c r="V32" s="28">
        <f>IFERROR(IF(N32&lt;P32,"",(ROUNDDOWN(N32/P32*100,0))),"")</f>
        <v>110</v>
      </c>
    </row>
    <row r="33" spans="1:22" ht="24" customHeight="1">
      <c r="A33" s="437"/>
      <c r="B33" s="412"/>
      <c r="C33" s="426"/>
      <c r="D33" s="422" t="s">
        <v>1377</v>
      </c>
      <c r="E33" s="416" t="s">
        <v>912</v>
      </c>
      <c r="F33" s="421" t="s">
        <v>1271</v>
      </c>
      <c r="G33" s="416" t="s">
        <v>1278</v>
      </c>
      <c r="H33" s="416">
        <v>110</v>
      </c>
      <c r="I33" s="416" t="s">
        <v>790</v>
      </c>
      <c r="J33" s="208">
        <v>2356</v>
      </c>
      <c r="K33" s="208">
        <v>4521</v>
      </c>
      <c r="L33" s="416">
        <v>2000</v>
      </c>
      <c r="M33" s="420" t="s">
        <v>589</v>
      </c>
      <c r="N33" s="425" t="s">
        <v>1419</v>
      </c>
      <c r="O33" s="23">
        <f>IF(N33&gt;0,1/N33*37.7*68.6,"")</f>
        <v>226.8614035087719</v>
      </c>
      <c r="P33" s="418">
        <v>10.35</v>
      </c>
      <c r="Q33" s="417" t="s">
        <v>834</v>
      </c>
      <c r="R33" s="416" t="s">
        <v>1267</v>
      </c>
      <c r="S33" s="416" t="s">
        <v>34</v>
      </c>
      <c r="T33" s="415"/>
      <c r="U33" s="414"/>
      <c r="V33" s="28">
        <f>IFERROR(IF(N33&lt;P33,"",(ROUNDDOWN(N33/P33*100,0))),"")</f>
        <v>110</v>
      </c>
    </row>
    <row r="34" spans="1:22" ht="24" customHeight="1">
      <c r="A34" s="437"/>
      <c r="B34" s="412"/>
      <c r="C34" s="426"/>
      <c r="D34" s="422" t="s">
        <v>1376</v>
      </c>
      <c r="E34" s="416" t="s">
        <v>912</v>
      </c>
      <c r="F34" s="421" t="s">
        <v>1271</v>
      </c>
      <c r="G34" s="416" t="s">
        <v>1278</v>
      </c>
      <c r="H34" s="416">
        <v>110</v>
      </c>
      <c r="I34" s="416" t="s">
        <v>71</v>
      </c>
      <c r="J34" s="208">
        <v>2356</v>
      </c>
      <c r="K34" s="208">
        <v>4521</v>
      </c>
      <c r="L34" s="416">
        <v>2000</v>
      </c>
      <c r="M34" s="420" t="s">
        <v>589</v>
      </c>
      <c r="N34" s="425" t="s">
        <v>1419</v>
      </c>
      <c r="O34" s="23">
        <f>IF(N34&gt;0,1/N34*37.7*68.6,"")</f>
        <v>226.8614035087719</v>
      </c>
      <c r="P34" s="418">
        <v>10.35</v>
      </c>
      <c r="Q34" s="417" t="s">
        <v>834</v>
      </c>
      <c r="R34" s="416" t="s">
        <v>1267</v>
      </c>
      <c r="S34" s="416" t="s">
        <v>34</v>
      </c>
      <c r="T34" s="415"/>
      <c r="U34" s="414"/>
      <c r="V34" s="28">
        <f>IFERROR(IF(N34&lt;P34,"",(ROUNDDOWN(N34/P34*100,0))),"")</f>
        <v>110</v>
      </c>
    </row>
    <row r="35" spans="1:22" ht="24" customHeight="1">
      <c r="A35" s="437"/>
      <c r="B35" s="412"/>
      <c r="C35" s="426"/>
      <c r="D35" s="422" t="s">
        <v>1376</v>
      </c>
      <c r="E35" s="416" t="s">
        <v>912</v>
      </c>
      <c r="F35" s="421" t="s">
        <v>1271</v>
      </c>
      <c r="G35" s="416" t="s">
        <v>1278</v>
      </c>
      <c r="H35" s="416">
        <v>110</v>
      </c>
      <c r="I35" s="416" t="s">
        <v>790</v>
      </c>
      <c r="J35" s="208">
        <v>2356</v>
      </c>
      <c r="K35" s="208">
        <v>4521</v>
      </c>
      <c r="L35" s="416">
        <v>2000</v>
      </c>
      <c r="M35" s="420" t="s">
        <v>589</v>
      </c>
      <c r="N35" s="425" t="s">
        <v>1419</v>
      </c>
      <c r="O35" s="23">
        <f>IF(N35&gt;0,1/N35*37.7*68.6,"")</f>
        <v>226.8614035087719</v>
      </c>
      <c r="P35" s="418">
        <v>10.35</v>
      </c>
      <c r="Q35" s="417" t="s">
        <v>834</v>
      </c>
      <c r="R35" s="416" t="s">
        <v>1267</v>
      </c>
      <c r="S35" s="416" t="s">
        <v>34</v>
      </c>
      <c r="T35" s="415"/>
      <c r="U35" s="414"/>
      <c r="V35" s="28">
        <f>IFERROR(IF(N35&lt;P35,"",(ROUNDDOWN(N35/P35*100,0))),"")</f>
        <v>110</v>
      </c>
    </row>
    <row r="36" spans="1:22" ht="24" customHeight="1">
      <c r="A36" s="437"/>
      <c r="B36" s="412"/>
      <c r="C36" s="426"/>
      <c r="D36" s="422" t="s">
        <v>1375</v>
      </c>
      <c r="E36" s="416" t="s">
        <v>912</v>
      </c>
      <c r="F36" s="421" t="s">
        <v>1271</v>
      </c>
      <c r="G36" s="416" t="s">
        <v>1278</v>
      </c>
      <c r="H36" s="416">
        <v>110</v>
      </c>
      <c r="I36" s="416" t="s">
        <v>71</v>
      </c>
      <c r="J36" s="208">
        <v>2356</v>
      </c>
      <c r="K36" s="208">
        <v>4521</v>
      </c>
      <c r="L36" s="416">
        <v>2000</v>
      </c>
      <c r="M36" s="420" t="s">
        <v>589</v>
      </c>
      <c r="N36" s="425" t="s">
        <v>1419</v>
      </c>
      <c r="O36" s="23">
        <f>IF(N36&gt;0,1/N36*37.7*68.6,"")</f>
        <v>226.8614035087719</v>
      </c>
      <c r="P36" s="418">
        <v>10.35</v>
      </c>
      <c r="Q36" s="417" t="s">
        <v>834</v>
      </c>
      <c r="R36" s="416" t="s">
        <v>1267</v>
      </c>
      <c r="S36" s="416" t="s">
        <v>34</v>
      </c>
      <c r="T36" s="415"/>
      <c r="U36" s="414"/>
      <c r="V36" s="28">
        <f>IFERROR(IF(N36&lt;P36,"",(ROUNDDOWN(N36/P36*100,0))),"")</f>
        <v>110</v>
      </c>
    </row>
    <row r="37" spans="1:22" ht="24" customHeight="1">
      <c r="A37" s="437"/>
      <c r="B37" s="412"/>
      <c r="C37" s="426"/>
      <c r="D37" s="422" t="s">
        <v>1373</v>
      </c>
      <c r="E37" s="416" t="s">
        <v>912</v>
      </c>
      <c r="F37" s="421" t="s">
        <v>1271</v>
      </c>
      <c r="G37" s="416" t="s">
        <v>1278</v>
      </c>
      <c r="H37" s="416">
        <v>110</v>
      </c>
      <c r="I37" s="416" t="s">
        <v>71</v>
      </c>
      <c r="J37" s="208">
        <v>2356</v>
      </c>
      <c r="K37" s="208">
        <v>4521</v>
      </c>
      <c r="L37" s="416">
        <v>2000</v>
      </c>
      <c r="M37" s="420" t="s">
        <v>589</v>
      </c>
      <c r="N37" s="425" t="s">
        <v>1419</v>
      </c>
      <c r="O37" s="23">
        <f>IF(N37&gt;0,1/N37*37.7*68.6,"")</f>
        <v>226.8614035087719</v>
      </c>
      <c r="P37" s="418">
        <v>10.35</v>
      </c>
      <c r="Q37" s="417" t="s">
        <v>834</v>
      </c>
      <c r="R37" s="416" t="s">
        <v>1267</v>
      </c>
      <c r="S37" s="416" t="s">
        <v>34</v>
      </c>
      <c r="T37" s="415"/>
      <c r="U37" s="414"/>
      <c r="V37" s="28">
        <f>IFERROR(IF(N37&lt;P37,"",(ROUNDDOWN(N37/P37*100,0))),"")</f>
        <v>110</v>
      </c>
    </row>
    <row r="38" spans="1:22" ht="24" customHeight="1">
      <c r="A38" s="437"/>
      <c r="B38" s="412"/>
      <c r="C38" s="426"/>
      <c r="D38" s="422" t="s">
        <v>1373</v>
      </c>
      <c r="E38" s="416" t="s">
        <v>912</v>
      </c>
      <c r="F38" s="421" t="s">
        <v>1271</v>
      </c>
      <c r="G38" s="416" t="s">
        <v>1278</v>
      </c>
      <c r="H38" s="416">
        <v>110</v>
      </c>
      <c r="I38" s="416" t="s">
        <v>790</v>
      </c>
      <c r="J38" s="208">
        <v>2356</v>
      </c>
      <c r="K38" s="208">
        <v>4521</v>
      </c>
      <c r="L38" s="416">
        <v>2000</v>
      </c>
      <c r="M38" s="420" t="s">
        <v>589</v>
      </c>
      <c r="N38" s="425" t="s">
        <v>1419</v>
      </c>
      <c r="O38" s="23">
        <f>IF(N38&gt;0,1/N38*37.7*68.6,"")</f>
        <v>226.8614035087719</v>
      </c>
      <c r="P38" s="418">
        <v>10.35</v>
      </c>
      <c r="Q38" s="417" t="s">
        <v>834</v>
      </c>
      <c r="R38" s="416" t="s">
        <v>1267</v>
      </c>
      <c r="S38" s="416" t="s">
        <v>34</v>
      </c>
      <c r="T38" s="415"/>
      <c r="U38" s="414"/>
      <c r="V38" s="28">
        <f>IFERROR(IF(N38&lt;P38,"",(ROUNDDOWN(N38/P38*100,0))),"")</f>
        <v>110</v>
      </c>
    </row>
    <row r="39" spans="1:22" ht="24" customHeight="1">
      <c r="A39" s="437"/>
      <c r="B39" s="412"/>
      <c r="C39" s="426"/>
      <c r="D39" s="422" t="s">
        <v>1372</v>
      </c>
      <c r="E39" s="416" t="s">
        <v>912</v>
      </c>
      <c r="F39" s="421" t="s">
        <v>1271</v>
      </c>
      <c r="G39" s="416" t="s">
        <v>1278</v>
      </c>
      <c r="H39" s="416">
        <v>110</v>
      </c>
      <c r="I39" s="416" t="s">
        <v>71</v>
      </c>
      <c r="J39" s="208">
        <v>2356</v>
      </c>
      <c r="K39" s="208">
        <v>4521</v>
      </c>
      <c r="L39" s="416">
        <v>2000</v>
      </c>
      <c r="M39" s="420" t="s">
        <v>589</v>
      </c>
      <c r="N39" s="425" t="s">
        <v>1419</v>
      </c>
      <c r="O39" s="23">
        <f>IF(N39&gt;0,1/N39*37.7*68.6,"")</f>
        <v>226.8614035087719</v>
      </c>
      <c r="P39" s="418">
        <v>10.35</v>
      </c>
      <c r="Q39" s="417" t="s">
        <v>834</v>
      </c>
      <c r="R39" s="416" t="s">
        <v>1267</v>
      </c>
      <c r="S39" s="416" t="s">
        <v>34</v>
      </c>
      <c r="T39" s="415"/>
      <c r="U39" s="414"/>
      <c r="V39" s="28">
        <f>IFERROR(IF(N39&lt;P39,"",(ROUNDDOWN(N39/P39*100,0))),"")</f>
        <v>110</v>
      </c>
    </row>
    <row r="40" spans="1:22" ht="24" customHeight="1">
      <c r="A40" s="437"/>
      <c r="B40" s="412"/>
      <c r="C40" s="426"/>
      <c r="D40" s="422" t="s">
        <v>1372</v>
      </c>
      <c r="E40" s="416" t="s">
        <v>912</v>
      </c>
      <c r="F40" s="421" t="s">
        <v>1271</v>
      </c>
      <c r="G40" s="416" t="s">
        <v>1278</v>
      </c>
      <c r="H40" s="416">
        <v>110</v>
      </c>
      <c r="I40" s="416" t="s">
        <v>790</v>
      </c>
      <c r="J40" s="208">
        <v>2356</v>
      </c>
      <c r="K40" s="208">
        <v>4521</v>
      </c>
      <c r="L40" s="416">
        <v>2000</v>
      </c>
      <c r="M40" s="420" t="s">
        <v>589</v>
      </c>
      <c r="N40" s="425" t="s">
        <v>1419</v>
      </c>
      <c r="O40" s="23">
        <f>IF(N40&gt;0,1/N40*37.7*68.6,"")</f>
        <v>226.8614035087719</v>
      </c>
      <c r="P40" s="418">
        <v>10.35</v>
      </c>
      <c r="Q40" s="417" t="s">
        <v>834</v>
      </c>
      <c r="R40" s="416" t="s">
        <v>1267</v>
      </c>
      <c r="S40" s="416" t="s">
        <v>34</v>
      </c>
      <c r="T40" s="415"/>
      <c r="U40" s="414"/>
      <c r="V40" s="28">
        <f>IFERROR(IF(N40&lt;P40,"",(ROUNDDOWN(N40/P40*100,0))),"")</f>
        <v>110</v>
      </c>
    </row>
    <row r="41" spans="1:22" ht="24" customHeight="1">
      <c r="A41" s="437"/>
      <c r="B41" s="412"/>
      <c r="C41" s="426"/>
      <c r="D41" s="422" t="s">
        <v>1371</v>
      </c>
      <c r="E41" s="416" t="s">
        <v>912</v>
      </c>
      <c r="F41" s="421" t="s">
        <v>1271</v>
      </c>
      <c r="G41" s="416" t="s">
        <v>1278</v>
      </c>
      <c r="H41" s="416">
        <v>110</v>
      </c>
      <c r="I41" s="416" t="s">
        <v>71</v>
      </c>
      <c r="J41" s="208">
        <v>2356</v>
      </c>
      <c r="K41" s="208">
        <v>4521</v>
      </c>
      <c r="L41" s="416">
        <v>2000</v>
      </c>
      <c r="M41" s="420" t="s">
        <v>589</v>
      </c>
      <c r="N41" s="425" t="s">
        <v>1419</v>
      </c>
      <c r="O41" s="23">
        <f>IF(N41&gt;0,1/N41*37.7*68.6,"")</f>
        <v>226.8614035087719</v>
      </c>
      <c r="P41" s="418">
        <v>10.35</v>
      </c>
      <c r="Q41" s="417" t="s">
        <v>834</v>
      </c>
      <c r="R41" s="416" t="s">
        <v>1267</v>
      </c>
      <c r="S41" s="416" t="s">
        <v>34</v>
      </c>
      <c r="T41" s="415"/>
      <c r="U41" s="414"/>
      <c r="V41" s="28">
        <f>IFERROR(IF(N41&lt;P41,"",(ROUNDDOWN(N41/P41*100,0))),"")</f>
        <v>110</v>
      </c>
    </row>
    <row r="42" spans="1:22" ht="24" customHeight="1">
      <c r="A42" s="437"/>
      <c r="B42" s="412"/>
      <c r="C42" s="426"/>
      <c r="D42" s="422" t="s">
        <v>1371</v>
      </c>
      <c r="E42" s="416" t="s">
        <v>912</v>
      </c>
      <c r="F42" s="421" t="s">
        <v>1271</v>
      </c>
      <c r="G42" s="416" t="s">
        <v>1278</v>
      </c>
      <c r="H42" s="416">
        <v>110</v>
      </c>
      <c r="I42" s="416" t="s">
        <v>790</v>
      </c>
      <c r="J42" s="208">
        <v>2356</v>
      </c>
      <c r="K42" s="208">
        <v>4521</v>
      </c>
      <c r="L42" s="416">
        <v>2000</v>
      </c>
      <c r="M42" s="420" t="s">
        <v>589</v>
      </c>
      <c r="N42" s="425" t="s">
        <v>1419</v>
      </c>
      <c r="O42" s="23">
        <f>IF(N42&gt;0,1/N42*37.7*68.6,"")</f>
        <v>226.8614035087719</v>
      </c>
      <c r="P42" s="418">
        <v>10.35</v>
      </c>
      <c r="Q42" s="417" t="s">
        <v>834</v>
      </c>
      <c r="R42" s="416" t="s">
        <v>1267</v>
      </c>
      <c r="S42" s="416" t="s">
        <v>34</v>
      </c>
      <c r="T42" s="415"/>
      <c r="U42" s="414"/>
      <c r="V42" s="28">
        <f>IFERROR(IF(N42&lt;P42,"",(ROUNDDOWN(N42/P42*100,0))),"")</f>
        <v>110</v>
      </c>
    </row>
    <row r="43" spans="1:22" ht="24" customHeight="1">
      <c r="A43" s="437"/>
      <c r="B43" s="412"/>
      <c r="C43" s="426"/>
      <c r="D43" s="422" t="s">
        <v>1422</v>
      </c>
      <c r="E43" s="416" t="s">
        <v>912</v>
      </c>
      <c r="F43" s="421" t="s">
        <v>1271</v>
      </c>
      <c r="G43" s="416" t="s">
        <v>1278</v>
      </c>
      <c r="H43" s="416">
        <v>110</v>
      </c>
      <c r="I43" s="416" t="s">
        <v>71</v>
      </c>
      <c r="J43" s="208">
        <v>2356</v>
      </c>
      <c r="K43" s="208">
        <v>4521</v>
      </c>
      <c r="L43" s="416">
        <v>2000</v>
      </c>
      <c r="M43" s="420" t="s">
        <v>589</v>
      </c>
      <c r="N43" s="425" t="s">
        <v>1419</v>
      </c>
      <c r="O43" s="23">
        <f>IF(N43&gt;0,1/N43*37.7*68.6,"")</f>
        <v>226.8614035087719</v>
      </c>
      <c r="P43" s="418">
        <v>10.35</v>
      </c>
      <c r="Q43" s="417" t="s">
        <v>834</v>
      </c>
      <c r="R43" s="416" t="s">
        <v>1267</v>
      </c>
      <c r="S43" s="416" t="s">
        <v>34</v>
      </c>
      <c r="T43" s="415"/>
      <c r="U43" s="414"/>
      <c r="V43" s="28">
        <f>IFERROR(IF(N43&lt;P43,"",(ROUNDDOWN(N43/P43*100,0))),"")</f>
        <v>110</v>
      </c>
    </row>
    <row r="44" spans="1:22" ht="24" customHeight="1">
      <c r="A44" s="437"/>
      <c r="B44" s="412"/>
      <c r="C44" s="426"/>
      <c r="D44" s="422" t="s">
        <v>1422</v>
      </c>
      <c r="E44" s="416" t="s">
        <v>912</v>
      </c>
      <c r="F44" s="421" t="s">
        <v>1271</v>
      </c>
      <c r="G44" s="416" t="s">
        <v>1278</v>
      </c>
      <c r="H44" s="416">
        <v>110</v>
      </c>
      <c r="I44" s="416" t="s">
        <v>790</v>
      </c>
      <c r="J44" s="208">
        <v>2356</v>
      </c>
      <c r="K44" s="208">
        <v>4521</v>
      </c>
      <c r="L44" s="416">
        <v>2000</v>
      </c>
      <c r="M44" s="420" t="s">
        <v>589</v>
      </c>
      <c r="N44" s="425" t="s">
        <v>1419</v>
      </c>
      <c r="O44" s="23">
        <f>IF(N44&gt;0,1/N44*37.7*68.6,"")</f>
        <v>226.8614035087719</v>
      </c>
      <c r="P44" s="418">
        <v>10.35</v>
      </c>
      <c r="Q44" s="417" t="s">
        <v>834</v>
      </c>
      <c r="R44" s="416" t="s">
        <v>1267</v>
      </c>
      <c r="S44" s="416" t="s">
        <v>34</v>
      </c>
      <c r="T44" s="415"/>
      <c r="U44" s="414"/>
      <c r="V44" s="28">
        <f>IFERROR(IF(N44&lt;P44,"",(ROUNDDOWN(N44/P44*100,0))),"")</f>
        <v>110</v>
      </c>
    </row>
    <row r="45" spans="1:22" ht="24" customHeight="1">
      <c r="A45" s="437"/>
      <c r="B45" s="412"/>
      <c r="C45" s="426"/>
      <c r="D45" s="422" t="s">
        <v>1421</v>
      </c>
      <c r="E45" s="416" t="s">
        <v>912</v>
      </c>
      <c r="F45" s="421" t="s">
        <v>1271</v>
      </c>
      <c r="G45" s="416" t="s">
        <v>1278</v>
      </c>
      <c r="H45" s="416">
        <v>110</v>
      </c>
      <c r="I45" s="416" t="s">
        <v>71</v>
      </c>
      <c r="J45" s="208">
        <v>2356</v>
      </c>
      <c r="K45" s="208">
        <v>4521</v>
      </c>
      <c r="L45" s="416">
        <v>2000</v>
      </c>
      <c r="M45" s="420" t="s">
        <v>589</v>
      </c>
      <c r="N45" s="425" t="s">
        <v>1419</v>
      </c>
      <c r="O45" s="23">
        <f>IF(N45&gt;0,1/N45*37.7*68.6,"")</f>
        <v>226.8614035087719</v>
      </c>
      <c r="P45" s="418">
        <v>10.35</v>
      </c>
      <c r="Q45" s="417" t="s">
        <v>834</v>
      </c>
      <c r="R45" s="416" t="s">
        <v>1267</v>
      </c>
      <c r="S45" s="416" t="s">
        <v>34</v>
      </c>
      <c r="T45" s="415"/>
      <c r="U45" s="414"/>
      <c r="V45" s="28">
        <f>IFERROR(IF(N45&lt;P45,"",(ROUNDDOWN(N45/P45*100,0))),"")</f>
        <v>110</v>
      </c>
    </row>
    <row r="46" spans="1:22" ht="24" customHeight="1">
      <c r="A46" s="437"/>
      <c r="B46" s="412"/>
      <c r="C46" s="426"/>
      <c r="D46" s="422" t="s">
        <v>1421</v>
      </c>
      <c r="E46" s="416" t="s">
        <v>912</v>
      </c>
      <c r="F46" s="421" t="s">
        <v>1271</v>
      </c>
      <c r="G46" s="416" t="s">
        <v>1278</v>
      </c>
      <c r="H46" s="416">
        <v>110</v>
      </c>
      <c r="I46" s="416" t="s">
        <v>790</v>
      </c>
      <c r="J46" s="208">
        <v>2356</v>
      </c>
      <c r="K46" s="208">
        <v>4521</v>
      </c>
      <c r="L46" s="416">
        <v>2000</v>
      </c>
      <c r="M46" s="420" t="s">
        <v>589</v>
      </c>
      <c r="N46" s="425" t="s">
        <v>1419</v>
      </c>
      <c r="O46" s="23">
        <f>IF(N46&gt;0,1/N46*37.7*68.6,"")</f>
        <v>226.8614035087719</v>
      </c>
      <c r="P46" s="418">
        <v>10.35</v>
      </c>
      <c r="Q46" s="417" t="s">
        <v>834</v>
      </c>
      <c r="R46" s="416" t="s">
        <v>1267</v>
      </c>
      <c r="S46" s="416" t="s">
        <v>34</v>
      </c>
      <c r="T46" s="415"/>
      <c r="U46" s="414"/>
      <c r="V46" s="28">
        <f>IFERROR(IF(N46&lt;P46,"",(ROUNDDOWN(N46/P46*100,0))),"")</f>
        <v>110</v>
      </c>
    </row>
    <row r="47" spans="1:22" ht="24" customHeight="1">
      <c r="A47" s="437"/>
      <c r="B47" s="412"/>
      <c r="C47" s="426"/>
      <c r="D47" s="422" t="s">
        <v>1420</v>
      </c>
      <c r="E47" s="416" t="s">
        <v>912</v>
      </c>
      <c r="F47" s="421" t="s">
        <v>1271</v>
      </c>
      <c r="G47" s="416" t="s">
        <v>1278</v>
      </c>
      <c r="H47" s="416">
        <v>110</v>
      </c>
      <c r="I47" s="416" t="s">
        <v>71</v>
      </c>
      <c r="J47" s="208">
        <v>2356</v>
      </c>
      <c r="K47" s="208">
        <v>4521</v>
      </c>
      <c r="L47" s="416">
        <v>2000</v>
      </c>
      <c r="M47" s="420" t="s">
        <v>589</v>
      </c>
      <c r="N47" s="425" t="s">
        <v>1419</v>
      </c>
      <c r="O47" s="23">
        <f>IF(N47&gt;0,1/N47*37.7*68.6,"")</f>
        <v>226.8614035087719</v>
      </c>
      <c r="P47" s="418">
        <v>10.35</v>
      </c>
      <c r="Q47" s="417" t="s">
        <v>834</v>
      </c>
      <c r="R47" s="416" t="s">
        <v>1267</v>
      </c>
      <c r="S47" s="416" t="s">
        <v>34</v>
      </c>
      <c r="T47" s="415"/>
      <c r="U47" s="414"/>
      <c r="V47" s="28">
        <f>IFERROR(IF(N47&lt;P47,"",(ROUNDDOWN(N47/P47*100,0))),"")</f>
        <v>110</v>
      </c>
    </row>
    <row r="48" spans="1:22" ht="24" customHeight="1">
      <c r="A48" s="437"/>
      <c r="B48" s="412"/>
      <c r="C48" s="426"/>
      <c r="D48" s="422" t="s">
        <v>1420</v>
      </c>
      <c r="E48" s="416" t="s">
        <v>912</v>
      </c>
      <c r="F48" s="421" t="s">
        <v>1271</v>
      </c>
      <c r="G48" s="416" t="s">
        <v>1278</v>
      </c>
      <c r="H48" s="416">
        <v>110</v>
      </c>
      <c r="I48" s="416" t="s">
        <v>790</v>
      </c>
      <c r="J48" s="208">
        <v>2356</v>
      </c>
      <c r="K48" s="208">
        <v>4521</v>
      </c>
      <c r="L48" s="416">
        <v>2000</v>
      </c>
      <c r="M48" s="420" t="s">
        <v>589</v>
      </c>
      <c r="N48" s="425" t="s">
        <v>1419</v>
      </c>
      <c r="O48" s="23">
        <f>IF(N48&gt;0,1/N48*37.7*68.6,"")</f>
        <v>226.8614035087719</v>
      </c>
      <c r="P48" s="418">
        <v>10.35</v>
      </c>
      <c r="Q48" s="417" t="s">
        <v>834</v>
      </c>
      <c r="R48" s="416" t="s">
        <v>1267</v>
      </c>
      <c r="S48" s="416" t="s">
        <v>34</v>
      </c>
      <c r="T48" s="415"/>
      <c r="U48" s="414"/>
      <c r="V48" s="28">
        <f>IFERROR(IF(N48&lt;P48,"",(ROUNDDOWN(N48/P48*100,0))),"")</f>
        <v>110</v>
      </c>
    </row>
    <row r="49" spans="1:22" ht="24" customHeight="1">
      <c r="A49" s="437"/>
      <c r="B49" s="412"/>
      <c r="C49" s="426"/>
      <c r="D49" s="422" t="s">
        <v>1418</v>
      </c>
      <c r="E49" s="416" t="s">
        <v>912</v>
      </c>
      <c r="F49" s="421" t="s">
        <v>1271</v>
      </c>
      <c r="G49" s="416" t="s">
        <v>1278</v>
      </c>
      <c r="H49" s="416">
        <v>110</v>
      </c>
      <c r="I49" s="416" t="s">
        <v>71</v>
      </c>
      <c r="J49" s="208">
        <v>2356</v>
      </c>
      <c r="K49" s="208">
        <v>4521</v>
      </c>
      <c r="L49" s="416">
        <v>2000</v>
      </c>
      <c r="M49" s="420" t="s">
        <v>589</v>
      </c>
      <c r="N49" s="425" t="s">
        <v>1408</v>
      </c>
      <c r="O49" s="23">
        <f>IF(N49&gt;0,1/N49*37.7*68.6,"")</f>
        <v>235.1109090909091</v>
      </c>
      <c r="P49" s="418">
        <v>10.35</v>
      </c>
      <c r="Q49" s="417" t="s">
        <v>831</v>
      </c>
      <c r="R49" s="416" t="s">
        <v>1267</v>
      </c>
      <c r="S49" s="416" t="s">
        <v>34</v>
      </c>
      <c r="T49" s="415"/>
      <c r="U49" s="414"/>
      <c r="V49" s="28">
        <f>IFERROR(IF(N49&lt;P49,"",(ROUNDDOWN(N49/P49*100,0))),"")</f>
        <v>106</v>
      </c>
    </row>
    <row r="50" spans="1:22" ht="24" customHeight="1">
      <c r="A50" s="437"/>
      <c r="B50" s="412"/>
      <c r="C50" s="426"/>
      <c r="D50" s="422" t="s">
        <v>1417</v>
      </c>
      <c r="E50" s="416" t="s">
        <v>912</v>
      </c>
      <c r="F50" s="421" t="s">
        <v>1271</v>
      </c>
      <c r="G50" s="416" t="s">
        <v>1278</v>
      </c>
      <c r="H50" s="416">
        <v>110</v>
      </c>
      <c r="I50" s="416" t="s">
        <v>71</v>
      </c>
      <c r="J50" s="208">
        <v>2356</v>
      </c>
      <c r="K50" s="208">
        <v>4521</v>
      </c>
      <c r="L50" s="416">
        <v>2000</v>
      </c>
      <c r="M50" s="420" t="s">
        <v>589</v>
      </c>
      <c r="N50" s="425" t="s">
        <v>1408</v>
      </c>
      <c r="O50" s="23">
        <f>IF(N50&gt;0,1/N50*37.7*68.6,"")</f>
        <v>235.1109090909091</v>
      </c>
      <c r="P50" s="418">
        <v>10.35</v>
      </c>
      <c r="Q50" s="417" t="s">
        <v>831</v>
      </c>
      <c r="R50" s="416" t="s">
        <v>1267</v>
      </c>
      <c r="S50" s="416" t="s">
        <v>34</v>
      </c>
      <c r="T50" s="415"/>
      <c r="U50" s="414"/>
      <c r="V50" s="28">
        <f>IFERROR(IF(N50&lt;P50,"",(ROUNDDOWN(N50/P50*100,0))),"")</f>
        <v>106</v>
      </c>
    </row>
    <row r="51" spans="1:22" ht="24" customHeight="1">
      <c r="A51" s="437"/>
      <c r="B51" s="412"/>
      <c r="C51" s="426"/>
      <c r="D51" s="422" t="s">
        <v>1416</v>
      </c>
      <c r="E51" s="416" t="s">
        <v>912</v>
      </c>
      <c r="F51" s="421" t="s">
        <v>1271</v>
      </c>
      <c r="G51" s="416" t="s">
        <v>1278</v>
      </c>
      <c r="H51" s="416">
        <v>110</v>
      </c>
      <c r="I51" s="416" t="s">
        <v>71</v>
      </c>
      <c r="J51" s="208">
        <v>2356</v>
      </c>
      <c r="K51" s="208">
        <v>4521</v>
      </c>
      <c r="L51" s="416">
        <v>2000</v>
      </c>
      <c r="M51" s="420" t="s">
        <v>589</v>
      </c>
      <c r="N51" s="425" t="s">
        <v>1408</v>
      </c>
      <c r="O51" s="23">
        <f>IF(N51&gt;0,1/N51*37.7*68.6,"")</f>
        <v>235.1109090909091</v>
      </c>
      <c r="P51" s="418">
        <v>10.35</v>
      </c>
      <c r="Q51" s="417" t="s">
        <v>831</v>
      </c>
      <c r="R51" s="416" t="s">
        <v>1267</v>
      </c>
      <c r="S51" s="416" t="s">
        <v>34</v>
      </c>
      <c r="T51" s="415"/>
      <c r="U51" s="414"/>
      <c r="V51" s="28">
        <f>IFERROR(IF(N51&lt;P51,"",(ROUNDDOWN(N51/P51*100,0))),"")</f>
        <v>106</v>
      </c>
    </row>
    <row r="52" spans="1:22" ht="24" customHeight="1">
      <c r="A52" s="437"/>
      <c r="B52" s="412"/>
      <c r="C52" s="426"/>
      <c r="D52" s="422" t="s">
        <v>1415</v>
      </c>
      <c r="E52" s="416" t="s">
        <v>912</v>
      </c>
      <c r="F52" s="421" t="s">
        <v>1271</v>
      </c>
      <c r="G52" s="416" t="s">
        <v>1278</v>
      </c>
      <c r="H52" s="416">
        <v>110</v>
      </c>
      <c r="I52" s="416" t="s">
        <v>71</v>
      </c>
      <c r="J52" s="208">
        <v>2356</v>
      </c>
      <c r="K52" s="208">
        <v>4521</v>
      </c>
      <c r="L52" s="416">
        <v>2000</v>
      </c>
      <c r="M52" s="420" t="s">
        <v>589</v>
      </c>
      <c r="N52" s="425" t="s">
        <v>1408</v>
      </c>
      <c r="O52" s="23">
        <f>IF(N52&gt;0,1/N52*37.7*68.6,"")</f>
        <v>235.1109090909091</v>
      </c>
      <c r="P52" s="418">
        <v>10.35</v>
      </c>
      <c r="Q52" s="417" t="s">
        <v>831</v>
      </c>
      <c r="R52" s="416" t="s">
        <v>1267</v>
      </c>
      <c r="S52" s="416" t="s">
        <v>34</v>
      </c>
      <c r="T52" s="415"/>
      <c r="U52" s="414"/>
      <c r="V52" s="28">
        <f>IFERROR(IF(N52&lt;P52,"",(ROUNDDOWN(N52/P52*100,0))),"")</f>
        <v>106</v>
      </c>
    </row>
    <row r="53" spans="1:22" ht="24" customHeight="1">
      <c r="A53" s="437"/>
      <c r="B53" s="412"/>
      <c r="C53" s="426"/>
      <c r="D53" s="422" t="s">
        <v>1414</v>
      </c>
      <c r="E53" s="416" t="s">
        <v>912</v>
      </c>
      <c r="F53" s="421" t="s">
        <v>1271</v>
      </c>
      <c r="G53" s="416" t="s">
        <v>1278</v>
      </c>
      <c r="H53" s="416">
        <v>110</v>
      </c>
      <c r="I53" s="416" t="s">
        <v>71</v>
      </c>
      <c r="J53" s="208">
        <v>2356</v>
      </c>
      <c r="K53" s="208">
        <v>4521</v>
      </c>
      <c r="L53" s="416">
        <v>2000</v>
      </c>
      <c r="M53" s="420" t="s">
        <v>589</v>
      </c>
      <c r="N53" s="425" t="s">
        <v>1408</v>
      </c>
      <c r="O53" s="23">
        <f>IF(N53&gt;0,1/N53*37.7*68.6,"")</f>
        <v>235.1109090909091</v>
      </c>
      <c r="P53" s="418">
        <v>10.35</v>
      </c>
      <c r="Q53" s="417" t="s">
        <v>831</v>
      </c>
      <c r="R53" s="416" t="s">
        <v>1267</v>
      </c>
      <c r="S53" s="416" t="s">
        <v>34</v>
      </c>
      <c r="T53" s="415"/>
      <c r="U53" s="414"/>
      <c r="V53" s="28">
        <f>IFERROR(IF(N53&lt;P53,"",(ROUNDDOWN(N53/P53*100,0))),"")</f>
        <v>106</v>
      </c>
    </row>
    <row r="54" spans="1:22" ht="24" customHeight="1">
      <c r="A54" s="437"/>
      <c r="B54" s="412"/>
      <c r="C54" s="426"/>
      <c r="D54" s="422" t="s">
        <v>1413</v>
      </c>
      <c r="E54" s="416" t="s">
        <v>912</v>
      </c>
      <c r="F54" s="421" t="s">
        <v>1271</v>
      </c>
      <c r="G54" s="416" t="s">
        <v>1278</v>
      </c>
      <c r="H54" s="416">
        <v>110</v>
      </c>
      <c r="I54" s="416" t="s">
        <v>71</v>
      </c>
      <c r="J54" s="208">
        <v>2356</v>
      </c>
      <c r="K54" s="208">
        <v>4521</v>
      </c>
      <c r="L54" s="416">
        <v>2000</v>
      </c>
      <c r="M54" s="420" t="s">
        <v>589</v>
      </c>
      <c r="N54" s="425" t="s">
        <v>1408</v>
      </c>
      <c r="O54" s="23">
        <f>IF(N54&gt;0,1/N54*37.7*68.6,"")</f>
        <v>235.1109090909091</v>
      </c>
      <c r="P54" s="418">
        <v>10.35</v>
      </c>
      <c r="Q54" s="417" t="s">
        <v>831</v>
      </c>
      <c r="R54" s="416" t="s">
        <v>1267</v>
      </c>
      <c r="S54" s="416" t="s">
        <v>34</v>
      </c>
      <c r="T54" s="415"/>
      <c r="U54" s="414"/>
      <c r="V54" s="28">
        <f>IFERROR(IF(N54&lt;P54,"",(ROUNDDOWN(N54/P54*100,0))),"")</f>
        <v>106</v>
      </c>
    </row>
    <row r="55" spans="1:22" ht="24" customHeight="1">
      <c r="A55" s="437"/>
      <c r="B55" s="412"/>
      <c r="C55" s="426"/>
      <c r="D55" s="422" t="s">
        <v>1412</v>
      </c>
      <c r="E55" s="416" t="s">
        <v>912</v>
      </c>
      <c r="F55" s="421" t="s">
        <v>1271</v>
      </c>
      <c r="G55" s="416" t="s">
        <v>1278</v>
      </c>
      <c r="H55" s="416">
        <v>110</v>
      </c>
      <c r="I55" s="416" t="s">
        <v>71</v>
      </c>
      <c r="J55" s="208">
        <v>2356</v>
      </c>
      <c r="K55" s="208">
        <v>4521</v>
      </c>
      <c r="L55" s="416">
        <v>2000</v>
      </c>
      <c r="M55" s="420" t="s">
        <v>589</v>
      </c>
      <c r="N55" s="425" t="s">
        <v>1408</v>
      </c>
      <c r="O55" s="23">
        <f>IF(N55&gt;0,1/N55*37.7*68.6,"")</f>
        <v>235.1109090909091</v>
      </c>
      <c r="P55" s="418">
        <v>10.35</v>
      </c>
      <c r="Q55" s="417" t="s">
        <v>831</v>
      </c>
      <c r="R55" s="416" t="s">
        <v>1267</v>
      </c>
      <c r="S55" s="416" t="s">
        <v>34</v>
      </c>
      <c r="T55" s="415"/>
      <c r="U55" s="414"/>
      <c r="V55" s="28">
        <f>IFERROR(IF(N55&lt;P55,"",(ROUNDDOWN(N55/P55*100,0))),"")</f>
        <v>106</v>
      </c>
    </row>
    <row r="56" spans="1:22" ht="24" customHeight="1">
      <c r="A56" s="437"/>
      <c r="B56" s="412"/>
      <c r="C56" s="426"/>
      <c r="D56" s="422" t="s">
        <v>1367</v>
      </c>
      <c r="E56" s="416" t="s">
        <v>912</v>
      </c>
      <c r="F56" s="421" t="s">
        <v>1271</v>
      </c>
      <c r="G56" s="416" t="s">
        <v>1278</v>
      </c>
      <c r="H56" s="416">
        <v>110</v>
      </c>
      <c r="I56" s="416" t="s">
        <v>71</v>
      </c>
      <c r="J56" s="208">
        <v>2356</v>
      </c>
      <c r="K56" s="208">
        <v>4521</v>
      </c>
      <c r="L56" s="416">
        <v>2000</v>
      </c>
      <c r="M56" s="420" t="s">
        <v>589</v>
      </c>
      <c r="N56" s="425" t="s">
        <v>1408</v>
      </c>
      <c r="O56" s="23">
        <f>IF(N56&gt;0,1/N56*37.7*68.6,"")</f>
        <v>235.1109090909091</v>
      </c>
      <c r="P56" s="418">
        <v>10.35</v>
      </c>
      <c r="Q56" s="417" t="s">
        <v>831</v>
      </c>
      <c r="R56" s="416" t="s">
        <v>1267</v>
      </c>
      <c r="S56" s="416" t="s">
        <v>34</v>
      </c>
      <c r="T56" s="415"/>
      <c r="U56" s="414"/>
      <c r="V56" s="28">
        <f>IFERROR(IF(N56&lt;P56,"",(ROUNDDOWN(N56/P56*100,0))),"")</f>
        <v>106</v>
      </c>
    </row>
    <row r="57" spans="1:22" ht="24" customHeight="1">
      <c r="A57" s="437"/>
      <c r="B57" s="412"/>
      <c r="C57" s="426"/>
      <c r="D57" s="422" t="s">
        <v>1365</v>
      </c>
      <c r="E57" s="416" t="s">
        <v>912</v>
      </c>
      <c r="F57" s="421" t="s">
        <v>1271</v>
      </c>
      <c r="G57" s="416" t="s">
        <v>1278</v>
      </c>
      <c r="H57" s="416">
        <v>110</v>
      </c>
      <c r="I57" s="416" t="s">
        <v>71</v>
      </c>
      <c r="J57" s="208">
        <v>2356</v>
      </c>
      <c r="K57" s="208">
        <v>4521</v>
      </c>
      <c r="L57" s="416">
        <v>2000</v>
      </c>
      <c r="M57" s="420" t="s">
        <v>589</v>
      </c>
      <c r="N57" s="425" t="s">
        <v>1408</v>
      </c>
      <c r="O57" s="23">
        <f>IF(N57&gt;0,1/N57*37.7*68.6,"")</f>
        <v>235.1109090909091</v>
      </c>
      <c r="P57" s="418">
        <v>10.35</v>
      </c>
      <c r="Q57" s="417" t="s">
        <v>831</v>
      </c>
      <c r="R57" s="416" t="s">
        <v>1267</v>
      </c>
      <c r="S57" s="416" t="s">
        <v>34</v>
      </c>
      <c r="T57" s="415"/>
      <c r="U57" s="414"/>
      <c r="V57" s="28">
        <f>IFERROR(IF(N57&lt;P57,"",(ROUNDDOWN(N57/P57*100,0))),"")</f>
        <v>106</v>
      </c>
    </row>
    <row r="58" spans="1:22" ht="24" customHeight="1">
      <c r="A58" s="437"/>
      <c r="B58" s="412"/>
      <c r="C58" s="426"/>
      <c r="D58" s="422" t="s">
        <v>1364</v>
      </c>
      <c r="E58" s="416" t="s">
        <v>912</v>
      </c>
      <c r="F58" s="421" t="s">
        <v>1271</v>
      </c>
      <c r="G58" s="416" t="s">
        <v>1278</v>
      </c>
      <c r="H58" s="416">
        <v>110</v>
      </c>
      <c r="I58" s="416" t="s">
        <v>71</v>
      </c>
      <c r="J58" s="208">
        <v>2356</v>
      </c>
      <c r="K58" s="208">
        <v>4521</v>
      </c>
      <c r="L58" s="416">
        <v>2000</v>
      </c>
      <c r="M58" s="420" t="s">
        <v>589</v>
      </c>
      <c r="N58" s="425" t="s">
        <v>1408</v>
      </c>
      <c r="O58" s="23">
        <f>IF(N58&gt;0,1/N58*37.7*68.6,"")</f>
        <v>235.1109090909091</v>
      </c>
      <c r="P58" s="418">
        <v>10.35</v>
      </c>
      <c r="Q58" s="417" t="s">
        <v>831</v>
      </c>
      <c r="R58" s="416" t="s">
        <v>1267</v>
      </c>
      <c r="S58" s="416" t="s">
        <v>34</v>
      </c>
      <c r="T58" s="415"/>
      <c r="U58" s="414"/>
      <c r="V58" s="28">
        <f>IFERROR(IF(N58&lt;P58,"",(ROUNDDOWN(N58/P58*100,0))),"")</f>
        <v>106</v>
      </c>
    </row>
    <row r="59" spans="1:22" ht="24" customHeight="1">
      <c r="A59" s="437"/>
      <c r="B59" s="412"/>
      <c r="C59" s="426"/>
      <c r="D59" s="422" t="s">
        <v>1363</v>
      </c>
      <c r="E59" s="416" t="s">
        <v>912</v>
      </c>
      <c r="F59" s="421" t="s">
        <v>1271</v>
      </c>
      <c r="G59" s="416" t="s">
        <v>1278</v>
      </c>
      <c r="H59" s="416">
        <v>110</v>
      </c>
      <c r="I59" s="416" t="s">
        <v>71</v>
      </c>
      <c r="J59" s="208">
        <v>2356</v>
      </c>
      <c r="K59" s="208">
        <v>4521</v>
      </c>
      <c r="L59" s="416">
        <v>2000</v>
      </c>
      <c r="M59" s="420" t="s">
        <v>589</v>
      </c>
      <c r="N59" s="425" t="s">
        <v>1408</v>
      </c>
      <c r="O59" s="23">
        <f>IF(N59&gt;0,1/N59*37.7*68.6,"")</f>
        <v>235.1109090909091</v>
      </c>
      <c r="P59" s="418">
        <v>10.35</v>
      </c>
      <c r="Q59" s="417" t="s">
        <v>831</v>
      </c>
      <c r="R59" s="416" t="s">
        <v>1267</v>
      </c>
      <c r="S59" s="416" t="s">
        <v>34</v>
      </c>
      <c r="T59" s="415"/>
      <c r="U59" s="414"/>
      <c r="V59" s="28">
        <f>IFERROR(IF(N59&lt;P59,"",(ROUNDDOWN(N59/P59*100,0))),"")</f>
        <v>106</v>
      </c>
    </row>
    <row r="60" spans="1:22" ht="24" customHeight="1">
      <c r="A60" s="437"/>
      <c r="B60" s="412"/>
      <c r="C60" s="426"/>
      <c r="D60" s="422" t="s">
        <v>1361</v>
      </c>
      <c r="E60" s="416" t="s">
        <v>912</v>
      </c>
      <c r="F60" s="421" t="s">
        <v>1271</v>
      </c>
      <c r="G60" s="416" t="s">
        <v>1278</v>
      </c>
      <c r="H60" s="416">
        <v>110</v>
      </c>
      <c r="I60" s="416" t="s">
        <v>71</v>
      </c>
      <c r="J60" s="208">
        <v>2356</v>
      </c>
      <c r="K60" s="208">
        <v>4521</v>
      </c>
      <c r="L60" s="416">
        <v>2000</v>
      </c>
      <c r="M60" s="420" t="s">
        <v>589</v>
      </c>
      <c r="N60" s="425" t="s">
        <v>1408</v>
      </c>
      <c r="O60" s="23">
        <f>IF(N60&gt;0,1/N60*37.7*68.6,"")</f>
        <v>235.1109090909091</v>
      </c>
      <c r="P60" s="418">
        <v>10.35</v>
      </c>
      <c r="Q60" s="417" t="s">
        <v>831</v>
      </c>
      <c r="R60" s="416" t="s">
        <v>1267</v>
      </c>
      <c r="S60" s="416" t="s">
        <v>34</v>
      </c>
      <c r="T60" s="415"/>
      <c r="U60" s="414"/>
      <c r="V60" s="28">
        <f>IFERROR(IF(N60&lt;P60,"",(ROUNDDOWN(N60/P60*100,0))),"")</f>
        <v>106</v>
      </c>
    </row>
    <row r="61" spans="1:22" ht="24" customHeight="1">
      <c r="A61" s="437"/>
      <c r="B61" s="412"/>
      <c r="C61" s="426"/>
      <c r="D61" s="422" t="s">
        <v>1360</v>
      </c>
      <c r="E61" s="416" t="s">
        <v>912</v>
      </c>
      <c r="F61" s="421" t="s">
        <v>1271</v>
      </c>
      <c r="G61" s="416" t="s">
        <v>1278</v>
      </c>
      <c r="H61" s="416">
        <v>110</v>
      </c>
      <c r="I61" s="416" t="s">
        <v>71</v>
      </c>
      <c r="J61" s="208">
        <v>2356</v>
      </c>
      <c r="K61" s="208">
        <v>4521</v>
      </c>
      <c r="L61" s="416">
        <v>2000</v>
      </c>
      <c r="M61" s="420" t="s">
        <v>589</v>
      </c>
      <c r="N61" s="425" t="s">
        <v>1408</v>
      </c>
      <c r="O61" s="23">
        <f>IF(N61&gt;0,1/N61*37.7*68.6,"")</f>
        <v>235.1109090909091</v>
      </c>
      <c r="P61" s="418">
        <v>10.35</v>
      </c>
      <c r="Q61" s="417" t="s">
        <v>831</v>
      </c>
      <c r="R61" s="416" t="s">
        <v>1267</v>
      </c>
      <c r="S61" s="416" t="s">
        <v>34</v>
      </c>
      <c r="T61" s="415"/>
      <c r="U61" s="414"/>
      <c r="V61" s="28">
        <f>IFERROR(IF(N61&lt;P61,"",(ROUNDDOWN(N61/P61*100,0))),"")</f>
        <v>106</v>
      </c>
    </row>
    <row r="62" spans="1:22" ht="24" customHeight="1">
      <c r="A62" s="437"/>
      <c r="B62" s="412"/>
      <c r="C62" s="426"/>
      <c r="D62" s="422" t="s">
        <v>1359</v>
      </c>
      <c r="E62" s="416" t="s">
        <v>912</v>
      </c>
      <c r="F62" s="421" t="s">
        <v>1271</v>
      </c>
      <c r="G62" s="416" t="s">
        <v>1278</v>
      </c>
      <c r="H62" s="416">
        <v>110</v>
      </c>
      <c r="I62" s="416" t="s">
        <v>71</v>
      </c>
      <c r="J62" s="208">
        <v>2356</v>
      </c>
      <c r="K62" s="208">
        <v>4521</v>
      </c>
      <c r="L62" s="416">
        <v>2000</v>
      </c>
      <c r="M62" s="420" t="s">
        <v>589</v>
      </c>
      <c r="N62" s="425" t="s">
        <v>1408</v>
      </c>
      <c r="O62" s="23">
        <f>IF(N62&gt;0,1/N62*37.7*68.6,"")</f>
        <v>235.1109090909091</v>
      </c>
      <c r="P62" s="418">
        <v>10.35</v>
      </c>
      <c r="Q62" s="417" t="s">
        <v>831</v>
      </c>
      <c r="R62" s="416" t="s">
        <v>1267</v>
      </c>
      <c r="S62" s="416" t="s">
        <v>34</v>
      </c>
      <c r="T62" s="415"/>
      <c r="U62" s="414"/>
      <c r="V62" s="28">
        <f>IFERROR(IF(N62&lt;P62,"",(ROUNDDOWN(N62/P62*100,0))),"")</f>
        <v>106</v>
      </c>
    </row>
    <row r="63" spans="1:22" ht="24" customHeight="1">
      <c r="A63" s="437"/>
      <c r="B63" s="412"/>
      <c r="C63" s="426"/>
      <c r="D63" s="422" t="s">
        <v>1411</v>
      </c>
      <c r="E63" s="416" t="s">
        <v>912</v>
      </c>
      <c r="F63" s="421" t="s">
        <v>1271</v>
      </c>
      <c r="G63" s="416" t="s">
        <v>1278</v>
      </c>
      <c r="H63" s="416">
        <v>110</v>
      </c>
      <c r="I63" s="416" t="s">
        <v>71</v>
      </c>
      <c r="J63" s="208">
        <v>2356</v>
      </c>
      <c r="K63" s="208">
        <v>4521</v>
      </c>
      <c r="L63" s="416">
        <v>2000</v>
      </c>
      <c r="M63" s="420" t="s">
        <v>589</v>
      </c>
      <c r="N63" s="425" t="s">
        <v>1408</v>
      </c>
      <c r="O63" s="23">
        <f>IF(N63&gt;0,1/N63*37.7*68.6,"")</f>
        <v>235.1109090909091</v>
      </c>
      <c r="P63" s="418">
        <v>10.35</v>
      </c>
      <c r="Q63" s="417" t="s">
        <v>831</v>
      </c>
      <c r="R63" s="416" t="s">
        <v>1267</v>
      </c>
      <c r="S63" s="416" t="s">
        <v>34</v>
      </c>
      <c r="T63" s="415"/>
      <c r="U63" s="414"/>
      <c r="V63" s="28">
        <f>IFERROR(IF(N63&lt;P63,"",(ROUNDDOWN(N63/P63*100,0))),"")</f>
        <v>106</v>
      </c>
    </row>
    <row r="64" spans="1:22" ht="24" customHeight="1">
      <c r="A64" s="437"/>
      <c r="B64" s="412"/>
      <c r="C64" s="426"/>
      <c r="D64" s="422" t="s">
        <v>1410</v>
      </c>
      <c r="E64" s="416" t="s">
        <v>912</v>
      </c>
      <c r="F64" s="421" t="s">
        <v>1271</v>
      </c>
      <c r="G64" s="416" t="s">
        <v>1278</v>
      </c>
      <c r="H64" s="416">
        <v>110</v>
      </c>
      <c r="I64" s="416" t="s">
        <v>71</v>
      </c>
      <c r="J64" s="208">
        <v>2356</v>
      </c>
      <c r="K64" s="208">
        <v>4521</v>
      </c>
      <c r="L64" s="416">
        <v>2000</v>
      </c>
      <c r="M64" s="420" t="s">
        <v>589</v>
      </c>
      <c r="N64" s="425" t="s">
        <v>1408</v>
      </c>
      <c r="O64" s="23">
        <f>IF(N64&gt;0,1/N64*37.7*68.6,"")</f>
        <v>235.1109090909091</v>
      </c>
      <c r="P64" s="418">
        <v>10.35</v>
      </c>
      <c r="Q64" s="417" t="s">
        <v>831</v>
      </c>
      <c r="R64" s="416" t="s">
        <v>1267</v>
      </c>
      <c r="S64" s="416" t="s">
        <v>34</v>
      </c>
      <c r="T64" s="415"/>
      <c r="U64" s="414"/>
      <c r="V64" s="28">
        <f>IFERROR(IF(N64&lt;P64,"",(ROUNDDOWN(N64/P64*100,0))),"")</f>
        <v>106</v>
      </c>
    </row>
    <row r="65" spans="1:22" ht="24" customHeight="1">
      <c r="A65" s="437"/>
      <c r="B65" s="412"/>
      <c r="C65" s="426"/>
      <c r="D65" s="422" t="s">
        <v>1409</v>
      </c>
      <c r="E65" s="416" t="s">
        <v>912</v>
      </c>
      <c r="F65" s="421" t="s">
        <v>1271</v>
      </c>
      <c r="G65" s="416" t="s">
        <v>1278</v>
      </c>
      <c r="H65" s="416">
        <v>110</v>
      </c>
      <c r="I65" s="416" t="s">
        <v>71</v>
      </c>
      <c r="J65" s="208">
        <v>2356</v>
      </c>
      <c r="K65" s="208">
        <v>4521</v>
      </c>
      <c r="L65" s="416">
        <v>2000</v>
      </c>
      <c r="M65" s="420" t="s">
        <v>589</v>
      </c>
      <c r="N65" s="425" t="s">
        <v>1408</v>
      </c>
      <c r="O65" s="23">
        <f>IF(N65&gt;0,1/N65*37.7*68.6,"")</f>
        <v>235.1109090909091</v>
      </c>
      <c r="P65" s="418">
        <v>10.35</v>
      </c>
      <c r="Q65" s="417" t="s">
        <v>831</v>
      </c>
      <c r="R65" s="416" t="s">
        <v>1267</v>
      </c>
      <c r="S65" s="416" t="s">
        <v>34</v>
      </c>
      <c r="T65" s="415"/>
      <c r="U65" s="414"/>
      <c r="V65" s="28">
        <f>IFERROR(IF(N65&lt;P65,"",(ROUNDDOWN(N65/P65*100,0))),"")</f>
        <v>106</v>
      </c>
    </row>
    <row r="66" spans="1:22" ht="24" customHeight="1">
      <c r="A66" s="437"/>
      <c r="B66" s="412"/>
      <c r="C66" s="426"/>
      <c r="D66" s="422" t="s">
        <v>1407</v>
      </c>
      <c r="E66" s="416" t="s">
        <v>912</v>
      </c>
      <c r="F66" s="421" t="s">
        <v>1271</v>
      </c>
      <c r="G66" s="416" t="s">
        <v>1278</v>
      </c>
      <c r="H66" s="416">
        <v>110</v>
      </c>
      <c r="I66" s="416" t="s">
        <v>70</v>
      </c>
      <c r="J66" s="208">
        <v>2356</v>
      </c>
      <c r="K66" s="208">
        <v>4521</v>
      </c>
      <c r="L66" s="416">
        <v>2000</v>
      </c>
      <c r="M66" s="420" t="s">
        <v>589</v>
      </c>
      <c r="N66" s="425" t="s">
        <v>1308</v>
      </c>
      <c r="O66" s="23">
        <f>IF(N66&gt;0,1/N66*37.7*68.6,"")</f>
        <v>243.98301886792456</v>
      </c>
      <c r="P66" s="418">
        <v>10.35</v>
      </c>
      <c r="Q66" s="417" t="s">
        <v>834</v>
      </c>
      <c r="R66" s="416" t="s">
        <v>1267</v>
      </c>
      <c r="S66" s="416" t="s">
        <v>110</v>
      </c>
      <c r="T66" s="415"/>
      <c r="U66" s="414"/>
      <c r="V66" s="28">
        <f>IFERROR(IF(N66&lt;P66,"",(ROUNDDOWN(N66/P66*100,0))),"")</f>
        <v>102</v>
      </c>
    </row>
    <row r="67" spans="1:22" ht="24" customHeight="1">
      <c r="A67" s="437"/>
      <c r="B67" s="412"/>
      <c r="C67" s="426"/>
      <c r="D67" s="422" t="s">
        <v>1406</v>
      </c>
      <c r="E67" s="416" t="s">
        <v>912</v>
      </c>
      <c r="F67" s="421" t="s">
        <v>1271</v>
      </c>
      <c r="G67" s="416" t="s">
        <v>1278</v>
      </c>
      <c r="H67" s="416">
        <v>110</v>
      </c>
      <c r="I67" s="416" t="s">
        <v>70</v>
      </c>
      <c r="J67" s="208">
        <v>2356</v>
      </c>
      <c r="K67" s="208">
        <v>4521</v>
      </c>
      <c r="L67" s="416">
        <v>2000</v>
      </c>
      <c r="M67" s="420" t="s">
        <v>589</v>
      </c>
      <c r="N67" s="425" t="s">
        <v>1308</v>
      </c>
      <c r="O67" s="23">
        <f>IF(N67&gt;0,1/N67*37.7*68.6,"")</f>
        <v>243.98301886792456</v>
      </c>
      <c r="P67" s="418">
        <v>10.35</v>
      </c>
      <c r="Q67" s="417" t="s">
        <v>834</v>
      </c>
      <c r="R67" s="416" t="s">
        <v>1267</v>
      </c>
      <c r="S67" s="416" t="s">
        <v>110</v>
      </c>
      <c r="T67" s="415"/>
      <c r="U67" s="414"/>
      <c r="V67" s="28">
        <f>IFERROR(IF(N67&lt;P67,"",(ROUNDDOWN(N67/P67*100,0))),"")</f>
        <v>102</v>
      </c>
    </row>
    <row r="68" spans="1:22" ht="24" customHeight="1">
      <c r="A68" s="437"/>
      <c r="B68" s="412"/>
      <c r="C68" s="426"/>
      <c r="D68" s="422" t="s">
        <v>1353</v>
      </c>
      <c r="E68" s="416" t="s">
        <v>912</v>
      </c>
      <c r="F68" s="421" t="s">
        <v>1271</v>
      </c>
      <c r="G68" s="416" t="s">
        <v>1278</v>
      </c>
      <c r="H68" s="416">
        <v>110</v>
      </c>
      <c r="I68" s="416" t="s">
        <v>70</v>
      </c>
      <c r="J68" s="208">
        <v>2356</v>
      </c>
      <c r="K68" s="208">
        <v>4521</v>
      </c>
      <c r="L68" s="416">
        <v>2000</v>
      </c>
      <c r="M68" s="420" t="s">
        <v>589</v>
      </c>
      <c r="N68" s="425" t="s">
        <v>1308</v>
      </c>
      <c r="O68" s="23">
        <f>IF(N68&gt;0,1/N68*37.7*68.6,"")</f>
        <v>243.98301886792456</v>
      </c>
      <c r="P68" s="418">
        <v>10.35</v>
      </c>
      <c r="Q68" s="417" t="s">
        <v>1405</v>
      </c>
      <c r="R68" s="416" t="s">
        <v>1267</v>
      </c>
      <c r="S68" s="416" t="s">
        <v>110</v>
      </c>
      <c r="T68" s="415"/>
      <c r="U68" s="414"/>
      <c r="V68" s="28">
        <f>IFERROR(IF(N68&lt;P68,"",(ROUNDDOWN(N68/P68*100,0))),"")</f>
        <v>102</v>
      </c>
    </row>
    <row r="69" spans="1:22" ht="24" customHeight="1">
      <c r="A69" s="437"/>
      <c r="B69" s="412"/>
      <c r="C69" s="426"/>
      <c r="D69" s="422" t="s">
        <v>1352</v>
      </c>
      <c r="E69" s="416" t="s">
        <v>912</v>
      </c>
      <c r="F69" s="421" t="s">
        <v>1271</v>
      </c>
      <c r="G69" s="416" t="s">
        <v>1278</v>
      </c>
      <c r="H69" s="416">
        <v>110</v>
      </c>
      <c r="I69" s="416" t="s">
        <v>70</v>
      </c>
      <c r="J69" s="208">
        <v>2356</v>
      </c>
      <c r="K69" s="208">
        <v>4521</v>
      </c>
      <c r="L69" s="416">
        <v>2000</v>
      </c>
      <c r="M69" s="420" t="s">
        <v>589</v>
      </c>
      <c r="N69" s="425" t="s">
        <v>1308</v>
      </c>
      <c r="O69" s="23">
        <f>IF(N69&gt;0,1/N69*37.7*68.6,"")</f>
        <v>243.98301886792456</v>
      </c>
      <c r="P69" s="418">
        <v>10.35</v>
      </c>
      <c r="Q69" s="417" t="s">
        <v>834</v>
      </c>
      <c r="R69" s="416" t="s">
        <v>1267</v>
      </c>
      <c r="S69" s="416" t="s">
        <v>110</v>
      </c>
      <c r="T69" s="415"/>
      <c r="U69" s="414"/>
      <c r="V69" s="28">
        <f>IFERROR(IF(N69&lt;P69,"",(ROUNDDOWN(N69/P69*100,0))),"")</f>
        <v>102</v>
      </c>
    </row>
    <row r="70" spans="1:22" ht="24" customHeight="1">
      <c r="A70" s="437"/>
      <c r="B70" s="412"/>
      <c r="C70" s="426"/>
      <c r="D70" s="422" t="s">
        <v>1351</v>
      </c>
      <c r="E70" s="416" t="s">
        <v>912</v>
      </c>
      <c r="F70" s="421" t="s">
        <v>1271</v>
      </c>
      <c r="G70" s="416" t="s">
        <v>1278</v>
      </c>
      <c r="H70" s="416">
        <v>110</v>
      </c>
      <c r="I70" s="416" t="s">
        <v>70</v>
      </c>
      <c r="J70" s="208">
        <v>2356</v>
      </c>
      <c r="K70" s="208">
        <v>4521</v>
      </c>
      <c r="L70" s="416">
        <v>2000</v>
      </c>
      <c r="M70" s="420" t="s">
        <v>589</v>
      </c>
      <c r="N70" s="425" t="s">
        <v>1308</v>
      </c>
      <c r="O70" s="23">
        <f>IF(N70&gt;0,1/N70*37.7*68.6,"")</f>
        <v>243.98301886792456</v>
      </c>
      <c r="P70" s="418">
        <v>10.35</v>
      </c>
      <c r="Q70" s="417" t="s">
        <v>834</v>
      </c>
      <c r="R70" s="416" t="s">
        <v>1267</v>
      </c>
      <c r="S70" s="416" t="s">
        <v>110</v>
      </c>
      <c r="T70" s="415"/>
      <c r="U70" s="414"/>
      <c r="V70" s="28">
        <f>IFERROR(IF(N70&lt;P70,"",(ROUNDDOWN(N70/P70*100,0))),"")</f>
        <v>102</v>
      </c>
    </row>
    <row r="71" spans="1:22" ht="24" customHeight="1">
      <c r="A71" s="437"/>
      <c r="B71" s="412"/>
      <c r="C71" s="426"/>
      <c r="D71" s="422" t="s">
        <v>1350</v>
      </c>
      <c r="E71" s="416" t="s">
        <v>912</v>
      </c>
      <c r="F71" s="421" t="s">
        <v>1271</v>
      </c>
      <c r="G71" s="416" t="s">
        <v>1278</v>
      </c>
      <c r="H71" s="416">
        <v>110</v>
      </c>
      <c r="I71" s="416" t="s">
        <v>70</v>
      </c>
      <c r="J71" s="208">
        <v>2356</v>
      </c>
      <c r="K71" s="208">
        <v>4521</v>
      </c>
      <c r="L71" s="416">
        <v>2000</v>
      </c>
      <c r="M71" s="420" t="s">
        <v>589</v>
      </c>
      <c r="N71" s="425" t="s">
        <v>1308</v>
      </c>
      <c r="O71" s="23">
        <f>IF(N71&gt;0,1/N71*37.7*68.6,"")</f>
        <v>243.98301886792456</v>
      </c>
      <c r="P71" s="418">
        <v>10.35</v>
      </c>
      <c r="Q71" s="417" t="s">
        <v>834</v>
      </c>
      <c r="R71" s="416" t="s">
        <v>1267</v>
      </c>
      <c r="S71" s="416" t="s">
        <v>110</v>
      </c>
      <c r="T71" s="415"/>
      <c r="U71" s="414"/>
      <c r="V71" s="28">
        <f>IFERROR(IF(N71&lt;P71,"",(ROUNDDOWN(N71/P71*100,0))),"")</f>
        <v>102</v>
      </c>
    </row>
    <row r="72" spans="1:22" ht="24" customHeight="1">
      <c r="A72" s="437"/>
      <c r="B72" s="412"/>
      <c r="C72" s="426"/>
      <c r="D72" s="422" t="s">
        <v>1283</v>
      </c>
      <c r="E72" s="416" t="s">
        <v>912</v>
      </c>
      <c r="F72" s="421" t="s">
        <v>1271</v>
      </c>
      <c r="G72" s="416">
        <v>470</v>
      </c>
      <c r="H72" s="416">
        <v>132</v>
      </c>
      <c r="I72" s="416" t="s">
        <v>71</v>
      </c>
      <c r="J72" s="208">
        <v>2356</v>
      </c>
      <c r="K72" s="208">
        <v>4521</v>
      </c>
      <c r="L72" s="416">
        <v>2000</v>
      </c>
      <c r="M72" s="420" t="s">
        <v>589</v>
      </c>
      <c r="N72" s="425" t="s">
        <v>1308</v>
      </c>
      <c r="O72" s="23">
        <f>IF(N72&gt;0,1/N72*37.7*68.6,"")</f>
        <v>243.98301886792456</v>
      </c>
      <c r="P72" s="418">
        <v>10.35</v>
      </c>
      <c r="Q72" s="417" t="s">
        <v>834</v>
      </c>
      <c r="R72" s="416" t="s">
        <v>1267</v>
      </c>
      <c r="S72" s="416" t="s">
        <v>34</v>
      </c>
      <c r="T72" s="415"/>
      <c r="U72" s="414"/>
      <c r="V72" s="28">
        <f>IFERROR(IF(N72&lt;P72,"",(ROUNDDOWN(N72/P72*100,0))),"")</f>
        <v>102</v>
      </c>
    </row>
    <row r="73" spans="1:22" ht="24" customHeight="1">
      <c r="A73" s="437"/>
      <c r="B73" s="412"/>
      <c r="C73" s="426"/>
      <c r="D73" s="422" t="s">
        <v>1282</v>
      </c>
      <c r="E73" s="416" t="s">
        <v>912</v>
      </c>
      <c r="F73" s="421" t="s">
        <v>1271</v>
      </c>
      <c r="G73" s="416">
        <v>470</v>
      </c>
      <c r="H73" s="416">
        <v>132</v>
      </c>
      <c r="I73" s="416" t="s">
        <v>71</v>
      </c>
      <c r="J73" s="208">
        <v>2356</v>
      </c>
      <c r="K73" s="208">
        <v>4521</v>
      </c>
      <c r="L73" s="416">
        <v>2000</v>
      </c>
      <c r="M73" s="420" t="s">
        <v>589</v>
      </c>
      <c r="N73" s="425" t="s">
        <v>1308</v>
      </c>
      <c r="O73" s="23">
        <f>IF(N73&gt;0,1/N73*37.7*68.6,"")</f>
        <v>243.98301886792456</v>
      </c>
      <c r="P73" s="418">
        <v>10.35</v>
      </c>
      <c r="Q73" s="417" t="s">
        <v>834</v>
      </c>
      <c r="R73" s="416" t="s">
        <v>1267</v>
      </c>
      <c r="S73" s="416" t="s">
        <v>34</v>
      </c>
      <c r="T73" s="415"/>
      <c r="U73" s="414"/>
      <c r="V73" s="28">
        <f>IFERROR(IF(N73&lt;P73,"",(ROUNDDOWN(N73/P73*100,0))),"")</f>
        <v>102</v>
      </c>
    </row>
    <row r="74" spans="1:22" ht="24" customHeight="1">
      <c r="A74" s="437"/>
      <c r="B74" s="412"/>
      <c r="C74" s="426"/>
      <c r="D74" s="422" t="s">
        <v>1347</v>
      </c>
      <c r="E74" s="416" t="s">
        <v>912</v>
      </c>
      <c r="F74" s="421" t="s">
        <v>1271</v>
      </c>
      <c r="G74" s="416" t="s">
        <v>1278</v>
      </c>
      <c r="H74" s="416">
        <v>110</v>
      </c>
      <c r="I74" s="416" t="s">
        <v>70</v>
      </c>
      <c r="J74" s="208">
        <v>2356</v>
      </c>
      <c r="K74" s="208">
        <v>4521</v>
      </c>
      <c r="L74" s="416">
        <v>2000</v>
      </c>
      <c r="M74" s="420" t="s">
        <v>589</v>
      </c>
      <c r="N74" s="425" t="s">
        <v>1308</v>
      </c>
      <c r="O74" s="23">
        <f>IF(N74&gt;0,1/N74*37.7*68.6,"")</f>
        <v>243.98301886792456</v>
      </c>
      <c r="P74" s="418">
        <v>10.35</v>
      </c>
      <c r="Q74" s="417" t="s">
        <v>834</v>
      </c>
      <c r="R74" s="416" t="s">
        <v>1267</v>
      </c>
      <c r="S74" s="416" t="s">
        <v>110</v>
      </c>
      <c r="T74" s="415"/>
      <c r="U74" s="414"/>
      <c r="V74" s="28">
        <f>IFERROR(IF(N74&lt;P74,"",(ROUNDDOWN(N74/P74*100,0))),"")</f>
        <v>102</v>
      </c>
    </row>
    <row r="75" spans="1:22" ht="24" customHeight="1">
      <c r="A75" s="437"/>
      <c r="B75" s="429" t="s">
        <v>1265</v>
      </c>
      <c r="C75" s="428" t="s">
        <v>1404</v>
      </c>
      <c r="D75" s="422" t="s">
        <v>1403</v>
      </c>
      <c r="E75" s="416" t="s">
        <v>912</v>
      </c>
      <c r="F75" s="421" t="s">
        <v>1271</v>
      </c>
      <c r="G75" s="416" t="s">
        <v>1278</v>
      </c>
      <c r="H75" s="416" t="s">
        <v>466</v>
      </c>
      <c r="I75" s="416" t="s">
        <v>790</v>
      </c>
      <c r="J75" s="208">
        <v>2356</v>
      </c>
      <c r="K75" s="208">
        <v>4521</v>
      </c>
      <c r="L75" s="208">
        <v>2000</v>
      </c>
      <c r="M75" s="420" t="s">
        <v>589</v>
      </c>
      <c r="N75" s="425">
        <v>10.62</v>
      </c>
      <c r="O75" s="344">
        <f>IF(N75&gt;0,1/N75*37.7*68.6,"")</f>
        <v>243.52354048964222</v>
      </c>
      <c r="P75" s="418">
        <v>10.35</v>
      </c>
      <c r="Q75" s="417" t="s">
        <v>834</v>
      </c>
      <c r="R75" s="416" t="s">
        <v>1267</v>
      </c>
      <c r="S75" s="416" t="s">
        <v>34</v>
      </c>
      <c r="T75" s="415" t="s">
        <v>1266</v>
      </c>
      <c r="U75" s="414"/>
      <c r="V75" s="324">
        <f>IFERROR(IF(N75&lt;P75,"",(ROUNDDOWN(N75/P75*100,0))),"")</f>
        <v>102</v>
      </c>
    </row>
    <row r="76" spans="1:22" ht="24" customHeight="1">
      <c r="A76" s="437"/>
      <c r="B76" s="412"/>
      <c r="C76" s="426"/>
      <c r="D76" s="422" t="s">
        <v>1403</v>
      </c>
      <c r="E76" s="416" t="s">
        <v>912</v>
      </c>
      <c r="F76" s="421" t="s">
        <v>1271</v>
      </c>
      <c r="G76" s="416" t="s">
        <v>1278</v>
      </c>
      <c r="H76" s="416" t="s">
        <v>466</v>
      </c>
      <c r="I76" s="416" t="s">
        <v>71</v>
      </c>
      <c r="J76" s="208">
        <v>2356</v>
      </c>
      <c r="K76" s="208">
        <v>4521</v>
      </c>
      <c r="L76" s="208">
        <v>2000</v>
      </c>
      <c r="M76" s="420" t="s">
        <v>589</v>
      </c>
      <c r="N76" s="425">
        <v>10.53</v>
      </c>
      <c r="O76" s="344">
        <f>IF(N76&gt;0,1/N76*37.7*68.6,"")</f>
        <v>245.60493827160494</v>
      </c>
      <c r="P76" s="418">
        <v>10.35</v>
      </c>
      <c r="Q76" s="417" t="s">
        <v>834</v>
      </c>
      <c r="R76" s="416" t="s">
        <v>1267</v>
      </c>
      <c r="S76" s="416" t="s">
        <v>34</v>
      </c>
      <c r="T76" s="415" t="s">
        <v>1266</v>
      </c>
      <c r="U76" s="414"/>
      <c r="V76" s="324">
        <f>IFERROR(IF(N76&lt;P76,"",(ROUNDDOWN(N76/P76*100,0))),"")</f>
        <v>101</v>
      </c>
    </row>
    <row r="77" spans="1:22" ht="24" customHeight="1">
      <c r="A77" s="437"/>
      <c r="B77" s="412"/>
      <c r="C77" s="426"/>
      <c r="D77" s="422" t="s">
        <v>1402</v>
      </c>
      <c r="E77" s="416" t="s">
        <v>912</v>
      </c>
      <c r="F77" s="421" t="s">
        <v>1271</v>
      </c>
      <c r="G77" s="416" t="s">
        <v>1278</v>
      </c>
      <c r="H77" s="416" t="s">
        <v>466</v>
      </c>
      <c r="I77" s="416" t="s">
        <v>790</v>
      </c>
      <c r="J77" s="208">
        <v>2356</v>
      </c>
      <c r="K77" s="208">
        <v>4521</v>
      </c>
      <c r="L77" s="208">
        <v>2000</v>
      </c>
      <c r="M77" s="420" t="s">
        <v>589</v>
      </c>
      <c r="N77" s="425">
        <v>10.62</v>
      </c>
      <c r="O77" s="344">
        <f>IF(N77&gt;0,1/N77*37.7*68.6,"")</f>
        <v>243.52354048964222</v>
      </c>
      <c r="P77" s="418">
        <v>10.35</v>
      </c>
      <c r="Q77" s="417" t="s">
        <v>834</v>
      </c>
      <c r="R77" s="416" t="s">
        <v>1267</v>
      </c>
      <c r="S77" s="416" t="s">
        <v>34</v>
      </c>
      <c r="T77" s="415" t="s">
        <v>1266</v>
      </c>
      <c r="U77" s="414"/>
      <c r="V77" s="324">
        <f>IFERROR(IF(N77&lt;P77,"",(ROUNDDOWN(N77/P77*100,0))),"")</f>
        <v>102</v>
      </c>
    </row>
    <row r="78" spans="1:22" ht="24" customHeight="1">
      <c r="A78" s="437"/>
      <c r="B78" s="412"/>
      <c r="C78" s="426"/>
      <c r="D78" s="422" t="s">
        <v>1402</v>
      </c>
      <c r="E78" s="416" t="s">
        <v>912</v>
      </c>
      <c r="F78" s="421" t="s">
        <v>1271</v>
      </c>
      <c r="G78" s="416" t="s">
        <v>1278</v>
      </c>
      <c r="H78" s="416" t="s">
        <v>466</v>
      </c>
      <c r="I78" s="416" t="s">
        <v>71</v>
      </c>
      <c r="J78" s="208">
        <v>2356</v>
      </c>
      <c r="K78" s="208">
        <v>4521</v>
      </c>
      <c r="L78" s="208">
        <v>2000</v>
      </c>
      <c r="M78" s="420" t="s">
        <v>589</v>
      </c>
      <c r="N78" s="425">
        <v>10.53</v>
      </c>
      <c r="O78" s="344">
        <f>IF(N78&gt;0,1/N78*37.7*68.6,"")</f>
        <v>245.60493827160494</v>
      </c>
      <c r="P78" s="418">
        <v>10.35</v>
      </c>
      <c r="Q78" s="417" t="s">
        <v>834</v>
      </c>
      <c r="R78" s="416" t="s">
        <v>1267</v>
      </c>
      <c r="S78" s="416" t="s">
        <v>34</v>
      </c>
      <c r="T78" s="415" t="s">
        <v>1266</v>
      </c>
      <c r="U78" s="414"/>
      <c r="V78" s="324">
        <f>IFERROR(IF(N78&lt;P78,"",(ROUNDDOWN(N78/P78*100,0))),"")</f>
        <v>101</v>
      </c>
    </row>
    <row r="79" spans="1:22" ht="24" customHeight="1">
      <c r="A79" s="437"/>
      <c r="B79" s="412"/>
      <c r="C79" s="426"/>
      <c r="D79" s="422" t="s">
        <v>1401</v>
      </c>
      <c r="E79" s="416" t="s">
        <v>912</v>
      </c>
      <c r="F79" s="421" t="s">
        <v>1271</v>
      </c>
      <c r="G79" s="416" t="s">
        <v>1278</v>
      </c>
      <c r="H79" s="416" t="s">
        <v>466</v>
      </c>
      <c r="I79" s="416" t="s">
        <v>790</v>
      </c>
      <c r="J79" s="208">
        <v>2356</v>
      </c>
      <c r="K79" s="208">
        <v>4521</v>
      </c>
      <c r="L79" s="208">
        <v>2000</v>
      </c>
      <c r="M79" s="420" t="s">
        <v>589</v>
      </c>
      <c r="N79" s="425">
        <v>10.62</v>
      </c>
      <c r="O79" s="344">
        <f>IF(N79&gt;0,1/N79*37.7*68.6,"")</f>
        <v>243.52354048964222</v>
      </c>
      <c r="P79" s="418">
        <v>10.35</v>
      </c>
      <c r="Q79" s="417" t="s">
        <v>834</v>
      </c>
      <c r="R79" s="416" t="s">
        <v>1267</v>
      </c>
      <c r="S79" s="416" t="s">
        <v>34</v>
      </c>
      <c r="T79" s="415" t="s">
        <v>1266</v>
      </c>
      <c r="U79" s="414"/>
      <c r="V79" s="324">
        <f>IFERROR(IF(N79&lt;P79,"",(ROUNDDOWN(N79/P79*100,0))),"")</f>
        <v>102</v>
      </c>
    </row>
    <row r="80" spans="1:22" ht="24" customHeight="1">
      <c r="A80" s="437"/>
      <c r="B80" s="412"/>
      <c r="C80" s="426"/>
      <c r="D80" s="422" t="s">
        <v>1401</v>
      </c>
      <c r="E80" s="416" t="s">
        <v>912</v>
      </c>
      <c r="F80" s="421" t="s">
        <v>1271</v>
      </c>
      <c r="G80" s="416" t="s">
        <v>1278</v>
      </c>
      <c r="H80" s="416" t="s">
        <v>466</v>
      </c>
      <c r="I80" s="416" t="s">
        <v>71</v>
      </c>
      <c r="J80" s="208">
        <v>2356</v>
      </c>
      <c r="K80" s="208">
        <v>4521</v>
      </c>
      <c r="L80" s="208">
        <v>2000</v>
      </c>
      <c r="M80" s="420" t="s">
        <v>589</v>
      </c>
      <c r="N80" s="425">
        <v>10.53</v>
      </c>
      <c r="O80" s="344">
        <f>IF(N80&gt;0,1/N80*37.7*68.6,"")</f>
        <v>245.60493827160494</v>
      </c>
      <c r="P80" s="418">
        <v>10.35</v>
      </c>
      <c r="Q80" s="417" t="s">
        <v>834</v>
      </c>
      <c r="R80" s="416" t="s">
        <v>1267</v>
      </c>
      <c r="S80" s="416" t="s">
        <v>34</v>
      </c>
      <c r="T80" s="415" t="s">
        <v>1266</v>
      </c>
      <c r="U80" s="414"/>
      <c r="V80" s="324">
        <f>IFERROR(IF(N80&lt;P80,"",(ROUNDDOWN(N80/P80*100,0))),"")</f>
        <v>101</v>
      </c>
    </row>
    <row r="81" spans="1:22" ht="24" customHeight="1">
      <c r="A81" s="437"/>
      <c r="B81" s="412"/>
      <c r="C81" s="426"/>
      <c r="D81" s="422" t="s">
        <v>1400</v>
      </c>
      <c r="E81" s="416" t="s">
        <v>912</v>
      </c>
      <c r="F81" s="421" t="s">
        <v>1271</v>
      </c>
      <c r="G81" s="416" t="s">
        <v>1278</v>
      </c>
      <c r="H81" s="416" t="s">
        <v>466</v>
      </c>
      <c r="I81" s="416" t="s">
        <v>790</v>
      </c>
      <c r="J81" s="208">
        <v>2356</v>
      </c>
      <c r="K81" s="208">
        <v>4521</v>
      </c>
      <c r="L81" s="208">
        <v>2000</v>
      </c>
      <c r="M81" s="420" t="s">
        <v>589</v>
      </c>
      <c r="N81" s="425">
        <v>10.62</v>
      </c>
      <c r="O81" s="344">
        <f>IF(N81&gt;0,1/N81*37.7*68.6,"")</f>
        <v>243.52354048964222</v>
      </c>
      <c r="P81" s="418">
        <v>10.35</v>
      </c>
      <c r="Q81" s="417" t="s">
        <v>834</v>
      </c>
      <c r="R81" s="416" t="s">
        <v>1267</v>
      </c>
      <c r="S81" s="416" t="s">
        <v>34</v>
      </c>
      <c r="T81" s="415" t="s">
        <v>1266</v>
      </c>
      <c r="U81" s="414"/>
      <c r="V81" s="324">
        <f>IFERROR(IF(N81&lt;P81,"",(ROUNDDOWN(N81/P81*100,0))),"")</f>
        <v>102</v>
      </c>
    </row>
    <row r="82" spans="1:22" ht="24" customHeight="1">
      <c r="A82" s="437"/>
      <c r="B82" s="412"/>
      <c r="C82" s="426"/>
      <c r="D82" s="422" t="s">
        <v>1400</v>
      </c>
      <c r="E82" s="416" t="s">
        <v>912</v>
      </c>
      <c r="F82" s="421" t="s">
        <v>1271</v>
      </c>
      <c r="G82" s="416" t="s">
        <v>1278</v>
      </c>
      <c r="H82" s="416" t="s">
        <v>466</v>
      </c>
      <c r="I82" s="416" t="s">
        <v>71</v>
      </c>
      <c r="J82" s="208">
        <v>2356</v>
      </c>
      <c r="K82" s="208">
        <v>4521</v>
      </c>
      <c r="L82" s="208">
        <v>2000</v>
      </c>
      <c r="M82" s="420" t="s">
        <v>589</v>
      </c>
      <c r="N82" s="425">
        <v>10.53</v>
      </c>
      <c r="O82" s="344">
        <f>IF(N82&gt;0,1/N82*37.7*68.6,"")</f>
        <v>245.60493827160494</v>
      </c>
      <c r="P82" s="418">
        <v>10.35</v>
      </c>
      <c r="Q82" s="417" t="s">
        <v>834</v>
      </c>
      <c r="R82" s="416" t="s">
        <v>1267</v>
      </c>
      <c r="S82" s="416" t="s">
        <v>34</v>
      </c>
      <c r="T82" s="415" t="s">
        <v>1266</v>
      </c>
      <c r="U82" s="414"/>
      <c r="V82" s="324">
        <f>IFERROR(IF(N82&lt;P82,"",(ROUNDDOWN(N82/P82*100,0))),"")</f>
        <v>101</v>
      </c>
    </row>
    <row r="83" spans="1:22" ht="24" customHeight="1">
      <c r="A83" s="437"/>
      <c r="B83" s="412"/>
      <c r="C83" s="426"/>
      <c r="D83" s="422" t="s">
        <v>1399</v>
      </c>
      <c r="E83" s="416" t="s">
        <v>912</v>
      </c>
      <c r="F83" s="421" t="s">
        <v>1271</v>
      </c>
      <c r="G83" s="416" t="s">
        <v>1278</v>
      </c>
      <c r="H83" s="416" t="s">
        <v>466</v>
      </c>
      <c r="I83" s="416" t="s">
        <v>790</v>
      </c>
      <c r="J83" s="208">
        <v>2356</v>
      </c>
      <c r="K83" s="208">
        <v>4521</v>
      </c>
      <c r="L83" s="208">
        <v>2000</v>
      </c>
      <c r="M83" s="420" t="s">
        <v>589</v>
      </c>
      <c r="N83" s="425">
        <v>10.62</v>
      </c>
      <c r="O83" s="344">
        <f>IF(N83&gt;0,1/N83*37.7*68.6,"")</f>
        <v>243.52354048964222</v>
      </c>
      <c r="P83" s="418">
        <v>10.35</v>
      </c>
      <c r="Q83" s="417" t="s">
        <v>834</v>
      </c>
      <c r="R83" s="416" t="s">
        <v>1267</v>
      </c>
      <c r="S83" s="416" t="s">
        <v>34</v>
      </c>
      <c r="T83" s="415" t="s">
        <v>1266</v>
      </c>
      <c r="U83" s="414"/>
      <c r="V83" s="324">
        <f>IFERROR(IF(N83&lt;P83,"",(ROUNDDOWN(N83/P83*100,0))),"")</f>
        <v>102</v>
      </c>
    </row>
    <row r="84" spans="1:22" ht="24" customHeight="1">
      <c r="A84" s="437"/>
      <c r="B84" s="412"/>
      <c r="C84" s="426"/>
      <c r="D84" s="422" t="s">
        <v>1399</v>
      </c>
      <c r="E84" s="416" t="s">
        <v>912</v>
      </c>
      <c r="F84" s="421" t="s">
        <v>1271</v>
      </c>
      <c r="G84" s="416" t="s">
        <v>1278</v>
      </c>
      <c r="H84" s="416" t="s">
        <v>466</v>
      </c>
      <c r="I84" s="416" t="s">
        <v>71</v>
      </c>
      <c r="J84" s="208">
        <v>2356</v>
      </c>
      <c r="K84" s="208">
        <v>4521</v>
      </c>
      <c r="L84" s="208">
        <v>2000</v>
      </c>
      <c r="M84" s="420" t="s">
        <v>589</v>
      </c>
      <c r="N84" s="425">
        <v>10.53</v>
      </c>
      <c r="O84" s="344">
        <f>IF(N84&gt;0,1/N84*37.7*68.6,"")</f>
        <v>245.60493827160494</v>
      </c>
      <c r="P84" s="418">
        <v>10.35</v>
      </c>
      <c r="Q84" s="417" t="s">
        <v>834</v>
      </c>
      <c r="R84" s="416" t="s">
        <v>1267</v>
      </c>
      <c r="S84" s="416" t="s">
        <v>34</v>
      </c>
      <c r="T84" s="415" t="s">
        <v>1266</v>
      </c>
      <c r="U84" s="414"/>
      <c r="V84" s="324">
        <f>IFERROR(IF(N84&lt;P84,"",(ROUNDDOWN(N84/P84*100,0))),"")</f>
        <v>101</v>
      </c>
    </row>
    <row r="85" spans="1:22" ht="24" customHeight="1">
      <c r="A85" s="437"/>
      <c r="B85" s="412"/>
      <c r="C85" s="426"/>
      <c r="D85" s="422" t="s">
        <v>1398</v>
      </c>
      <c r="E85" s="416" t="s">
        <v>912</v>
      </c>
      <c r="F85" s="421" t="s">
        <v>1271</v>
      </c>
      <c r="G85" s="416" t="s">
        <v>1278</v>
      </c>
      <c r="H85" s="416" t="s">
        <v>466</v>
      </c>
      <c r="I85" s="416" t="s">
        <v>790</v>
      </c>
      <c r="J85" s="208">
        <v>2356</v>
      </c>
      <c r="K85" s="208">
        <v>4521</v>
      </c>
      <c r="L85" s="208">
        <v>2000</v>
      </c>
      <c r="M85" s="420" t="s">
        <v>589</v>
      </c>
      <c r="N85" s="425">
        <v>10.62</v>
      </c>
      <c r="O85" s="344">
        <f>IF(N85&gt;0,1/N85*37.7*68.6,"")</f>
        <v>243.52354048964222</v>
      </c>
      <c r="P85" s="418">
        <v>10.35</v>
      </c>
      <c r="Q85" s="417" t="s">
        <v>834</v>
      </c>
      <c r="R85" s="416" t="s">
        <v>1267</v>
      </c>
      <c r="S85" s="416" t="s">
        <v>34</v>
      </c>
      <c r="T85" s="415" t="s">
        <v>1266</v>
      </c>
      <c r="U85" s="414"/>
      <c r="V85" s="324">
        <f>IFERROR(IF(N85&lt;P85,"",(ROUNDDOWN(N85/P85*100,0))),"")</f>
        <v>102</v>
      </c>
    </row>
    <row r="86" spans="1:22" ht="24" customHeight="1">
      <c r="A86" s="437"/>
      <c r="B86" s="412"/>
      <c r="C86" s="426"/>
      <c r="D86" s="422" t="s">
        <v>1398</v>
      </c>
      <c r="E86" s="416" t="s">
        <v>912</v>
      </c>
      <c r="F86" s="421" t="s">
        <v>1271</v>
      </c>
      <c r="G86" s="416" t="s">
        <v>1278</v>
      </c>
      <c r="H86" s="416" t="s">
        <v>466</v>
      </c>
      <c r="I86" s="416" t="s">
        <v>71</v>
      </c>
      <c r="J86" s="208">
        <v>2356</v>
      </c>
      <c r="K86" s="208">
        <v>4521</v>
      </c>
      <c r="L86" s="208">
        <v>2000</v>
      </c>
      <c r="M86" s="420" t="s">
        <v>589</v>
      </c>
      <c r="N86" s="425">
        <v>10.53</v>
      </c>
      <c r="O86" s="344">
        <f>IF(N86&gt;0,1/N86*37.7*68.6,"")</f>
        <v>245.60493827160494</v>
      </c>
      <c r="P86" s="418">
        <v>10.35</v>
      </c>
      <c r="Q86" s="417" t="s">
        <v>834</v>
      </c>
      <c r="R86" s="416" t="s">
        <v>1267</v>
      </c>
      <c r="S86" s="416" t="s">
        <v>34</v>
      </c>
      <c r="T86" s="415" t="s">
        <v>1266</v>
      </c>
      <c r="U86" s="414"/>
      <c r="V86" s="324">
        <f>IFERROR(IF(N86&lt;P86,"",(ROUNDDOWN(N86/P86*100,0))),"")</f>
        <v>101</v>
      </c>
    </row>
    <row r="87" spans="1:22" ht="24" customHeight="1">
      <c r="A87" s="437"/>
      <c r="B87" s="412"/>
      <c r="C87" s="426"/>
      <c r="D87" s="422" t="s">
        <v>1342</v>
      </c>
      <c r="E87" s="416" t="s">
        <v>912</v>
      </c>
      <c r="F87" s="421" t="s">
        <v>1271</v>
      </c>
      <c r="G87" s="416" t="s">
        <v>1278</v>
      </c>
      <c r="H87" s="416" t="s">
        <v>466</v>
      </c>
      <c r="I87" s="416" t="s">
        <v>790</v>
      </c>
      <c r="J87" s="208">
        <v>2356</v>
      </c>
      <c r="K87" s="208">
        <v>4521</v>
      </c>
      <c r="L87" s="208">
        <v>2000</v>
      </c>
      <c r="M87" s="420" t="s">
        <v>589</v>
      </c>
      <c r="N87" s="425">
        <v>10.62</v>
      </c>
      <c r="O87" s="344">
        <f>IF(N87&gt;0,1/N87*37.7*68.6,"")</f>
        <v>243.52354048964222</v>
      </c>
      <c r="P87" s="418">
        <v>10.35</v>
      </c>
      <c r="Q87" s="417" t="s">
        <v>834</v>
      </c>
      <c r="R87" s="416" t="s">
        <v>1267</v>
      </c>
      <c r="S87" s="416" t="s">
        <v>34</v>
      </c>
      <c r="T87" s="415" t="s">
        <v>1266</v>
      </c>
      <c r="U87" s="414"/>
      <c r="V87" s="324">
        <f>IFERROR(IF(N87&lt;P87,"",(ROUNDDOWN(N87/P87*100,0))),"")</f>
        <v>102</v>
      </c>
    </row>
    <row r="88" spans="1:22" ht="24" customHeight="1">
      <c r="A88" s="437"/>
      <c r="B88" s="412"/>
      <c r="C88" s="426"/>
      <c r="D88" s="422" t="s">
        <v>1342</v>
      </c>
      <c r="E88" s="416" t="s">
        <v>912</v>
      </c>
      <c r="F88" s="421" t="s">
        <v>1271</v>
      </c>
      <c r="G88" s="416" t="s">
        <v>1278</v>
      </c>
      <c r="H88" s="416" t="s">
        <v>466</v>
      </c>
      <c r="I88" s="416" t="s">
        <v>71</v>
      </c>
      <c r="J88" s="208">
        <v>2356</v>
      </c>
      <c r="K88" s="208">
        <v>4521</v>
      </c>
      <c r="L88" s="208">
        <v>2000</v>
      </c>
      <c r="M88" s="420" t="s">
        <v>589</v>
      </c>
      <c r="N88" s="425">
        <v>10.53</v>
      </c>
      <c r="O88" s="344">
        <f>IF(N88&gt;0,1/N88*37.7*68.6,"")</f>
        <v>245.60493827160494</v>
      </c>
      <c r="P88" s="418">
        <v>10.35</v>
      </c>
      <c r="Q88" s="417" t="s">
        <v>834</v>
      </c>
      <c r="R88" s="416" t="s">
        <v>1267</v>
      </c>
      <c r="S88" s="416" t="s">
        <v>34</v>
      </c>
      <c r="T88" s="415" t="s">
        <v>1266</v>
      </c>
      <c r="U88" s="414"/>
      <c r="V88" s="324">
        <f>IFERROR(IF(N88&lt;P88,"",(ROUNDDOWN(N88/P88*100,0))),"")</f>
        <v>101</v>
      </c>
    </row>
    <row r="89" spans="1:22" ht="24" customHeight="1">
      <c r="A89" s="437"/>
      <c r="B89" s="412"/>
      <c r="C89" s="426"/>
      <c r="D89" s="422" t="s">
        <v>1340</v>
      </c>
      <c r="E89" s="416" t="s">
        <v>912</v>
      </c>
      <c r="F89" s="421" t="s">
        <v>1271</v>
      </c>
      <c r="G89" s="416" t="s">
        <v>1278</v>
      </c>
      <c r="H89" s="416" t="s">
        <v>466</v>
      </c>
      <c r="I89" s="416" t="s">
        <v>790</v>
      </c>
      <c r="J89" s="208">
        <v>2356</v>
      </c>
      <c r="K89" s="208">
        <v>4521</v>
      </c>
      <c r="L89" s="208">
        <v>2000</v>
      </c>
      <c r="M89" s="420" t="s">
        <v>589</v>
      </c>
      <c r="N89" s="425">
        <v>10.62</v>
      </c>
      <c r="O89" s="344">
        <f>IF(N89&gt;0,1/N89*37.7*68.6,"")</f>
        <v>243.52354048964222</v>
      </c>
      <c r="P89" s="418">
        <v>10.35</v>
      </c>
      <c r="Q89" s="417" t="s">
        <v>834</v>
      </c>
      <c r="R89" s="416" t="s">
        <v>1267</v>
      </c>
      <c r="S89" s="416" t="s">
        <v>34</v>
      </c>
      <c r="T89" s="415" t="s">
        <v>1266</v>
      </c>
      <c r="U89" s="414"/>
      <c r="V89" s="324">
        <f>IFERROR(IF(N89&lt;P89,"",(ROUNDDOWN(N89/P89*100,0))),"")</f>
        <v>102</v>
      </c>
    </row>
    <row r="90" spans="1:22" ht="24" customHeight="1">
      <c r="A90" s="437"/>
      <c r="B90" s="412"/>
      <c r="C90" s="426"/>
      <c r="D90" s="422" t="s">
        <v>1340</v>
      </c>
      <c r="E90" s="416" t="s">
        <v>912</v>
      </c>
      <c r="F90" s="421" t="s">
        <v>1271</v>
      </c>
      <c r="G90" s="416" t="s">
        <v>1278</v>
      </c>
      <c r="H90" s="416" t="s">
        <v>466</v>
      </c>
      <c r="I90" s="416" t="s">
        <v>71</v>
      </c>
      <c r="J90" s="208">
        <v>2356</v>
      </c>
      <c r="K90" s="208">
        <v>4521</v>
      </c>
      <c r="L90" s="208">
        <v>2000</v>
      </c>
      <c r="M90" s="420" t="s">
        <v>589</v>
      </c>
      <c r="N90" s="425">
        <v>10.53</v>
      </c>
      <c r="O90" s="344">
        <f>IF(N90&gt;0,1/N90*37.7*68.6,"")</f>
        <v>245.60493827160494</v>
      </c>
      <c r="P90" s="418">
        <v>10.35</v>
      </c>
      <c r="Q90" s="417" t="s">
        <v>834</v>
      </c>
      <c r="R90" s="416" t="s">
        <v>1267</v>
      </c>
      <c r="S90" s="416" t="s">
        <v>34</v>
      </c>
      <c r="T90" s="415" t="s">
        <v>1266</v>
      </c>
      <c r="U90" s="414"/>
      <c r="V90" s="324">
        <f>IFERROR(IF(N90&lt;P90,"",(ROUNDDOWN(N90/P90*100,0))),"")</f>
        <v>101</v>
      </c>
    </row>
    <row r="91" spans="1:22" ht="24" customHeight="1">
      <c r="A91" s="437"/>
      <c r="B91" s="412"/>
      <c r="C91" s="426"/>
      <c r="D91" s="422" t="s">
        <v>1339</v>
      </c>
      <c r="E91" s="416" t="s">
        <v>912</v>
      </c>
      <c r="F91" s="421" t="s">
        <v>1271</v>
      </c>
      <c r="G91" s="416" t="s">
        <v>1278</v>
      </c>
      <c r="H91" s="416" t="s">
        <v>466</v>
      </c>
      <c r="I91" s="416" t="s">
        <v>790</v>
      </c>
      <c r="J91" s="208">
        <v>2356</v>
      </c>
      <c r="K91" s="208">
        <v>4521</v>
      </c>
      <c r="L91" s="208">
        <v>2000</v>
      </c>
      <c r="M91" s="420" t="s">
        <v>589</v>
      </c>
      <c r="N91" s="425">
        <v>10.62</v>
      </c>
      <c r="O91" s="344">
        <f>IF(N91&gt;0,1/N91*37.7*68.6,"")</f>
        <v>243.52354048964222</v>
      </c>
      <c r="P91" s="418">
        <v>10.35</v>
      </c>
      <c r="Q91" s="417" t="s">
        <v>834</v>
      </c>
      <c r="R91" s="416" t="s">
        <v>1267</v>
      </c>
      <c r="S91" s="416" t="s">
        <v>34</v>
      </c>
      <c r="T91" s="415" t="s">
        <v>1266</v>
      </c>
      <c r="U91" s="414"/>
      <c r="V91" s="324">
        <f>IFERROR(IF(N91&lt;P91,"",(ROUNDDOWN(N91/P91*100,0))),"")</f>
        <v>102</v>
      </c>
    </row>
    <row r="92" spans="1:22" ht="24" customHeight="1">
      <c r="A92" s="437"/>
      <c r="B92" s="412"/>
      <c r="C92" s="426"/>
      <c r="D92" s="422" t="s">
        <v>1339</v>
      </c>
      <c r="E92" s="416" t="s">
        <v>912</v>
      </c>
      <c r="F92" s="421" t="s">
        <v>1271</v>
      </c>
      <c r="G92" s="416" t="s">
        <v>1278</v>
      </c>
      <c r="H92" s="416" t="s">
        <v>466</v>
      </c>
      <c r="I92" s="416" t="s">
        <v>71</v>
      </c>
      <c r="J92" s="208">
        <v>2356</v>
      </c>
      <c r="K92" s="208">
        <v>4521</v>
      </c>
      <c r="L92" s="208">
        <v>2000</v>
      </c>
      <c r="M92" s="420" t="s">
        <v>589</v>
      </c>
      <c r="N92" s="425">
        <v>10.53</v>
      </c>
      <c r="O92" s="344">
        <f>IF(N92&gt;0,1/N92*37.7*68.6,"")</f>
        <v>245.60493827160494</v>
      </c>
      <c r="P92" s="418">
        <v>10.35</v>
      </c>
      <c r="Q92" s="417" t="s">
        <v>834</v>
      </c>
      <c r="R92" s="416" t="s">
        <v>1267</v>
      </c>
      <c r="S92" s="416" t="s">
        <v>34</v>
      </c>
      <c r="T92" s="415" t="s">
        <v>1266</v>
      </c>
      <c r="U92" s="414"/>
      <c r="V92" s="324">
        <f>IFERROR(IF(N92&lt;P92,"",(ROUNDDOWN(N92/P92*100,0))),"")</f>
        <v>101</v>
      </c>
    </row>
    <row r="93" spans="1:22" ht="24" customHeight="1">
      <c r="A93" s="437"/>
      <c r="B93" s="412"/>
      <c r="C93" s="426"/>
      <c r="D93" s="422" t="s">
        <v>1337</v>
      </c>
      <c r="E93" s="416" t="s">
        <v>912</v>
      </c>
      <c r="F93" s="421" t="s">
        <v>1271</v>
      </c>
      <c r="G93" s="416" t="s">
        <v>1278</v>
      </c>
      <c r="H93" s="416" t="s">
        <v>466</v>
      </c>
      <c r="I93" s="416" t="s">
        <v>790</v>
      </c>
      <c r="J93" s="208">
        <v>2356</v>
      </c>
      <c r="K93" s="208">
        <v>4521</v>
      </c>
      <c r="L93" s="208">
        <v>2000</v>
      </c>
      <c r="M93" s="420" t="s">
        <v>589</v>
      </c>
      <c r="N93" s="425">
        <v>10.62</v>
      </c>
      <c r="O93" s="344">
        <f>IF(N93&gt;0,1/N93*37.7*68.6,"")</f>
        <v>243.52354048964222</v>
      </c>
      <c r="P93" s="418">
        <v>10.35</v>
      </c>
      <c r="Q93" s="417" t="s">
        <v>834</v>
      </c>
      <c r="R93" s="416" t="s">
        <v>1267</v>
      </c>
      <c r="S93" s="416" t="s">
        <v>34</v>
      </c>
      <c r="T93" s="415" t="s">
        <v>1266</v>
      </c>
      <c r="U93" s="414"/>
      <c r="V93" s="324">
        <f>IFERROR(IF(N93&lt;P93,"",(ROUNDDOWN(N93/P93*100,0))),"")</f>
        <v>102</v>
      </c>
    </row>
    <row r="94" spans="1:22" ht="24" customHeight="1">
      <c r="A94" s="437"/>
      <c r="B94" s="412"/>
      <c r="C94" s="426"/>
      <c r="D94" s="422" t="s">
        <v>1337</v>
      </c>
      <c r="E94" s="416" t="s">
        <v>912</v>
      </c>
      <c r="F94" s="421" t="s">
        <v>1271</v>
      </c>
      <c r="G94" s="416" t="s">
        <v>1278</v>
      </c>
      <c r="H94" s="416" t="s">
        <v>466</v>
      </c>
      <c r="I94" s="416" t="s">
        <v>71</v>
      </c>
      <c r="J94" s="208">
        <v>2356</v>
      </c>
      <c r="K94" s="208">
        <v>4521</v>
      </c>
      <c r="L94" s="208">
        <v>2000</v>
      </c>
      <c r="M94" s="420" t="s">
        <v>589</v>
      </c>
      <c r="N94" s="425">
        <v>10.53</v>
      </c>
      <c r="O94" s="344">
        <f>IF(N94&gt;0,1/N94*37.7*68.6,"")</f>
        <v>245.60493827160494</v>
      </c>
      <c r="P94" s="418">
        <v>10.35</v>
      </c>
      <c r="Q94" s="417" t="s">
        <v>834</v>
      </c>
      <c r="R94" s="416" t="s">
        <v>1267</v>
      </c>
      <c r="S94" s="416" t="s">
        <v>34</v>
      </c>
      <c r="T94" s="415" t="s">
        <v>1266</v>
      </c>
      <c r="U94" s="414"/>
      <c r="V94" s="324">
        <f>IFERROR(IF(N94&lt;P94,"",(ROUNDDOWN(N94/P94*100,0))),"")</f>
        <v>101</v>
      </c>
    </row>
    <row r="95" spans="1:22" ht="24" customHeight="1">
      <c r="A95" s="437"/>
      <c r="B95" s="412"/>
      <c r="C95" s="426"/>
      <c r="D95" s="422" t="s">
        <v>1336</v>
      </c>
      <c r="E95" s="416" t="s">
        <v>912</v>
      </c>
      <c r="F95" s="421" t="s">
        <v>1271</v>
      </c>
      <c r="G95" s="416" t="s">
        <v>1278</v>
      </c>
      <c r="H95" s="416" t="s">
        <v>466</v>
      </c>
      <c r="I95" s="416" t="s">
        <v>790</v>
      </c>
      <c r="J95" s="208">
        <v>2356</v>
      </c>
      <c r="K95" s="208">
        <v>4521</v>
      </c>
      <c r="L95" s="208">
        <v>2000</v>
      </c>
      <c r="M95" s="420" t="s">
        <v>589</v>
      </c>
      <c r="N95" s="425">
        <v>10.62</v>
      </c>
      <c r="O95" s="344">
        <f>IF(N95&gt;0,1/N95*37.7*68.6,"")</f>
        <v>243.52354048964222</v>
      </c>
      <c r="P95" s="418">
        <v>10.35</v>
      </c>
      <c r="Q95" s="417" t="s">
        <v>834</v>
      </c>
      <c r="R95" s="416" t="s">
        <v>1267</v>
      </c>
      <c r="S95" s="416" t="s">
        <v>34</v>
      </c>
      <c r="T95" s="415" t="s">
        <v>1266</v>
      </c>
      <c r="U95" s="414"/>
      <c r="V95" s="324">
        <f>IFERROR(IF(N95&lt;P95,"",(ROUNDDOWN(N95/P95*100,0))),"")</f>
        <v>102</v>
      </c>
    </row>
    <row r="96" spans="1:22" ht="24" customHeight="1">
      <c r="A96" s="437"/>
      <c r="B96" s="412"/>
      <c r="C96" s="426"/>
      <c r="D96" s="422" t="s">
        <v>1336</v>
      </c>
      <c r="E96" s="416" t="s">
        <v>912</v>
      </c>
      <c r="F96" s="421" t="s">
        <v>1271</v>
      </c>
      <c r="G96" s="416" t="s">
        <v>1278</v>
      </c>
      <c r="H96" s="416" t="s">
        <v>466</v>
      </c>
      <c r="I96" s="416" t="s">
        <v>71</v>
      </c>
      <c r="J96" s="208">
        <v>2356</v>
      </c>
      <c r="K96" s="208">
        <v>4521</v>
      </c>
      <c r="L96" s="208">
        <v>2000</v>
      </c>
      <c r="M96" s="420" t="s">
        <v>589</v>
      </c>
      <c r="N96" s="425">
        <v>10.53</v>
      </c>
      <c r="O96" s="344">
        <f>IF(N96&gt;0,1/N96*37.7*68.6,"")</f>
        <v>245.60493827160494</v>
      </c>
      <c r="P96" s="418">
        <v>10.35</v>
      </c>
      <c r="Q96" s="417" t="s">
        <v>834</v>
      </c>
      <c r="R96" s="416" t="s">
        <v>1267</v>
      </c>
      <c r="S96" s="416" t="s">
        <v>34</v>
      </c>
      <c r="T96" s="415" t="s">
        <v>1266</v>
      </c>
      <c r="U96" s="414"/>
      <c r="V96" s="324">
        <f>IFERROR(IF(N96&lt;P96,"",(ROUNDDOWN(N96/P96*100,0))),"")</f>
        <v>101</v>
      </c>
    </row>
    <row r="97" spans="1:22" ht="24" customHeight="1">
      <c r="A97" s="437"/>
      <c r="B97" s="412"/>
      <c r="C97" s="426"/>
      <c r="D97" s="422" t="s">
        <v>1335</v>
      </c>
      <c r="E97" s="416" t="s">
        <v>912</v>
      </c>
      <c r="F97" s="421" t="s">
        <v>1271</v>
      </c>
      <c r="G97" s="416" t="s">
        <v>1278</v>
      </c>
      <c r="H97" s="416" t="s">
        <v>466</v>
      </c>
      <c r="I97" s="416" t="s">
        <v>790</v>
      </c>
      <c r="J97" s="208">
        <v>2356</v>
      </c>
      <c r="K97" s="208">
        <v>4521</v>
      </c>
      <c r="L97" s="208">
        <v>2000</v>
      </c>
      <c r="M97" s="420" t="s">
        <v>589</v>
      </c>
      <c r="N97" s="425">
        <v>10.62</v>
      </c>
      <c r="O97" s="344">
        <f>IF(N97&gt;0,1/N97*37.7*68.6,"")</f>
        <v>243.52354048964222</v>
      </c>
      <c r="P97" s="418">
        <v>10.35</v>
      </c>
      <c r="Q97" s="417" t="s">
        <v>834</v>
      </c>
      <c r="R97" s="416" t="s">
        <v>1267</v>
      </c>
      <c r="S97" s="416" t="s">
        <v>34</v>
      </c>
      <c r="T97" s="415" t="s">
        <v>1266</v>
      </c>
      <c r="U97" s="414"/>
      <c r="V97" s="324">
        <f>IFERROR(IF(N97&lt;P97,"",(ROUNDDOWN(N97/P97*100,0))),"")</f>
        <v>102</v>
      </c>
    </row>
    <row r="98" spans="1:22" ht="24" customHeight="1">
      <c r="A98" s="437"/>
      <c r="B98" s="412"/>
      <c r="C98" s="426"/>
      <c r="D98" s="422" t="s">
        <v>1335</v>
      </c>
      <c r="E98" s="416" t="s">
        <v>912</v>
      </c>
      <c r="F98" s="421" t="s">
        <v>1271</v>
      </c>
      <c r="G98" s="416" t="s">
        <v>1278</v>
      </c>
      <c r="H98" s="416" t="s">
        <v>466</v>
      </c>
      <c r="I98" s="416" t="s">
        <v>71</v>
      </c>
      <c r="J98" s="208">
        <v>2356</v>
      </c>
      <c r="K98" s="208">
        <v>4521</v>
      </c>
      <c r="L98" s="208">
        <v>2000</v>
      </c>
      <c r="M98" s="420" t="s">
        <v>589</v>
      </c>
      <c r="N98" s="425">
        <v>10.53</v>
      </c>
      <c r="O98" s="344">
        <f>IF(N98&gt;0,1/N98*37.7*68.6,"")</f>
        <v>245.60493827160494</v>
      </c>
      <c r="P98" s="418">
        <v>10.35</v>
      </c>
      <c r="Q98" s="417" t="s">
        <v>834</v>
      </c>
      <c r="R98" s="416" t="s">
        <v>1267</v>
      </c>
      <c r="S98" s="416" t="s">
        <v>34</v>
      </c>
      <c r="T98" s="415" t="s">
        <v>1266</v>
      </c>
      <c r="U98" s="414"/>
      <c r="V98" s="324">
        <f>IFERROR(IF(N98&lt;P98,"",(ROUNDDOWN(N98/P98*100,0))),"")</f>
        <v>101</v>
      </c>
    </row>
    <row r="99" spans="1:22" ht="24" customHeight="1">
      <c r="A99" s="437"/>
      <c r="B99" s="412"/>
      <c r="C99" s="426"/>
      <c r="D99" s="422" t="s">
        <v>1284</v>
      </c>
      <c r="E99" s="416" t="s">
        <v>912</v>
      </c>
      <c r="F99" s="421" t="s">
        <v>1271</v>
      </c>
      <c r="G99" s="416" t="s">
        <v>1278</v>
      </c>
      <c r="H99" s="416" t="s">
        <v>466</v>
      </c>
      <c r="I99" s="416" t="s">
        <v>790</v>
      </c>
      <c r="J99" s="208">
        <v>2356</v>
      </c>
      <c r="K99" s="208">
        <v>4521</v>
      </c>
      <c r="L99" s="208">
        <v>2000</v>
      </c>
      <c r="M99" s="420" t="s">
        <v>589</v>
      </c>
      <c r="N99" s="425">
        <v>10.62</v>
      </c>
      <c r="O99" s="344">
        <f>IF(N99&gt;0,1/N99*37.7*68.6,"")</f>
        <v>243.52354048964222</v>
      </c>
      <c r="P99" s="418">
        <v>10.35</v>
      </c>
      <c r="Q99" s="417" t="s">
        <v>834</v>
      </c>
      <c r="R99" s="416" t="s">
        <v>1267</v>
      </c>
      <c r="S99" s="416" t="s">
        <v>34</v>
      </c>
      <c r="T99" s="415" t="s">
        <v>1266</v>
      </c>
      <c r="U99" s="414"/>
      <c r="V99" s="324">
        <f>IFERROR(IF(N99&lt;P99,"",(ROUNDDOWN(N99/P99*100,0))),"")</f>
        <v>102</v>
      </c>
    </row>
    <row r="100" spans="1:22" ht="24" customHeight="1">
      <c r="A100" s="437"/>
      <c r="B100" s="412"/>
      <c r="C100" s="426"/>
      <c r="D100" s="422" t="s">
        <v>1284</v>
      </c>
      <c r="E100" s="416" t="s">
        <v>912</v>
      </c>
      <c r="F100" s="421" t="s">
        <v>1271</v>
      </c>
      <c r="G100" s="416" t="s">
        <v>1278</v>
      </c>
      <c r="H100" s="416" t="s">
        <v>466</v>
      </c>
      <c r="I100" s="416" t="s">
        <v>71</v>
      </c>
      <c r="J100" s="208">
        <v>2356</v>
      </c>
      <c r="K100" s="208">
        <v>4521</v>
      </c>
      <c r="L100" s="208">
        <v>2000</v>
      </c>
      <c r="M100" s="420" t="s">
        <v>589</v>
      </c>
      <c r="N100" s="425">
        <v>10.53</v>
      </c>
      <c r="O100" s="344">
        <f>IF(N100&gt;0,1/N100*37.7*68.6,"")</f>
        <v>245.60493827160494</v>
      </c>
      <c r="P100" s="418">
        <v>10.35</v>
      </c>
      <c r="Q100" s="417" t="s">
        <v>834</v>
      </c>
      <c r="R100" s="416" t="s">
        <v>1267</v>
      </c>
      <c r="S100" s="416" t="s">
        <v>34</v>
      </c>
      <c r="T100" s="415" t="s">
        <v>1266</v>
      </c>
      <c r="U100" s="414"/>
      <c r="V100" s="324">
        <f>IFERROR(IF(N100&lt;P100,"",(ROUNDDOWN(N100/P100*100,0))),"")</f>
        <v>101</v>
      </c>
    </row>
    <row r="101" spans="1:22" ht="24" customHeight="1">
      <c r="A101" s="437"/>
      <c r="B101" s="412"/>
      <c r="C101" s="426"/>
      <c r="D101" s="422" t="s">
        <v>1283</v>
      </c>
      <c r="E101" s="416" t="s">
        <v>912</v>
      </c>
      <c r="F101" s="421" t="s">
        <v>1271</v>
      </c>
      <c r="G101" s="416" t="s">
        <v>1278</v>
      </c>
      <c r="H101" s="416" t="s">
        <v>466</v>
      </c>
      <c r="I101" s="416" t="s">
        <v>790</v>
      </c>
      <c r="J101" s="208">
        <v>2356</v>
      </c>
      <c r="K101" s="208">
        <v>4521</v>
      </c>
      <c r="L101" s="208">
        <v>2000</v>
      </c>
      <c r="M101" s="420" t="s">
        <v>589</v>
      </c>
      <c r="N101" s="425">
        <v>10.62</v>
      </c>
      <c r="O101" s="344">
        <f>IF(N101&gt;0,1/N101*37.7*68.6,"")</f>
        <v>243.52354048964222</v>
      </c>
      <c r="P101" s="418">
        <v>10.35</v>
      </c>
      <c r="Q101" s="417" t="s">
        <v>834</v>
      </c>
      <c r="R101" s="416" t="s">
        <v>1267</v>
      </c>
      <c r="S101" s="416" t="s">
        <v>34</v>
      </c>
      <c r="T101" s="415" t="s">
        <v>1266</v>
      </c>
      <c r="U101" s="414"/>
      <c r="V101" s="324">
        <f>IFERROR(IF(N101&lt;P101,"",(ROUNDDOWN(N101/P101*100,0))),"")</f>
        <v>102</v>
      </c>
    </row>
    <row r="102" spans="1:22" ht="24" customHeight="1">
      <c r="A102" s="437"/>
      <c r="B102" s="412"/>
      <c r="C102" s="426"/>
      <c r="D102" s="422" t="s">
        <v>1283</v>
      </c>
      <c r="E102" s="416" t="s">
        <v>912</v>
      </c>
      <c r="F102" s="421" t="s">
        <v>1271</v>
      </c>
      <c r="G102" s="416" t="s">
        <v>1278</v>
      </c>
      <c r="H102" s="416" t="s">
        <v>466</v>
      </c>
      <c r="I102" s="416" t="s">
        <v>71</v>
      </c>
      <c r="J102" s="208">
        <v>2356</v>
      </c>
      <c r="K102" s="208">
        <v>4521</v>
      </c>
      <c r="L102" s="208">
        <v>2000</v>
      </c>
      <c r="M102" s="420" t="s">
        <v>589</v>
      </c>
      <c r="N102" s="425">
        <v>10.53</v>
      </c>
      <c r="O102" s="344">
        <f>IF(N102&gt;0,1/N102*37.7*68.6,"")</f>
        <v>245.60493827160494</v>
      </c>
      <c r="P102" s="418">
        <v>10.35</v>
      </c>
      <c r="Q102" s="417" t="s">
        <v>834</v>
      </c>
      <c r="R102" s="416" t="s">
        <v>1267</v>
      </c>
      <c r="S102" s="416" t="s">
        <v>34</v>
      </c>
      <c r="T102" s="415" t="s">
        <v>1266</v>
      </c>
      <c r="U102" s="414"/>
      <c r="V102" s="324">
        <f>IFERROR(IF(N102&lt;P102,"",(ROUNDDOWN(N102/P102*100,0))),"")</f>
        <v>101</v>
      </c>
    </row>
    <row r="103" spans="1:22" ht="24" customHeight="1">
      <c r="A103" s="437"/>
      <c r="B103" s="412"/>
      <c r="C103" s="426"/>
      <c r="D103" s="422" t="s">
        <v>1282</v>
      </c>
      <c r="E103" s="416" t="s">
        <v>912</v>
      </c>
      <c r="F103" s="421" t="s">
        <v>1271</v>
      </c>
      <c r="G103" s="416" t="s">
        <v>1278</v>
      </c>
      <c r="H103" s="416" t="s">
        <v>466</v>
      </c>
      <c r="I103" s="416" t="s">
        <v>790</v>
      </c>
      <c r="J103" s="208">
        <v>2356</v>
      </c>
      <c r="K103" s="208">
        <v>4521</v>
      </c>
      <c r="L103" s="208">
        <v>2000</v>
      </c>
      <c r="M103" s="420" t="s">
        <v>589</v>
      </c>
      <c r="N103" s="425">
        <v>10.62</v>
      </c>
      <c r="O103" s="344">
        <f>IF(N103&gt;0,1/N103*37.7*68.6,"")</f>
        <v>243.52354048964222</v>
      </c>
      <c r="P103" s="418">
        <v>10.35</v>
      </c>
      <c r="Q103" s="417" t="s">
        <v>834</v>
      </c>
      <c r="R103" s="416" t="s">
        <v>1267</v>
      </c>
      <c r="S103" s="416" t="s">
        <v>34</v>
      </c>
      <c r="T103" s="415" t="s">
        <v>1266</v>
      </c>
      <c r="U103" s="414"/>
      <c r="V103" s="324">
        <f>IFERROR(IF(N103&lt;P103,"",(ROUNDDOWN(N103/P103*100,0))),"")</f>
        <v>102</v>
      </c>
    </row>
    <row r="104" spans="1:22" ht="24" customHeight="1">
      <c r="A104" s="437"/>
      <c r="B104" s="412"/>
      <c r="C104" s="426"/>
      <c r="D104" s="422" t="s">
        <v>1282</v>
      </c>
      <c r="E104" s="416" t="s">
        <v>912</v>
      </c>
      <c r="F104" s="421" t="s">
        <v>1271</v>
      </c>
      <c r="G104" s="416" t="s">
        <v>1278</v>
      </c>
      <c r="H104" s="416" t="s">
        <v>466</v>
      </c>
      <c r="I104" s="416" t="s">
        <v>71</v>
      </c>
      <c r="J104" s="208">
        <v>2356</v>
      </c>
      <c r="K104" s="208">
        <v>4521</v>
      </c>
      <c r="L104" s="208">
        <v>2000</v>
      </c>
      <c r="M104" s="420" t="s">
        <v>589</v>
      </c>
      <c r="N104" s="425">
        <v>10.53</v>
      </c>
      <c r="O104" s="344">
        <f>IF(N104&gt;0,1/N104*37.7*68.6,"")</f>
        <v>245.60493827160494</v>
      </c>
      <c r="P104" s="418">
        <v>10.35</v>
      </c>
      <c r="Q104" s="417" t="s">
        <v>834</v>
      </c>
      <c r="R104" s="416" t="s">
        <v>1267</v>
      </c>
      <c r="S104" s="416" t="s">
        <v>34</v>
      </c>
      <c r="T104" s="415" t="s">
        <v>1266</v>
      </c>
      <c r="U104" s="414"/>
      <c r="V104" s="324">
        <f>IFERROR(IF(N104&lt;P104,"",(ROUNDDOWN(N104/P104*100,0))),"")</f>
        <v>101</v>
      </c>
    </row>
    <row r="105" spans="1:22" ht="24" customHeight="1">
      <c r="A105" s="437"/>
      <c r="B105" s="412"/>
      <c r="C105" s="426"/>
      <c r="D105" s="422" t="s">
        <v>1397</v>
      </c>
      <c r="E105" s="416" t="s">
        <v>912</v>
      </c>
      <c r="F105" s="421" t="s">
        <v>1271</v>
      </c>
      <c r="G105" s="416" t="s">
        <v>1278</v>
      </c>
      <c r="H105" s="416" t="s">
        <v>466</v>
      </c>
      <c r="I105" s="416" t="s">
        <v>71</v>
      </c>
      <c r="J105" s="208">
        <v>2356</v>
      </c>
      <c r="K105" s="208">
        <v>4521</v>
      </c>
      <c r="L105" s="208">
        <v>2000</v>
      </c>
      <c r="M105" s="420" t="s">
        <v>589</v>
      </c>
      <c r="N105" s="425">
        <v>10.53</v>
      </c>
      <c r="O105" s="344">
        <f>IF(N105&gt;0,1/N105*37.7*68.6,"")</f>
        <v>245.60493827160494</v>
      </c>
      <c r="P105" s="418">
        <v>10.35</v>
      </c>
      <c r="Q105" s="417" t="s">
        <v>834</v>
      </c>
      <c r="R105" s="416" t="s">
        <v>1267</v>
      </c>
      <c r="S105" s="416" t="s">
        <v>34</v>
      </c>
      <c r="T105" s="415" t="s">
        <v>1266</v>
      </c>
      <c r="U105" s="414"/>
      <c r="V105" s="324">
        <f>IFERROR(IF(N105&lt;P105,"",(ROUNDDOWN(N105/P105*100,0))),"")</f>
        <v>101</v>
      </c>
    </row>
    <row r="106" spans="1:22" ht="24" customHeight="1">
      <c r="A106" s="437"/>
      <c r="B106" s="412"/>
      <c r="C106" s="426"/>
      <c r="D106" s="422" t="s">
        <v>1332</v>
      </c>
      <c r="E106" s="416" t="s">
        <v>912</v>
      </c>
      <c r="F106" s="421" t="s">
        <v>1271</v>
      </c>
      <c r="G106" s="416" t="s">
        <v>1278</v>
      </c>
      <c r="H106" s="416" t="s">
        <v>466</v>
      </c>
      <c r="I106" s="416" t="s">
        <v>71</v>
      </c>
      <c r="J106" s="208">
        <v>2356</v>
      </c>
      <c r="K106" s="208">
        <v>4521</v>
      </c>
      <c r="L106" s="208">
        <v>2000</v>
      </c>
      <c r="M106" s="420" t="s">
        <v>589</v>
      </c>
      <c r="N106" s="425">
        <v>10.53</v>
      </c>
      <c r="O106" s="344">
        <f>IF(N106&gt;0,1/N106*37.7*68.6,"")</f>
        <v>245.60493827160494</v>
      </c>
      <c r="P106" s="418">
        <v>10.35</v>
      </c>
      <c r="Q106" s="417" t="s">
        <v>834</v>
      </c>
      <c r="R106" s="416" t="s">
        <v>1267</v>
      </c>
      <c r="S106" s="416" t="s">
        <v>34</v>
      </c>
      <c r="T106" s="415" t="s">
        <v>1266</v>
      </c>
      <c r="U106" s="414"/>
      <c r="V106" s="324">
        <f>IFERROR(IF(N106&lt;P106,"",(ROUNDDOWN(N106/P106*100,0))),"")</f>
        <v>101</v>
      </c>
    </row>
    <row r="107" spans="1:22" ht="24" customHeight="1">
      <c r="A107" s="437"/>
      <c r="B107" s="412"/>
      <c r="C107" s="426"/>
      <c r="D107" s="422" t="s">
        <v>1274</v>
      </c>
      <c r="E107" s="416" t="s">
        <v>912</v>
      </c>
      <c r="F107" s="421" t="s">
        <v>1271</v>
      </c>
      <c r="G107" s="416" t="s">
        <v>1270</v>
      </c>
      <c r="H107" s="416" t="s">
        <v>1269</v>
      </c>
      <c r="I107" s="416" t="s">
        <v>71</v>
      </c>
      <c r="J107" s="208">
        <v>2356</v>
      </c>
      <c r="K107" s="208">
        <v>4521</v>
      </c>
      <c r="L107" s="208">
        <v>2000</v>
      </c>
      <c r="M107" s="420" t="s">
        <v>589</v>
      </c>
      <c r="N107" s="425">
        <v>10.25</v>
      </c>
      <c r="O107" s="344">
        <f>IF(N107&gt;0,1/N107*37.7*68.6,"")</f>
        <v>252.31414634146344</v>
      </c>
      <c r="P107" s="418">
        <v>10.35</v>
      </c>
      <c r="Q107" s="417" t="s">
        <v>834</v>
      </c>
      <c r="R107" s="416" t="s">
        <v>1267</v>
      </c>
      <c r="S107" s="416" t="s">
        <v>34</v>
      </c>
      <c r="T107" s="415" t="s">
        <v>1266</v>
      </c>
      <c r="U107" s="414"/>
      <c r="V107" s="324" t="str">
        <f>IFERROR(IF(N107&lt;P107,"",(ROUNDDOWN(N107/P107*100,0))),"")</f>
        <v/>
      </c>
    </row>
    <row r="108" spans="1:22" ht="24" customHeight="1">
      <c r="A108" s="437"/>
      <c r="B108" s="412"/>
      <c r="C108" s="426"/>
      <c r="D108" s="422" t="s">
        <v>1274</v>
      </c>
      <c r="E108" s="416" t="s">
        <v>912</v>
      </c>
      <c r="F108" s="421" t="s">
        <v>1271</v>
      </c>
      <c r="G108" s="416" t="s">
        <v>1278</v>
      </c>
      <c r="H108" s="416" t="s">
        <v>466</v>
      </c>
      <c r="I108" s="416" t="s">
        <v>71</v>
      </c>
      <c r="J108" s="208">
        <v>2356</v>
      </c>
      <c r="K108" s="208">
        <v>4521</v>
      </c>
      <c r="L108" s="208">
        <v>2000</v>
      </c>
      <c r="M108" s="420" t="s">
        <v>589</v>
      </c>
      <c r="N108" s="425">
        <v>10.17</v>
      </c>
      <c r="O108" s="344">
        <f>IF(N108&gt;0,1/N108*37.7*68.6,"")</f>
        <v>254.29891838741395</v>
      </c>
      <c r="P108" s="418">
        <v>10.35</v>
      </c>
      <c r="Q108" s="417" t="s">
        <v>1268</v>
      </c>
      <c r="R108" s="416" t="s">
        <v>1267</v>
      </c>
      <c r="S108" s="416" t="s">
        <v>34</v>
      </c>
      <c r="T108" s="415" t="s">
        <v>1266</v>
      </c>
      <c r="U108" s="414"/>
      <c r="V108" s="324" t="str">
        <f>IFERROR(IF(N108&lt;P108,"",(ROUNDDOWN(N108/P108*100,0))),"")</f>
        <v/>
      </c>
    </row>
    <row r="109" spans="1:22" ht="24" customHeight="1">
      <c r="A109" s="437"/>
      <c r="B109" s="412"/>
      <c r="C109" s="426"/>
      <c r="D109" s="422" t="s">
        <v>1273</v>
      </c>
      <c r="E109" s="416" t="s">
        <v>912</v>
      </c>
      <c r="F109" s="421" t="s">
        <v>1271</v>
      </c>
      <c r="G109" s="416" t="s">
        <v>1270</v>
      </c>
      <c r="H109" s="416" t="s">
        <v>1269</v>
      </c>
      <c r="I109" s="416" t="s">
        <v>71</v>
      </c>
      <c r="J109" s="208">
        <v>2356</v>
      </c>
      <c r="K109" s="208">
        <v>4521</v>
      </c>
      <c r="L109" s="208">
        <v>2000</v>
      </c>
      <c r="M109" s="420" t="s">
        <v>589</v>
      </c>
      <c r="N109" s="425">
        <v>10.25</v>
      </c>
      <c r="O109" s="344">
        <f>IF(N109&gt;0,1/N109*37.7*68.6,"")</f>
        <v>252.31414634146344</v>
      </c>
      <c r="P109" s="418">
        <v>10.35</v>
      </c>
      <c r="Q109" s="417" t="s">
        <v>834</v>
      </c>
      <c r="R109" s="416" t="s">
        <v>1267</v>
      </c>
      <c r="S109" s="416" t="s">
        <v>34</v>
      </c>
      <c r="T109" s="415" t="s">
        <v>1266</v>
      </c>
      <c r="U109" s="414"/>
      <c r="V109" s="324" t="str">
        <f>IFERROR(IF(N109&lt;P109,"",(ROUNDDOWN(N109/P109*100,0))),"")</f>
        <v/>
      </c>
    </row>
    <row r="110" spans="1:22" ht="24" customHeight="1">
      <c r="A110" s="437"/>
      <c r="B110" s="412"/>
      <c r="C110" s="426"/>
      <c r="D110" s="422" t="s">
        <v>1273</v>
      </c>
      <c r="E110" s="416" t="s">
        <v>912</v>
      </c>
      <c r="F110" s="421" t="s">
        <v>1271</v>
      </c>
      <c r="G110" s="416" t="s">
        <v>1278</v>
      </c>
      <c r="H110" s="416" t="s">
        <v>466</v>
      </c>
      <c r="I110" s="416" t="s">
        <v>71</v>
      </c>
      <c r="J110" s="208">
        <v>2356</v>
      </c>
      <c r="K110" s="208">
        <v>4521</v>
      </c>
      <c r="L110" s="208">
        <v>2000</v>
      </c>
      <c r="M110" s="420" t="s">
        <v>589</v>
      </c>
      <c r="N110" s="425">
        <v>10.17</v>
      </c>
      <c r="O110" s="344">
        <f>IF(N110&gt;0,1/N110*37.7*68.6,"")</f>
        <v>254.29891838741395</v>
      </c>
      <c r="P110" s="418">
        <v>10.35</v>
      </c>
      <c r="Q110" s="417" t="s">
        <v>1268</v>
      </c>
      <c r="R110" s="416" t="s">
        <v>1267</v>
      </c>
      <c r="S110" s="416" t="s">
        <v>34</v>
      </c>
      <c r="T110" s="415" t="s">
        <v>1266</v>
      </c>
      <c r="U110" s="414"/>
      <c r="V110" s="324" t="str">
        <f>IFERROR(IF(N110&lt;P110,"",(ROUNDDOWN(N110/P110*100,0))),"")</f>
        <v/>
      </c>
    </row>
    <row r="111" spans="1:22" ht="24" customHeight="1">
      <c r="A111" s="437"/>
      <c r="B111" s="412"/>
      <c r="C111" s="426"/>
      <c r="D111" s="422" t="s">
        <v>1396</v>
      </c>
      <c r="E111" s="416" t="s">
        <v>912</v>
      </c>
      <c r="F111" s="421" t="s">
        <v>1271</v>
      </c>
      <c r="G111" s="416" t="s">
        <v>1278</v>
      </c>
      <c r="H111" s="416" t="s">
        <v>466</v>
      </c>
      <c r="I111" s="416" t="s">
        <v>71</v>
      </c>
      <c r="J111" s="208">
        <v>2356</v>
      </c>
      <c r="K111" s="208">
        <v>4521</v>
      </c>
      <c r="L111" s="208">
        <v>2000</v>
      </c>
      <c r="M111" s="420" t="s">
        <v>589</v>
      </c>
      <c r="N111" s="425">
        <v>10.17</v>
      </c>
      <c r="O111" s="344">
        <f>IF(N111&gt;0,1/N111*37.7*68.6,"")</f>
        <v>254.29891838741395</v>
      </c>
      <c r="P111" s="418">
        <v>10.35</v>
      </c>
      <c r="Q111" s="417" t="s">
        <v>1268</v>
      </c>
      <c r="R111" s="416" t="s">
        <v>1267</v>
      </c>
      <c r="S111" s="416" t="s">
        <v>34</v>
      </c>
      <c r="T111" s="415" t="s">
        <v>1266</v>
      </c>
      <c r="U111" s="414"/>
      <c r="V111" s="324" t="str">
        <f>IFERROR(IF(N111&lt;P111,"",(ROUNDDOWN(N111/P111*100,0))),"")</f>
        <v/>
      </c>
    </row>
    <row r="112" spans="1:22" ht="24" customHeight="1">
      <c r="A112" s="437"/>
      <c r="B112" s="412"/>
      <c r="C112" s="426"/>
      <c r="D112" s="422" t="s">
        <v>1395</v>
      </c>
      <c r="E112" s="416" t="s">
        <v>912</v>
      </c>
      <c r="F112" s="421" t="s">
        <v>1271</v>
      </c>
      <c r="G112" s="416" t="s">
        <v>1278</v>
      </c>
      <c r="H112" s="416" t="s">
        <v>466</v>
      </c>
      <c r="I112" s="416" t="s">
        <v>71</v>
      </c>
      <c r="J112" s="208">
        <v>2356</v>
      </c>
      <c r="K112" s="208">
        <v>4521</v>
      </c>
      <c r="L112" s="208">
        <v>2000</v>
      </c>
      <c r="M112" s="420" t="s">
        <v>589</v>
      </c>
      <c r="N112" s="425">
        <v>10.17</v>
      </c>
      <c r="O112" s="344">
        <f>IF(N112&gt;0,1/N112*37.7*68.6,"")</f>
        <v>254.29891838741395</v>
      </c>
      <c r="P112" s="418">
        <v>10.35</v>
      </c>
      <c r="Q112" s="417" t="s">
        <v>1268</v>
      </c>
      <c r="R112" s="416" t="s">
        <v>1267</v>
      </c>
      <c r="S112" s="416" t="s">
        <v>34</v>
      </c>
      <c r="T112" s="415" t="s">
        <v>1266</v>
      </c>
      <c r="U112" s="414"/>
      <c r="V112" s="324" t="str">
        <f>IFERROR(IF(N112&lt;P112,"",(ROUNDDOWN(N112/P112*100,0))),"")</f>
        <v/>
      </c>
    </row>
    <row r="113" spans="1:22" ht="24" customHeight="1">
      <c r="A113" s="437"/>
      <c r="B113" s="412"/>
      <c r="C113" s="426"/>
      <c r="D113" s="422" t="s">
        <v>1394</v>
      </c>
      <c r="E113" s="416" t="s">
        <v>912</v>
      </c>
      <c r="F113" s="421" t="s">
        <v>1271</v>
      </c>
      <c r="G113" s="416" t="s">
        <v>1278</v>
      </c>
      <c r="H113" s="416" t="s">
        <v>466</v>
      </c>
      <c r="I113" s="416" t="s">
        <v>71</v>
      </c>
      <c r="J113" s="208">
        <v>2356</v>
      </c>
      <c r="K113" s="208">
        <v>4521</v>
      </c>
      <c r="L113" s="208">
        <v>2000</v>
      </c>
      <c r="M113" s="420" t="s">
        <v>589</v>
      </c>
      <c r="N113" s="425">
        <v>10.17</v>
      </c>
      <c r="O113" s="344">
        <f>IF(N113&gt;0,1/N113*37.7*68.6,"")</f>
        <v>254.29891838741395</v>
      </c>
      <c r="P113" s="418">
        <v>10.35</v>
      </c>
      <c r="Q113" s="417" t="s">
        <v>1268</v>
      </c>
      <c r="R113" s="416" t="s">
        <v>1267</v>
      </c>
      <c r="S113" s="416" t="s">
        <v>34</v>
      </c>
      <c r="T113" s="415" t="s">
        <v>1266</v>
      </c>
      <c r="U113" s="414"/>
      <c r="V113" s="324" t="str">
        <f>IFERROR(IF(N113&lt;P113,"",(ROUNDDOWN(N113/P113*100,0))),"")</f>
        <v/>
      </c>
    </row>
    <row r="114" spans="1:22" ht="24" customHeight="1">
      <c r="A114" s="437"/>
      <c r="B114" s="412"/>
      <c r="C114" s="426"/>
      <c r="D114" s="422" t="s">
        <v>1393</v>
      </c>
      <c r="E114" s="416" t="s">
        <v>912</v>
      </c>
      <c r="F114" s="421" t="s">
        <v>1271</v>
      </c>
      <c r="G114" s="416" t="s">
        <v>1278</v>
      </c>
      <c r="H114" s="416" t="s">
        <v>466</v>
      </c>
      <c r="I114" s="416" t="s">
        <v>71</v>
      </c>
      <c r="J114" s="208">
        <v>2356</v>
      </c>
      <c r="K114" s="208">
        <v>4521</v>
      </c>
      <c r="L114" s="208">
        <v>2000</v>
      </c>
      <c r="M114" s="420" t="s">
        <v>589</v>
      </c>
      <c r="N114" s="425">
        <v>10.17</v>
      </c>
      <c r="O114" s="344">
        <f>IF(N114&gt;0,1/N114*37.7*68.6,"")</f>
        <v>254.29891838741395</v>
      </c>
      <c r="P114" s="418">
        <v>10.35</v>
      </c>
      <c r="Q114" s="417" t="s">
        <v>1268</v>
      </c>
      <c r="R114" s="416" t="s">
        <v>1267</v>
      </c>
      <c r="S114" s="416" t="s">
        <v>34</v>
      </c>
      <c r="T114" s="415" t="s">
        <v>1266</v>
      </c>
      <c r="U114" s="414"/>
      <c r="V114" s="324" t="str">
        <f>IFERROR(IF(N114&lt;P114,"",(ROUNDDOWN(N114/P114*100,0))),"")</f>
        <v/>
      </c>
    </row>
    <row r="115" spans="1:22" ht="24" customHeight="1">
      <c r="A115" s="437"/>
      <c r="B115" s="412"/>
      <c r="C115" s="426"/>
      <c r="D115" s="422" t="s">
        <v>1392</v>
      </c>
      <c r="E115" s="416" t="s">
        <v>912</v>
      </c>
      <c r="F115" s="421" t="s">
        <v>1271</v>
      </c>
      <c r="G115" s="416" t="s">
        <v>1278</v>
      </c>
      <c r="H115" s="416" t="s">
        <v>466</v>
      </c>
      <c r="I115" s="416" t="s">
        <v>71</v>
      </c>
      <c r="J115" s="208">
        <v>2356</v>
      </c>
      <c r="K115" s="208">
        <v>4521</v>
      </c>
      <c r="L115" s="208">
        <v>2000</v>
      </c>
      <c r="M115" s="420" t="s">
        <v>589</v>
      </c>
      <c r="N115" s="425">
        <v>10.17</v>
      </c>
      <c r="O115" s="344">
        <f>IF(N115&gt;0,1/N115*37.7*68.6,"")</f>
        <v>254.29891838741395</v>
      </c>
      <c r="P115" s="418">
        <v>10.35</v>
      </c>
      <c r="Q115" s="417" t="s">
        <v>1268</v>
      </c>
      <c r="R115" s="416" t="s">
        <v>1267</v>
      </c>
      <c r="S115" s="416" t="s">
        <v>34</v>
      </c>
      <c r="T115" s="415" t="s">
        <v>1266</v>
      </c>
      <c r="U115" s="414"/>
      <c r="V115" s="324" t="str">
        <f>IFERROR(IF(N115&lt;P115,"",(ROUNDDOWN(N115/P115*100,0))),"")</f>
        <v/>
      </c>
    </row>
    <row r="116" spans="1:22" ht="24" customHeight="1">
      <c r="A116" s="437"/>
      <c r="B116" s="412"/>
      <c r="C116" s="426"/>
      <c r="D116" s="422" t="s">
        <v>1391</v>
      </c>
      <c r="E116" s="416" t="s">
        <v>912</v>
      </c>
      <c r="F116" s="421" t="s">
        <v>1271</v>
      </c>
      <c r="G116" s="416" t="s">
        <v>1278</v>
      </c>
      <c r="H116" s="416" t="s">
        <v>466</v>
      </c>
      <c r="I116" s="416" t="s">
        <v>71</v>
      </c>
      <c r="J116" s="208">
        <v>2356</v>
      </c>
      <c r="K116" s="208">
        <v>4521</v>
      </c>
      <c r="L116" s="208">
        <v>2000</v>
      </c>
      <c r="M116" s="420" t="s">
        <v>589</v>
      </c>
      <c r="N116" s="425">
        <v>10.17</v>
      </c>
      <c r="O116" s="344">
        <f>IF(N116&gt;0,1/N116*37.7*68.6,"")</f>
        <v>254.29891838741395</v>
      </c>
      <c r="P116" s="418">
        <v>10.35</v>
      </c>
      <c r="Q116" s="417" t="s">
        <v>1268</v>
      </c>
      <c r="R116" s="416" t="s">
        <v>1267</v>
      </c>
      <c r="S116" s="416" t="s">
        <v>34</v>
      </c>
      <c r="T116" s="415" t="s">
        <v>1266</v>
      </c>
      <c r="U116" s="414"/>
      <c r="V116" s="324" t="str">
        <f>IFERROR(IF(N116&lt;P116,"",(ROUNDDOWN(N116/P116*100,0))),"")</f>
        <v/>
      </c>
    </row>
    <row r="117" spans="1:22" ht="24" customHeight="1">
      <c r="A117" s="437"/>
      <c r="B117" s="412"/>
      <c r="C117" s="426"/>
      <c r="D117" s="422" t="s">
        <v>1390</v>
      </c>
      <c r="E117" s="416" t="s">
        <v>912</v>
      </c>
      <c r="F117" s="421" t="s">
        <v>1271</v>
      </c>
      <c r="G117" s="416" t="s">
        <v>1278</v>
      </c>
      <c r="H117" s="416" t="s">
        <v>466</v>
      </c>
      <c r="I117" s="416" t="s">
        <v>71</v>
      </c>
      <c r="J117" s="208">
        <v>2356</v>
      </c>
      <c r="K117" s="208">
        <v>4521</v>
      </c>
      <c r="L117" s="208">
        <v>2000</v>
      </c>
      <c r="M117" s="420" t="s">
        <v>589</v>
      </c>
      <c r="N117" s="425">
        <v>10.17</v>
      </c>
      <c r="O117" s="344">
        <f>IF(N117&gt;0,1/N117*37.7*68.6,"")</f>
        <v>254.29891838741395</v>
      </c>
      <c r="P117" s="418">
        <v>10.35</v>
      </c>
      <c r="Q117" s="417" t="s">
        <v>1268</v>
      </c>
      <c r="R117" s="416" t="s">
        <v>1267</v>
      </c>
      <c r="S117" s="416" t="s">
        <v>34</v>
      </c>
      <c r="T117" s="415" t="s">
        <v>1266</v>
      </c>
      <c r="U117" s="414"/>
      <c r="V117" s="324" t="str">
        <f>IFERROR(IF(N117&lt;P117,"",(ROUNDDOWN(N117/P117*100,0))),"")</f>
        <v/>
      </c>
    </row>
    <row r="118" spans="1:22" ht="24" customHeight="1">
      <c r="A118" s="437"/>
      <c r="B118" s="412"/>
      <c r="C118" s="426"/>
      <c r="D118" s="422" t="s">
        <v>1331</v>
      </c>
      <c r="E118" s="416" t="s">
        <v>912</v>
      </c>
      <c r="F118" s="421" t="s">
        <v>1271</v>
      </c>
      <c r="G118" s="416" t="s">
        <v>1278</v>
      </c>
      <c r="H118" s="416" t="s">
        <v>466</v>
      </c>
      <c r="I118" s="416" t="s">
        <v>71</v>
      </c>
      <c r="J118" s="208">
        <v>2356</v>
      </c>
      <c r="K118" s="208">
        <v>4521</v>
      </c>
      <c r="L118" s="208">
        <v>2000</v>
      </c>
      <c r="M118" s="420" t="s">
        <v>589</v>
      </c>
      <c r="N118" s="425">
        <v>10.17</v>
      </c>
      <c r="O118" s="344">
        <f>IF(N118&gt;0,1/N118*37.7*68.6,"")</f>
        <v>254.29891838741395</v>
      </c>
      <c r="P118" s="418">
        <v>10.35</v>
      </c>
      <c r="Q118" s="417" t="s">
        <v>1268</v>
      </c>
      <c r="R118" s="416" t="s">
        <v>1267</v>
      </c>
      <c r="S118" s="416" t="s">
        <v>34</v>
      </c>
      <c r="T118" s="415" t="s">
        <v>1266</v>
      </c>
      <c r="U118" s="414"/>
      <c r="V118" s="324" t="str">
        <f>IFERROR(IF(N118&lt;P118,"",(ROUNDDOWN(N118/P118*100,0))),"")</f>
        <v/>
      </c>
    </row>
    <row r="119" spans="1:22" ht="24" customHeight="1">
      <c r="A119" s="437"/>
      <c r="B119" s="412"/>
      <c r="C119" s="426"/>
      <c r="D119" s="422" t="s">
        <v>1329</v>
      </c>
      <c r="E119" s="416" t="s">
        <v>912</v>
      </c>
      <c r="F119" s="421" t="s">
        <v>1271</v>
      </c>
      <c r="G119" s="416" t="s">
        <v>1278</v>
      </c>
      <c r="H119" s="416" t="s">
        <v>466</v>
      </c>
      <c r="I119" s="416" t="s">
        <v>71</v>
      </c>
      <c r="J119" s="208">
        <v>2356</v>
      </c>
      <c r="K119" s="208">
        <v>4521</v>
      </c>
      <c r="L119" s="208">
        <v>2000</v>
      </c>
      <c r="M119" s="420" t="s">
        <v>589</v>
      </c>
      <c r="N119" s="425">
        <v>10.17</v>
      </c>
      <c r="O119" s="344">
        <f>IF(N119&gt;0,1/N119*37.7*68.6,"")</f>
        <v>254.29891838741395</v>
      </c>
      <c r="P119" s="418">
        <v>10.35</v>
      </c>
      <c r="Q119" s="417" t="s">
        <v>1268</v>
      </c>
      <c r="R119" s="416" t="s">
        <v>1267</v>
      </c>
      <c r="S119" s="416" t="s">
        <v>34</v>
      </c>
      <c r="T119" s="415" t="s">
        <v>1266</v>
      </c>
      <c r="U119" s="414"/>
      <c r="V119" s="324" t="str">
        <f>IFERROR(IF(N119&lt;P119,"",(ROUNDDOWN(N119/P119*100,0))),"")</f>
        <v/>
      </c>
    </row>
    <row r="120" spans="1:22" ht="24" customHeight="1">
      <c r="A120" s="437"/>
      <c r="B120" s="412"/>
      <c r="C120" s="426"/>
      <c r="D120" s="422" t="s">
        <v>1328</v>
      </c>
      <c r="E120" s="416" t="s">
        <v>912</v>
      </c>
      <c r="F120" s="421" t="s">
        <v>1271</v>
      </c>
      <c r="G120" s="416" t="s">
        <v>1278</v>
      </c>
      <c r="H120" s="416" t="s">
        <v>466</v>
      </c>
      <c r="I120" s="416" t="s">
        <v>71</v>
      </c>
      <c r="J120" s="208">
        <v>2356</v>
      </c>
      <c r="K120" s="208">
        <v>4521</v>
      </c>
      <c r="L120" s="208">
        <v>2000</v>
      </c>
      <c r="M120" s="420" t="s">
        <v>589</v>
      </c>
      <c r="N120" s="425">
        <v>10.17</v>
      </c>
      <c r="O120" s="344">
        <f>IF(N120&gt;0,1/N120*37.7*68.6,"")</f>
        <v>254.29891838741395</v>
      </c>
      <c r="P120" s="418">
        <v>10.35</v>
      </c>
      <c r="Q120" s="417" t="s">
        <v>1268</v>
      </c>
      <c r="R120" s="416" t="s">
        <v>1267</v>
      </c>
      <c r="S120" s="416" t="s">
        <v>34</v>
      </c>
      <c r="T120" s="415" t="s">
        <v>1266</v>
      </c>
      <c r="U120" s="414"/>
      <c r="V120" s="324" t="str">
        <f>IFERROR(IF(N120&lt;P120,"",(ROUNDDOWN(N120/P120*100,0))),"")</f>
        <v/>
      </c>
    </row>
    <row r="121" spans="1:22" ht="24" customHeight="1">
      <c r="A121" s="437"/>
      <c r="B121" s="412"/>
      <c r="C121" s="426"/>
      <c r="D121" s="422" t="s">
        <v>1327</v>
      </c>
      <c r="E121" s="416" t="s">
        <v>912</v>
      </c>
      <c r="F121" s="421" t="s">
        <v>1271</v>
      </c>
      <c r="G121" s="416" t="s">
        <v>1278</v>
      </c>
      <c r="H121" s="416" t="s">
        <v>466</v>
      </c>
      <c r="I121" s="416" t="s">
        <v>71</v>
      </c>
      <c r="J121" s="208">
        <v>2356</v>
      </c>
      <c r="K121" s="208">
        <v>4521</v>
      </c>
      <c r="L121" s="208">
        <v>2000</v>
      </c>
      <c r="M121" s="420" t="s">
        <v>589</v>
      </c>
      <c r="N121" s="425">
        <v>10.17</v>
      </c>
      <c r="O121" s="344">
        <f>IF(N121&gt;0,1/N121*37.7*68.6,"")</f>
        <v>254.29891838741395</v>
      </c>
      <c r="P121" s="418">
        <v>10.35</v>
      </c>
      <c r="Q121" s="417" t="s">
        <v>1268</v>
      </c>
      <c r="R121" s="416" t="s">
        <v>1267</v>
      </c>
      <c r="S121" s="416" t="s">
        <v>34</v>
      </c>
      <c r="T121" s="415" t="s">
        <v>1266</v>
      </c>
      <c r="U121" s="414"/>
      <c r="V121" s="324" t="str">
        <f>IFERROR(IF(N121&lt;P121,"",(ROUNDDOWN(N121/P121*100,0))),"")</f>
        <v/>
      </c>
    </row>
    <row r="122" spans="1:22" ht="24" customHeight="1">
      <c r="A122" s="437"/>
      <c r="B122" s="412"/>
      <c r="C122" s="426"/>
      <c r="D122" s="422" t="s">
        <v>1325</v>
      </c>
      <c r="E122" s="416" t="s">
        <v>912</v>
      </c>
      <c r="F122" s="421" t="s">
        <v>1271</v>
      </c>
      <c r="G122" s="416" t="s">
        <v>1278</v>
      </c>
      <c r="H122" s="416" t="s">
        <v>466</v>
      </c>
      <c r="I122" s="416" t="s">
        <v>71</v>
      </c>
      <c r="J122" s="208">
        <v>2356</v>
      </c>
      <c r="K122" s="208">
        <v>4521</v>
      </c>
      <c r="L122" s="208">
        <v>2000</v>
      </c>
      <c r="M122" s="420" t="s">
        <v>589</v>
      </c>
      <c r="N122" s="425">
        <v>10.17</v>
      </c>
      <c r="O122" s="344">
        <f>IF(N122&gt;0,1/N122*37.7*68.6,"")</f>
        <v>254.29891838741395</v>
      </c>
      <c r="P122" s="418">
        <v>10.35</v>
      </c>
      <c r="Q122" s="417" t="s">
        <v>1268</v>
      </c>
      <c r="R122" s="416" t="s">
        <v>1267</v>
      </c>
      <c r="S122" s="416" t="s">
        <v>34</v>
      </c>
      <c r="T122" s="415" t="s">
        <v>1266</v>
      </c>
      <c r="U122" s="414"/>
      <c r="V122" s="324" t="str">
        <f>IFERROR(IF(N122&lt;P122,"",(ROUNDDOWN(N122/P122*100,0))),"")</f>
        <v/>
      </c>
    </row>
    <row r="123" spans="1:22" ht="24" customHeight="1">
      <c r="A123" s="437"/>
      <c r="B123" s="412"/>
      <c r="C123" s="426"/>
      <c r="D123" s="422" t="s">
        <v>1324</v>
      </c>
      <c r="E123" s="416" t="s">
        <v>912</v>
      </c>
      <c r="F123" s="421" t="s">
        <v>1271</v>
      </c>
      <c r="G123" s="416" t="s">
        <v>1278</v>
      </c>
      <c r="H123" s="416" t="s">
        <v>466</v>
      </c>
      <c r="I123" s="416" t="s">
        <v>71</v>
      </c>
      <c r="J123" s="208">
        <v>2356</v>
      </c>
      <c r="K123" s="208">
        <v>4521</v>
      </c>
      <c r="L123" s="208">
        <v>2000</v>
      </c>
      <c r="M123" s="420" t="s">
        <v>589</v>
      </c>
      <c r="N123" s="425">
        <v>10.17</v>
      </c>
      <c r="O123" s="344">
        <f>IF(N123&gt;0,1/N123*37.7*68.6,"")</f>
        <v>254.29891838741395</v>
      </c>
      <c r="P123" s="418">
        <v>10.35</v>
      </c>
      <c r="Q123" s="417" t="s">
        <v>1268</v>
      </c>
      <c r="R123" s="416" t="s">
        <v>1267</v>
      </c>
      <c r="S123" s="416" t="s">
        <v>34</v>
      </c>
      <c r="T123" s="415" t="s">
        <v>1266</v>
      </c>
      <c r="U123" s="414"/>
      <c r="V123" s="324" t="str">
        <f>IFERROR(IF(N123&lt;P123,"",(ROUNDDOWN(N123/P123*100,0))),"")</f>
        <v/>
      </c>
    </row>
    <row r="124" spans="1:22" ht="24" customHeight="1">
      <c r="A124" s="437"/>
      <c r="B124" s="412"/>
      <c r="C124" s="426"/>
      <c r="D124" s="422" t="s">
        <v>1323</v>
      </c>
      <c r="E124" s="416" t="s">
        <v>912</v>
      </c>
      <c r="F124" s="421" t="s">
        <v>1271</v>
      </c>
      <c r="G124" s="416" t="s">
        <v>1278</v>
      </c>
      <c r="H124" s="416" t="s">
        <v>466</v>
      </c>
      <c r="I124" s="416" t="s">
        <v>71</v>
      </c>
      <c r="J124" s="208">
        <v>2356</v>
      </c>
      <c r="K124" s="208">
        <v>4521</v>
      </c>
      <c r="L124" s="208">
        <v>2000</v>
      </c>
      <c r="M124" s="420" t="s">
        <v>589</v>
      </c>
      <c r="N124" s="425">
        <v>10.17</v>
      </c>
      <c r="O124" s="344">
        <f>IF(N124&gt;0,1/N124*37.7*68.6,"")</f>
        <v>254.29891838741395</v>
      </c>
      <c r="P124" s="418">
        <v>10.35</v>
      </c>
      <c r="Q124" s="417" t="s">
        <v>1268</v>
      </c>
      <c r="R124" s="416" t="s">
        <v>1267</v>
      </c>
      <c r="S124" s="416" t="s">
        <v>34</v>
      </c>
      <c r="T124" s="415" t="s">
        <v>1266</v>
      </c>
      <c r="U124" s="414"/>
      <c r="V124" s="324" t="str">
        <f>IFERROR(IF(N124&lt;P124,"",(ROUNDDOWN(N124/P124*100,0))),"")</f>
        <v/>
      </c>
    </row>
    <row r="125" spans="1:22" ht="24" customHeight="1">
      <c r="A125" s="437"/>
      <c r="B125" s="412"/>
      <c r="C125" s="426"/>
      <c r="D125" s="422" t="s">
        <v>1276</v>
      </c>
      <c r="E125" s="416" t="s">
        <v>912</v>
      </c>
      <c r="F125" s="421" t="s">
        <v>1271</v>
      </c>
      <c r="G125" s="416" t="s">
        <v>1278</v>
      </c>
      <c r="H125" s="416" t="s">
        <v>466</v>
      </c>
      <c r="I125" s="416" t="s">
        <v>71</v>
      </c>
      <c r="J125" s="208">
        <v>2356</v>
      </c>
      <c r="K125" s="208">
        <v>4521</v>
      </c>
      <c r="L125" s="208">
        <v>2000</v>
      </c>
      <c r="M125" s="420" t="s">
        <v>589</v>
      </c>
      <c r="N125" s="425">
        <v>10.17</v>
      </c>
      <c r="O125" s="344">
        <f>IF(N125&gt;0,1/N125*37.7*68.6,"")</f>
        <v>254.29891838741395</v>
      </c>
      <c r="P125" s="418">
        <v>10.35</v>
      </c>
      <c r="Q125" s="417" t="s">
        <v>1268</v>
      </c>
      <c r="R125" s="416" t="s">
        <v>1267</v>
      </c>
      <c r="S125" s="416" t="s">
        <v>34</v>
      </c>
      <c r="T125" s="415" t="s">
        <v>1266</v>
      </c>
      <c r="U125" s="414"/>
      <c r="V125" s="324" t="str">
        <f>IFERROR(IF(N125&lt;P125,"",(ROUNDDOWN(N125/P125*100,0))),"")</f>
        <v/>
      </c>
    </row>
    <row r="126" spans="1:22" ht="24" customHeight="1">
      <c r="A126" s="437"/>
      <c r="B126" s="412"/>
      <c r="C126" s="426"/>
      <c r="D126" s="422" t="s">
        <v>1389</v>
      </c>
      <c r="E126" s="416" t="s">
        <v>912</v>
      </c>
      <c r="F126" s="421" t="s">
        <v>1271</v>
      </c>
      <c r="G126" s="416" t="s">
        <v>1278</v>
      </c>
      <c r="H126" s="416" t="s">
        <v>466</v>
      </c>
      <c r="I126" s="416" t="s">
        <v>70</v>
      </c>
      <c r="J126" s="208">
        <v>2356</v>
      </c>
      <c r="K126" s="208">
        <v>4521</v>
      </c>
      <c r="L126" s="208">
        <v>2000</v>
      </c>
      <c r="M126" s="420" t="s">
        <v>589</v>
      </c>
      <c r="N126" s="425">
        <v>9.84</v>
      </c>
      <c r="O126" s="344">
        <f>IF(N126&gt;0,1/N126*37.7*68.6,"")</f>
        <v>262.82723577235771</v>
      </c>
      <c r="P126" s="418">
        <v>10.35</v>
      </c>
      <c r="Q126" s="417" t="s">
        <v>834</v>
      </c>
      <c r="R126" s="416" t="s">
        <v>1267</v>
      </c>
      <c r="S126" s="416" t="s">
        <v>110</v>
      </c>
      <c r="T126" s="415" t="s">
        <v>1266</v>
      </c>
      <c r="U126" s="414"/>
      <c r="V126" s="324" t="str">
        <f>IFERROR(IF(N126&lt;P126,"",(ROUNDDOWN(N126/P126*100,0))),"")</f>
        <v/>
      </c>
    </row>
    <row r="127" spans="1:22" ht="24" customHeight="1">
      <c r="A127" s="437"/>
      <c r="B127" s="412"/>
      <c r="C127" s="426"/>
      <c r="D127" s="422" t="s">
        <v>1388</v>
      </c>
      <c r="E127" s="416" t="s">
        <v>912</v>
      </c>
      <c r="F127" s="421" t="s">
        <v>1271</v>
      </c>
      <c r="G127" s="416" t="s">
        <v>1278</v>
      </c>
      <c r="H127" s="416" t="s">
        <v>466</v>
      </c>
      <c r="I127" s="416" t="s">
        <v>70</v>
      </c>
      <c r="J127" s="208">
        <v>2356</v>
      </c>
      <c r="K127" s="208">
        <v>4521</v>
      </c>
      <c r="L127" s="208">
        <v>2000</v>
      </c>
      <c r="M127" s="420" t="s">
        <v>589</v>
      </c>
      <c r="N127" s="425">
        <v>9.84</v>
      </c>
      <c r="O127" s="344">
        <f>IF(N127&gt;0,1/N127*37.7*68.6,"")</f>
        <v>262.82723577235771</v>
      </c>
      <c r="P127" s="418">
        <v>10.35</v>
      </c>
      <c r="Q127" s="417" t="s">
        <v>834</v>
      </c>
      <c r="R127" s="416" t="s">
        <v>1267</v>
      </c>
      <c r="S127" s="416" t="s">
        <v>110</v>
      </c>
      <c r="T127" s="415" t="s">
        <v>1266</v>
      </c>
      <c r="U127" s="414"/>
      <c r="V127" s="324" t="str">
        <f>IFERROR(IF(N127&lt;P127,"",(ROUNDDOWN(N127/P127*100,0))),"")</f>
        <v/>
      </c>
    </row>
    <row r="128" spans="1:22" ht="24" customHeight="1">
      <c r="A128" s="437"/>
      <c r="B128" s="412"/>
      <c r="C128" s="426"/>
      <c r="D128" s="422" t="s">
        <v>1319</v>
      </c>
      <c r="E128" s="416" t="s">
        <v>912</v>
      </c>
      <c r="F128" s="421" t="s">
        <v>1271</v>
      </c>
      <c r="G128" s="416" t="s">
        <v>1278</v>
      </c>
      <c r="H128" s="416" t="s">
        <v>466</v>
      </c>
      <c r="I128" s="416" t="s">
        <v>70</v>
      </c>
      <c r="J128" s="208">
        <v>2356</v>
      </c>
      <c r="K128" s="208">
        <v>4521</v>
      </c>
      <c r="L128" s="208">
        <v>2000</v>
      </c>
      <c r="M128" s="420" t="s">
        <v>589</v>
      </c>
      <c r="N128" s="425">
        <v>9.84</v>
      </c>
      <c r="O128" s="344">
        <f>IF(N128&gt;0,1/N128*37.7*68.6,"")</f>
        <v>262.82723577235771</v>
      </c>
      <c r="P128" s="418">
        <v>10.35</v>
      </c>
      <c r="Q128" s="417" t="s">
        <v>834</v>
      </c>
      <c r="R128" s="416" t="s">
        <v>1267</v>
      </c>
      <c r="S128" s="416" t="s">
        <v>110</v>
      </c>
      <c r="T128" s="415" t="s">
        <v>1266</v>
      </c>
      <c r="U128" s="414"/>
      <c r="V128" s="324" t="str">
        <f>IFERROR(IF(N128&lt;P128,"",(ROUNDDOWN(N128/P128*100,0))),"")</f>
        <v/>
      </c>
    </row>
    <row r="129" spans="1:22" ht="24" customHeight="1">
      <c r="A129" s="437"/>
      <c r="B129" s="412"/>
      <c r="C129" s="426"/>
      <c r="D129" s="422" t="s">
        <v>1318</v>
      </c>
      <c r="E129" s="416" t="s">
        <v>912</v>
      </c>
      <c r="F129" s="421" t="s">
        <v>1271</v>
      </c>
      <c r="G129" s="416" t="s">
        <v>1278</v>
      </c>
      <c r="H129" s="416" t="s">
        <v>466</v>
      </c>
      <c r="I129" s="416" t="s">
        <v>70</v>
      </c>
      <c r="J129" s="208">
        <v>2356</v>
      </c>
      <c r="K129" s="208">
        <v>4521</v>
      </c>
      <c r="L129" s="208">
        <v>2000</v>
      </c>
      <c r="M129" s="420" t="s">
        <v>589</v>
      </c>
      <c r="N129" s="425">
        <v>9.84</v>
      </c>
      <c r="O129" s="344">
        <f>IF(N129&gt;0,1/N129*37.7*68.6,"")</f>
        <v>262.82723577235771</v>
      </c>
      <c r="P129" s="418">
        <v>10.35</v>
      </c>
      <c r="Q129" s="417" t="s">
        <v>834</v>
      </c>
      <c r="R129" s="416" t="s">
        <v>1267</v>
      </c>
      <c r="S129" s="416" t="s">
        <v>110</v>
      </c>
      <c r="T129" s="415" t="s">
        <v>1266</v>
      </c>
      <c r="U129" s="414"/>
      <c r="V129" s="324" t="str">
        <f>IFERROR(IF(N129&lt;P129,"",(ROUNDDOWN(N129/P129*100,0))),"")</f>
        <v/>
      </c>
    </row>
    <row r="130" spans="1:22" ht="24" customHeight="1">
      <c r="A130" s="437"/>
      <c r="B130" s="412"/>
      <c r="C130" s="426"/>
      <c r="D130" s="422" t="s">
        <v>1317</v>
      </c>
      <c r="E130" s="416" t="s">
        <v>912</v>
      </c>
      <c r="F130" s="421" t="s">
        <v>1271</v>
      </c>
      <c r="G130" s="416" t="s">
        <v>1278</v>
      </c>
      <c r="H130" s="416" t="s">
        <v>466</v>
      </c>
      <c r="I130" s="416" t="s">
        <v>70</v>
      </c>
      <c r="J130" s="208">
        <v>2356</v>
      </c>
      <c r="K130" s="208">
        <v>4521</v>
      </c>
      <c r="L130" s="208">
        <v>2000</v>
      </c>
      <c r="M130" s="420" t="s">
        <v>589</v>
      </c>
      <c r="N130" s="425">
        <v>9.84</v>
      </c>
      <c r="O130" s="344">
        <f>IF(N130&gt;0,1/N130*37.7*68.6,"")</f>
        <v>262.82723577235771</v>
      </c>
      <c r="P130" s="418">
        <v>10.35</v>
      </c>
      <c r="Q130" s="417" t="s">
        <v>834</v>
      </c>
      <c r="R130" s="416" t="s">
        <v>1267</v>
      </c>
      <c r="S130" s="416" t="s">
        <v>110</v>
      </c>
      <c r="T130" s="415" t="s">
        <v>1266</v>
      </c>
      <c r="U130" s="414"/>
      <c r="V130" s="324" t="str">
        <f>IFERROR(IF(N130&lt;P130,"",(ROUNDDOWN(N130/P130*100,0))),"")</f>
        <v/>
      </c>
    </row>
    <row r="131" spans="1:22" ht="24" customHeight="1">
      <c r="A131" s="437"/>
      <c r="B131" s="412"/>
      <c r="C131" s="426"/>
      <c r="D131" s="422" t="s">
        <v>1316</v>
      </c>
      <c r="E131" s="416" t="s">
        <v>912</v>
      </c>
      <c r="F131" s="421" t="s">
        <v>1271</v>
      </c>
      <c r="G131" s="416" t="s">
        <v>1278</v>
      </c>
      <c r="H131" s="416" t="s">
        <v>466</v>
      </c>
      <c r="I131" s="416" t="s">
        <v>70</v>
      </c>
      <c r="J131" s="208">
        <v>2356</v>
      </c>
      <c r="K131" s="208">
        <v>4521</v>
      </c>
      <c r="L131" s="208">
        <v>2000</v>
      </c>
      <c r="M131" s="420" t="s">
        <v>589</v>
      </c>
      <c r="N131" s="425">
        <v>9.84</v>
      </c>
      <c r="O131" s="344">
        <f>IF(N131&gt;0,1/N131*37.7*68.6,"")</f>
        <v>262.82723577235771</v>
      </c>
      <c r="P131" s="418">
        <v>10.35</v>
      </c>
      <c r="Q131" s="417" t="s">
        <v>834</v>
      </c>
      <c r="R131" s="416" t="s">
        <v>1267</v>
      </c>
      <c r="S131" s="416" t="s">
        <v>110</v>
      </c>
      <c r="T131" s="415" t="s">
        <v>1266</v>
      </c>
      <c r="U131" s="414"/>
      <c r="V131" s="324" t="str">
        <f>IFERROR(IF(N131&lt;P131,"",(ROUNDDOWN(N131/P131*100,0))),"")</f>
        <v/>
      </c>
    </row>
    <row r="132" spans="1:22" ht="24" customHeight="1">
      <c r="A132" s="437"/>
      <c r="B132" s="412"/>
      <c r="C132" s="426"/>
      <c r="D132" s="422" t="s">
        <v>1315</v>
      </c>
      <c r="E132" s="416" t="s">
        <v>912</v>
      </c>
      <c r="F132" s="421" t="s">
        <v>1271</v>
      </c>
      <c r="G132" s="416" t="s">
        <v>1278</v>
      </c>
      <c r="H132" s="416" t="s">
        <v>466</v>
      </c>
      <c r="I132" s="416" t="s">
        <v>70</v>
      </c>
      <c r="J132" s="208">
        <v>2356</v>
      </c>
      <c r="K132" s="208">
        <v>4521</v>
      </c>
      <c r="L132" s="208">
        <v>2000</v>
      </c>
      <c r="M132" s="420" t="s">
        <v>589</v>
      </c>
      <c r="N132" s="425">
        <v>9.84</v>
      </c>
      <c r="O132" s="344">
        <f>IF(N132&gt;0,1/N132*37.7*68.6,"")</f>
        <v>262.82723577235771</v>
      </c>
      <c r="P132" s="418">
        <v>10.35</v>
      </c>
      <c r="Q132" s="417" t="s">
        <v>834</v>
      </c>
      <c r="R132" s="416" t="s">
        <v>1267</v>
      </c>
      <c r="S132" s="416" t="s">
        <v>110</v>
      </c>
      <c r="T132" s="415" t="s">
        <v>1266</v>
      </c>
      <c r="U132" s="414"/>
      <c r="V132" s="324" t="str">
        <f>IFERROR(IF(N132&lt;P132,"",(ROUNDDOWN(N132/P132*100,0))),"")</f>
        <v/>
      </c>
    </row>
    <row r="133" spans="1:22" ht="24" customHeight="1">
      <c r="A133" s="437"/>
      <c r="B133" s="413" t="s">
        <v>1253</v>
      </c>
      <c r="C133" s="428" t="s">
        <v>1387</v>
      </c>
      <c r="D133" s="422" t="s">
        <v>1386</v>
      </c>
      <c r="E133" s="416" t="s">
        <v>979</v>
      </c>
      <c r="F133" s="421" t="s">
        <v>1271</v>
      </c>
      <c r="G133" s="416" t="s">
        <v>1270</v>
      </c>
      <c r="H133" s="416">
        <v>110</v>
      </c>
      <c r="I133" s="416" t="s">
        <v>839</v>
      </c>
      <c r="J133" s="208">
        <v>2652</v>
      </c>
      <c r="K133" s="208">
        <v>5812</v>
      </c>
      <c r="L133" s="416">
        <v>2995</v>
      </c>
      <c r="M133" s="420" t="s">
        <v>589</v>
      </c>
      <c r="N133" s="425" t="s">
        <v>1382</v>
      </c>
      <c r="O133" s="23">
        <f>IF(N133&gt;0,1/N133*37.7*68.6,"")</f>
        <v>202.04843749999998</v>
      </c>
      <c r="P133" s="418">
        <v>9.51</v>
      </c>
      <c r="Q133" s="417" t="s">
        <v>1307</v>
      </c>
      <c r="R133" s="416" t="s">
        <v>1267</v>
      </c>
      <c r="S133" s="416" t="s">
        <v>34</v>
      </c>
      <c r="T133" s="415"/>
      <c r="U133" s="414"/>
      <c r="V133" s="28">
        <f>IFERROR(IF(N133&lt;P133,"",(ROUNDDOWN(N133/P133*100,0))),"")</f>
        <v>134</v>
      </c>
    </row>
    <row r="134" spans="1:22" ht="24" customHeight="1">
      <c r="A134" s="437"/>
      <c r="B134" s="412"/>
      <c r="C134" s="426"/>
      <c r="D134" s="422" t="s">
        <v>1385</v>
      </c>
      <c r="E134" s="416" t="s">
        <v>979</v>
      </c>
      <c r="F134" s="421" t="s">
        <v>1271</v>
      </c>
      <c r="G134" s="416" t="s">
        <v>1270</v>
      </c>
      <c r="H134" s="416">
        <v>110</v>
      </c>
      <c r="I134" s="416" t="s">
        <v>839</v>
      </c>
      <c r="J134" s="208">
        <v>2652</v>
      </c>
      <c r="K134" s="208">
        <v>5812</v>
      </c>
      <c r="L134" s="416">
        <v>2995</v>
      </c>
      <c r="M134" s="420" t="s">
        <v>589</v>
      </c>
      <c r="N134" s="425" t="s">
        <v>1382</v>
      </c>
      <c r="O134" s="23">
        <f>IF(N134&gt;0,1/N134*37.7*68.6,"")</f>
        <v>202.04843749999998</v>
      </c>
      <c r="P134" s="418">
        <v>9.51</v>
      </c>
      <c r="Q134" s="417" t="s">
        <v>1380</v>
      </c>
      <c r="R134" s="416" t="s">
        <v>1267</v>
      </c>
      <c r="S134" s="416" t="s">
        <v>34</v>
      </c>
      <c r="T134" s="415"/>
      <c r="U134" s="414"/>
      <c r="V134" s="28">
        <f>IFERROR(IF(N134&lt;P134,"",(ROUNDDOWN(N134/P134*100,0))),"")</f>
        <v>134</v>
      </c>
    </row>
    <row r="135" spans="1:22" ht="24" customHeight="1">
      <c r="A135" s="437"/>
      <c r="B135" s="412"/>
      <c r="C135" s="426"/>
      <c r="D135" s="422" t="s">
        <v>1384</v>
      </c>
      <c r="E135" s="416" t="s">
        <v>979</v>
      </c>
      <c r="F135" s="421" t="s">
        <v>1271</v>
      </c>
      <c r="G135" s="416" t="s">
        <v>1270</v>
      </c>
      <c r="H135" s="416">
        <v>110</v>
      </c>
      <c r="I135" s="416" t="s">
        <v>839</v>
      </c>
      <c r="J135" s="208">
        <v>2652</v>
      </c>
      <c r="K135" s="208">
        <v>5812</v>
      </c>
      <c r="L135" s="416">
        <v>2995</v>
      </c>
      <c r="M135" s="420" t="s">
        <v>589</v>
      </c>
      <c r="N135" s="425" t="s">
        <v>1382</v>
      </c>
      <c r="O135" s="23">
        <f>IF(N135&gt;0,1/N135*37.7*68.6,"")</f>
        <v>202.04843749999998</v>
      </c>
      <c r="P135" s="418">
        <v>9.51</v>
      </c>
      <c r="Q135" s="417" t="s">
        <v>1307</v>
      </c>
      <c r="R135" s="416" t="s">
        <v>1267</v>
      </c>
      <c r="S135" s="416" t="s">
        <v>34</v>
      </c>
      <c r="T135" s="415"/>
      <c r="U135" s="414"/>
      <c r="V135" s="28">
        <f>IFERROR(IF(N135&lt;P135,"",(ROUNDDOWN(N135/P135*100,0))),"")</f>
        <v>134</v>
      </c>
    </row>
    <row r="136" spans="1:22" ht="24" customHeight="1">
      <c r="A136" s="437"/>
      <c r="B136" s="412"/>
      <c r="C136" s="426"/>
      <c r="D136" s="422" t="s">
        <v>1383</v>
      </c>
      <c r="E136" s="416" t="s">
        <v>979</v>
      </c>
      <c r="F136" s="421" t="s">
        <v>1271</v>
      </c>
      <c r="G136" s="416" t="s">
        <v>1270</v>
      </c>
      <c r="H136" s="416">
        <v>110</v>
      </c>
      <c r="I136" s="416" t="s">
        <v>839</v>
      </c>
      <c r="J136" s="208">
        <v>2652</v>
      </c>
      <c r="K136" s="208">
        <v>5812</v>
      </c>
      <c r="L136" s="416">
        <v>2995</v>
      </c>
      <c r="M136" s="420" t="s">
        <v>589</v>
      </c>
      <c r="N136" s="425" t="s">
        <v>1382</v>
      </c>
      <c r="O136" s="23">
        <f>IF(N136&gt;0,1/N136*37.7*68.6,"")</f>
        <v>202.04843749999998</v>
      </c>
      <c r="P136" s="418">
        <v>9.51</v>
      </c>
      <c r="Q136" s="417" t="s">
        <v>1380</v>
      </c>
      <c r="R136" s="416" t="s">
        <v>1267</v>
      </c>
      <c r="S136" s="416" t="s">
        <v>34</v>
      </c>
      <c r="T136" s="415"/>
      <c r="U136" s="414"/>
      <c r="V136" s="28">
        <f>IFERROR(IF(N136&lt;P136,"",(ROUNDDOWN(N136/P136*100,0))),"")</f>
        <v>134</v>
      </c>
    </row>
    <row r="137" spans="1:22" ht="24" customHeight="1">
      <c r="A137" s="437"/>
      <c r="B137" s="412"/>
      <c r="C137" s="426"/>
      <c r="D137" s="422" t="s">
        <v>1383</v>
      </c>
      <c r="E137" s="416" t="s">
        <v>979</v>
      </c>
      <c r="F137" s="421" t="s">
        <v>1271</v>
      </c>
      <c r="G137" s="416" t="s">
        <v>1270</v>
      </c>
      <c r="H137" s="416">
        <v>110</v>
      </c>
      <c r="I137" s="416" t="s">
        <v>839</v>
      </c>
      <c r="J137" s="208">
        <v>2979</v>
      </c>
      <c r="K137" s="208">
        <v>6893</v>
      </c>
      <c r="L137" s="416">
        <v>3749</v>
      </c>
      <c r="M137" s="420" t="s">
        <v>589</v>
      </c>
      <c r="N137" s="425" t="s">
        <v>1308</v>
      </c>
      <c r="O137" s="23">
        <f>IF(N137&gt;0,1/N137*37.7*68.6,"")</f>
        <v>243.98301886792456</v>
      </c>
      <c r="P137" s="418">
        <v>8.1199999999999992</v>
      </c>
      <c r="Q137" s="417" t="s">
        <v>1380</v>
      </c>
      <c r="R137" s="416" t="s">
        <v>1267</v>
      </c>
      <c r="S137" s="416" t="s">
        <v>34</v>
      </c>
      <c r="T137" s="415"/>
      <c r="U137" s="414"/>
      <c r="V137" s="28">
        <f>IFERROR(IF(N137&lt;P137,"",(ROUNDDOWN(N137/P137*100,0))),"")</f>
        <v>130</v>
      </c>
    </row>
    <row r="138" spans="1:22" ht="24" customHeight="1">
      <c r="A138" s="437"/>
      <c r="B138" s="412"/>
      <c r="C138" s="426"/>
      <c r="D138" s="422" t="s">
        <v>1309</v>
      </c>
      <c r="E138" s="416" t="s">
        <v>979</v>
      </c>
      <c r="F138" s="421" t="s">
        <v>1271</v>
      </c>
      <c r="G138" s="416" t="s">
        <v>1270</v>
      </c>
      <c r="H138" s="416">
        <v>110</v>
      </c>
      <c r="I138" s="416" t="s">
        <v>839</v>
      </c>
      <c r="J138" s="208">
        <v>2652</v>
      </c>
      <c r="K138" s="208">
        <v>5812</v>
      </c>
      <c r="L138" s="416">
        <v>2995</v>
      </c>
      <c r="M138" s="420" t="s">
        <v>589</v>
      </c>
      <c r="N138" s="425" t="s">
        <v>1382</v>
      </c>
      <c r="O138" s="23">
        <f>IF(N138&gt;0,1/N138*37.7*68.6,"")</f>
        <v>202.04843749999998</v>
      </c>
      <c r="P138" s="418">
        <v>9.51</v>
      </c>
      <c r="Q138" s="417" t="s">
        <v>1380</v>
      </c>
      <c r="R138" s="416" t="s">
        <v>1267</v>
      </c>
      <c r="S138" s="416" t="s">
        <v>34</v>
      </c>
      <c r="T138" s="415"/>
      <c r="U138" s="414"/>
      <c r="V138" s="28">
        <f>IFERROR(IF(N138&lt;P138,"",(ROUNDDOWN(N138/P138*100,0))),"")</f>
        <v>134</v>
      </c>
    </row>
    <row r="139" spans="1:22" ht="24" customHeight="1">
      <c r="A139" s="437"/>
      <c r="B139" s="412"/>
      <c r="C139" s="426"/>
      <c r="D139" s="422" t="s">
        <v>1309</v>
      </c>
      <c r="E139" s="416" t="s">
        <v>979</v>
      </c>
      <c r="F139" s="421" t="s">
        <v>1271</v>
      </c>
      <c r="G139" s="416" t="s">
        <v>1270</v>
      </c>
      <c r="H139" s="416">
        <v>110</v>
      </c>
      <c r="I139" s="416" t="s">
        <v>839</v>
      </c>
      <c r="J139" s="208">
        <v>2979</v>
      </c>
      <c r="K139" s="208">
        <v>6893</v>
      </c>
      <c r="L139" s="416">
        <v>3749</v>
      </c>
      <c r="M139" s="420" t="s">
        <v>589</v>
      </c>
      <c r="N139" s="425" t="s">
        <v>1308</v>
      </c>
      <c r="O139" s="23">
        <f>IF(N139&gt;0,1/N139*37.7*68.6,"")</f>
        <v>243.98301886792456</v>
      </c>
      <c r="P139" s="418">
        <v>8.1199999999999992</v>
      </c>
      <c r="Q139" s="417" t="s">
        <v>1380</v>
      </c>
      <c r="R139" s="416" t="s">
        <v>1267</v>
      </c>
      <c r="S139" s="416" t="s">
        <v>34</v>
      </c>
      <c r="T139" s="415"/>
      <c r="U139" s="414"/>
      <c r="V139" s="28">
        <f>IFERROR(IF(N139&lt;P139,"",(ROUNDDOWN(N139/P139*100,0))),"")</f>
        <v>130</v>
      </c>
    </row>
    <row r="140" spans="1:22" ht="24" customHeight="1">
      <c r="A140" s="437"/>
      <c r="B140" s="412"/>
      <c r="C140" s="426"/>
      <c r="D140" s="422" t="s">
        <v>1381</v>
      </c>
      <c r="E140" s="416" t="s">
        <v>979</v>
      </c>
      <c r="F140" s="421" t="s">
        <v>1271</v>
      </c>
      <c r="G140" s="416" t="s">
        <v>1270</v>
      </c>
      <c r="H140" s="416">
        <v>110</v>
      </c>
      <c r="I140" s="416" t="s">
        <v>839</v>
      </c>
      <c r="J140" s="208">
        <v>2652</v>
      </c>
      <c r="K140" s="208">
        <v>5812</v>
      </c>
      <c r="L140" s="416">
        <v>2995</v>
      </c>
      <c r="M140" s="420" t="s">
        <v>589</v>
      </c>
      <c r="N140" s="425" t="s">
        <v>1382</v>
      </c>
      <c r="O140" s="23">
        <f>IF(N140&gt;0,1/N140*37.7*68.6,"")</f>
        <v>202.04843749999998</v>
      </c>
      <c r="P140" s="418">
        <v>9.51</v>
      </c>
      <c r="Q140" s="417" t="s">
        <v>1380</v>
      </c>
      <c r="R140" s="416" t="s">
        <v>1267</v>
      </c>
      <c r="S140" s="416" t="s">
        <v>34</v>
      </c>
      <c r="T140" s="415"/>
      <c r="U140" s="414"/>
      <c r="V140" s="28">
        <f>IFERROR(IF(N140&lt;P140,"",(ROUNDDOWN(N140/P140*100,0))),"")</f>
        <v>134</v>
      </c>
    </row>
    <row r="141" spans="1:22" ht="24" customHeight="1">
      <c r="A141" s="437"/>
      <c r="B141" s="412"/>
      <c r="C141" s="426"/>
      <c r="D141" s="422" t="s">
        <v>1381</v>
      </c>
      <c r="E141" s="416" t="s">
        <v>979</v>
      </c>
      <c r="F141" s="421" t="s">
        <v>1271</v>
      </c>
      <c r="G141" s="416" t="s">
        <v>1270</v>
      </c>
      <c r="H141" s="416">
        <v>110</v>
      </c>
      <c r="I141" s="416" t="s">
        <v>839</v>
      </c>
      <c r="J141" s="208">
        <v>2979</v>
      </c>
      <c r="K141" s="208">
        <v>6893</v>
      </c>
      <c r="L141" s="416">
        <v>3749</v>
      </c>
      <c r="M141" s="420" t="s">
        <v>589</v>
      </c>
      <c r="N141" s="425" t="s">
        <v>1308</v>
      </c>
      <c r="O141" s="23">
        <f>IF(N141&gt;0,1/N141*37.7*68.6,"")</f>
        <v>243.98301886792456</v>
      </c>
      <c r="P141" s="418">
        <v>8.1199999999999992</v>
      </c>
      <c r="Q141" s="417" t="s">
        <v>1380</v>
      </c>
      <c r="R141" s="416" t="s">
        <v>1267</v>
      </c>
      <c r="S141" s="416" t="s">
        <v>34</v>
      </c>
      <c r="T141" s="415"/>
      <c r="U141" s="414"/>
      <c r="V141" s="28">
        <f>IFERROR(IF(N141&lt;P141,"",(ROUNDDOWN(N141/P141*100,0))),"")</f>
        <v>130</v>
      </c>
    </row>
    <row r="142" spans="1:22" ht="24" customHeight="1">
      <c r="A142" s="437"/>
      <c r="B142" s="412"/>
      <c r="C142" s="426"/>
      <c r="D142" s="422" t="s">
        <v>1379</v>
      </c>
      <c r="E142" s="416" t="s">
        <v>912</v>
      </c>
      <c r="F142" s="421" t="s">
        <v>1271</v>
      </c>
      <c r="G142" s="416" t="s">
        <v>1278</v>
      </c>
      <c r="H142" s="416">
        <v>110</v>
      </c>
      <c r="I142" s="416" t="s">
        <v>71</v>
      </c>
      <c r="J142" s="208">
        <v>2652</v>
      </c>
      <c r="K142" s="208">
        <v>5812</v>
      </c>
      <c r="L142" s="416">
        <v>2995</v>
      </c>
      <c r="M142" s="420" t="s">
        <v>589</v>
      </c>
      <c r="N142" s="425" t="s">
        <v>1308</v>
      </c>
      <c r="O142" s="23">
        <f>IF(N142&gt;0,1/N142*37.7*68.6,"")</f>
        <v>243.98301886792456</v>
      </c>
      <c r="P142" s="418">
        <v>9.51</v>
      </c>
      <c r="Q142" s="417" t="s">
        <v>834</v>
      </c>
      <c r="R142" s="416" t="s">
        <v>1267</v>
      </c>
      <c r="S142" s="416" t="s">
        <v>34</v>
      </c>
      <c r="T142" s="415"/>
      <c r="U142" s="414"/>
      <c r="V142" s="28">
        <f>IFERROR(IF(N142&lt;P142,"",(ROUNDDOWN(N142/P142*100,0))),"")</f>
        <v>111</v>
      </c>
    </row>
    <row r="143" spans="1:22" ht="24" customHeight="1">
      <c r="A143" s="437"/>
      <c r="B143" s="412"/>
      <c r="C143" s="426"/>
      <c r="D143" s="422" t="s">
        <v>1379</v>
      </c>
      <c r="E143" s="416" t="s">
        <v>912</v>
      </c>
      <c r="F143" s="421" t="s">
        <v>1271</v>
      </c>
      <c r="G143" s="416" t="s">
        <v>1278</v>
      </c>
      <c r="H143" s="416">
        <v>110</v>
      </c>
      <c r="I143" s="416" t="s">
        <v>790</v>
      </c>
      <c r="J143" s="208">
        <v>2652</v>
      </c>
      <c r="K143" s="208">
        <v>5812</v>
      </c>
      <c r="L143" s="416">
        <v>2995</v>
      </c>
      <c r="M143" s="420" t="s">
        <v>589</v>
      </c>
      <c r="N143" s="425" t="s">
        <v>1308</v>
      </c>
      <c r="O143" s="23">
        <f>IF(N143&gt;0,1/N143*37.7*68.6,"")</f>
        <v>243.98301886792456</v>
      </c>
      <c r="P143" s="418">
        <v>9.51</v>
      </c>
      <c r="Q143" s="417" t="s">
        <v>834</v>
      </c>
      <c r="R143" s="416" t="s">
        <v>1267</v>
      </c>
      <c r="S143" s="416" t="s">
        <v>34</v>
      </c>
      <c r="T143" s="415"/>
      <c r="U143" s="414"/>
      <c r="V143" s="28">
        <f>IFERROR(IF(N143&lt;P143,"",(ROUNDDOWN(N143/P143*100,0))),"")</f>
        <v>111</v>
      </c>
    </row>
    <row r="144" spans="1:22" ht="24" customHeight="1">
      <c r="A144" s="437"/>
      <c r="B144" s="412"/>
      <c r="C144" s="426"/>
      <c r="D144" s="422" t="s">
        <v>1378</v>
      </c>
      <c r="E144" s="416" t="s">
        <v>912</v>
      </c>
      <c r="F144" s="421" t="s">
        <v>1271</v>
      </c>
      <c r="G144" s="416" t="s">
        <v>1278</v>
      </c>
      <c r="H144" s="416">
        <v>110</v>
      </c>
      <c r="I144" s="416" t="s">
        <v>790</v>
      </c>
      <c r="J144" s="208">
        <v>2652</v>
      </c>
      <c r="K144" s="208">
        <v>5812</v>
      </c>
      <c r="L144" s="416">
        <v>2995</v>
      </c>
      <c r="M144" s="420" t="s">
        <v>589</v>
      </c>
      <c r="N144" s="425" t="s">
        <v>1308</v>
      </c>
      <c r="O144" s="23">
        <f>IF(N144&gt;0,1/N144*37.7*68.6,"")</f>
        <v>243.98301886792456</v>
      </c>
      <c r="P144" s="418">
        <v>9.51</v>
      </c>
      <c r="Q144" s="417" t="s">
        <v>834</v>
      </c>
      <c r="R144" s="416" t="s">
        <v>1267</v>
      </c>
      <c r="S144" s="416" t="s">
        <v>34</v>
      </c>
      <c r="T144" s="415"/>
      <c r="U144" s="414"/>
      <c r="V144" s="28">
        <f>IFERROR(IF(N144&lt;P144,"",(ROUNDDOWN(N144/P144*100,0))),"")</f>
        <v>111</v>
      </c>
    </row>
    <row r="145" spans="1:22" ht="24" customHeight="1">
      <c r="A145" s="437"/>
      <c r="B145" s="412"/>
      <c r="C145" s="426"/>
      <c r="D145" s="422" t="s">
        <v>1378</v>
      </c>
      <c r="E145" s="416" t="s">
        <v>912</v>
      </c>
      <c r="F145" s="421" t="s">
        <v>1271</v>
      </c>
      <c r="G145" s="416" t="s">
        <v>1278</v>
      </c>
      <c r="H145" s="416">
        <v>110</v>
      </c>
      <c r="I145" s="416" t="s">
        <v>71</v>
      </c>
      <c r="J145" s="208">
        <v>2652</v>
      </c>
      <c r="K145" s="208">
        <v>5812</v>
      </c>
      <c r="L145" s="416">
        <v>2995</v>
      </c>
      <c r="M145" s="420" t="s">
        <v>589</v>
      </c>
      <c r="N145" s="425" t="s">
        <v>1308</v>
      </c>
      <c r="O145" s="23">
        <f>IF(N145&gt;0,1/N145*37.7*68.6,"")</f>
        <v>243.98301886792456</v>
      </c>
      <c r="P145" s="418">
        <v>9.51</v>
      </c>
      <c r="Q145" s="417" t="s">
        <v>834</v>
      </c>
      <c r="R145" s="416" t="s">
        <v>1267</v>
      </c>
      <c r="S145" s="416" t="s">
        <v>34</v>
      </c>
      <c r="T145" s="415"/>
      <c r="U145" s="414"/>
      <c r="V145" s="28">
        <f>IFERROR(IF(N145&lt;P145,"",(ROUNDDOWN(N145/P145*100,0))),"")</f>
        <v>111</v>
      </c>
    </row>
    <row r="146" spans="1:22" ht="24" customHeight="1">
      <c r="A146" s="437"/>
      <c r="B146" s="412"/>
      <c r="C146" s="426"/>
      <c r="D146" s="422" t="s">
        <v>1377</v>
      </c>
      <c r="E146" s="416" t="s">
        <v>912</v>
      </c>
      <c r="F146" s="421" t="s">
        <v>1271</v>
      </c>
      <c r="G146" s="416" t="s">
        <v>1278</v>
      </c>
      <c r="H146" s="416">
        <v>110</v>
      </c>
      <c r="I146" s="416" t="s">
        <v>71</v>
      </c>
      <c r="J146" s="208">
        <v>2652</v>
      </c>
      <c r="K146" s="208">
        <v>5812</v>
      </c>
      <c r="L146" s="416">
        <v>2995</v>
      </c>
      <c r="M146" s="420" t="s">
        <v>589</v>
      </c>
      <c r="N146" s="425" t="s">
        <v>1308</v>
      </c>
      <c r="O146" s="23">
        <f>IF(N146&gt;0,1/N146*37.7*68.6,"")</f>
        <v>243.98301886792456</v>
      </c>
      <c r="P146" s="418">
        <v>9.51</v>
      </c>
      <c r="Q146" s="417" t="s">
        <v>834</v>
      </c>
      <c r="R146" s="416" t="s">
        <v>1267</v>
      </c>
      <c r="S146" s="416" t="s">
        <v>34</v>
      </c>
      <c r="T146" s="415"/>
      <c r="U146" s="414"/>
      <c r="V146" s="28">
        <f>IFERROR(IF(N146&lt;P146,"",(ROUNDDOWN(N146/P146*100,0))),"")</f>
        <v>111</v>
      </c>
    </row>
    <row r="147" spans="1:22" ht="24" customHeight="1">
      <c r="A147" s="437"/>
      <c r="B147" s="412"/>
      <c r="C147" s="426"/>
      <c r="D147" s="422" t="s">
        <v>1377</v>
      </c>
      <c r="E147" s="416" t="s">
        <v>912</v>
      </c>
      <c r="F147" s="421" t="s">
        <v>1271</v>
      </c>
      <c r="G147" s="416" t="s">
        <v>1278</v>
      </c>
      <c r="H147" s="416">
        <v>110</v>
      </c>
      <c r="I147" s="416" t="s">
        <v>790</v>
      </c>
      <c r="J147" s="208">
        <v>2652</v>
      </c>
      <c r="K147" s="208">
        <v>5812</v>
      </c>
      <c r="L147" s="416">
        <v>2995</v>
      </c>
      <c r="M147" s="420" t="s">
        <v>589</v>
      </c>
      <c r="N147" s="425" t="s">
        <v>1308</v>
      </c>
      <c r="O147" s="23">
        <f>IF(N147&gt;0,1/N147*37.7*68.6,"")</f>
        <v>243.98301886792456</v>
      </c>
      <c r="P147" s="418">
        <v>9.51</v>
      </c>
      <c r="Q147" s="417" t="s">
        <v>834</v>
      </c>
      <c r="R147" s="416" t="s">
        <v>1267</v>
      </c>
      <c r="S147" s="416" t="s">
        <v>34</v>
      </c>
      <c r="T147" s="415"/>
      <c r="U147" s="414"/>
      <c r="V147" s="28">
        <f>IFERROR(IF(N147&lt;P147,"",(ROUNDDOWN(N147/P147*100,0))),"")</f>
        <v>111</v>
      </c>
    </row>
    <row r="148" spans="1:22" ht="24" customHeight="1">
      <c r="A148" s="437"/>
      <c r="B148" s="412"/>
      <c r="C148" s="426"/>
      <c r="D148" s="422" t="s">
        <v>1376</v>
      </c>
      <c r="E148" s="416" t="s">
        <v>912</v>
      </c>
      <c r="F148" s="421" t="s">
        <v>1271</v>
      </c>
      <c r="G148" s="416" t="s">
        <v>1278</v>
      </c>
      <c r="H148" s="416">
        <v>110</v>
      </c>
      <c r="I148" s="416" t="s">
        <v>71</v>
      </c>
      <c r="J148" s="208">
        <v>2652</v>
      </c>
      <c r="K148" s="208">
        <v>5812</v>
      </c>
      <c r="L148" s="416">
        <v>2995</v>
      </c>
      <c r="M148" s="420" t="s">
        <v>589</v>
      </c>
      <c r="N148" s="425" t="s">
        <v>1308</v>
      </c>
      <c r="O148" s="23">
        <f>IF(N148&gt;0,1/N148*37.7*68.6,"")</f>
        <v>243.98301886792456</v>
      </c>
      <c r="P148" s="418">
        <v>9.51</v>
      </c>
      <c r="Q148" s="417" t="s">
        <v>834</v>
      </c>
      <c r="R148" s="416" t="s">
        <v>1267</v>
      </c>
      <c r="S148" s="416" t="s">
        <v>34</v>
      </c>
      <c r="T148" s="415"/>
      <c r="U148" s="414"/>
      <c r="V148" s="28">
        <f>IFERROR(IF(N148&lt;P148,"",(ROUNDDOWN(N148/P148*100,0))),"")</f>
        <v>111</v>
      </c>
    </row>
    <row r="149" spans="1:22" ht="24" customHeight="1">
      <c r="A149" s="437"/>
      <c r="B149" s="412"/>
      <c r="C149" s="426"/>
      <c r="D149" s="422" t="s">
        <v>1376</v>
      </c>
      <c r="E149" s="416" t="s">
        <v>912</v>
      </c>
      <c r="F149" s="421" t="s">
        <v>1271</v>
      </c>
      <c r="G149" s="416" t="s">
        <v>1278</v>
      </c>
      <c r="H149" s="416">
        <v>110</v>
      </c>
      <c r="I149" s="416" t="s">
        <v>790</v>
      </c>
      <c r="J149" s="208">
        <v>2652</v>
      </c>
      <c r="K149" s="208">
        <v>5812</v>
      </c>
      <c r="L149" s="416">
        <v>2995</v>
      </c>
      <c r="M149" s="420" t="s">
        <v>589</v>
      </c>
      <c r="N149" s="425" t="s">
        <v>1308</v>
      </c>
      <c r="O149" s="23">
        <f>IF(N149&gt;0,1/N149*37.7*68.6,"")</f>
        <v>243.98301886792456</v>
      </c>
      <c r="P149" s="418">
        <v>9.51</v>
      </c>
      <c r="Q149" s="417" t="s">
        <v>834</v>
      </c>
      <c r="R149" s="416" t="s">
        <v>1267</v>
      </c>
      <c r="S149" s="416" t="s">
        <v>34</v>
      </c>
      <c r="T149" s="415"/>
      <c r="U149" s="414"/>
      <c r="V149" s="28">
        <f>IFERROR(IF(N149&lt;P149,"",(ROUNDDOWN(N149/P149*100,0))),"")</f>
        <v>111</v>
      </c>
    </row>
    <row r="150" spans="1:22" ht="24" customHeight="1">
      <c r="A150" s="437"/>
      <c r="B150" s="412"/>
      <c r="C150" s="426"/>
      <c r="D150" s="422" t="s">
        <v>1375</v>
      </c>
      <c r="E150" s="416" t="s">
        <v>912</v>
      </c>
      <c r="F150" s="421" t="s">
        <v>1271</v>
      </c>
      <c r="G150" s="416" t="s">
        <v>1278</v>
      </c>
      <c r="H150" s="416">
        <v>110</v>
      </c>
      <c r="I150" s="416" t="s">
        <v>71</v>
      </c>
      <c r="J150" s="208">
        <v>2652</v>
      </c>
      <c r="K150" s="208">
        <v>5812</v>
      </c>
      <c r="L150" s="416">
        <v>2995</v>
      </c>
      <c r="M150" s="420" t="s">
        <v>589</v>
      </c>
      <c r="N150" s="425" t="s">
        <v>1308</v>
      </c>
      <c r="O150" s="23">
        <f>IF(N150&gt;0,1/N150*37.7*68.6,"")</f>
        <v>243.98301886792456</v>
      </c>
      <c r="P150" s="418">
        <v>9.51</v>
      </c>
      <c r="Q150" s="417" t="s">
        <v>834</v>
      </c>
      <c r="R150" s="416" t="s">
        <v>1267</v>
      </c>
      <c r="S150" s="416" t="s">
        <v>34</v>
      </c>
      <c r="T150" s="415"/>
      <c r="U150" s="414"/>
      <c r="V150" s="28">
        <f>IFERROR(IF(N150&lt;P150,"",(ROUNDDOWN(N150/P150*100,0))),"")</f>
        <v>111</v>
      </c>
    </row>
    <row r="151" spans="1:22" ht="24" customHeight="1">
      <c r="A151" s="437"/>
      <c r="B151" s="412"/>
      <c r="C151" s="426"/>
      <c r="D151" s="422" t="s">
        <v>1374</v>
      </c>
      <c r="E151" s="416" t="s">
        <v>912</v>
      </c>
      <c r="F151" s="421" t="s">
        <v>1271</v>
      </c>
      <c r="G151" s="416" t="s">
        <v>1278</v>
      </c>
      <c r="H151" s="416">
        <v>110</v>
      </c>
      <c r="I151" s="416" t="s">
        <v>71</v>
      </c>
      <c r="J151" s="208">
        <v>2652</v>
      </c>
      <c r="K151" s="208">
        <v>5812</v>
      </c>
      <c r="L151" s="416">
        <v>2995</v>
      </c>
      <c r="M151" s="420" t="s">
        <v>589</v>
      </c>
      <c r="N151" s="425" t="s">
        <v>1308</v>
      </c>
      <c r="O151" s="23">
        <f>IF(N151&gt;0,1/N151*37.7*68.6,"")</f>
        <v>243.98301886792456</v>
      </c>
      <c r="P151" s="418">
        <v>9.51</v>
      </c>
      <c r="Q151" s="417" t="s">
        <v>834</v>
      </c>
      <c r="R151" s="416" t="s">
        <v>1267</v>
      </c>
      <c r="S151" s="416" t="s">
        <v>34</v>
      </c>
      <c r="T151" s="415"/>
      <c r="U151" s="414"/>
      <c r="V151" s="28">
        <f>IFERROR(IF(N151&lt;P151,"",(ROUNDDOWN(N151/P151*100,0))),"")</f>
        <v>111</v>
      </c>
    </row>
    <row r="152" spans="1:22" ht="24" customHeight="1">
      <c r="A152" s="437"/>
      <c r="B152" s="412"/>
      <c r="C152" s="426"/>
      <c r="D152" s="422" t="s">
        <v>1374</v>
      </c>
      <c r="E152" s="416" t="s">
        <v>912</v>
      </c>
      <c r="F152" s="421" t="s">
        <v>1271</v>
      </c>
      <c r="G152" s="416" t="s">
        <v>1278</v>
      </c>
      <c r="H152" s="416">
        <v>110</v>
      </c>
      <c r="I152" s="416" t="s">
        <v>790</v>
      </c>
      <c r="J152" s="208">
        <v>2652</v>
      </c>
      <c r="K152" s="208">
        <v>5812</v>
      </c>
      <c r="L152" s="416">
        <v>2995</v>
      </c>
      <c r="M152" s="420" t="s">
        <v>589</v>
      </c>
      <c r="N152" s="425" t="s">
        <v>1308</v>
      </c>
      <c r="O152" s="23">
        <f>IF(N152&gt;0,1/N152*37.7*68.6,"")</f>
        <v>243.98301886792456</v>
      </c>
      <c r="P152" s="418">
        <v>9.51</v>
      </c>
      <c r="Q152" s="417" t="s">
        <v>834</v>
      </c>
      <c r="R152" s="416" t="s">
        <v>1267</v>
      </c>
      <c r="S152" s="416" t="s">
        <v>34</v>
      </c>
      <c r="T152" s="415"/>
      <c r="U152" s="414"/>
      <c r="V152" s="28">
        <f>IFERROR(IF(N152&lt;P152,"",(ROUNDDOWN(N152/P152*100,0))),"")</f>
        <v>111</v>
      </c>
    </row>
    <row r="153" spans="1:22" ht="24" customHeight="1">
      <c r="A153" s="437"/>
      <c r="B153" s="412"/>
      <c r="C153" s="426"/>
      <c r="D153" s="422" t="s">
        <v>1373</v>
      </c>
      <c r="E153" s="416" t="s">
        <v>912</v>
      </c>
      <c r="F153" s="421" t="s">
        <v>1271</v>
      </c>
      <c r="G153" s="416" t="s">
        <v>1278</v>
      </c>
      <c r="H153" s="416">
        <v>110</v>
      </c>
      <c r="I153" s="416" t="s">
        <v>71</v>
      </c>
      <c r="J153" s="208">
        <v>2652</v>
      </c>
      <c r="K153" s="208">
        <v>5812</v>
      </c>
      <c r="L153" s="416">
        <v>2995</v>
      </c>
      <c r="M153" s="420" t="s">
        <v>589</v>
      </c>
      <c r="N153" s="425" t="s">
        <v>1308</v>
      </c>
      <c r="O153" s="23">
        <f>IF(N153&gt;0,1/N153*37.7*68.6,"")</f>
        <v>243.98301886792456</v>
      </c>
      <c r="P153" s="418">
        <v>9.51</v>
      </c>
      <c r="Q153" s="417" t="s">
        <v>834</v>
      </c>
      <c r="R153" s="416" t="s">
        <v>1267</v>
      </c>
      <c r="S153" s="416" t="s">
        <v>34</v>
      </c>
      <c r="T153" s="415"/>
      <c r="U153" s="414"/>
      <c r="V153" s="28">
        <f>IFERROR(IF(N153&lt;P153,"",(ROUNDDOWN(N153/P153*100,0))),"")</f>
        <v>111</v>
      </c>
    </row>
    <row r="154" spans="1:22" ht="24" customHeight="1">
      <c r="A154" s="437"/>
      <c r="B154" s="412"/>
      <c r="C154" s="426"/>
      <c r="D154" s="422" t="s">
        <v>1373</v>
      </c>
      <c r="E154" s="416" t="s">
        <v>912</v>
      </c>
      <c r="F154" s="421" t="s">
        <v>1271</v>
      </c>
      <c r="G154" s="416" t="s">
        <v>1278</v>
      </c>
      <c r="H154" s="416">
        <v>110</v>
      </c>
      <c r="I154" s="416" t="s">
        <v>790</v>
      </c>
      <c r="J154" s="208">
        <v>2652</v>
      </c>
      <c r="K154" s="208">
        <v>5812</v>
      </c>
      <c r="L154" s="416">
        <v>2995</v>
      </c>
      <c r="M154" s="420" t="s">
        <v>589</v>
      </c>
      <c r="N154" s="425" t="s">
        <v>1308</v>
      </c>
      <c r="O154" s="23">
        <f>IF(N154&gt;0,1/N154*37.7*68.6,"")</f>
        <v>243.98301886792456</v>
      </c>
      <c r="P154" s="418">
        <v>9.51</v>
      </c>
      <c r="Q154" s="417" t="s">
        <v>834</v>
      </c>
      <c r="R154" s="416" t="s">
        <v>1267</v>
      </c>
      <c r="S154" s="416" t="s">
        <v>34</v>
      </c>
      <c r="T154" s="415"/>
      <c r="U154" s="414"/>
      <c r="V154" s="28">
        <f>IFERROR(IF(N154&lt;P154,"",(ROUNDDOWN(N154/P154*100,0))),"")</f>
        <v>111</v>
      </c>
    </row>
    <row r="155" spans="1:22" ht="22.5">
      <c r="A155" s="437"/>
      <c r="B155" s="412"/>
      <c r="C155" s="426"/>
      <c r="D155" s="422" t="s">
        <v>1372</v>
      </c>
      <c r="E155" s="416" t="s">
        <v>912</v>
      </c>
      <c r="F155" s="421" t="s">
        <v>1271</v>
      </c>
      <c r="G155" s="416" t="s">
        <v>1278</v>
      </c>
      <c r="H155" s="416">
        <v>110</v>
      </c>
      <c r="I155" s="416" t="s">
        <v>71</v>
      </c>
      <c r="J155" s="208">
        <v>2652</v>
      </c>
      <c r="K155" s="208">
        <v>5812</v>
      </c>
      <c r="L155" s="416">
        <v>2995</v>
      </c>
      <c r="M155" s="420" t="s">
        <v>589</v>
      </c>
      <c r="N155" s="425" t="s">
        <v>1308</v>
      </c>
      <c r="O155" s="23">
        <f>IF(N155&gt;0,1/N155*37.7*68.6,"")</f>
        <v>243.98301886792456</v>
      </c>
      <c r="P155" s="418">
        <v>9.51</v>
      </c>
      <c r="Q155" s="417" t="s">
        <v>834</v>
      </c>
      <c r="R155" s="416" t="s">
        <v>1267</v>
      </c>
      <c r="S155" s="416" t="s">
        <v>34</v>
      </c>
      <c r="T155" s="415"/>
      <c r="U155" s="414"/>
      <c r="V155" s="28">
        <f>IFERROR(IF(N155&lt;P155,"",(ROUNDDOWN(N155/P155*100,0))),"")</f>
        <v>111</v>
      </c>
    </row>
    <row r="156" spans="1:22" ht="22.5">
      <c r="A156" s="437"/>
      <c r="B156" s="412"/>
      <c r="C156" s="426"/>
      <c r="D156" s="422" t="s">
        <v>1372</v>
      </c>
      <c r="E156" s="416" t="s">
        <v>912</v>
      </c>
      <c r="F156" s="421" t="s">
        <v>1271</v>
      </c>
      <c r="G156" s="416" t="s">
        <v>1278</v>
      </c>
      <c r="H156" s="416">
        <v>110</v>
      </c>
      <c r="I156" s="416" t="s">
        <v>790</v>
      </c>
      <c r="J156" s="208">
        <v>2652</v>
      </c>
      <c r="K156" s="208">
        <v>5812</v>
      </c>
      <c r="L156" s="416">
        <v>2995</v>
      </c>
      <c r="M156" s="420" t="s">
        <v>589</v>
      </c>
      <c r="N156" s="425" t="s">
        <v>1308</v>
      </c>
      <c r="O156" s="23">
        <f>IF(N156&gt;0,1/N156*37.7*68.6,"")</f>
        <v>243.98301886792456</v>
      </c>
      <c r="P156" s="418">
        <v>9.51</v>
      </c>
      <c r="Q156" s="417" t="s">
        <v>834</v>
      </c>
      <c r="R156" s="416" t="s">
        <v>1267</v>
      </c>
      <c r="S156" s="416" t="s">
        <v>34</v>
      </c>
      <c r="T156" s="415"/>
      <c r="U156" s="414"/>
      <c r="V156" s="28">
        <f>IFERROR(IF(N156&lt;P156,"",(ROUNDDOWN(N156/P156*100,0))),"")</f>
        <v>111</v>
      </c>
    </row>
    <row r="157" spans="1:22" ht="24" customHeight="1">
      <c r="A157" s="437"/>
      <c r="B157" s="412"/>
      <c r="C157" s="426"/>
      <c r="D157" s="422" t="s">
        <v>1371</v>
      </c>
      <c r="E157" s="416" t="s">
        <v>912</v>
      </c>
      <c r="F157" s="421" t="s">
        <v>1271</v>
      </c>
      <c r="G157" s="416" t="s">
        <v>1278</v>
      </c>
      <c r="H157" s="416">
        <v>110</v>
      </c>
      <c r="I157" s="416" t="s">
        <v>71</v>
      </c>
      <c r="J157" s="208">
        <v>2652</v>
      </c>
      <c r="K157" s="208">
        <v>5812</v>
      </c>
      <c r="L157" s="416">
        <v>2995</v>
      </c>
      <c r="M157" s="420" t="s">
        <v>589</v>
      </c>
      <c r="N157" s="425" t="s">
        <v>1308</v>
      </c>
      <c r="O157" s="23">
        <f>IF(N157&gt;0,1/N157*37.7*68.6,"")</f>
        <v>243.98301886792456</v>
      </c>
      <c r="P157" s="418">
        <v>9.51</v>
      </c>
      <c r="Q157" s="417" t="s">
        <v>834</v>
      </c>
      <c r="R157" s="416" t="s">
        <v>1267</v>
      </c>
      <c r="S157" s="416" t="s">
        <v>34</v>
      </c>
      <c r="T157" s="415"/>
      <c r="U157" s="414"/>
      <c r="V157" s="28">
        <f>IFERROR(IF(N157&lt;P157,"",(ROUNDDOWN(N157/P157*100,0))),"")</f>
        <v>111</v>
      </c>
    </row>
    <row r="158" spans="1:22" ht="24" customHeight="1">
      <c r="A158" s="437"/>
      <c r="B158" s="412"/>
      <c r="C158" s="426"/>
      <c r="D158" s="422" t="s">
        <v>1371</v>
      </c>
      <c r="E158" s="416" t="s">
        <v>912</v>
      </c>
      <c r="F158" s="421" t="s">
        <v>1271</v>
      </c>
      <c r="G158" s="416" t="s">
        <v>1278</v>
      </c>
      <c r="H158" s="416">
        <v>110</v>
      </c>
      <c r="I158" s="416" t="s">
        <v>790</v>
      </c>
      <c r="J158" s="208">
        <v>2652</v>
      </c>
      <c r="K158" s="208">
        <v>5812</v>
      </c>
      <c r="L158" s="416">
        <v>2995</v>
      </c>
      <c r="M158" s="420" t="s">
        <v>589</v>
      </c>
      <c r="N158" s="425" t="s">
        <v>1308</v>
      </c>
      <c r="O158" s="23">
        <f>IF(N158&gt;0,1/N158*37.7*68.6,"")</f>
        <v>243.98301886792456</v>
      </c>
      <c r="P158" s="418">
        <v>9.51</v>
      </c>
      <c r="Q158" s="417" t="s">
        <v>834</v>
      </c>
      <c r="R158" s="416" t="s">
        <v>1267</v>
      </c>
      <c r="S158" s="416" t="s">
        <v>34</v>
      </c>
      <c r="T158" s="415"/>
      <c r="U158" s="414"/>
      <c r="V158" s="28">
        <f>IFERROR(IF(N158&lt;P158,"",(ROUNDDOWN(N158/P158*100,0))),"")</f>
        <v>111</v>
      </c>
    </row>
    <row r="159" spans="1:22" ht="24" customHeight="1">
      <c r="A159" s="437"/>
      <c r="B159" s="412"/>
      <c r="C159" s="426"/>
      <c r="D159" s="422" t="s">
        <v>1370</v>
      </c>
      <c r="E159" s="416" t="s">
        <v>912</v>
      </c>
      <c r="F159" s="421" t="s">
        <v>1271</v>
      </c>
      <c r="G159" s="416" t="s">
        <v>1278</v>
      </c>
      <c r="H159" s="416">
        <v>110</v>
      </c>
      <c r="I159" s="416" t="s">
        <v>71</v>
      </c>
      <c r="J159" s="208">
        <v>2652</v>
      </c>
      <c r="K159" s="208">
        <v>5812</v>
      </c>
      <c r="L159" s="416">
        <v>2995</v>
      </c>
      <c r="M159" s="420" t="s">
        <v>589</v>
      </c>
      <c r="N159" s="425" t="s">
        <v>1308</v>
      </c>
      <c r="O159" s="23">
        <f>IF(N159&gt;0,1/N159*37.7*68.6,"")</f>
        <v>243.98301886792456</v>
      </c>
      <c r="P159" s="418">
        <v>9.51</v>
      </c>
      <c r="Q159" s="417" t="s">
        <v>834</v>
      </c>
      <c r="R159" s="416" t="s">
        <v>1267</v>
      </c>
      <c r="S159" s="416" t="s">
        <v>34</v>
      </c>
      <c r="T159" s="415"/>
      <c r="U159" s="414"/>
      <c r="V159" s="28">
        <f>IFERROR(IF(N159&lt;P159,"",(ROUNDDOWN(N159/P159*100,0))),"")</f>
        <v>111</v>
      </c>
    </row>
    <row r="160" spans="1:22" ht="24" customHeight="1">
      <c r="A160" s="437"/>
      <c r="B160" s="412"/>
      <c r="C160" s="426"/>
      <c r="D160" s="422" t="s">
        <v>1370</v>
      </c>
      <c r="E160" s="416" t="s">
        <v>912</v>
      </c>
      <c r="F160" s="421" t="s">
        <v>1271</v>
      </c>
      <c r="G160" s="416" t="s">
        <v>1278</v>
      </c>
      <c r="H160" s="416">
        <v>110</v>
      </c>
      <c r="I160" s="416" t="s">
        <v>790</v>
      </c>
      <c r="J160" s="208">
        <v>2652</v>
      </c>
      <c r="K160" s="208">
        <v>5812</v>
      </c>
      <c r="L160" s="416">
        <v>2995</v>
      </c>
      <c r="M160" s="420" t="s">
        <v>589</v>
      </c>
      <c r="N160" s="425" t="s">
        <v>1308</v>
      </c>
      <c r="O160" s="23">
        <f>IF(N160&gt;0,1/N160*37.7*68.6,"")</f>
        <v>243.98301886792456</v>
      </c>
      <c r="P160" s="418">
        <v>9.51</v>
      </c>
      <c r="Q160" s="417" t="s">
        <v>834</v>
      </c>
      <c r="R160" s="416" t="s">
        <v>1267</v>
      </c>
      <c r="S160" s="416" t="s">
        <v>34</v>
      </c>
      <c r="T160" s="415"/>
      <c r="U160" s="414"/>
      <c r="V160" s="28">
        <f>IFERROR(IF(N160&lt;P160,"",(ROUNDDOWN(N160/P160*100,0))),"")</f>
        <v>111</v>
      </c>
    </row>
    <row r="161" spans="1:22" ht="24" customHeight="1">
      <c r="A161" s="437"/>
      <c r="B161" s="412"/>
      <c r="C161" s="426"/>
      <c r="D161" s="422" t="s">
        <v>1369</v>
      </c>
      <c r="E161" s="416" t="s">
        <v>912</v>
      </c>
      <c r="F161" s="421" t="s">
        <v>1271</v>
      </c>
      <c r="G161" s="416" t="s">
        <v>1278</v>
      </c>
      <c r="H161" s="416">
        <v>110</v>
      </c>
      <c r="I161" s="416" t="s">
        <v>71</v>
      </c>
      <c r="J161" s="208">
        <v>2652</v>
      </c>
      <c r="K161" s="208">
        <v>5812</v>
      </c>
      <c r="L161" s="416">
        <v>2995</v>
      </c>
      <c r="M161" s="420" t="s">
        <v>589</v>
      </c>
      <c r="N161" s="425" t="s">
        <v>1308</v>
      </c>
      <c r="O161" s="23">
        <f>IF(N161&gt;0,1/N161*37.7*68.6,"")</f>
        <v>243.98301886792456</v>
      </c>
      <c r="P161" s="418">
        <v>9.51</v>
      </c>
      <c r="Q161" s="417" t="s">
        <v>834</v>
      </c>
      <c r="R161" s="416" t="s">
        <v>1267</v>
      </c>
      <c r="S161" s="416" t="s">
        <v>34</v>
      </c>
      <c r="T161" s="415"/>
      <c r="U161" s="414"/>
      <c r="V161" s="28">
        <f>IFERROR(IF(N161&lt;P161,"",(ROUNDDOWN(N161/P161*100,0))),"")</f>
        <v>111</v>
      </c>
    </row>
    <row r="162" spans="1:22" ht="24" customHeight="1">
      <c r="A162" s="437"/>
      <c r="B162" s="412"/>
      <c r="C162" s="426"/>
      <c r="D162" s="422" t="s">
        <v>1369</v>
      </c>
      <c r="E162" s="416" t="s">
        <v>912</v>
      </c>
      <c r="F162" s="421" t="s">
        <v>1271</v>
      </c>
      <c r="G162" s="416" t="s">
        <v>1278</v>
      </c>
      <c r="H162" s="416">
        <v>110</v>
      </c>
      <c r="I162" s="416" t="s">
        <v>790</v>
      </c>
      <c r="J162" s="208">
        <v>2652</v>
      </c>
      <c r="K162" s="208">
        <v>5812</v>
      </c>
      <c r="L162" s="416">
        <v>2995</v>
      </c>
      <c r="M162" s="420" t="s">
        <v>589</v>
      </c>
      <c r="N162" s="425" t="s">
        <v>1308</v>
      </c>
      <c r="O162" s="23">
        <f>IF(N162&gt;0,1/N162*37.7*68.6,"")</f>
        <v>243.98301886792456</v>
      </c>
      <c r="P162" s="418">
        <v>9.51</v>
      </c>
      <c r="Q162" s="417" t="s">
        <v>834</v>
      </c>
      <c r="R162" s="416" t="s">
        <v>1267</v>
      </c>
      <c r="S162" s="416" t="s">
        <v>34</v>
      </c>
      <c r="T162" s="415"/>
      <c r="U162" s="414"/>
      <c r="V162" s="28">
        <f>IFERROR(IF(N162&lt;P162,"",(ROUNDDOWN(N162/P162*100,0))),"")</f>
        <v>111</v>
      </c>
    </row>
    <row r="163" spans="1:22" ht="24" customHeight="1">
      <c r="A163" s="437"/>
      <c r="B163" s="412"/>
      <c r="C163" s="426"/>
      <c r="D163" s="422" t="s">
        <v>1368</v>
      </c>
      <c r="E163" s="416" t="s">
        <v>912</v>
      </c>
      <c r="F163" s="421" t="s">
        <v>1271</v>
      </c>
      <c r="G163" s="416" t="s">
        <v>1278</v>
      </c>
      <c r="H163" s="416">
        <v>110</v>
      </c>
      <c r="I163" s="416" t="s">
        <v>71</v>
      </c>
      <c r="J163" s="208">
        <v>2652</v>
      </c>
      <c r="K163" s="208">
        <v>5812</v>
      </c>
      <c r="L163" s="416">
        <v>2995</v>
      </c>
      <c r="M163" s="420" t="s">
        <v>589</v>
      </c>
      <c r="N163" s="425" t="s">
        <v>1308</v>
      </c>
      <c r="O163" s="23">
        <f>IF(N163&gt;0,1/N163*37.7*68.6,"")</f>
        <v>243.98301886792456</v>
      </c>
      <c r="P163" s="418">
        <v>9.51</v>
      </c>
      <c r="Q163" s="417" t="s">
        <v>834</v>
      </c>
      <c r="R163" s="416" t="s">
        <v>1267</v>
      </c>
      <c r="S163" s="416" t="s">
        <v>34</v>
      </c>
      <c r="T163" s="415"/>
      <c r="U163" s="414"/>
      <c r="V163" s="28">
        <f>IFERROR(IF(N163&lt;P163,"",(ROUNDDOWN(N163/P163*100,0))),"")</f>
        <v>111</v>
      </c>
    </row>
    <row r="164" spans="1:22" ht="24" customHeight="1">
      <c r="A164" s="437"/>
      <c r="B164" s="412"/>
      <c r="C164" s="426"/>
      <c r="D164" s="422" t="s">
        <v>1368</v>
      </c>
      <c r="E164" s="416" t="s">
        <v>912</v>
      </c>
      <c r="F164" s="421" t="s">
        <v>1271</v>
      </c>
      <c r="G164" s="416" t="s">
        <v>1278</v>
      </c>
      <c r="H164" s="416">
        <v>110</v>
      </c>
      <c r="I164" s="416" t="s">
        <v>790</v>
      </c>
      <c r="J164" s="208">
        <v>2652</v>
      </c>
      <c r="K164" s="208">
        <v>5812</v>
      </c>
      <c r="L164" s="416">
        <v>2995</v>
      </c>
      <c r="M164" s="420" t="s">
        <v>589</v>
      </c>
      <c r="N164" s="425" t="s">
        <v>1308</v>
      </c>
      <c r="O164" s="23">
        <f>IF(N164&gt;0,1/N164*37.7*68.6,"")</f>
        <v>243.98301886792456</v>
      </c>
      <c r="P164" s="418">
        <v>9.51</v>
      </c>
      <c r="Q164" s="417" t="s">
        <v>834</v>
      </c>
      <c r="R164" s="416" t="s">
        <v>1267</v>
      </c>
      <c r="S164" s="416" t="s">
        <v>34</v>
      </c>
      <c r="T164" s="415"/>
      <c r="U164" s="414"/>
      <c r="V164" s="28">
        <f>IFERROR(IF(N164&lt;P164,"",(ROUNDDOWN(N164/P164*100,0))),"")</f>
        <v>111</v>
      </c>
    </row>
    <row r="165" spans="1:22" ht="24" customHeight="1">
      <c r="A165" s="437"/>
      <c r="B165" s="412"/>
      <c r="C165" s="426"/>
      <c r="D165" s="422" t="s">
        <v>1367</v>
      </c>
      <c r="E165" s="416" t="s">
        <v>912</v>
      </c>
      <c r="F165" s="421" t="s">
        <v>1271</v>
      </c>
      <c r="G165" s="416" t="s">
        <v>1278</v>
      </c>
      <c r="H165" s="416">
        <v>110</v>
      </c>
      <c r="I165" s="416" t="s">
        <v>71</v>
      </c>
      <c r="J165" s="208">
        <v>2652</v>
      </c>
      <c r="K165" s="208">
        <v>5812</v>
      </c>
      <c r="L165" s="416">
        <v>2995</v>
      </c>
      <c r="M165" s="420" t="s">
        <v>589</v>
      </c>
      <c r="N165" s="425" t="s">
        <v>1357</v>
      </c>
      <c r="O165" s="23">
        <f>IF(N165&gt;0,1/N165*37.7*68.6,"")</f>
        <v>253.55098039215687</v>
      </c>
      <c r="P165" s="418">
        <v>9.51</v>
      </c>
      <c r="Q165" s="417" t="s">
        <v>831</v>
      </c>
      <c r="R165" s="416" t="s">
        <v>1267</v>
      </c>
      <c r="S165" s="416" t="s">
        <v>34</v>
      </c>
      <c r="T165" s="415"/>
      <c r="U165" s="414"/>
      <c r="V165" s="28">
        <f>IFERROR(IF(N165&lt;P165,"",(ROUNDDOWN(N165/P165*100,0))),"")</f>
        <v>107</v>
      </c>
    </row>
    <row r="166" spans="1:22" ht="24" customHeight="1">
      <c r="A166" s="437"/>
      <c r="B166" s="412"/>
      <c r="C166" s="426"/>
      <c r="D166" s="422" t="s">
        <v>1366</v>
      </c>
      <c r="E166" s="416" t="s">
        <v>912</v>
      </c>
      <c r="F166" s="421" t="s">
        <v>1271</v>
      </c>
      <c r="G166" s="416" t="s">
        <v>1278</v>
      </c>
      <c r="H166" s="416">
        <v>110</v>
      </c>
      <c r="I166" s="416" t="s">
        <v>71</v>
      </c>
      <c r="J166" s="208">
        <v>2652</v>
      </c>
      <c r="K166" s="208">
        <v>5812</v>
      </c>
      <c r="L166" s="416">
        <v>2995</v>
      </c>
      <c r="M166" s="420" t="s">
        <v>589</v>
      </c>
      <c r="N166" s="425" t="s">
        <v>1357</v>
      </c>
      <c r="O166" s="23">
        <f>IF(N166&gt;0,1/N166*37.7*68.6,"")</f>
        <v>253.55098039215687</v>
      </c>
      <c r="P166" s="418">
        <v>9.51</v>
      </c>
      <c r="Q166" s="417" t="s">
        <v>831</v>
      </c>
      <c r="R166" s="416" t="s">
        <v>1267</v>
      </c>
      <c r="S166" s="416" t="s">
        <v>34</v>
      </c>
      <c r="T166" s="415"/>
      <c r="U166" s="414"/>
      <c r="V166" s="28">
        <f>IFERROR(IF(N166&lt;P166,"",(ROUNDDOWN(N166/P166*100,0))),"")</f>
        <v>107</v>
      </c>
    </row>
    <row r="167" spans="1:22" ht="24" customHeight="1">
      <c r="A167" s="437"/>
      <c r="B167" s="412"/>
      <c r="C167" s="426"/>
      <c r="D167" s="422" t="s">
        <v>1365</v>
      </c>
      <c r="E167" s="416" t="s">
        <v>912</v>
      </c>
      <c r="F167" s="421" t="s">
        <v>1271</v>
      </c>
      <c r="G167" s="416" t="s">
        <v>1278</v>
      </c>
      <c r="H167" s="416">
        <v>110</v>
      </c>
      <c r="I167" s="416" t="s">
        <v>71</v>
      </c>
      <c r="J167" s="208">
        <v>2652</v>
      </c>
      <c r="K167" s="208">
        <v>5812</v>
      </c>
      <c r="L167" s="416">
        <v>2995</v>
      </c>
      <c r="M167" s="420" t="s">
        <v>589</v>
      </c>
      <c r="N167" s="425" t="s">
        <v>1357</v>
      </c>
      <c r="O167" s="23">
        <f>IF(N167&gt;0,1/N167*37.7*68.6,"")</f>
        <v>253.55098039215687</v>
      </c>
      <c r="P167" s="418">
        <v>9.51</v>
      </c>
      <c r="Q167" s="417" t="s">
        <v>831</v>
      </c>
      <c r="R167" s="416" t="s">
        <v>1267</v>
      </c>
      <c r="S167" s="416" t="s">
        <v>34</v>
      </c>
      <c r="T167" s="415"/>
      <c r="U167" s="414"/>
      <c r="V167" s="28">
        <f>IFERROR(IF(N167&lt;P167,"",(ROUNDDOWN(N167/P167*100,0))),"")</f>
        <v>107</v>
      </c>
    </row>
    <row r="168" spans="1:22" ht="24" customHeight="1">
      <c r="A168" s="437"/>
      <c r="B168" s="412"/>
      <c r="C168" s="426"/>
      <c r="D168" s="422" t="s">
        <v>1364</v>
      </c>
      <c r="E168" s="416" t="s">
        <v>912</v>
      </c>
      <c r="F168" s="421" t="s">
        <v>1271</v>
      </c>
      <c r="G168" s="416" t="s">
        <v>1278</v>
      </c>
      <c r="H168" s="416">
        <v>110</v>
      </c>
      <c r="I168" s="416" t="s">
        <v>71</v>
      </c>
      <c r="J168" s="208">
        <v>2652</v>
      </c>
      <c r="K168" s="208">
        <v>5812</v>
      </c>
      <c r="L168" s="416">
        <v>2995</v>
      </c>
      <c r="M168" s="420" t="s">
        <v>589</v>
      </c>
      <c r="N168" s="425" t="s">
        <v>1357</v>
      </c>
      <c r="O168" s="23">
        <f>IF(N168&gt;0,1/N168*37.7*68.6,"")</f>
        <v>253.55098039215687</v>
      </c>
      <c r="P168" s="418">
        <v>9.51</v>
      </c>
      <c r="Q168" s="417" t="s">
        <v>831</v>
      </c>
      <c r="R168" s="416" t="s">
        <v>1267</v>
      </c>
      <c r="S168" s="416" t="s">
        <v>34</v>
      </c>
      <c r="T168" s="415"/>
      <c r="U168" s="414"/>
      <c r="V168" s="28">
        <f>IFERROR(IF(N168&lt;P168,"",(ROUNDDOWN(N168/P168*100,0))),"")</f>
        <v>107</v>
      </c>
    </row>
    <row r="169" spans="1:22" ht="24" customHeight="1">
      <c r="A169" s="437"/>
      <c r="B169" s="412"/>
      <c r="C169" s="426"/>
      <c r="D169" s="422" t="s">
        <v>1363</v>
      </c>
      <c r="E169" s="416" t="s">
        <v>912</v>
      </c>
      <c r="F169" s="421" t="s">
        <v>1271</v>
      </c>
      <c r="G169" s="416" t="s">
        <v>1278</v>
      </c>
      <c r="H169" s="416">
        <v>110</v>
      </c>
      <c r="I169" s="416" t="s">
        <v>71</v>
      </c>
      <c r="J169" s="208">
        <v>2652</v>
      </c>
      <c r="K169" s="208">
        <v>5812</v>
      </c>
      <c r="L169" s="416">
        <v>2995</v>
      </c>
      <c r="M169" s="420" t="s">
        <v>589</v>
      </c>
      <c r="N169" s="425" t="s">
        <v>1357</v>
      </c>
      <c r="O169" s="23">
        <f>IF(N169&gt;0,1/N169*37.7*68.6,"")</f>
        <v>253.55098039215687</v>
      </c>
      <c r="P169" s="418">
        <v>9.51</v>
      </c>
      <c r="Q169" s="417" t="s">
        <v>831</v>
      </c>
      <c r="R169" s="416" t="s">
        <v>1267</v>
      </c>
      <c r="S169" s="416" t="s">
        <v>34</v>
      </c>
      <c r="T169" s="415"/>
      <c r="U169" s="414"/>
      <c r="V169" s="28">
        <f>IFERROR(IF(N169&lt;P169,"",(ROUNDDOWN(N169/P169*100,0))),"")</f>
        <v>107</v>
      </c>
    </row>
    <row r="170" spans="1:22" ht="24" customHeight="1">
      <c r="A170" s="437"/>
      <c r="B170" s="412"/>
      <c r="C170" s="426"/>
      <c r="D170" s="422" t="s">
        <v>1362</v>
      </c>
      <c r="E170" s="416" t="s">
        <v>912</v>
      </c>
      <c r="F170" s="421" t="s">
        <v>1271</v>
      </c>
      <c r="G170" s="416" t="s">
        <v>1278</v>
      </c>
      <c r="H170" s="416">
        <v>110</v>
      </c>
      <c r="I170" s="416" t="s">
        <v>71</v>
      </c>
      <c r="J170" s="208">
        <v>2652</v>
      </c>
      <c r="K170" s="208">
        <v>5812</v>
      </c>
      <c r="L170" s="416">
        <v>2995</v>
      </c>
      <c r="M170" s="420" t="s">
        <v>589</v>
      </c>
      <c r="N170" s="425" t="s">
        <v>1357</v>
      </c>
      <c r="O170" s="23">
        <f>IF(N170&gt;0,1/N170*37.7*68.6,"")</f>
        <v>253.55098039215687</v>
      </c>
      <c r="P170" s="418">
        <v>9.51</v>
      </c>
      <c r="Q170" s="417" t="s">
        <v>831</v>
      </c>
      <c r="R170" s="416" t="s">
        <v>1267</v>
      </c>
      <c r="S170" s="416" t="s">
        <v>34</v>
      </c>
      <c r="T170" s="415"/>
      <c r="U170" s="414"/>
      <c r="V170" s="28">
        <f>IFERROR(IF(N170&lt;P170,"",(ROUNDDOWN(N170/P170*100,0))),"")</f>
        <v>107</v>
      </c>
    </row>
    <row r="171" spans="1:22" ht="24" customHeight="1">
      <c r="A171" s="437"/>
      <c r="B171" s="412"/>
      <c r="C171" s="426"/>
      <c r="D171" s="422" t="s">
        <v>1361</v>
      </c>
      <c r="E171" s="416" t="s">
        <v>912</v>
      </c>
      <c r="F171" s="421" t="s">
        <v>1271</v>
      </c>
      <c r="G171" s="416" t="s">
        <v>1278</v>
      </c>
      <c r="H171" s="416">
        <v>110</v>
      </c>
      <c r="I171" s="416" t="s">
        <v>71</v>
      </c>
      <c r="J171" s="208">
        <v>2652</v>
      </c>
      <c r="K171" s="208">
        <v>5812</v>
      </c>
      <c r="L171" s="416">
        <v>2995</v>
      </c>
      <c r="M171" s="420" t="s">
        <v>589</v>
      </c>
      <c r="N171" s="425" t="s">
        <v>1357</v>
      </c>
      <c r="O171" s="23">
        <f>IF(N171&gt;0,1/N171*37.7*68.6,"")</f>
        <v>253.55098039215687</v>
      </c>
      <c r="P171" s="418">
        <v>9.51</v>
      </c>
      <c r="Q171" s="417" t="s">
        <v>831</v>
      </c>
      <c r="R171" s="416" t="s">
        <v>1267</v>
      </c>
      <c r="S171" s="416" t="s">
        <v>34</v>
      </c>
      <c r="T171" s="415"/>
      <c r="U171" s="414"/>
      <c r="V171" s="28">
        <f>IFERROR(IF(N171&lt;P171,"",(ROUNDDOWN(N171/P171*100,0))),"")</f>
        <v>107</v>
      </c>
    </row>
    <row r="172" spans="1:22" ht="24" customHeight="1">
      <c r="A172" s="437"/>
      <c r="B172" s="412"/>
      <c r="C172" s="426"/>
      <c r="D172" s="422" t="s">
        <v>1360</v>
      </c>
      <c r="E172" s="416" t="s">
        <v>912</v>
      </c>
      <c r="F172" s="421" t="s">
        <v>1271</v>
      </c>
      <c r="G172" s="416" t="s">
        <v>1278</v>
      </c>
      <c r="H172" s="416">
        <v>110</v>
      </c>
      <c r="I172" s="416" t="s">
        <v>71</v>
      </c>
      <c r="J172" s="208">
        <v>2652</v>
      </c>
      <c r="K172" s="208">
        <v>5812</v>
      </c>
      <c r="L172" s="416">
        <v>2995</v>
      </c>
      <c r="M172" s="420" t="s">
        <v>589</v>
      </c>
      <c r="N172" s="425" t="s">
        <v>1357</v>
      </c>
      <c r="O172" s="23">
        <f>IF(N172&gt;0,1/N172*37.7*68.6,"")</f>
        <v>253.55098039215687</v>
      </c>
      <c r="P172" s="418">
        <v>9.51</v>
      </c>
      <c r="Q172" s="417" t="s">
        <v>831</v>
      </c>
      <c r="R172" s="416" t="s">
        <v>1267</v>
      </c>
      <c r="S172" s="416" t="s">
        <v>34</v>
      </c>
      <c r="T172" s="415"/>
      <c r="U172" s="414"/>
      <c r="V172" s="28">
        <f>IFERROR(IF(N172&lt;P172,"",(ROUNDDOWN(N172/P172*100,0))),"")</f>
        <v>107</v>
      </c>
    </row>
    <row r="173" spans="1:22" ht="24" customHeight="1">
      <c r="A173" s="437"/>
      <c r="B173" s="412"/>
      <c r="C173" s="426"/>
      <c r="D173" s="422" t="s">
        <v>1359</v>
      </c>
      <c r="E173" s="416" t="s">
        <v>912</v>
      </c>
      <c r="F173" s="421" t="s">
        <v>1271</v>
      </c>
      <c r="G173" s="416" t="s">
        <v>1278</v>
      </c>
      <c r="H173" s="416">
        <v>110</v>
      </c>
      <c r="I173" s="416" t="s">
        <v>71</v>
      </c>
      <c r="J173" s="208">
        <v>2652</v>
      </c>
      <c r="K173" s="208">
        <v>5812</v>
      </c>
      <c r="L173" s="416">
        <v>2995</v>
      </c>
      <c r="M173" s="420" t="s">
        <v>589</v>
      </c>
      <c r="N173" s="425" t="s">
        <v>1357</v>
      </c>
      <c r="O173" s="23">
        <f>IF(N173&gt;0,1/N173*37.7*68.6,"")</f>
        <v>253.55098039215687</v>
      </c>
      <c r="P173" s="418">
        <v>9.51</v>
      </c>
      <c r="Q173" s="417" t="s">
        <v>831</v>
      </c>
      <c r="R173" s="416" t="s">
        <v>1267</v>
      </c>
      <c r="S173" s="416" t="s">
        <v>34</v>
      </c>
      <c r="T173" s="415"/>
      <c r="U173" s="414"/>
      <c r="V173" s="28">
        <f>IFERROR(IF(N173&lt;P173,"",(ROUNDDOWN(N173/P173*100,0))),"")</f>
        <v>107</v>
      </c>
    </row>
    <row r="174" spans="1:22" ht="24" customHeight="1">
      <c r="A174" s="437"/>
      <c r="B174" s="412"/>
      <c r="C174" s="426"/>
      <c r="D174" s="422" t="s">
        <v>1358</v>
      </c>
      <c r="E174" s="416" t="s">
        <v>912</v>
      </c>
      <c r="F174" s="421" t="s">
        <v>1271</v>
      </c>
      <c r="G174" s="416" t="s">
        <v>1278</v>
      </c>
      <c r="H174" s="416">
        <v>110</v>
      </c>
      <c r="I174" s="416" t="s">
        <v>71</v>
      </c>
      <c r="J174" s="208">
        <v>2652</v>
      </c>
      <c r="K174" s="208">
        <v>5812</v>
      </c>
      <c r="L174" s="416">
        <v>2995</v>
      </c>
      <c r="M174" s="420" t="s">
        <v>589</v>
      </c>
      <c r="N174" s="425" t="s">
        <v>1357</v>
      </c>
      <c r="O174" s="23">
        <f>IF(N174&gt;0,1/N174*37.7*68.6,"")</f>
        <v>253.55098039215687</v>
      </c>
      <c r="P174" s="418">
        <v>9.51</v>
      </c>
      <c r="Q174" s="417" t="s">
        <v>831</v>
      </c>
      <c r="R174" s="416" t="s">
        <v>1267</v>
      </c>
      <c r="S174" s="416" t="s">
        <v>34</v>
      </c>
      <c r="T174" s="415"/>
      <c r="U174" s="414"/>
      <c r="V174" s="28">
        <f>IFERROR(IF(N174&lt;P174,"",(ROUNDDOWN(N174/P174*100,0))),"")</f>
        <v>107</v>
      </c>
    </row>
    <row r="175" spans="1:22" ht="24" customHeight="1">
      <c r="A175" s="437"/>
      <c r="B175" s="412"/>
      <c r="C175" s="426"/>
      <c r="D175" s="422" t="s">
        <v>1358</v>
      </c>
      <c r="E175" s="416" t="s">
        <v>912</v>
      </c>
      <c r="F175" s="421" t="s">
        <v>1271</v>
      </c>
      <c r="G175" s="416" t="s">
        <v>1278</v>
      </c>
      <c r="H175" s="416">
        <v>110</v>
      </c>
      <c r="I175" s="416" t="s">
        <v>71</v>
      </c>
      <c r="J175" s="208">
        <v>2979</v>
      </c>
      <c r="K175" s="208">
        <v>6893</v>
      </c>
      <c r="L175" s="416">
        <v>3749</v>
      </c>
      <c r="M175" s="420" t="s">
        <v>589</v>
      </c>
      <c r="N175" s="425" t="s">
        <v>1301</v>
      </c>
      <c r="O175" s="23">
        <f>IF(N175&gt;0,1/N175*37.7*68.6,"")</f>
        <v>297.26666666666671</v>
      </c>
      <c r="P175" s="418">
        <v>8.1199999999999992</v>
      </c>
      <c r="Q175" s="417" t="s">
        <v>834</v>
      </c>
      <c r="R175" s="416" t="s">
        <v>1267</v>
      </c>
      <c r="S175" s="416" t="s">
        <v>34</v>
      </c>
      <c r="T175" s="415"/>
      <c r="U175" s="414"/>
      <c r="V175" s="28">
        <f>IFERROR(IF(N175&lt;P175,"",(ROUNDDOWN(N175/P175*100,0))),"")</f>
        <v>107</v>
      </c>
    </row>
    <row r="176" spans="1:22" ht="24" customHeight="1">
      <c r="A176" s="437"/>
      <c r="B176" s="412"/>
      <c r="C176" s="426"/>
      <c r="D176" s="422" t="s">
        <v>1302</v>
      </c>
      <c r="E176" s="416" t="s">
        <v>912</v>
      </c>
      <c r="F176" s="421" t="s">
        <v>1271</v>
      </c>
      <c r="G176" s="416" t="s">
        <v>1278</v>
      </c>
      <c r="H176" s="416">
        <v>110</v>
      </c>
      <c r="I176" s="416" t="s">
        <v>71</v>
      </c>
      <c r="J176" s="208">
        <v>2652</v>
      </c>
      <c r="K176" s="208">
        <v>5812</v>
      </c>
      <c r="L176" s="416">
        <v>2995</v>
      </c>
      <c r="M176" s="420" t="s">
        <v>589</v>
      </c>
      <c r="N176" s="425" t="s">
        <v>1357</v>
      </c>
      <c r="O176" s="23">
        <f>IF(N176&gt;0,1/N176*37.7*68.6,"")</f>
        <v>253.55098039215687</v>
      </c>
      <c r="P176" s="418">
        <v>9.51</v>
      </c>
      <c r="Q176" s="417" t="s">
        <v>831</v>
      </c>
      <c r="R176" s="416" t="s">
        <v>1267</v>
      </c>
      <c r="S176" s="416" t="s">
        <v>34</v>
      </c>
      <c r="T176" s="415"/>
      <c r="U176" s="414"/>
      <c r="V176" s="28">
        <f>IFERROR(IF(N176&lt;P176,"",(ROUNDDOWN(N176/P176*100,0))),"")</f>
        <v>107</v>
      </c>
    </row>
    <row r="177" spans="1:22" ht="24" customHeight="1">
      <c r="A177" s="437"/>
      <c r="B177" s="412"/>
      <c r="C177" s="426"/>
      <c r="D177" s="422" t="s">
        <v>1302</v>
      </c>
      <c r="E177" s="416" t="s">
        <v>912</v>
      </c>
      <c r="F177" s="421" t="s">
        <v>1271</v>
      </c>
      <c r="G177" s="416" t="s">
        <v>1278</v>
      </c>
      <c r="H177" s="416">
        <v>110</v>
      </c>
      <c r="I177" s="416" t="s">
        <v>790</v>
      </c>
      <c r="J177" s="208">
        <v>2979</v>
      </c>
      <c r="K177" s="208">
        <v>6893</v>
      </c>
      <c r="L177" s="416">
        <v>3749</v>
      </c>
      <c r="M177" s="420" t="s">
        <v>589</v>
      </c>
      <c r="N177" s="425" t="s">
        <v>1303</v>
      </c>
      <c r="O177" s="23">
        <f>IF(N177&gt;0,1/N177*37.7*68.6,"")</f>
        <v>293.88863636363635</v>
      </c>
      <c r="P177" s="418">
        <v>8.1199999999999992</v>
      </c>
      <c r="Q177" s="417" t="s">
        <v>834</v>
      </c>
      <c r="R177" s="416" t="s">
        <v>1267</v>
      </c>
      <c r="S177" s="416" t="s">
        <v>34</v>
      </c>
      <c r="T177" s="415"/>
      <c r="U177" s="414"/>
      <c r="V177" s="28">
        <f>IFERROR(IF(N177&lt;P177,"",(ROUNDDOWN(N177/P177*100,0))),"")</f>
        <v>108</v>
      </c>
    </row>
    <row r="178" spans="1:22" ht="24" customHeight="1">
      <c r="A178" s="437"/>
      <c r="B178" s="412"/>
      <c r="C178" s="426"/>
      <c r="D178" s="422" t="s">
        <v>1302</v>
      </c>
      <c r="E178" s="416" t="s">
        <v>912</v>
      </c>
      <c r="F178" s="421" t="s">
        <v>1271</v>
      </c>
      <c r="G178" s="416" t="s">
        <v>1278</v>
      </c>
      <c r="H178" s="416">
        <v>110</v>
      </c>
      <c r="I178" s="416" t="s">
        <v>71</v>
      </c>
      <c r="J178" s="208">
        <v>2979</v>
      </c>
      <c r="K178" s="208">
        <v>6893</v>
      </c>
      <c r="L178" s="416">
        <v>3749</v>
      </c>
      <c r="M178" s="420" t="s">
        <v>589</v>
      </c>
      <c r="N178" s="425" t="s">
        <v>1301</v>
      </c>
      <c r="O178" s="23">
        <f>IF(N178&gt;0,1/N178*37.7*68.6,"")</f>
        <v>297.26666666666671</v>
      </c>
      <c r="P178" s="418">
        <v>8.1199999999999992</v>
      </c>
      <c r="Q178" s="417" t="s">
        <v>834</v>
      </c>
      <c r="R178" s="416" t="s">
        <v>1267</v>
      </c>
      <c r="S178" s="416" t="s">
        <v>34</v>
      </c>
      <c r="T178" s="415"/>
      <c r="U178" s="414"/>
      <c r="V178" s="28">
        <f>IFERROR(IF(N178&lt;P178,"",(ROUNDDOWN(N178/P178*100,0))),"")</f>
        <v>107</v>
      </c>
    </row>
    <row r="179" spans="1:22" ht="24" customHeight="1">
      <c r="A179" s="437"/>
      <c r="B179" s="412"/>
      <c r="C179" s="426"/>
      <c r="D179" s="422" t="s">
        <v>1356</v>
      </c>
      <c r="E179" s="416" t="s">
        <v>912</v>
      </c>
      <c r="F179" s="421" t="s">
        <v>1271</v>
      </c>
      <c r="G179" s="416" t="s">
        <v>1278</v>
      </c>
      <c r="H179" s="416">
        <v>110</v>
      </c>
      <c r="I179" s="416" t="s">
        <v>71</v>
      </c>
      <c r="J179" s="208">
        <v>2652</v>
      </c>
      <c r="K179" s="208">
        <v>5812</v>
      </c>
      <c r="L179" s="416">
        <v>2995</v>
      </c>
      <c r="M179" s="420" t="s">
        <v>589</v>
      </c>
      <c r="N179" s="425" t="s">
        <v>1357</v>
      </c>
      <c r="O179" s="23">
        <f>IF(N179&gt;0,1/N179*37.7*68.6,"")</f>
        <v>253.55098039215687</v>
      </c>
      <c r="P179" s="418">
        <v>9.51</v>
      </c>
      <c r="Q179" s="417" t="s">
        <v>831</v>
      </c>
      <c r="R179" s="416" t="s">
        <v>1267</v>
      </c>
      <c r="S179" s="416" t="s">
        <v>34</v>
      </c>
      <c r="T179" s="415"/>
      <c r="U179" s="414"/>
      <c r="V179" s="28">
        <f>IFERROR(IF(N179&lt;P179,"",(ROUNDDOWN(N179/P179*100,0))),"")</f>
        <v>107</v>
      </c>
    </row>
    <row r="180" spans="1:22" ht="24" customHeight="1">
      <c r="A180" s="437"/>
      <c r="B180" s="412"/>
      <c r="C180" s="426"/>
      <c r="D180" s="422" t="s">
        <v>1356</v>
      </c>
      <c r="E180" s="416" t="s">
        <v>912</v>
      </c>
      <c r="F180" s="421" t="s">
        <v>1271</v>
      </c>
      <c r="G180" s="416" t="s">
        <v>1278</v>
      </c>
      <c r="H180" s="416">
        <v>110</v>
      </c>
      <c r="I180" s="416" t="s">
        <v>790</v>
      </c>
      <c r="J180" s="208">
        <v>2979</v>
      </c>
      <c r="K180" s="208">
        <v>6893</v>
      </c>
      <c r="L180" s="416">
        <v>3749</v>
      </c>
      <c r="M180" s="420" t="s">
        <v>589</v>
      </c>
      <c r="N180" s="425" t="s">
        <v>1303</v>
      </c>
      <c r="O180" s="23">
        <f>IF(N180&gt;0,1/N180*37.7*68.6,"")</f>
        <v>293.88863636363635</v>
      </c>
      <c r="P180" s="418">
        <v>8.1199999999999992</v>
      </c>
      <c r="Q180" s="417" t="s">
        <v>834</v>
      </c>
      <c r="R180" s="416" t="s">
        <v>1267</v>
      </c>
      <c r="S180" s="416" t="s">
        <v>34</v>
      </c>
      <c r="T180" s="415"/>
      <c r="U180" s="414"/>
      <c r="V180" s="28">
        <f>IFERROR(IF(N180&lt;P180,"",(ROUNDDOWN(N180/P180*100,0))),"")</f>
        <v>108</v>
      </c>
    </row>
    <row r="181" spans="1:22" ht="24" customHeight="1">
      <c r="A181" s="437"/>
      <c r="B181" s="412"/>
      <c r="C181" s="426"/>
      <c r="D181" s="422" t="s">
        <v>1356</v>
      </c>
      <c r="E181" s="416" t="s">
        <v>912</v>
      </c>
      <c r="F181" s="421" t="s">
        <v>1271</v>
      </c>
      <c r="G181" s="416" t="s">
        <v>1278</v>
      </c>
      <c r="H181" s="416">
        <v>110</v>
      </c>
      <c r="I181" s="416" t="s">
        <v>71</v>
      </c>
      <c r="J181" s="208">
        <v>2979</v>
      </c>
      <c r="K181" s="208">
        <v>6893</v>
      </c>
      <c r="L181" s="416">
        <v>3749</v>
      </c>
      <c r="M181" s="420" t="s">
        <v>589</v>
      </c>
      <c r="N181" s="425" t="s">
        <v>1301</v>
      </c>
      <c r="O181" s="23">
        <f>IF(N181&gt;0,1/N181*37.7*68.6,"")</f>
        <v>297.26666666666671</v>
      </c>
      <c r="P181" s="418">
        <v>8.1199999999999992</v>
      </c>
      <c r="Q181" s="417" t="s">
        <v>834</v>
      </c>
      <c r="R181" s="416" t="s">
        <v>1267</v>
      </c>
      <c r="S181" s="416" t="s">
        <v>34</v>
      </c>
      <c r="T181" s="415"/>
      <c r="U181" s="414"/>
      <c r="V181" s="28">
        <f>IFERROR(IF(N181&lt;P181,"",(ROUNDDOWN(N181/P181*100,0))),"")</f>
        <v>107</v>
      </c>
    </row>
    <row r="182" spans="1:22" ht="24" customHeight="1">
      <c r="A182" s="437"/>
      <c r="B182" s="412"/>
      <c r="C182" s="426"/>
      <c r="D182" s="422" t="s">
        <v>1355</v>
      </c>
      <c r="E182" s="416" t="s">
        <v>912</v>
      </c>
      <c r="F182" s="421" t="s">
        <v>1271</v>
      </c>
      <c r="G182" s="416" t="s">
        <v>1278</v>
      </c>
      <c r="H182" s="416">
        <v>110</v>
      </c>
      <c r="I182" s="416" t="s">
        <v>790</v>
      </c>
      <c r="J182" s="208">
        <v>2979</v>
      </c>
      <c r="K182" s="208">
        <v>6893</v>
      </c>
      <c r="L182" s="416">
        <v>3749</v>
      </c>
      <c r="M182" s="420" t="s">
        <v>589</v>
      </c>
      <c r="N182" s="425" t="s">
        <v>1303</v>
      </c>
      <c r="O182" s="23">
        <f>IF(N182&gt;0,1/N182*37.7*68.6,"")</f>
        <v>293.88863636363635</v>
      </c>
      <c r="P182" s="418">
        <v>8.1199999999999992</v>
      </c>
      <c r="Q182" s="417" t="s">
        <v>834</v>
      </c>
      <c r="R182" s="416" t="s">
        <v>1267</v>
      </c>
      <c r="S182" s="416" t="s">
        <v>34</v>
      </c>
      <c r="T182" s="415"/>
      <c r="U182" s="414"/>
      <c r="V182" s="28">
        <f>IFERROR(IF(N182&lt;P182,"",(ROUNDDOWN(N182/P182*100,0))),"")</f>
        <v>108</v>
      </c>
    </row>
    <row r="183" spans="1:22" ht="22.5">
      <c r="B183" s="427"/>
      <c r="C183" s="426"/>
      <c r="D183" s="422" t="s">
        <v>1355</v>
      </c>
      <c r="E183" s="416" t="s">
        <v>912</v>
      </c>
      <c r="F183" s="421" t="s">
        <v>1271</v>
      </c>
      <c r="G183" s="416" t="s">
        <v>1278</v>
      </c>
      <c r="H183" s="416">
        <v>110</v>
      </c>
      <c r="I183" s="416" t="s">
        <v>71</v>
      </c>
      <c r="J183" s="208">
        <v>2979</v>
      </c>
      <c r="K183" s="208">
        <v>6893</v>
      </c>
      <c r="L183" s="416">
        <v>3749</v>
      </c>
      <c r="M183" s="420" t="s">
        <v>589</v>
      </c>
      <c r="N183" s="425" t="s">
        <v>1301</v>
      </c>
      <c r="O183" s="23">
        <f>IF(N183&gt;0,1/N183*37.7*68.6,"")</f>
        <v>297.26666666666671</v>
      </c>
      <c r="P183" s="418">
        <v>8.1199999999999992</v>
      </c>
      <c r="Q183" s="417" t="s">
        <v>834</v>
      </c>
      <c r="R183" s="416" t="s">
        <v>1267</v>
      </c>
      <c r="S183" s="416" t="s">
        <v>34</v>
      </c>
      <c r="T183" s="415"/>
      <c r="U183" s="414"/>
      <c r="V183" s="28">
        <f>IFERROR(IF(N183&lt;P183,"",(ROUNDDOWN(N183/P183*100,0))),"")</f>
        <v>107</v>
      </c>
    </row>
    <row r="184" spans="1:22" ht="22.5">
      <c r="B184" s="427"/>
      <c r="C184" s="426"/>
      <c r="D184" s="422" t="s">
        <v>1354</v>
      </c>
      <c r="E184" s="416" t="s">
        <v>912</v>
      </c>
      <c r="F184" s="421" t="s">
        <v>1271</v>
      </c>
      <c r="G184" s="416" t="s">
        <v>1278</v>
      </c>
      <c r="H184" s="416">
        <v>110</v>
      </c>
      <c r="I184" s="416" t="s">
        <v>790</v>
      </c>
      <c r="J184" s="208">
        <v>2979</v>
      </c>
      <c r="K184" s="208">
        <v>6893</v>
      </c>
      <c r="L184" s="416">
        <v>3749</v>
      </c>
      <c r="M184" s="420" t="s">
        <v>589</v>
      </c>
      <c r="N184" s="425" t="s">
        <v>1303</v>
      </c>
      <c r="O184" s="23">
        <f>IF(N184&gt;0,1/N184*37.7*68.6,"")</f>
        <v>293.88863636363635</v>
      </c>
      <c r="P184" s="418">
        <v>8.1199999999999992</v>
      </c>
      <c r="Q184" s="417" t="s">
        <v>834</v>
      </c>
      <c r="R184" s="416" t="s">
        <v>1267</v>
      </c>
      <c r="S184" s="416" t="s">
        <v>34</v>
      </c>
      <c r="T184" s="415"/>
      <c r="U184" s="414"/>
      <c r="V184" s="28">
        <f>IFERROR(IF(N184&lt;P184,"",(ROUNDDOWN(N184/P184*100,0))),"")</f>
        <v>108</v>
      </c>
    </row>
    <row r="185" spans="1:22" ht="22.5">
      <c r="B185" s="427"/>
      <c r="C185" s="426"/>
      <c r="D185" s="422" t="s">
        <v>1353</v>
      </c>
      <c r="E185" s="416" t="s">
        <v>912</v>
      </c>
      <c r="F185" s="421" t="s">
        <v>1271</v>
      </c>
      <c r="G185" s="416" t="s">
        <v>1278</v>
      </c>
      <c r="H185" s="416">
        <v>110</v>
      </c>
      <c r="I185" s="416" t="s">
        <v>70</v>
      </c>
      <c r="J185" s="208">
        <v>2652</v>
      </c>
      <c r="K185" s="208">
        <v>5812</v>
      </c>
      <c r="L185" s="416">
        <v>2995</v>
      </c>
      <c r="M185" s="420" t="s">
        <v>589</v>
      </c>
      <c r="N185" s="425" t="s">
        <v>1346</v>
      </c>
      <c r="O185" s="23">
        <f>IF(N185&gt;0,1/N185*37.7*68.6,"")</f>
        <v>263.89999999999998</v>
      </c>
      <c r="P185" s="418">
        <v>9.51</v>
      </c>
      <c r="Q185" s="417" t="s">
        <v>834</v>
      </c>
      <c r="R185" s="416" t="s">
        <v>1267</v>
      </c>
      <c r="S185" s="416" t="s">
        <v>110</v>
      </c>
      <c r="T185" s="415"/>
      <c r="U185" s="414"/>
      <c r="V185" s="28">
        <f>IFERROR(IF(N185&lt;P185,"",(ROUNDDOWN(N185/P185*100,0))),"")</f>
        <v>103</v>
      </c>
    </row>
    <row r="186" spans="1:22" ht="22.5">
      <c r="B186" s="427"/>
      <c r="C186" s="426"/>
      <c r="D186" s="422" t="s">
        <v>1352</v>
      </c>
      <c r="E186" s="416" t="s">
        <v>912</v>
      </c>
      <c r="F186" s="421" t="s">
        <v>1271</v>
      </c>
      <c r="G186" s="416" t="s">
        <v>1278</v>
      </c>
      <c r="H186" s="416">
        <v>110</v>
      </c>
      <c r="I186" s="416" t="s">
        <v>70</v>
      </c>
      <c r="J186" s="208">
        <v>2652</v>
      </c>
      <c r="K186" s="208">
        <v>5812</v>
      </c>
      <c r="L186" s="416">
        <v>2995</v>
      </c>
      <c r="M186" s="420" t="s">
        <v>589</v>
      </c>
      <c r="N186" s="425" t="s">
        <v>1346</v>
      </c>
      <c r="O186" s="23">
        <f>IF(N186&gt;0,1/N186*37.7*68.6,"")</f>
        <v>263.89999999999998</v>
      </c>
      <c r="P186" s="418">
        <v>9.51</v>
      </c>
      <c r="Q186" s="417" t="s">
        <v>834</v>
      </c>
      <c r="R186" s="416" t="s">
        <v>1267</v>
      </c>
      <c r="S186" s="416" t="s">
        <v>110</v>
      </c>
      <c r="T186" s="415"/>
      <c r="U186" s="414"/>
      <c r="V186" s="28">
        <f>IFERROR(IF(N186&lt;P186,"",(ROUNDDOWN(N186/P186*100,0))),"")</f>
        <v>103</v>
      </c>
    </row>
    <row r="187" spans="1:22" ht="22.5">
      <c r="B187" s="427"/>
      <c r="C187" s="426"/>
      <c r="D187" s="422" t="s">
        <v>1351</v>
      </c>
      <c r="E187" s="416" t="s">
        <v>912</v>
      </c>
      <c r="F187" s="421" t="s">
        <v>1271</v>
      </c>
      <c r="G187" s="416" t="s">
        <v>1278</v>
      </c>
      <c r="H187" s="416">
        <v>110</v>
      </c>
      <c r="I187" s="416" t="s">
        <v>70</v>
      </c>
      <c r="J187" s="208">
        <v>2652</v>
      </c>
      <c r="K187" s="208">
        <v>5812</v>
      </c>
      <c r="L187" s="416">
        <v>2995</v>
      </c>
      <c r="M187" s="420" t="s">
        <v>589</v>
      </c>
      <c r="N187" s="425" t="s">
        <v>1346</v>
      </c>
      <c r="O187" s="23">
        <f>IF(N187&gt;0,1/N187*37.7*68.6,"")</f>
        <v>263.89999999999998</v>
      </c>
      <c r="P187" s="418">
        <v>9.51</v>
      </c>
      <c r="Q187" s="417" t="s">
        <v>834</v>
      </c>
      <c r="R187" s="416" t="s">
        <v>1267</v>
      </c>
      <c r="S187" s="416" t="s">
        <v>110</v>
      </c>
      <c r="T187" s="415"/>
      <c r="U187" s="414"/>
      <c r="V187" s="28">
        <f>IFERROR(IF(N187&lt;P187,"",(ROUNDDOWN(N187/P187*100,0))),"")</f>
        <v>103</v>
      </c>
    </row>
    <row r="188" spans="1:22" ht="22.5">
      <c r="B188" s="427"/>
      <c r="C188" s="426"/>
      <c r="D188" s="422" t="s">
        <v>1350</v>
      </c>
      <c r="E188" s="416" t="s">
        <v>912</v>
      </c>
      <c r="F188" s="421" t="s">
        <v>1271</v>
      </c>
      <c r="G188" s="416" t="s">
        <v>1278</v>
      </c>
      <c r="H188" s="416">
        <v>110</v>
      </c>
      <c r="I188" s="416" t="s">
        <v>70</v>
      </c>
      <c r="J188" s="208">
        <v>2652</v>
      </c>
      <c r="K188" s="208">
        <v>5812</v>
      </c>
      <c r="L188" s="416">
        <v>2995</v>
      </c>
      <c r="M188" s="420" t="s">
        <v>589</v>
      </c>
      <c r="N188" s="425" t="s">
        <v>1346</v>
      </c>
      <c r="O188" s="23">
        <f>IF(N188&gt;0,1/N188*37.7*68.6,"")</f>
        <v>263.89999999999998</v>
      </c>
      <c r="P188" s="418">
        <v>9.51</v>
      </c>
      <c r="Q188" s="417" t="s">
        <v>834</v>
      </c>
      <c r="R188" s="416" t="s">
        <v>1267</v>
      </c>
      <c r="S188" s="416" t="s">
        <v>110</v>
      </c>
      <c r="T188" s="415"/>
      <c r="U188" s="414"/>
      <c r="V188" s="28">
        <f>IFERROR(IF(N188&lt;P188,"",(ROUNDDOWN(N188/P188*100,0))),"")</f>
        <v>103</v>
      </c>
    </row>
    <row r="189" spans="1:22" ht="22.5">
      <c r="B189" s="427"/>
      <c r="C189" s="426"/>
      <c r="D189" s="422" t="s">
        <v>1287</v>
      </c>
      <c r="E189" s="416" t="s">
        <v>912</v>
      </c>
      <c r="F189" s="421" t="s">
        <v>1271</v>
      </c>
      <c r="G189" s="416" t="s">
        <v>1270</v>
      </c>
      <c r="H189" s="416">
        <v>132</v>
      </c>
      <c r="I189" s="416" t="s">
        <v>71</v>
      </c>
      <c r="J189" s="208">
        <v>2652</v>
      </c>
      <c r="K189" s="208">
        <v>5812</v>
      </c>
      <c r="L189" s="416">
        <v>2995</v>
      </c>
      <c r="M189" s="420" t="s">
        <v>589</v>
      </c>
      <c r="N189" s="425" t="s">
        <v>1349</v>
      </c>
      <c r="O189" s="23">
        <f>IF(N189&gt;0,1/N189*37.7*68.6,"")</f>
        <v>261.23434343434343</v>
      </c>
      <c r="P189" s="418">
        <v>9.51</v>
      </c>
      <c r="Q189" s="417" t="s">
        <v>834</v>
      </c>
      <c r="R189" s="416" t="s">
        <v>1267</v>
      </c>
      <c r="S189" s="416" t="s">
        <v>34</v>
      </c>
      <c r="T189" s="415"/>
      <c r="U189" s="414"/>
      <c r="V189" s="28">
        <f>IFERROR(IF(N189&lt;P189,"",(ROUNDDOWN(N189/P189*100,0))),"")</f>
        <v>104</v>
      </c>
    </row>
    <row r="190" spans="1:22" ht="22.5">
      <c r="B190" s="427"/>
      <c r="C190" s="426"/>
      <c r="D190" s="422" t="s">
        <v>1287</v>
      </c>
      <c r="E190" s="416" t="s">
        <v>912</v>
      </c>
      <c r="F190" s="421" t="s">
        <v>1271</v>
      </c>
      <c r="G190" s="416" t="s">
        <v>1270</v>
      </c>
      <c r="H190" s="416">
        <v>132</v>
      </c>
      <c r="I190" s="416" t="s">
        <v>71</v>
      </c>
      <c r="J190" s="208">
        <v>2979</v>
      </c>
      <c r="K190" s="208">
        <v>6893</v>
      </c>
      <c r="L190" s="416">
        <v>3749</v>
      </c>
      <c r="M190" s="420" t="s">
        <v>589</v>
      </c>
      <c r="N190" s="425" t="s">
        <v>1348</v>
      </c>
      <c r="O190" s="23">
        <f>IF(N190&gt;0,1/N190*37.7*68.6,"")</f>
        <v>315.39268292682931</v>
      </c>
      <c r="P190" s="418">
        <v>8.1199999999999992</v>
      </c>
      <c r="Q190" s="417" t="s">
        <v>834</v>
      </c>
      <c r="R190" s="416" t="s">
        <v>1267</v>
      </c>
      <c r="S190" s="416" t="s">
        <v>34</v>
      </c>
      <c r="T190" s="415"/>
      <c r="U190" s="414"/>
      <c r="V190" s="28">
        <f>IFERROR(IF(N190&lt;P190,"",(ROUNDDOWN(N190/P190*100,0))),"")</f>
        <v>100</v>
      </c>
    </row>
    <row r="191" spans="1:22" ht="22.5">
      <c r="B191" s="427"/>
      <c r="C191" s="426"/>
      <c r="D191" s="422" t="s">
        <v>1333</v>
      </c>
      <c r="E191" s="416" t="s">
        <v>912</v>
      </c>
      <c r="F191" s="421" t="s">
        <v>1271</v>
      </c>
      <c r="G191" s="416" t="s">
        <v>1270</v>
      </c>
      <c r="H191" s="416">
        <v>132</v>
      </c>
      <c r="I191" s="416" t="s">
        <v>71</v>
      </c>
      <c r="J191" s="208">
        <v>2652</v>
      </c>
      <c r="K191" s="208">
        <v>5812</v>
      </c>
      <c r="L191" s="416">
        <v>2995</v>
      </c>
      <c r="M191" s="420" t="s">
        <v>589</v>
      </c>
      <c r="N191" s="425" t="s">
        <v>1349</v>
      </c>
      <c r="O191" s="23">
        <f>IF(N191&gt;0,1/N191*37.7*68.6,"")</f>
        <v>261.23434343434343</v>
      </c>
      <c r="P191" s="418">
        <v>9.51</v>
      </c>
      <c r="Q191" s="417" t="s">
        <v>834</v>
      </c>
      <c r="R191" s="416" t="s">
        <v>1267</v>
      </c>
      <c r="S191" s="416" t="s">
        <v>34</v>
      </c>
      <c r="T191" s="415"/>
      <c r="U191" s="414"/>
      <c r="V191" s="28">
        <f>IFERROR(IF(N191&lt;P191,"",(ROUNDDOWN(N191/P191*100,0))),"")</f>
        <v>104</v>
      </c>
    </row>
    <row r="192" spans="1:22" ht="22.5">
      <c r="B192" s="427"/>
      <c r="C192" s="426"/>
      <c r="D192" s="422" t="s">
        <v>1333</v>
      </c>
      <c r="E192" s="416" t="s">
        <v>912</v>
      </c>
      <c r="F192" s="421" t="s">
        <v>1271</v>
      </c>
      <c r="G192" s="416" t="s">
        <v>1270</v>
      </c>
      <c r="H192" s="416">
        <v>132</v>
      </c>
      <c r="I192" s="416" t="s">
        <v>71</v>
      </c>
      <c r="J192" s="208">
        <v>2979</v>
      </c>
      <c r="K192" s="208">
        <v>6893</v>
      </c>
      <c r="L192" s="416">
        <v>3749</v>
      </c>
      <c r="M192" s="420" t="s">
        <v>589</v>
      </c>
      <c r="N192" s="425" t="s">
        <v>1348</v>
      </c>
      <c r="O192" s="23">
        <f>IF(N192&gt;0,1/N192*37.7*68.6,"")</f>
        <v>315.39268292682931</v>
      </c>
      <c r="P192" s="418">
        <v>8.1199999999999992</v>
      </c>
      <c r="Q192" s="417" t="s">
        <v>834</v>
      </c>
      <c r="R192" s="416" t="s">
        <v>1267</v>
      </c>
      <c r="S192" s="416" t="s">
        <v>34</v>
      </c>
      <c r="T192" s="415"/>
      <c r="U192" s="414"/>
      <c r="V192" s="28">
        <f>IFERROR(IF(N192&lt;P192,"",(ROUNDDOWN(N192/P192*100,0))),"")</f>
        <v>100</v>
      </c>
    </row>
    <row r="193" spans="2:22" ht="22.5">
      <c r="B193" s="427"/>
      <c r="C193" s="426"/>
      <c r="D193" s="422" t="s">
        <v>1312</v>
      </c>
      <c r="E193" s="416" t="s">
        <v>912</v>
      </c>
      <c r="F193" s="421" t="s">
        <v>1271</v>
      </c>
      <c r="G193" s="416" t="s">
        <v>1270</v>
      </c>
      <c r="H193" s="416">
        <v>132</v>
      </c>
      <c r="I193" s="416" t="s">
        <v>71</v>
      </c>
      <c r="J193" s="208">
        <v>2979</v>
      </c>
      <c r="K193" s="208">
        <v>6893</v>
      </c>
      <c r="L193" s="416">
        <v>3749</v>
      </c>
      <c r="M193" s="420" t="s">
        <v>589</v>
      </c>
      <c r="N193" s="425" t="s">
        <v>1348</v>
      </c>
      <c r="O193" s="23">
        <f>IF(N193&gt;0,1/N193*37.7*68.6,"")</f>
        <v>315.39268292682931</v>
      </c>
      <c r="P193" s="418">
        <v>8.1199999999999992</v>
      </c>
      <c r="Q193" s="417" t="s">
        <v>834</v>
      </c>
      <c r="R193" s="416" t="s">
        <v>1267</v>
      </c>
      <c r="S193" s="416" t="s">
        <v>34</v>
      </c>
      <c r="T193" s="415"/>
      <c r="U193" s="414"/>
      <c r="V193" s="28">
        <f>IFERROR(IF(N193&lt;P193,"",(ROUNDDOWN(N193/P193*100,0))),"")</f>
        <v>100</v>
      </c>
    </row>
    <row r="194" spans="2:22" ht="22.5">
      <c r="B194" s="427"/>
      <c r="C194" s="426"/>
      <c r="D194" s="422" t="s">
        <v>1347</v>
      </c>
      <c r="E194" s="416" t="s">
        <v>912</v>
      </c>
      <c r="F194" s="421" t="s">
        <v>1271</v>
      </c>
      <c r="G194" s="416" t="s">
        <v>1278</v>
      </c>
      <c r="H194" s="416">
        <v>110</v>
      </c>
      <c r="I194" s="416" t="s">
        <v>70</v>
      </c>
      <c r="J194" s="208">
        <v>2652</v>
      </c>
      <c r="K194" s="208">
        <v>5812</v>
      </c>
      <c r="L194" s="416">
        <v>2995</v>
      </c>
      <c r="M194" s="420" t="s">
        <v>589</v>
      </c>
      <c r="N194" s="425" t="s">
        <v>1346</v>
      </c>
      <c r="O194" s="23">
        <f>IF(N194&gt;0,1/N194*37.7*68.6,"")</f>
        <v>263.89999999999998</v>
      </c>
      <c r="P194" s="418">
        <v>9.51</v>
      </c>
      <c r="Q194" s="417" t="s">
        <v>834</v>
      </c>
      <c r="R194" s="416" t="s">
        <v>1267</v>
      </c>
      <c r="S194" s="416" t="s">
        <v>110</v>
      </c>
      <c r="T194" s="415"/>
      <c r="U194" s="414"/>
      <c r="V194" s="28">
        <f>IFERROR(IF(N194&lt;P194,"",(ROUNDDOWN(N194/P194*100,0))),"")</f>
        <v>103</v>
      </c>
    </row>
    <row r="195" spans="2:22" ht="22.5">
      <c r="B195" s="427"/>
      <c r="C195" s="426"/>
      <c r="D195" s="422" t="s">
        <v>1283</v>
      </c>
      <c r="E195" s="416" t="s">
        <v>912</v>
      </c>
      <c r="F195" s="421" t="s">
        <v>1271</v>
      </c>
      <c r="G195" s="416">
        <v>470</v>
      </c>
      <c r="H195" s="416">
        <v>132</v>
      </c>
      <c r="I195" s="416" t="s">
        <v>71</v>
      </c>
      <c r="J195" s="208">
        <v>3543</v>
      </c>
      <c r="K195" s="208">
        <v>7928</v>
      </c>
      <c r="L195" s="416">
        <v>4275</v>
      </c>
      <c r="M195" s="420" t="s">
        <v>589</v>
      </c>
      <c r="N195" s="425" t="s">
        <v>1300</v>
      </c>
      <c r="O195" s="23">
        <f>IF(N195&gt;0,1/N195*37.7*68.6,"")</f>
        <v>349.48918918918912</v>
      </c>
      <c r="P195" s="418">
        <v>7.24</v>
      </c>
      <c r="Q195" s="417" t="s">
        <v>834</v>
      </c>
      <c r="R195" s="416" t="s">
        <v>1267</v>
      </c>
      <c r="S195" s="416" t="s">
        <v>34</v>
      </c>
      <c r="T195" s="415"/>
      <c r="U195" s="414"/>
      <c r="V195" s="28">
        <f>IFERROR(IF(N195&lt;P195,"",(ROUNDDOWN(N195/P195*100,0))),"")</f>
        <v>102</v>
      </c>
    </row>
    <row r="196" spans="2:22" ht="22.5">
      <c r="B196" s="427"/>
      <c r="C196" s="426"/>
      <c r="D196" s="422" t="s">
        <v>1283</v>
      </c>
      <c r="E196" s="416" t="s">
        <v>912</v>
      </c>
      <c r="F196" s="421" t="s">
        <v>1271</v>
      </c>
      <c r="G196" s="416">
        <v>470</v>
      </c>
      <c r="H196" s="416">
        <v>132</v>
      </c>
      <c r="I196" s="416" t="s">
        <v>71</v>
      </c>
      <c r="J196" s="208">
        <v>3543</v>
      </c>
      <c r="K196" s="208">
        <v>7928</v>
      </c>
      <c r="L196" s="416">
        <v>4275</v>
      </c>
      <c r="M196" s="420" t="s">
        <v>589</v>
      </c>
      <c r="N196" s="425">
        <v>7.3</v>
      </c>
      <c r="O196" s="23">
        <f>IF(N196&gt;0,1/N196*37.7*68.6,"")</f>
        <v>354.27671232876708</v>
      </c>
      <c r="P196" s="418">
        <v>7.24</v>
      </c>
      <c r="Q196" s="417" t="s">
        <v>831</v>
      </c>
      <c r="R196" s="416" t="s">
        <v>1267</v>
      </c>
      <c r="S196" s="416" t="s">
        <v>34</v>
      </c>
      <c r="T196" s="415"/>
      <c r="U196" s="414"/>
      <c r="V196" s="28">
        <f>IFERROR(IF(N196&lt;P196,"",(ROUNDDOWN(N196/P196*100,0))),"")</f>
        <v>100</v>
      </c>
    </row>
    <row r="197" spans="2:22" ht="22.5">
      <c r="B197" s="427"/>
      <c r="C197" s="426"/>
      <c r="D197" s="422" t="s">
        <v>1282</v>
      </c>
      <c r="E197" s="416" t="s">
        <v>912</v>
      </c>
      <c r="F197" s="421" t="s">
        <v>1271</v>
      </c>
      <c r="G197" s="416">
        <v>470</v>
      </c>
      <c r="H197" s="416">
        <v>132</v>
      </c>
      <c r="I197" s="416" t="s">
        <v>71</v>
      </c>
      <c r="J197" s="208">
        <v>3543</v>
      </c>
      <c r="K197" s="208">
        <v>7928</v>
      </c>
      <c r="L197" s="416">
        <v>4275</v>
      </c>
      <c r="M197" s="420" t="s">
        <v>589</v>
      </c>
      <c r="N197" s="425" t="s">
        <v>1300</v>
      </c>
      <c r="O197" s="23">
        <f>IF(N197&gt;0,1/N197*37.7*68.6,"")</f>
        <v>349.48918918918912</v>
      </c>
      <c r="P197" s="418">
        <v>7.24</v>
      </c>
      <c r="Q197" s="417" t="s">
        <v>834</v>
      </c>
      <c r="R197" s="416" t="s">
        <v>1267</v>
      </c>
      <c r="S197" s="416" t="s">
        <v>34</v>
      </c>
      <c r="T197" s="415"/>
      <c r="U197" s="414"/>
      <c r="V197" s="28">
        <f>IFERROR(IF(N197&lt;P197,"",(ROUNDDOWN(N197/P197*100,0))),"")</f>
        <v>102</v>
      </c>
    </row>
    <row r="198" spans="2:22" ht="22.5">
      <c r="B198" s="427"/>
      <c r="C198" s="426"/>
      <c r="D198" s="422" t="s">
        <v>1282</v>
      </c>
      <c r="E198" s="416" t="s">
        <v>912</v>
      </c>
      <c r="F198" s="421" t="s">
        <v>1271</v>
      </c>
      <c r="G198" s="416">
        <v>470</v>
      </c>
      <c r="H198" s="416">
        <v>132</v>
      </c>
      <c r="I198" s="416" t="s">
        <v>71</v>
      </c>
      <c r="J198" s="208">
        <v>3543</v>
      </c>
      <c r="K198" s="208">
        <v>7928</v>
      </c>
      <c r="L198" s="416">
        <v>4275</v>
      </c>
      <c r="M198" s="420" t="s">
        <v>589</v>
      </c>
      <c r="N198" s="425">
        <v>7.3</v>
      </c>
      <c r="O198" s="23">
        <f>IF(N198&gt;0,1/N198*37.7*68.6,"")</f>
        <v>354.27671232876708</v>
      </c>
      <c r="P198" s="418">
        <v>7.24</v>
      </c>
      <c r="Q198" s="417" t="s">
        <v>831</v>
      </c>
      <c r="R198" s="416" t="s">
        <v>1267</v>
      </c>
      <c r="S198" s="416" t="s">
        <v>34</v>
      </c>
      <c r="T198" s="415"/>
      <c r="U198" s="414"/>
      <c r="V198" s="28">
        <f>IFERROR(IF(N198&lt;P198,"",(ROUNDDOWN(N198/P198*100,0))),"")</f>
        <v>100</v>
      </c>
    </row>
    <row r="199" spans="2:22" ht="22.5">
      <c r="B199" s="427"/>
      <c r="C199" s="426"/>
      <c r="D199" s="422" t="s">
        <v>1281</v>
      </c>
      <c r="E199" s="416" t="s">
        <v>912</v>
      </c>
      <c r="F199" s="421" t="s">
        <v>1271</v>
      </c>
      <c r="G199" s="416" t="s">
        <v>1270</v>
      </c>
      <c r="H199" s="416">
        <v>132</v>
      </c>
      <c r="I199" s="416" t="s">
        <v>71</v>
      </c>
      <c r="J199" s="208">
        <v>3543</v>
      </c>
      <c r="K199" s="208">
        <v>7928</v>
      </c>
      <c r="L199" s="416">
        <v>4275</v>
      </c>
      <c r="M199" s="420" t="s">
        <v>589</v>
      </c>
      <c r="N199" s="425" t="s">
        <v>1300</v>
      </c>
      <c r="O199" s="23">
        <f>IF(N199&gt;0,1/N199*37.7*68.6,"")</f>
        <v>349.48918918918912</v>
      </c>
      <c r="P199" s="418">
        <v>7.24</v>
      </c>
      <c r="Q199" s="417" t="s">
        <v>834</v>
      </c>
      <c r="R199" s="416" t="s">
        <v>1267</v>
      </c>
      <c r="S199" s="416" t="s">
        <v>34</v>
      </c>
      <c r="T199" s="415"/>
      <c r="U199" s="414"/>
      <c r="V199" s="28">
        <f>IFERROR(IF(N199&lt;P199,"",(ROUNDDOWN(N199/P199*100,0))),"")</f>
        <v>102</v>
      </c>
    </row>
    <row r="200" spans="2:22" ht="22.5">
      <c r="B200" s="427"/>
      <c r="C200" s="426"/>
      <c r="D200" s="422" t="s">
        <v>1281</v>
      </c>
      <c r="E200" s="416" t="s">
        <v>912</v>
      </c>
      <c r="F200" s="421" t="s">
        <v>1271</v>
      </c>
      <c r="G200" s="416" t="s">
        <v>1270</v>
      </c>
      <c r="H200" s="416">
        <v>132</v>
      </c>
      <c r="I200" s="416" t="s">
        <v>71</v>
      </c>
      <c r="J200" s="208">
        <v>3543</v>
      </c>
      <c r="K200" s="208">
        <v>7928</v>
      </c>
      <c r="L200" s="416">
        <v>4275</v>
      </c>
      <c r="M200" s="420" t="s">
        <v>589</v>
      </c>
      <c r="N200" s="425" t="s">
        <v>1299</v>
      </c>
      <c r="O200" s="23">
        <f>IF(N200&gt;0,1/N200*37.7*68.6,"")</f>
        <v>354.27671232876708</v>
      </c>
      <c r="P200" s="418">
        <v>7.24</v>
      </c>
      <c r="Q200" s="417" t="s">
        <v>831</v>
      </c>
      <c r="R200" s="416" t="s">
        <v>1267</v>
      </c>
      <c r="S200" s="416" t="s">
        <v>34</v>
      </c>
      <c r="T200" s="415"/>
      <c r="U200" s="414"/>
      <c r="V200" s="28">
        <f>IFERROR(IF(N200&lt;P200,"",(ROUNDDOWN(N200/P200*100,0))),"")</f>
        <v>100</v>
      </c>
    </row>
    <row r="201" spans="2:22" ht="22.5">
      <c r="B201" s="427"/>
      <c r="C201" s="426"/>
      <c r="D201" s="422" t="s">
        <v>1295</v>
      </c>
      <c r="E201" s="416" t="s">
        <v>912</v>
      </c>
      <c r="F201" s="421" t="s">
        <v>1271</v>
      </c>
      <c r="G201" s="416" t="s">
        <v>1278</v>
      </c>
      <c r="H201" s="416">
        <v>110</v>
      </c>
      <c r="I201" s="416" t="s">
        <v>71</v>
      </c>
      <c r="J201" s="208">
        <v>3543</v>
      </c>
      <c r="K201" s="208">
        <v>7928</v>
      </c>
      <c r="L201" s="416">
        <v>4275</v>
      </c>
      <c r="M201" s="420" t="s">
        <v>589</v>
      </c>
      <c r="N201" s="425">
        <v>7.9</v>
      </c>
      <c r="O201" s="23">
        <f>IF(N201&gt;0,1/N201*37.7*68.6,"")</f>
        <v>327.3696202531645</v>
      </c>
      <c r="P201" s="418">
        <v>7.24</v>
      </c>
      <c r="Q201" s="417" t="s">
        <v>834</v>
      </c>
      <c r="R201" s="416" t="s">
        <v>1267</v>
      </c>
      <c r="S201" s="416" t="s">
        <v>34</v>
      </c>
      <c r="T201" s="415"/>
      <c r="U201" s="414"/>
      <c r="V201" s="28">
        <f>IFERROR(IF(N201&lt;P201,"",(ROUNDDOWN(N201/P201*100,0))),"")</f>
        <v>109</v>
      </c>
    </row>
    <row r="202" spans="2:22" ht="22.5">
      <c r="B202" s="427"/>
      <c r="C202" s="426"/>
      <c r="D202" s="422" t="s">
        <v>1345</v>
      </c>
      <c r="E202" s="416" t="s">
        <v>912</v>
      </c>
      <c r="F202" s="421" t="s">
        <v>1271</v>
      </c>
      <c r="G202" s="416" t="s">
        <v>1278</v>
      </c>
      <c r="H202" s="416">
        <v>110</v>
      </c>
      <c r="I202" s="416" t="s">
        <v>71</v>
      </c>
      <c r="J202" s="208">
        <v>3543</v>
      </c>
      <c r="K202" s="208">
        <v>7928</v>
      </c>
      <c r="L202" s="416">
        <v>4275</v>
      </c>
      <c r="M202" s="420" t="s">
        <v>589</v>
      </c>
      <c r="N202" s="425">
        <v>7.9</v>
      </c>
      <c r="O202" s="23">
        <f>IF(N202&gt;0,1/N202*37.7*68.6,"")</f>
        <v>327.3696202531645</v>
      </c>
      <c r="P202" s="418">
        <v>7.24</v>
      </c>
      <c r="Q202" s="417" t="s">
        <v>834</v>
      </c>
      <c r="R202" s="416" t="s">
        <v>1267</v>
      </c>
      <c r="S202" s="416" t="s">
        <v>34</v>
      </c>
      <c r="T202" s="415"/>
      <c r="U202" s="414"/>
      <c r="V202" s="28">
        <f>IFERROR(IF(N202&lt;P202,"",(ROUNDDOWN(N202/P202*100,0))),"")</f>
        <v>109</v>
      </c>
    </row>
    <row r="203" spans="2:22" ht="22.5">
      <c r="B203" s="427"/>
      <c r="C203" s="426"/>
      <c r="D203" s="422" t="s">
        <v>1294</v>
      </c>
      <c r="E203" s="416" t="s">
        <v>912</v>
      </c>
      <c r="F203" s="421" t="s">
        <v>1271</v>
      </c>
      <c r="G203" s="416">
        <v>440</v>
      </c>
      <c r="H203" s="416">
        <v>110</v>
      </c>
      <c r="I203" s="416" t="s">
        <v>71</v>
      </c>
      <c r="J203" s="208">
        <v>3543</v>
      </c>
      <c r="K203" s="208">
        <v>7928</v>
      </c>
      <c r="L203" s="416">
        <v>4275</v>
      </c>
      <c r="M203" s="420" t="s">
        <v>589</v>
      </c>
      <c r="N203" s="425">
        <v>7.9</v>
      </c>
      <c r="O203" s="23">
        <f>IF(N203&gt;0,1/N203*37.7*68.6,"")</f>
        <v>327.3696202531645</v>
      </c>
      <c r="P203" s="418">
        <v>7.24</v>
      </c>
      <c r="Q203" s="417" t="s">
        <v>834</v>
      </c>
      <c r="R203" s="416" t="s">
        <v>1267</v>
      </c>
      <c r="S203" s="416" t="s">
        <v>34</v>
      </c>
      <c r="T203" s="415"/>
      <c r="U203" s="414"/>
      <c r="V203" s="28">
        <f>IFERROR(IF(N203&lt;P203,"",(ROUNDDOWN(N203/P203*100,0))),"")</f>
        <v>109</v>
      </c>
    </row>
    <row r="204" spans="2:22" ht="22.5">
      <c r="B204" s="427"/>
      <c r="C204" s="426"/>
      <c r="D204" s="422" t="s">
        <v>1344</v>
      </c>
      <c r="E204" s="416" t="s">
        <v>912</v>
      </c>
      <c r="F204" s="421" t="s">
        <v>1271</v>
      </c>
      <c r="G204" s="416" t="s">
        <v>1278</v>
      </c>
      <c r="H204" s="416">
        <v>110</v>
      </c>
      <c r="I204" s="416" t="s">
        <v>71</v>
      </c>
      <c r="J204" s="208">
        <v>3543</v>
      </c>
      <c r="K204" s="208">
        <v>7928</v>
      </c>
      <c r="L204" s="416">
        <v>4275</v>
      </c>
      <c r="M204" s="420" t="s">
        <v>589</v>
      </c>
      <c r="N204" s="425">
        <v>7.9</v>
      </c>
      <c r="O204" s="23">
        <f>IF(N204&gt;0,1/N204*37.7*68.6,"")</f>
        <v>327.3696202531645</v>
      </c>
      <c r="P204" s="418">
        <v>7.24</v>
      </c>
      <c r="Q204" s="417" t="s">
        <v>834</v>
      </c>
      <c r="R204" s="416" t="s">
        <v>1267</v>
      </c>
      <c r="S204" s="416" t="s">
        <v>34</v>
      </c>
      <c r="T204" s="415"/>
      <c r="U204" s="414"/>
      <c r="V204" s="28">
        <f>IFERROR(IF(N204&lt;P204,"",(ROUNDDOWN(N204/P204*100,0))),"")</f>
        <v>109</v>
      </c>
    </row>
    <row r="205" spans="2:22" ht="22.5">
      <c r="B205" s="427"/>
      <c r="C205" s="426"/>
      <c r="D205" s="422" t="s">
        <v>1292</v>
      </c>
      <c r="E205" s="416" t="s">
        <v>912</v>
      </c>
      <c r="F205" s="421" t="s">
        <v>1271</v>
      </c>
      <c r="G205" s="416">
        <v>440</v>
      </c>
      <c r="H205" s="416">
        <v>110</v>
      </c>
      <c r="I205" s="416" t="s">
        <v>790</v>
      </c>
      <c r="J205" s="208">
        <v>3543</v>
      </c>
      <c r="K205" s="208">
        <v>7928</v>
      </c>
      <c r="L205" s="416">
        <v>4275</v>
      </c>
      <c r="M205" s="420" t="s">
        <v>589</v>
      </c>
      <c r="N205" s="425">
        <v>8</v>
      </c>
      <c r="O205" s="23">
        <f>IF(N205&gt;0,1/N205*37.7*68.6,"")</f>
        <v>323.27749999999997</v>
      </c>
      <c r="P205" s="418">
        <v>7.24</v>
      </c>
      <c r="Q205" s="417" t="s">
        <v>834</v>
      </c>
      <c r="R205" s="416" t="s">
        <v>1267</v>
      </c>
      <c r="S205" s="416" t="s">
        <v>34</v>
      </c>
      <c r="T205" s="415"/>
      <c r="U205" s="414"/>
      <c r="V205" s="28">
        <f>IFERROR(IF(N205&lt;P205,"",(ROUNDDOWN(N205/P205*100,0))),"")</f>
        <v>110</v>
      </c>
    </row>
    <row r="206" spans="2:22" ht="22.5">
      <c r="B206" s="427"/>
      <c r="C206" s="426"/>
      <c r="D206" s="422" t="s">
        <v>1291</v>
      </c>
      <c r="E206" s="416" t="s">
        <v>912</v>
      </c>
      <c r="F206" s="421" t="s">
        <v>1271</v>
      </c>
      <c r="G206" s="416">
        <v>440</v>
      </c>
      <c r="H206" s="416">
        <v>110</v>
      </c>
      <c r="I206" s="416" t="s">
        <v>790</v>
      </c>
      <c r="J206" s="208">
        <v>3543</v>
      </c>
      <c r="K206" s="208">
        <v>7928</v>
      </c>
      <c r="L206" s="416">
        <v>4275</v>
      </c>
      <c r="M206" s="420" t="s">
        <v>589</v>
      </c>
      <c r="N206" s="425">
        <v>8</v>
      </c>
      <c r="O206" s="23">
        <f>IF(N206&gt;0,1/N206*37.7*68.6,"")</f>
        <v>323.27749999999997</v>
      </c>
      <c r="P206" s="418">
        <v>7.24</v>
      </c>
      <c r="Q206" s="417" t="s">
        <v>834</v>
      </c>
      <c r="R206" s="416" t="s">
        <v>1267</v>
      </c>
      <c r="S206" s="416" t="s">
        <v>34</v>
      </c>
      <c r="T206" s="415"/>
      <c r="U206" s="414"/>
      <c r="V206" s="28">
        <f>IFERROR(IF(N206&lt;P206,"",(ROUNDDOWN(N206/P206*100,0))),"")</f>
        <v>110</v>
      </c>
    </row>
    <row r="207" spans="2:22" ht="22.5">
      <c r="B207" s="429" t="s">
        <v>1265</v>
      </c>
      <c r="C207" s="428" t="s">
        <v>1343</v>
      </c>
      <c r="D207" s="422" t="s">
        <v>1342</v>
      </c>
      <c r="E207" s="416" t="s">
        <v>912</v>
      </c>
      <c r="F207" s="421" t="s">
        <v>1271</v>
      </c>
      <c r="G207" s="416" t="s">
        <v>1278</v>
      </c>
      <c r="H207" s="416" t="s">
        <v>466</v>
      </c>
      <c r="I207" s="416" t="s">
        <v>790</v>
      </c>
      <c r="J207" s="208">
        <v>2652</v>
      </c>
      <c r="K207" s="208">
        <v>5812</v>
      </c>
      <c r="L207" s="208">
        <v>2995</v>
      </c>
      <c r="M207" s="420" t="s">
        <v>589</v>
      </c>
      <c r="N207" s="425">
        <v>9.83</v>
      </c>
      <c r="O207" s="344">
        <f>IF(N207&gt;0,1/N207*37.7*68.6,"")</f>
        <v>263.09460834181078</v>
      </c>
      <c r="P207" s="418">
        <v>9.51</v>
      </c>
      <c r="Q207" s="417" t="s">
        <v>834</v>
      </c>
      <c r="R207" s="416" t="s">
        <v>1267</v>
      </c>
      <c r="S207" s="416" t="s">
        <v>34</v>
      </c>
      <c r="T207" s="415" t="s">
        <v>1266</v>
      </c>
      <c r="U207" s="414"/>
      <c r="V207" s="324">
        <f>IFERROR(IF(N207&lt;P207,"",(ROUNDDOWN(N207/P207*100,0))),"")</f>
        <v>103</v>
      </c>
    </row>
    <row r="208" spans="2:22" ht="22.5">
      <c r="B208" s="427"/>
      <c r="C208" s="426"/>
      <c r="D208" s="422" t="s">
        <v>1342</v>
      </c>
      <c r="E208" s="416" t="s">
        <v>912</v>
      </c>
      <c r="F208" s="421" t="s">
        <v>1271</v>
      </c>
      <c r="G208" s="416" t="s">
        <v>1278</v>
      </c>
      <c r="H208" s="416" t="s">
        <v>466</v>
      </c>
      <c r="I208" s="416" t="s">
        <v>71</v>
      </c>
      <c r="J208" s="208">
        <v>2652</v>
      </c>
      <c r="K208" s="208">
        <v>5812</v>
      </c>
      <c r="L208" s="208">
        <v>2995</v>
      </c>
      <c r="M208" s="420" t="s">
        <v>589</v>
      </c>
      <c r="N208" s="425">
        <v>9.7799999999999994</v>
      </c>
      <c r="O208" s="344">
        <f>IF(N208&gt;0,1/N208*37.7*68.6,"")</f>
        <v>264.43967280163599</v>
      </c>
      <c r="P208" s="418">
        <v>9.51</v>
      </c>
      <c r="Q208" s="417" t="s">
        <v>834</v>
      </c>
      <c r="R208" s="416" t="s">
        <v>1267</v>
      </c>
      <c r="S208" s="416" t="s">
        <v>34</v>
      </c>
      <c r="T208" s="415" t="s">
        <v>1266</v>
      </c>
      <c r="U208" s="414"/>
      <c r="V208" s="324">
        <f>IFERROR(IF(N208&lt;P208,"",(ROUNDDOWN(N208/P208*100,0))),"")</f>
        <v>102</v>
      </c>
    </row>
    <row r="209" spans="2:22" ht="22.5">
      <c r="B209" s="427"/>
      <c r="C209" s="426"/>
      <c r="D209" s="422" t="s">
        <v>1341</v>
      </c>
      <c r="E209" s="416" t="s">
        <v>912</v>
      </c>
      <c r="F209" s="421" t="s">
        <v>1271</v>
      </c>
      <c r="G209" s="416" t="s">
        <v>1278</v>
      </c>
      <c r="H209" s="416" t="s">
        <v>466</v>
      </c>
      <c r="I209" s="416" t="s">
        <v>790</v>
      </c>
      <c r="J209" s="208">
        <v>2652</v>
      </c>
      <c r="K209" s="208">
        <v>5812</v>
      </c>
      <c r="L209" s="208">
        <v>2995</v>
      </c>
      <c r="M209" s="420" t="s">
        <v>589</v>
      </c>
      <c r="N209" s="425">
        <v>9.83</v>
      </c>
      <c r="O209" s="344">
        <f>IF(N209&gt;0,1/N209*37.7*68.6,"")</f>
        <v>263.09460834181078</v>
      </c>
      <c r="P209" s="418">
        <v>9.51</v>
      </c>
      <c r="Q209" s="417" t="s">
        <v>834</v>
      </c>
      <c r="R209" s="416" t="s">
        <v>1267</v>
      </c>
      <c r="S209" s="416" t="s">
        <v>34</v>
      </c>
      <c r="T209" s="415" t="s">
        <v>1266</v>
      </c>
      <c r="U209" s="414"/>
      <c r="V209" s="324">
        <f>IFERROR(IF(N209&lt;P209,"",(ROUNDDOWN(N209/P209*100,0))),"")</f>
        <v>103</v>
      </c>
    </row>
    <row r="210" spans="2:22" ht="22.5">
      <c r="B210" s="427"/>
      <c r="C210" s="426"/>
      <c r="D210" s="422" t="s">
        <v>1341</v>
      </c>
      <c r="E210" s="416" t="s">
        <v>912</v>
      </c>
      <c r="F210" s="421" t="s">
        <v>1271</v>
      </c>
      <c r="G210" s="416" t="s">
        <v>1278</v>
      </c>
      <c r="H210" s="416" t="s">
        <v>466</v>
      </c>
      <c r="I210" s="416" t="s">
        <v>71</v>
      </c>
      <c r="J210" s="208">
        <v>2652</v>
      </c>
      <c r="K210" s="208">
        <v>5812</v>
      </c>
      <c r="L210" s="208">
        <v>2995</v>
      </c>
      <c r="M210" s="420" t="s">
        <v>589</v>
      </c>
      <c r="N210" s="425">
        <v>9.7799999999999994</v>
      </c>
      <c r="O210" s="344">
        <f>IF(N210&gt;0,1/N210*37.7*68.6,"")</f>
        <v>264.43967280163599</v>
      </c>
      <c r="P210" s="418">
        <v>9.51</v>
      </c>
      <c r="Q210" s="417" t="s">
        <v>834</v>
      </c>
      <c r="R210" s="416" t="s">
        <v>1267</v>
      </c>
      <c r="S210" s="416" t="s">
        <v>34</v>
      </c>
      <c r="T210" s="415" t="s">
        <v>1266</v>
      </c>
      <c r="U210" s="414"/>
      <c r="V210" s="324">
        <f>IFERROR(IF(N210&lt;P210,"",(ROUNDDOWN(N210/P210*100,0))),"")</f>
        <v>102</v>
      </c>
    </row>
    <row r="211" spans="2:22" ht="22.5">
      <c r="B211" s="427"/>
      <c r="C211" s="426"/>
      <c r="D211" s="422" t="s">
        <v>1340</v>
      </c>
      <c r="E211" s="416" t="s">
        <v>912</v>
      </c>
      <c r="F211" s="421" t="s">
        <v>1271</v>
      </c>
      <c r="G211" s="416" t="s">
        <v>1278</v>
      </c>
      <c r="H211" s="416" t="s">
        <v>466</v>
      </c>
      <c r="I211" s="416" t="s">
        <v>790</v>
      </c>
      <c r="J211" s="208">
        <v>2652</v>
      </c>
      <c r="K211" s="208">
        <v>5812</v>
      </c>
      <c r="L211" s="208">
        <v>2995</v>
      </c>
      <c r="M211" s="420" t="s">
        <v>589</v>
      </c>
      <c r="N211" s="425">
        <v>9.83</v>
      </c>
      <c r="O211" s="344">
        <f>IF(N211&gt;0,1/N211*37.7*68.6,"")</f>
        <v>263.09460834181078</v>
      </c>
      <c r="P211" s="418">
        <v>9.51</v>
      </c>
      <c r="Q211" s="417" t="s">
        <v>834</v>
      </c>
      <c r="R211" s="416" t="s">
        <v>1267</v>
      </c>
      <c r="S211" s="416" t="s">
        <v>34</v>
      </c>
      <c r="T211" s="415" t="s">
        <v>1266</v>
      </c>
      <c r="U211" s="414"/>
      <c r="V211" s="324">
        <f>IFERROR(IF(N211&lt;P211,"",(ROUNDDOWN(N211/P211*100,0))),"")</f>
        <v>103</v>
      </c>
    </row>
    <row r="212" spans="2:22" ht="22.5">
      <c r="B212" s="427"/>
      <c r="C212" s="426"/>
      <c r="D212" s="422" t="s">
        <v>1340</v>
      </c>
      <c r="E212" s="416" t="s">
        <v>912</v>
      </c>
      <c r="F212" s="421" t="s">
        <v>1271</v>
      </c>
      <c r="G212" s="416" t="s">
        <v>1278</v>
      </c>
      <c r="H212" s="416" t="s">
        <v>466</v>
      </c>
      <c r="I212" s="416" t="s">
        <v>71</v>
      </c>
      <c r="J212" s="208">
        <v>2652</v>
      </c>
      <c r="K212" s="208">
        <v>5812</v>
      </c>
      <c r="L212" s="208">
        <v>2995</v>
      </c>
      <c r="M212" s="420" t="s">
        <v>589</v>
      </c>
      <c r="N212" s="425">
        <v>9.7799999999999994</v>
      </c>
      <c r="O212" s="344">
        <f>IF(N212&gt;0,1/N212*37.7*68.6,"")</f>
        <v>264.43967280163599</v>
      </c>
      <c r="P212" s="418">
        <v>9.51</v>
      </c>
      <c r="Q212" s="417" t="s">
        <v>834</v>
      </c>
      <c r="R212" s="416" t="s">
        <v>1267</v>
      </c>
      <c r="S212" s="416" t="s">
        <v>34</v>
      </c>
      <c r="T212" s="415" t="s">
        <v>1266</v>
      </c>
      <c r="U212" s="414"/>
      <c r="V212" s="324">
        <f>IFERROR(IF(N212&lt;P212,"",(ROUNDDOWN(N212/P212*100,0))),"")</f>
        <v>102</v>
      </c>
    </row>
    <row r="213" spans="2:22" ht="22.5">
      <c r="B213" s="427"/>
      <c r="C213" s="426"/>
      <c r="D213" s="422" t="s">
        <v>1339</v>
      </c>
      <c r="E213" s="416" t="s">
        <v>912</v>
      </c>
      <c r="F213" s="421" t="s">
        <v>1271</v>
      </c>
      <c r="G213" s="416" t="s">
        <v>1278</v>
      </c>
      <c r="H213" s="416" t="s">
        <v>466</v>
      </c>
      <c r="I213" s="416" t="s">
        <v>790</v>
      </c>
      <c r="J213" s="208">
        <v>2652</v>
      </c>
      <c r="K213" s="208">
        <v>5812</v>
      </c>
      <c r="L213" s="208">
        <v>2995</v>
      </c>
      <c r="M213" s="420" t="s">
        <v>589</v>
      </c>
      <c r="N213" s="425">
        <v>9.83</v>
      </c>
      <c r="O213" s="344">
        <f>IF(N213&gt;0,1/N213*37.7*68.6,"")</f>
        <v>263.09460834181078</v>
      </c>
      <c r="P213" s="418">
        <v>9.51</v>
      </c>
      <c r="Q213" s="417" t="s">
        <v>834</v>
      </c>
      <c r="R213" s="416" t="s">
        <v>1267</v>
      </c>
      <c r="S213" s="416" t="s">
        <v>34</v>
      </c>
      <c r="T213" s="415" t="s">
        <v>1266</v>
      </c>
      <c r="U213" s="414"/>
      <c r="V213" s="324">
        <f>IFERROR(IF(N213&lt;P213,"",(ROUNDDOWN(N213/P213*100,0))),"")</f>
        <v>103</v>
      </c>
    </row>
    <row r="214" spans="2:22" ht="22.5">
      <c r="B214" s="427"/>
      <c r="C214" s="426"/>
      <c r="D214" s="422" t="s">
        <v>1339</v>
      </c>
      <c r="E214" s="416" t="s">
        <v>912</v>
      </c>
      <c r="F214" s="421" t="s">
        <v>1271</v>
      </c>
      <c r="G214" s="416" t="s">
        <v>1278</v>
      </c>
      <c r="H214" s="416" t="s">
        <v>466</v>
      </c>
      <c r="I214" s="416" t="s">
        <v>71</v>
      </c>
      <c r="J214" s="208">
        <v>2652</v>
      </c>
      <c r="K214" s="208">
        <v>5812</v>
      </c>
      <c r="L214" s="208">
        <v>2995</v>
      </c>
      <c r="M214" s="420" t="s">
        <v>589</v>
      </c>
      <c r="N214" s="425">
        <v>9.7799999999999994</v>
      </c>
      <c r="O214" s="344">
        <f>IF(N214&gt;0,1/N214*37.7*68.6,"")</f>
        <v>264.43967280163599</v>
      </c>
      <c r="P214" s="418">
        <v>9.51</v>
      </c>
      <c r="Q214" s="417" t="s">
        <v>834</v>
      </c>
      <c r="R214" s="416" t="s">
        <v>1267</v>
      </c>
      <c r="S214" s="416" t="s">
        <v>34</v>
      </c>
      <c r="T214" s="415" t="s">
        <v>1266</v>
      </c>
      <c r="U214" s="414"/>
      <c r="V214" s="324">
        <f>IFERROR(IF(N214&lt;P214,"",(ROUNDDOWN(N214/P214*100,0))),"")</f>
        <v>102</v>
      </c>
    </row>
    <row r="215" spans="2:22" ht="22.5">
      <c r="B215" s="427"/>
      <c r="C215" s="426"/>
      <c r="D215" s="422" t="s">
        <v>1338</v>
      </c>
      <c r="E215" s="416" t="s">
        <v>912</v>
      </c>
      <c r="F215" s="421" t="s">
        <v>1271</v>
      </c>
      <c r="G215" s="416" t="s">
        <v>1278</v>
      </c>
      <c r="H215" s="416" t="s">
        <v>466</v>
      </c>
      <c r="I215" s="416" t="s">
        <v>790</v>
      </c>
      <c r="J215" s="208">
        <v>2652</v>
      </c>
      <c r="K215" s="208">
        <v>5812</v>
      </c>
      <c r="L215" s="208">
        <v>2995</v>
      </c>
      <c r="M215" s="420" t="s">
        <v>589</v>
      </c>
      <c r="N215" s="425">
        <v>9.83</v>
      </c>
      <c r="O215" s="344">
        <f>IF(N215&gt;0,1/N215*37.7*68.6,"")</f>
        <v>263.09460834181078</v>
      </c>
      <c r="P215" s="418">
        <v>9.51</v>
      </c>
      <c r="Q215" s="417" t="s">
        <v>834</v>
      </c>
      <c r="R215" s="416" t="s">
        <v>1267</v>
      </c>
      <c r="S215" s="416" t="s">
        <v>34</v>
      </c>
      <c r="T215" s="415" t="s">
        <v>1266</v>
      </c>
      <c r="U215" s="414"/>
      <c r="V215" s="324">
        <f>IFERROR(IF(N215&lt;P215,"",(ROUNDDOWN(N215/P215*100,0))),"")</f>
        <v>103</v>
      </c>
    </row>
    <row r="216" spans="2:22" ht="22.5">
      <c r="B216" s="427"/>
      <c r="C216" s="426"/>
      <c r="D216" s="422" t="s">
        <v>1338</v>
      </c>
      <c r="E216" s="416" t="s">
        <v>912</v>
      </c>
      <c r="F216" s="421" t="s">
        <v>1271</v>
      </c>
      <c r="G216" s="416" t="s">
        <v>1278</v>
      </c>
      <c r="H216" s="416" t="s">
        <v>466</v>
      </c>
      <c r="I216" s="416" t="s">
        <v>71</v>
      </c>
      <c r="J216" s="208">
        <v>2652</v>
      </c>
      <c r="K216" s="208">
        <v>5812</v>
      </c>
      <c r="L216" s="208">
        <v>2995</v>
      </c>
      <c r="M216" s="420" t="s">
        <v>589</v>
      </c>
      <c r="N216" s="425">
        <v>9.7799999999999994</v>
      </c>
      <c r="O216" s="344">
        <f>IF(N216&gt;0,1/N216*37.7*68.6,"")</f>
        <v>264.43967280163599</v>
      </c>
      <c r="P216" s="418">
        <v>9.51</v>
      </c>
      <c r="Q216" s="417" t="s">
        <v>834</v>
      </c>
      <c r="R216" s="416" t="s">
        <v>1267</v>
      </c>
      <c r="S216" s="416" t="s">
        <v>34</v>
      </c>
      <c r="T216" s="415" t="s">
        <v>1266</v>
      </c>
      <c r="U216" s="414"/>
      <c r="V216" s="324">
        <f>IFERROR(IF(N216&lt;P216,"",(ROUNDDOWN(N216/P216*100,0))),"")</f>
        <v>102</v>
      </c>
    </row>
    <row r="217" spans="2:22" ht="22.5">
      <c r="B217" s="427"/>
      <c r="C217" s="426"/>
      <c r="D217" s="422" t="s">
        <v>1337</v>
      </c>
      <c r="E217" s="416" t="s">
        <v>912</v>
      </c>
      <c r="F217" s="421" t="s">
        <v>1271</v>
      </c>
      <c r="G217" s="416" t="s">
        <v>1278</v>
      </c>
      <c r="H217" s="416" t="s">
        <v>466</v>
      </c>
      <c r="I217" s="416" t="s">
        <v>790</v>
      </c>
      <c r="J217" s="208">
        <v>2652</v>
      </c>
      <c r="K217" s="208">
        <v>5812</v>
      </c>
      <c r="L217" s="208">
        <v>2995</v>
      </c>
      <c r="M217" s="420" t="s">
        <v>589</v>
      </c>
      <c r="N217" s="425">
        <v>9.83</v>
      </c>
      <c r="O217" s="344">
        <f>IF(N217&gt;0,1/N217*37.7*68.6,"")</f>
        <v>263.09460834181078</v>
      </c>
      <c r="P217" s="418">
        <v>9.51</v>
      </c>
      <c r="Q217" s="417" t="s">
        <v>834</v>
      </c>
      <c r="R217" s="416" t="s">
        <v>1267</v>
      </c>
      <c r="S217" s="416" t="s">
        <v>34</v>
      </c>
      <c r="T217" s="415" t="s">
        <v>1266</v>
      </c>
      <c r="U217" s="414"/>
      <c r="V217" s="324">
        <f>IFERROR(IF(N217&lt;P217,"",(ROUNDDOWN(N217/P217*100,0))),"")</f>
        <v>103</v>
      </c>
    </row>
    <row r="218" spans="2:22" ht="22.5">
      <c r="B218" s="427"/>
      <c r="C218" s="426"/>
      <c r="D218" s="422" t="s">
        <v>1337</v>
      </c>
      <c r="E218" s="416" t="s">
        <v>912</v>
      </c>
      <c r="F218" s="421" t="s">
        <v>1271</v>
      </c>
      <c r="G218" s="416" t="s">
        <v>1278</v>
      </c>
      <c r="H218" s="416" t="s">
        <v>466</v>
      </c>
      <c r="I218" s="416" t="s">
        <v>71</v>
      </c>
      <c r="J218" s="208">
        <v>2652</v>
      </c>
      <c r="K218" s="208">
        <v>5812</v>
      </c>
      <c r="L218" s="208">
        <v>2995</v>
      </c>
      <c r="M218" s="420" t="s">
        <v>589</v>
      </c>
      <c r="N218" s="425">
        <v>9.7799999999999994</v>
      </c>
      <c r="O218" s="344">
        <f>IF(N218&gt;0,1/N218*37.7*68.6,"")</f>
        <v>264.43967280163599</v>
      </c>
      <c r="P218" s="418">
        <v>9.51</v>
      </c>
      <c r="Q218" s="417" t="s">
        <v>834</v>
      </c>
      <c r="R218" s="416" t="s">
        <v>1267</v>
      </c>
      <c r="S218" s="416" t="s">
        <v>34</v>
      </c>
      <c r="T218" s="415" t="s">
        <v>1266</v>
      </c>
      <c r="U218" s="414"/>
      <c r="V218" s="324">
        <f>IFERROR(IF(N218&lt;P218,"",(ROUNDDOWN(N218/P218*100,0))),"")</f>
        <v>102</v>
      </c>
    </row>
    <row r="219" spans="2:22" ht="22.5">
      <c r="B219" s="427"/>
      <c r="C219" s="426"/>
      <c r="D219" s="422" t="s">
        <v>1336</v>
      </c>
      <c r="E219" s="416" t="s">
        <v>912</v>
      </c>
      <c r="F219" s="421" t="s">
        <v>1271</v>
      </c>
      <c r="G219" s="416" t="s">
        <v>1278</v>
      </c>
      <c r="H219" s="416" t="s">
        <v>466</v>
      </c>
      <c r="I219" s="416" t="s">
        <v>790</v>
      </c>
      <c r="J219" s="208">
        <v>2652</v>
      </c>
      <c r="K219" s="208">
        <v>5812</v>
      </c>
      <c r="L219" s="208">
        <v>2995</v>
      </c>
      <c r="M219" s="420" t="s">
        <v>589</v>
      </c>
      <c r="N219" s="425">
        <v>9.83</v>
      </c>
      <c r="O219" s="344">
        <f>IF(N219&gt;0,1/N219*37.7*68.6,"")</f>
        <v>263.09460834181078</v>
      </c>
      <c r="P219" s="418">
        <v>9.51</v>
      </c>
      <c r="Q219" s="417" t="s">
        <v>834</v>
      </c>
      <c r="R219" s="416" t="s">
        <v>1267</v>
      </c>
      <c r="S219" s="416" t="s">
        <v>34</v>
      </c>
      <c r="T219" s="415" t="s">
        <v>1266</v>
      </c>
      <c r="U219" s="414"/>
      <c r="V219" s="324">
        <f>IFERROR(IF(N219&lt;P219,"",(ROUNDDOWN(N219/P219*100,0))),"")</f>
        <v>103</v>
      </c>
    </row>
    <row r="220" spans="2:22" ht="22.5">
      <c r="B220" s="427"/>
      <c r="C220" s="426"/>
      <c r="D220" s="422" t="s">
        <v>1336</v>
      </c>
      <c r="E220" s="416" t="s">
        <v>912</v>
      </c>
      <c r="F220" s="421" t="s">
        <v>1271</v>
      </c>
      <c r="G220" s="416" t="s">
        <v>1278</v>
      </c>
      <c r="H220" s="416" t="s">
        <v>466</v>
      </c>
      <c r="I220" s="416" t="s">
        <v>71</v>
      </c>
      <c r="J220" s="208">
        <v>2652</v>
      </c>
      <c r="K220" s="208">
        <v>5812</v>
      </c>
      <c r="L220" s="208">
        <v>2995</v>
      </c>
      <c r="M220" s="420" t="s">
        <v>589</v>
      </c>
      <c r="N220" s="425">
        <v>9.7799999999999994</v>
      </c>
      <c r="O220" s="344">
        <f>IF(N220&gt;0,1/N220*37.7*68.6,"")</f>
        <v>264.43967280163599</v>
      </c>
      <c r="P220" s="418">
        <v>9.51</v>
      </c>
      <c r="Q220" s="417" t="s">
        <v>834</v>
      </c>
      <c r="R220" s="416" t="s">
        <v>1267</v>
      </c>
      <c r="S220" s="416" t="s">
        <v>34</v>
      </c>
      <c r="T220" s="415" t="s">
        <v>1266</v>
      </c>
      <c r="U220" s="414"/>
      <c r="V220" s="324">
        <f>IFERROR(IF(N220&lt;P220,"",(ROUNDDOWN(N220/P220*100,0))),"")</f>
        <v>102</v>
      </c>
    </row>
    <row r="221" spans="2:22" ht="22.5">
      <c r="B221" s="427"/>
      <c r="C221" s="426"/>
      <c r="D221" s="422" t="s">
        <v>1335</v>
      </c>
      <c r="E221" s="416" t="s">
        <v>912</v>
      </c>
      <c r="F221" s="421" t="s">
        <v>1271</v>
      </c>
      <c r="G221" s="416" t="s">
        <v>1278</v>
      </c>
      <c r="H221" s="416" t="s">
        <v>466</v>
      </c>
      <c r="I221" s="416" t="s">
        <v>790</v>
      </c>
      <c r="J221" s="208">
        <v>2652</v>
      </c>
      <c r="K221" s="208">
        <v>5812</v>
      </c>
      <c r="L221" s="208">
        <v>2995</v>
      </c>
      <c r="M221" s="420" t="s">
        <v>589</v>
      </c>
      <c r="N221" s="425">
        <v>9.83</v>
      </c>
      <c r="O221" s="344">
        <f>IF(N221&gt;0,1/N221*37.7*68.6,"")</f>
        <v>263.09460834181078</v>
      </c>
      <c r="P221" s="418">
        <v>9.51</v>
      </c>
      <c r="Q221" s="417" t="s">
        <v>834</v>
      </c>
      <c r="R221" s="416" t="s">
        <v>1267</v>
      </c>
      <c r="S221" s="416" t="s">
        <v>34</v>
      </c>
      <c r="T221" s="415" t="s">
        <v>1266</v>
      </c>
      <c r="U221" s="414"/>
      <c r="V221" s="324">
        <f>IFERROR(IF(N221&lt;P221,"",(ROUNDDOWN(N221/P221*100,0))),"")</f>
        <v>103</v>
      </c>
    </row>
    <row r="222" spans="2:22" ht="22.5">
      <c r="B222" s="427"/>
      <c r="C222" s="426"/>
      <c r="D222" s="422" t="s">
        <v>1335</v>
      </c>
      <c r="E222" s="416" t="s">
        <v>912</v>
      </c>
      <c r="F222" s="421" t="s">
        <v>1271</v>
      </c>
      <c r="G222" s="416" t="s">
        <v>1278</v>
      </c>
      <c r="H222" s="416" t="s">
        <v>466</v>
      </c>
      <c r="I222" s="416" t="s">
        <v>71</v>
      </c>
      <c r="J222" s="208">
        <v>2652</v>
      </c>
      <c r="K222" s="208">
        <v>5812</v>
      </c>
      <c r="L222" s="208">
        <v>2995</v>
      </c>
      <c r="M222" s="420" t="s">
        <v>589</v>
      </c>
      <c r="N222" s="425">
        <v>9.7799999999999994</v>
      </c>
      <c r="O222" s="344">
        <f>IF(N222&gt;0,1/N222*37.7*68.6,"")</f>
        <v>264.43967280163599</v>
      </c>
      <c r="P222" s="418">
        <v>9.51</v>
      </c>
      <c r="Q222" s="417" t="s">
        <v>834</v>
      </c>
      <c r="R222" s="416" t="s">
        <v>1267</v>
      </c>
      <c r="S222" s="416" t="s">
        <v>34</v>
      </c>
      <c r="T222" s="415" t="s">
        <v>1266</v>
      </c>
      <c r="U222" s="414"/>
      <c r="V222" s="324">
        <f>IFERROR(IF(N222&lt;P222,"",(ROUNDDOWN(N222/P222*100,0))),"")</f>
        <v>102</v>
      </c>
    </row>
    <row r="223" spans="2:22" ht="22.5">
      <c r="B223" s="427"/>
      <c r="C223" s="426"/>
      <c r="D223" s="422" t="s">
        <v>1334</v>
      </c>
      <c r="E223" s="416" t="s">
        <v>912</v>
      </c>
      <c r="F223" s="421" t="s">
        <v>1271</v>
      </c>
      <c r="G223" s="416" t="s">
        <v>1278</v>
      </c>
      <c r="H223" s="416" t="s">
        <v>466</v>
      </c>
      <c r="I223" s="416" t="s">
        <v>790</v>
      </c>
      <c r="J223" s="208">
        <v>2652</v>
      </c>
      <c r="K223" s="208">
        <v>5812</v>
      </c>
      <c r="L223" s="208">
        <v>2995</v>
      </c>
      <c r="M223" s="420" t="s">
        <v>589</v>
      </c>
      <c r="N223" s="425">
        <v>9.83</v>
      </c>
      <c r="O223" s="344">
        <f>IF(N223&gt;0,1/N223*37.7*68.6,"")</f>
        <v>263.09460834181078</v>
      </c>
      <c r="P223" s="418">
        <v>9.51</v>
      </c>
      <c r="Q223" s="417" t="s">
        <v>834</v>
      </c>
      <c r="R223" s="416" t="s">
        <v>1267</v>
      </c>
      <c r="S223" s="416" t="s">
        <v>34</v>
      </c>
      <c r="T223" s="415" t="s">
        <v>1266</v>
      </c>
      <c r="U223" s="414"/>
      <c r="V223" s="324">
        <f>IFERROR(IF(N223&lt;P223,"",(ROUNDDOWN(N223/P223*100,0))),"")</f>
        <v>103</v>
      </c>
    </row>
    <row r="224" spans="2:22" ht="22.5">
      <c r="B224" s="427"/>
      <c r="C224" s="426"/>
      <c r="D224" s="422" t="s">
        <v>1334</v>
      </c>
      <c r="E224" s="416" t="s">
        <v>912</v>
      </c>
      <c r="F224" s="421" t="s">
        <v>1271</v>
      </c>
      <c r="G224" s="416" t="s">
        <v>1278</v>
      </c>
      <c r="H224" s="416" t="s">
        <v>466</v>
      </c>
      <c r="I224" s="416" t="s">
        <v>71</v>
      </c>
      <c r="J224" s="208">
        <v>2652</v>
      </c>
      <c r="K224" s="208">
        <v>5812</v>
      </c>
      <c r="L224" s="208">
        <v>2995</v>
      </c>
      <c r="M224" s="420" t="s">
        <v>589</v>
      </c>
      <c r="N224" s="425">
        <v>9.7799999999999994</v>
      </c>
      <c r="O224" s="344">
        <f>IF(N224&gt;0,1/N224*37.7*68.6,"")</f>
        <v>264.43967280163599</v>
      </c>
      <c r="P224" s="418">
        <v>9.51</v>
      </c>
      <c r="Q224" s="417" t="s">
        <v>834</v>
      </c>
      <c r="R224" s="416" t="s">
        <v>1267</v>
      </c>
      <c r="S224" s="416" t="s">
        <v>34</v>
      </c>
      <c r="T224" s="415" t="s">
        <v>1266</v>
      </c>
      <c r="U224" s="414"/>
      <c r="V224" s="324">
        <f>IFERROR(IF(N224&lt;P224,"",(ROUNDDOWN(N224/P224*100,0))),"")</f>
        <v>102</v>
      </c>
    </row>
    <row r="225" spans="2:22" ht="22.5">
      <c r="B225" s="427"/>
      <c r="C225" s="426"/>
      <c r="D225" s="422" t="s">
        <v>1334</v>
      </c>
      <c r="E225" s="416" t="s">
        <v>912</v>
      </c>
      <c r="F225" s="421" t="s">
        <v>1271</v>
      </c>
      <c r="G225" s="416" t="s">
        <v>1278</v>
      </c>
      <c r="H225" s="416" t="s">
        <v>466</v>
      </c>
      <c r="I225" s="416" t="s">
        <v>71</v>
      </c>
      <c r="J225" s="208">
        <v>2979</v>
      </c>
      <c r="K225" s="208">
        <v>6893</v>
      </c>
      <c r="L225" s="208">
        <v>3749</v>
      </c>
      <c r="M225" s="420" t="s">
        <v>589</v>
      </c>
      <c r="N225" s="425">
        <v>8.23</v>
      </c>
      <c r="O225" s="344">
        <f>IF(N225&gt;0,1/N225*37.7*68.6,"")</f>
        <v>314.24301336573512</v>
      </c>
      <c r="P225" s="418">
        <v>8.1199999999999992</v>
      </c>
      <c r="Q225" s="417" t="s">
        <v>834</v>
      </c>
      <c r="R225" s="416" t="s">
        <v>1267</v>
      </c>
      <c r="S225" s="416" t="s">
        <v>34</v>
      </c>
      <c r="T225" s="415" t="s">
        <v>1266</v>
      </c>
      <c r="U225" s="414"/>
      <c r="V225" s="324">
        <f>IFERROR(IF(N225&lt;P225,"",(ROUNDDOWN(N225/P225*100,0))),"")</f>
        <v>101</v>
      </c>
    </row>
    <row r="226" spans="2:22" ht="22.5">
      <c r="B226" s="427"/>
      <c r="C226" s="426"/>
      <c r="D226" s="422" t="s">
        <v>1287</v>
      </c>
      <c r="E226" s="416" t="s">
        <v>912</v>
      </c>
      <c r="F226" s="421" t="s">
        <v>1271</v>
      </c>
      <c r="G226" s="416" t="s">
        <v>1278</v>
      </c>
      <c r="H226" s="416" t="s">
        <v>466</v>
      </c>
      <c r="I226" s="416" t="s">
        <v>790</v>
      </c>
      <c r="J226" s="208">
        <v>2652</v>
      </c>
      <c r="K226" s="208">
        <v>5812</v>
      </c>
      <c r="L226" s="208">
        <v>2995</v>
      </c>
      <c r="M226" s="420" t="s">
        <v>589</v>
      </c>
      <c r="N226" s="425">
        <v>9.83</v>
      </c>
      <c r="O226" s="344">
        <f>IF(N226&gt;0,1/N226*37.7*68.6,"")</f>
        <v>263.09460834181078</v>
      </c>
      <c r="P226" s="418">
        <v>9.51</v>
      </c>
      <c r="Q226" s="417" t="s">
        <v>834</v>
      </c>
      <c r="R226" s="416" t="s">
        <v>1267</v>
      </c>
      <c r="S226" s="416" t="s">
        <v>34</v>
      </c>
      <c r="T226" s="415" t="s">
        <v>1266</v>
      </c>
      <c r="U226" s="414"/>
      <c r="V226" s="324">
        <f>IFERROR(IF(N226&lt;P226,"",(ROUNDDOWN(N226/P226*100,0))),"")</f>
        <v>103</v>
      </c>
    </row>
    <row r="227" spans="2:22" ht="22.5">
      <c r="B227" s="427"/>
      <c r="C227" s="426"/>
      <c r="D227" s="422" t="s">
        <v>1287</v>
      </c>
      <c r="E227" s="416" t="s">
        <v>912</v>
      </c>
      <c r="F227" s="421" t="s">
        <v>1271</v>
      </c>
      <c r="G227" s="416" t="s">
        <v>1278</v>
      </c>
      <c r="H227" s="416" t="s">
        <v>466</v>
      </c>
      <c r="I227" s="416" t="s">
        <v>71</v>
      </c>
      <c r="J227" s="208">
        <v>2652</v>
      </c>
      <c r="K227" s="208">
        <v>5812</v>
      </c>
      <c r="L227" s="208">
        <v>2995</v>
      </c>
      <c r="M227" s="420" t="s">
        <v>589</v>
      </c>
      <c r="N227" s="425">
        <v>9.7799999999999994</v>
      </c>
      <c r="O227" s="344">
        <f>IF(N227&gt;0,1/N227*37.7*68.6,"")</f>
        <v>264.43967280163599</v>
      </c>
      <c r="P227" s="418">
        <v>9.51</v>
      </c>
      <c r="Q227" s="417" t="s">
        <v>834</v>
      </c>
      <c r="R227" s="416" t="s">
        <v>1267</v>
      </c>
      <c r="S227" s="416" t="s">
        <v>34</v>
      </c>
      <c r="T227" s="415" t="s">
        <v>1266</v>
      </c>
      <c r="U227" s="414"/>
      <c r="V227" s="324">
        <f>IFERROR(IF(N227&lt;P227,"",(ROUNDDOWN(N227/P227*100,0))),"")</f>
        <v>102</v>
      </c>
    </row>
    <row r="228" spans="2:22" ht="22.5">
      <c r="B228" s="427"/>
      <c r="C228" s="426"/>
      <c r="D228" s="422" t="s">
        <v>1287</v>
      </c>
      <c r="E228" s="416" t="s">
        <v>912</v>
      </c>
      <c r="F228" s="421" t="s">
        <v>1271</v>
      </c>
      <c r="G228" s="416" t="s">
        <v>1270</v>
      </c>
      <c r="H228" s="416" t="s">
        <v>1269</v>
      </c>
      <c r="I228" s="416" t="s">
        <v>71</v>
      </c>
      <c r="J228" s="208">
        <v>2652</v>
      </c>
      <c r="K228" s="208">
        <v>5812</v>
      </c>
      <c r="L228" s="208">
        <v>2995</v>
      </c>
      <c r="M228" s="420" t="s">
        <v>589</v>
      </c>
      <c r="N228" s="425">
        <v>9.5299999999999994</v>
      </c>
      <c r="O228" s="344">
        <f>IF(N228&gt;0,1/N228*37.7*68.6,"")</f>
        <v>271.37670514165796</v>
      </c>
      <c r="P228" s="418">
        <v>9.51</v>
      </c>
      <c r="Q228" s="417" t="s">
        <v>834</v>
      </c>
      <c r="R228" s="416" t="s">
        <v>1267</v>
      </c>
      <c r="S228" s="416" t="s">
        <v>34</v>
      </c>
      <c r="T228" s="415" t="s">
        <v>1266</v>
      </c>
      <c r="U228" s="414"/>
      <c r="V228" s="324">
        <f>IFERROR(IF(N228&lt;P228,"",(ROUNDDOWN(N228/P228*100,0))),"")</f>
        <v>100</v>
      </c>
    </row>
    <row r="229" spans="2:22" ht="22.5">
      <c r="B229" s="427"/>
      <c r="C229" s="426"/>
      <c r="D229" s="422" t="s">
        <v>1287</v>
      </c>
      <c r="E229" s="416" t="s">
        <v>912</v>
      </c>
      <c r="F229" s="421" t="s">
        <v>1271</v>
      </c>
      <c r="G229" s="416" t="s">
        <v>1278</v>
      </c>
      <c r="H229" s="416" t="s">
        <v>466</v>
      </c>
      <c r="I229" s="416" t="s">
        <v>790</v>
      </c>
      <c r="J229" s="208">
        <v>2979</v>
      </c>
      <c r="K229" s="208">
        <v>6893</v>
      </c>
      <c r="L229" s="208">
        <v>3749</v>
      </c>
      <c r="M229" s="420" t="s">
        <v>589</v>
      </c>
      <c r="N229" s="425">
        <v>8.26</v>
      </c>
      <c r="O229" s="344">
        <f>IF(N229&gt;0,1/N229*37.7*68.6,"")</f>
        <v>313.10169491525426</v>
      </c>
      <c r="P229" s="418">
        <v>8.1199999999999992</v>
      </c>
      <c r="Q229" s="417" t="s">
        <v>834</v>
      </c>
      <c r="R229" s="416" t="s">
        <v>1267</v>
      </c>
      <c r="S229" s="416" t="s">
        <v>34</v>
      </c>
      <c r="T229" s="415" t="s">
        <v>1266</v>
      </c>
      <c r="U229" s="414"/>
      <c r="V229" s="324">
        <f>IFERROR(IF(N229&lt;P229,"",(ROUNDDOWN(N229/P229*100,0))),"")</f>
        <v>101</v>
      </c>
    </row>
    <row r="230" spans="2:22" ht="22.5">
      <c r="B230" s="427"/>
      <c r="C230" s="426"/>
      <c r="D230" s="422" t="s">
        <v>1287</v>
      </c>
      <c r="E230" s="416" t="s">
        <v>912</v>
      </c>
      <c r="F230" s="421" t="s">
        <v>1271</v>
      </c>
      <c r="G230" s="416" t="s">
        <v>1278</v>
      </c>
      <c r="H230" s="416" t="s">
        <v>466</v>
      </c>
      <c r="I230" s="416" t="s">
        <v>71</v>
      </c>
      <c r="J230" s="208">
        <v>2979</v>
      </c>
      <c r="K230" s="208">
        <v>6893</v>
      </c>
      <c r="L230" s="208">
        <v>3749</v>
      </c>
      <c r="M230" s="420" t="s">
        <v>589</v>
      </c>
      <c r="N230" s="425">
        <v>8.23</v>
      </c>
      <c r="O230" s="344">
        <f>IF(N230&gt;0,1/N230*37.7*68.6,"")</f>
        <v>314.24301336573512</v>
      </c>
      <c r="P230" s="418">
        <v>8.1199999999999992</v>
      </c>
      <c r="Q230" s="417" t="s">
        <v>834</v>
      </c>
      <c r="R230" s="416" t="s">
        <v>1267</v>
      </c>
      <c r="S230" s="416" t="s">
        <v>34</v>
      </c>
      <c r="T230" s="415" t="s">
        <v>1266</v>
      </c>
      <c r="U230" s="414"/>
      <c r="V230" s="324">
        <f>IFERROR(IF(N230&lt;P230,"",(ROUNDDOWN(N230/P230*100,0))),"")</f>
        <v>101</v>
      </c>
    </row>
    <row r="231" spans="2:22" ht="22.5">
      <c r="B231" s="427"/>
      <c r="C231" s="426"/>
      <c r="D231" s="422" t="s">
        <v>1333</v>
      </c>
      <c r="E231" s="416" t="s">
        <v>912</v>
      </c>
      <c r="F231" s="421" t="s">
        <v>1271</v>
      </c>
      <c r="G231" s="416" t="s">
        <v>1278</v>
      </c>
      <c r="H231" s="416" t="s">
        <v>466</v>
      </c>
      <c r="I231" s="416" t="s">
        <v>790</v>
      </c>
      <c r="J231" s="208">
        <v>2652</v>
      </c>
      <c r="K231" s="208">
        <v>5812</v>
      </c>
      <c r="L231" s="208">
        <v>2995</v>
      </c>
      <c r="M231" s="420" t="s">
        <v>589</v>
      </c>
      <c r="N231" s="425">
        <v>9.83</v>
      </c>
      <c r="O231" s="344">
        <f>IF(N231&gt;0,1/N231*37.7*68.6,"")</f>
        <v>263.09460834181078</v>
      </c>
      <c r="P231" s="418">
        <v>9.51</v>
      </c>
      <c r="Q231" s="417" t="s">
        <v>834</v>
      </c>
      <c r="R231" s="416" t="s">
        <v>1267</v>
      </c>
      <c r="S231" s="416" t="s">
        <v>34</v>
      </c>
      <c r="T231" s="415" t="s">
        <v>1266</v>
      </c>
      <c r="U231" s="414"/>
      <c r="V231" s="324">
        <f>IFERROR(IF(N231&lt;P231,"",(ROUNDDOWN(N231/P231*100,0))),"")</f>
        <v>103</v>
      </c>
    </row>
    <row r="232" spans="2:22" ht="22.5">
      <c r="B232" s="427"/>
      <c r="C232" s="426"/>
      <c r="D232" s="422" t="s">
        <v>1333</v>
      </c>
      <c r="E232" s="416" t="s">
        <v>912</v>
      </c>
      <c r="F232" s="421" t="s">
        <v>1271</v>
      </c>
      <c r="G232" s="416" t="s">
        <v>1278</v>
      </c>
      <c r="H232" s="416" t="s">
        <v>466</v>
      </c>
      <c r="I232" s="416" t="s">
        <v>71</v>
      </c>
      <c r="J232" s="208">
        <v>2652</v>
      </c>
      <c r="K232" s="208">
        <v>5812</v>
      </c>
      <c r="L232" s="208">
        <v>2995</v>
      </c>
      <c r="M232" s="420" t="s">
        <v>589</v>
      </c>
      <c r="N232" s="425">
        <v>9.7799999999999994</v>
      </c>
      <c r="O232" s="344">
        <f>IF(N232&gt;0,1/N232*37.7*68.6,"")</f>
        <v>264.43967280163599</v>
      </c>
      <c r="P232" s="418">
        <v>9.51</v>
      </c>
      <c r="Q232" s="417" t="s">
        <v>834</v>
      </c>
      <c r="R232" s="416" t="s">
        <v>1267</v>
      </c>
      <c r="S232" s="416" t="s">
        <v>34</v>
      </c>
      <c r="T232" s="415" t="s">
        <v>1266</v>
      </c>
      <c r="U232" s="414"/>
      <c r="V232" s="324">
        <f>IFERROR(IF(N232&lt;P232,"",(ROUNDDOWN(N232/P232*100,0))),"")</f>
        <v>102</v>
      </c>
    </row>
    <row r="233" spans="2:22" ht="22.5">
      <c r="B233" s="427"/>
      <c r="C233" s="426"/>
      <c r="D233" s="422" t="s">
        <v>1333</v>
      </c>
      <c r="E233" s="416" t="s">
        <v>912</v>
      </c>
      <c r="F233" s="421" t="s">
        <v>1271</v>
      </c>
      <c r="G233" s="416" t="s">
        <v>1270</v>
      </c>
      <c r="H233" s="416" t="s">
        <v>1269</v>
      </c>
      <c r="I233" s="416" t="s">
        <v>71</v>
      </c>
      <c r="J233" s="208">
        <v>2652</v>
      </c>
      <c r="K233" s="208">
        <v>5812</v>
      </c>
      <c r="L233" s="208">
        <v>2995</v>
      </c>
      <c r="M233" s="420" t="s">
        <v>589</v>
      </c>
      <c r="N233" s="425">
        <v>9.5299999999999994</v>
      </c>
      <c r="O233" s="344">
        <f>IF(N233&gt;0,1/N233*37.7*68.6,"")</f>
        <v>271.37670514165796</v>
      </c>
      <c r="P233" s="418">
        <v>9.51</v>
      </c>
      <c r="Q233" s="417" t="s">
        <v>834</v>
      </c>
      <c r="R233" s="416" t="s">
        <v>1267</v>
      </c>
      <c r="S233" s="416" t="s">
        <v>34</v>
      </c>
      <c r="T233" s="415" t="s">
        <v>1266</v>
      </c>
      <c r="U233" s="414"/>
      <c r="V233" s="324">
        <f>IFERROR(IF(N233&lt;P233,"",(ROUNDDOWN(N233/P233*100,0))),"")</f>
        <v>100</v>
      </c>
    </row>
    <row r="234" spans="2:22" ht="22.5">
      <c r="B234" s="427"/>
      <c r="C234" s="426"/>
      <c r="D234" s="422" t="s">
        <v>1333</v>
      </c>
      <c r="E234" s="416" t="s">
        <v>912</v>
      </c>
      <c r="F234" s="421" t="s">
        <v>1271</v>
      </c>
      <c r="G234" s="416" t="s">
        <v>1278</v>
      </c>
      <c r="H234" s="416" t="s">
        <v>466</v>
      </c>
      <c r="I234" s="416" t="s">
        <v>790</v>
      </c>
      <c r="J234" s="208">
        <v>2979</v>
      </c>
      <c r="K234" s="208">
        <v>6893</v>
      </c>
      <c r="L234" s="208">
        <v>3749</v>
      </c>
      <c r="M234" s="420" t="s">
        <v>589</v>
      </c>
      <c r="N234" s="425">
        <v>8.26</v>
      </c>
      <c r="O234" s="344">
        <f>IF(N234&gt;0,1/N234*37.7*68.6,"")</f>
        <v>313.10169491525426</v>
      </c>
      <c r="P234" s="418">
        <v>8.1199999999999992</v>
      </c>
      <c r="Q234" s="417" t="s">
        <v>834</v>
      </c>
      <c r="R234" s="416" t="s">
        <v>1267</v>
      </c>
      <c r="S234" s="416" t="s">
        <v>34</v>
      </c>
      <c r="T234" s="415" t="s">
        <v>1266</v>
      </c>
      <c r="U234" s="414"/>
      <c r="V234" s="324">
        <f>IFERROR(IF(N234&lt;P234,"",(ROUNDDOWN(N234/P234*100,0))),"")</f>
        <v>101</v>
      </c>
    </row>
    <row r="235" spans="2:22" ht="22.5">
      <c r="B235" s="427"/>
      <c r="C235" s="426"/>
      <c r="D235" s="422" t="s">
        <v>1333</v>
      </c>
      <c r="E235" s="416" t="s">
        <v>912</v>
      </c>
      <c r="F235" s="421" t="s">
        <v>1271</v>
      </c>
      <c r="G235" s="416" t="s">
        <v>1278</v>
      </c>
      <c r="H235" s="416" t="s">
        <v>466</v>
      </c>
      <c r="I235" s="416" t="s">
        <v>71</v>
      </c>
      <c r="J235" s="208">
        <v>2979</v>
      </c>
      <c r="K235" s="208">
        <v>6893</v>
      </c>
      <c r="L235" s="208">
        <v>3749</v>
      </c>
      <c r="M235" s="420" t="s">
        <v>589</v>
      </c>
      <c r="N235" s="425">
        <v>8.23</v>
      </c>
      <c r="O235" s="344">
        <f>IF(N235&gt;0,1/N235*37.7*68.6,"")</f>
        <v>314.24301336573512</v>
      </c>
      <c r="P235" s="418">
        <v>8.1199999999999992</v>
      </c>
      <c r="Q235" s="417" t="s">
        <v>834</v>
      </c>
      <c r="R235" s="416" t="s">
        <v>1267</v>
      </c>
      <c r="S235" s="416" t="s">
        <v>34</v>
      </c>
      <c r="T235" s="415" t="s">
        <v>1266</v>
      </c>
      <c r="U235" s="414"/>
      <c r="V235" s="324">
        <f>IFERROR(IF(N235&lt;P235,"",(ROUNDDOWN(N235/P235*100,0))),"")</f>
        <v>101</v>
      </c>
    </row>
    <row r="236" spans="2:22" ht="22.5">
      <c r="B236" s="427"/>
      <c r="C236" s="426"/>
      <c r="D236" s="422" t="s">
        <v>1332</v>
      </c>
      <c r="E236" s="416" t="s">
        <v>912</v>
      </c>
      <c r="F236" s="421" t="s">
        <v>1271</v>
      </c>
      <c r="G236" s="416" t="s">
        <v>1278</v>
      </c>
      <c r="H236" s="416" t="s">
        <v>466</v>
      </c>
      <c r="I236" s="416" t="s">
        <v>71</v>
      </c>
      <c r="J236" s="208">
        <v>2652</v>
      </c>
      <c r="K236" s="208">
        <v>5812</v>
      </c>
      <c r="L236" s="208">
        <v>2995</v>
      </c>
      <c r="M236" s="420" t="s">
        <v>589</v>
      </c>
      <c r="N236" s="425">
        <v>9.7799999999999994</v>
      </c>
      <c r="O236" s="344">
        <f>IF(N236&gt;0,1/N236*37.7*68.6,"")</f>
        <v>264.43967280163599</v>
      </c>
      <c r="P236" s="418">
        <v>9.51</v>
      </c>
      <c r="Q236" s="417" t="s">
        <v>834</v>
      </c>
      <c r="R236" s="416" t="s">
        <v>1267</v>
      </c>
      <c r="S236" s="416" t="s">
        <v>34</v>
      </c>
      <c r="T236" s="415" t="s">
        <v>1266</v>
      </c>
      <c r="U236" s="414"/>
      <c r="V236" s="324">
        <f>IFERROR(IF(N236&lt;P236,"",(ROUNDDOWN(N236/P236*100,0))),"")</f>
        <v>102</v>
      </c>
    </row>
    <row r="237" spans="2:22" ht="22.5">
      <c r="B237" s="427"/>
      <c r="C237" s="426"/>
      <c r="D237" s="422" t="s">
        <v>1331</v>
      </c>
      <c r="E237" s="416" t="s">
        <v>912</v>
      </c>
      <c r="F237" s="421" t="s">
        <v>1271</v>
      </c>
      <c r="G237" s="416" t="s">
        <v>1278</v>
      </c>
      <c r="H237" s="416" t="s">
        <v>466</v>
      </c>
      <c r="I237" s="416" t="s">
        <v>71</v>
      </c>
      <c r="J237" s="208">
        <v>2652</v>
      </c>
      <c r="K237" s="208">
        <v>5812</v>
      </c>
      <c r="L237" s="208">
        <v>2995</v>
      </c>
      <c r="M237" s="420" t="s">
        <v>589</v>
      </c>
      <c r="N237" s="425">
        <v>9.4700000000000006</v>
      </c>
      <c r="O237" s="344">
        <f>IF(N237&gt;0,1/N237*37.7*68.6,"")</f>
        <v>273.09609292502637</v>
      </c>
      <c r="P237" s="418">
        <v>9.51</v>
      </c>
      <c r="Q237" s="417" t="s">
        <v>1268</v>
      </c>
      <c r="R237" s="416" t="s">
        <v>1267</v>
      </c>
      <c r="S237" s="416" t="s">
        <v>34</v>
      </c>
      <c r="T237" s="415" t="s">
        <v>1266</v>
      </c>
      <c r="U237" s="414"/>
      <c r="V237" s="324" t="str">
        <f>IFERROR(IF(N237&lt;P237,"",(ROUNDDOWN(N237/P237*100,0))),"")</f>
        <v/>
      </c>
    </row>
    <row r="238" spans="2:22" ht="22.5">
      <c r="B238" s="427"/>
      <c r="C238" s="426"/>
      <c r="D238" s="422" t="s">
        <v>1330</v>
      </c>
      <c r="E238" s="416" t="s">
        <v>912</v>
      </c>
      <c r="F238" s="421" t="s">
        <v>1271</v>
      </c>
      <c r="G238" s="416" t="s">
        <v>1278</v>
      </c>
      <c r="H238" s="416" t="s">
        <v>466</v>
      </c>
      <c r="I238" s="416" t="s">
        <v>71</v>
      </c>
      <c r="J238" s="208">
        <v>2652</v>
      </c>
      <c r="K238" s="208">
        <v>5812</v>
      </c>
      <c r="L238" s="208">
        <v>2995</v>
      </c>
      <c r="M238" s="420" t="s">
        <v>589</v>
      </c>
      <c r="N238" s="425">
        <v>9.4700000000000006</v>
      </c>
      <c r="O238" s="344">
        <f>IF(N238&gt;0,1/N238*37.7*68.6,"")</f>
        <v>273.09609292502637</v>
      </c>
      <c r="P238" s="418">
        <v>9.51</v>
      </c>
      <c r="Q238" s="417" t="s">
        <v>1268</v>
      </c>
      <c r="R238" s="416" t="s">
        <v>1267</v>
      </c>
      <c r="S238" s="416" t="s">
        <v>34</v>
      </c>
      <c r="T238" s="415" t="s">
        <v>1266</v>
      </c>
      <c r="U238" s="414"/>
      <c r="V238" s="324" t="str">
        <f>IFERROR(IF(N238&lt;P238,"",(ROUNDDOWN(N238/P238*100,0))),"")</f>
        <v/>
      </c>
    </row>
    <row r="239" spans="2:22" ht="22.5">
      <c r="B239" s="427"/>
      <c r="C239" s="426"/>
      <c r="D239" s="422" t="s">
        <v>1330</v>
      </c>
      <c r="E239" s="416" t="s">
        <v>912</v>
      </c>
      <c r="F239" s="421" t="s">
        <v>1271</v>
      </c>
      <c r="G239" s="416" t="s">
        <v>1278</v>
      </c>
      <c r="H239" s="416" t="s">
        <v>466</v>
      </c>
      <c r="I239" s="416" t="s">
        <v>790</v>
      </c>
      <c r="J239" s="208">
        <v>2652</v>
      </c>
      <c r="K239" s="208">
        <v>5812</v>
      </c>
      <c r="L239" s="208">
        <v>2995</v>
      </c>
      <c r="M239" s="420" t="s">
        <v>589</v>
      </c>
      <c r="N239" s="425">
        <v>9.09</v>
      </c>
      <c r="O239" s="344">
        <f>IF(N239&gt;0,1/N239*37.7*68.6,"")</f>
        <v>284.51265126512652</v>
      </c>
      <c r="P239" s="418">
        <v>9.51</v>
      </c>
      <c r="Q239" s="417" t="s">
        <v>1268</v>
      </c>
      <c r="R239" s="416" t="s">
        <v>1267</v>
      </c>
      <c r="S239" s="416" t="s">
        <v>34</v>
      </c>
      <c r="T239" s="415" t="s">
        <v>1266</v>
      </c>
      <c r="U239" s="414"/>
      <c r="V239" s="324" t="str">
        <f>IFERROR(IF(N239&lt;P239,"",(ROUNDDOWN(N239/P239*100,0))),"")</f>
        <v/>
      </c>
    </row>
    <row r="240" spans="2:22" ht="22.5">
      <c r="B240" s="427"/>
      <c r="C240" s="426"/>
      <c r="D240" s="422" t="s">
        <v>1329</v>
      </c>
      <c r="E240" s="416" t="s">
        <v>912</v>
      </c>
      <c r="F240" s="421" t="s">
        <v>1271</v>
      </c>
      <c r="G240" s="416" t="s">
        <v>1278</v>
      </c>
      <c r="H240" s="416" t="s">
        <v>466</v>
      </c>
      <c r="I240" s="416" t="s">
        <v>71</v>
      </c>
      <c r="J240" s="208">
        <v>2652</v>
      </c>
      <c r="K240" s="208">
        <v>5812</v>
      </c>
      <c r="L240" s="208">
        <v>2995</v>
      </c>
      <c r="M240" s="420" t="s">
        <v>589</v>
      </c>
      <c r="N240" s="425">
        <v>9.4700000000000006</v>
      </c>
      <c r="O240" s="344">
        <f>IF(N240&gt;0,1/N240*37.7*68.6,"")</f>
        <v>273.09609292502637</v>
      </c>
      <c r="P240" s="418">
        <v>9.51</v>
      </c>
      <c r="Q240" s="417" t="s">
        <v>1268</v>
      </c>
      <c r="R240" s="416" t="s">
        <v>1267</v>
      </c>
      <c r="S240" s="416" t="s">
        <v>34</v>
      </c>
      <c r="T240" s="415" t="s">
        <v>1266</v>
      </c>
      <c r="U240" s="414"/>
      <c r="V240" s="324" t="str">
        <f>IFERROR(IF(N240&lt;P240,"",(ROUNDDOWN(N240/P240*100,0))),"")</f>
        <v/>
      </c>
    </row>
    <row r="241" spans="2:22" ht="22.5">
      <c r="B241" s="427"/>
      <c r="C241" s="426"/>
      <c r="D241" s="422" t="s">
        <v>1328</v>
      </c>
      <c r="E241" s="416" t="s">
        <v>912</v>
      </c>
      <c r="F241" s="421" t="s">
        <v>1271</v>
      </c>
      <c r="G241" s="416" t="s">
        <v>1278</v>
      </c>
      <c r="H241" s="416" t="s">
        <v>466</v>
      </c>
      <c r="I241" s="416" t="s">
        <v>71</v>
      </c>
      <c r="J241" s="208">
        <v>2652</v>
      </c>
      <c r="K241" s="208">
        <v>5812</v>
      </c>
      <c r="L241" s="208">
        <v>2995</v>
      </c>
      <c r="M241" s="420" t="s">
        <v>589</v>
      </c>
      <c r="N241" s="425">
        <v>9.4700000000000006</v>
      </c>
      <c r="O241" s="344">
        <f>IF(N241&gt;0,1/N241*37.7*68.6,"")</f>
        <v>273.09609292502637</v>
      </c>
      <c r="P241" s="418">
        <v>9.51</v>
      </c>
      <c r="Q241" s="417" t="s">
        <v>1268</v>
      </c>
      <c r="R241" s="416" t="s">
        <v>1267</v>
      </c>
      <c r="S241" s="416" t="s">
        <v>34</v>
      </c>
      <c r="T241" s="415" t="s">
        <v>1266</v>
      </c>
      <c r="U241" s="414"/>
      <c r="V241" s="324" t="str">
        <f>IFERROR(IF(N241&lt;P241,"",(ROUNDDOWN(N241/P241*100,0))),"")</f>
        <v/>
      </c>
    </row>
    <row r="242" spans="2:22" ht="22.5">
      <c r="B242" s="427"/>
      <c r="C242" s="426"/>
      <c r="D242" s="422" t="s">
        <v>1327</v>
      </c>
      <c r="E242" s="416" t="s">
        <v>912</v>
      </c>
      <c r="F242" s="421" t="s">
        <v>1271</v>
      </c>
      <c r="G242" s="416" t="s">
        <v>1278</v>
      </c>
      <c r="H242" s="416" t="s">
        <v>466</v>
      </c>
      <c r="I242" s="416" t="s">
        <v>71</v>
      </c>
      <c r="J242" s="208">
        <v>2652</v>
      </c>
      <c r="K242" s="208">
        <v>5812</v>
      </c>
      <c r="L242" s="208">
        <v>2995</v>
      </c>
      <c r="M242" s="420" t="s">
        <v>589</v>
      </c>
      <c r="N242" s="425">
        <v>9.4700000000000006</v>
      </c>
      <c r="O242" s="344">
        <f>IF(N242&gt;0,1/N242*37.7*68.6,"")</f>
        <v>273.09609292502637</v>
      </c>
      <c r="P242" s="418">
        <v>9.51</v>
      </c>
      <c r="Q242" s="417" t="s">
        <v>1268</v>
      </c>
      <c r="R242" s="416" t="s">
        <v>1267</v>
      </c>
      <c r="S242" s="416" t="s">
        <v>34</v>
      </c>
      <c r="T242" s="415" t="s">
        <v>1266</v>
      </c>
      <c r="U242" s="414"/>
      <c r="V242" s="324" t="str">
        <f>IFERROR(IF(N242&lt;P242,"",(ROUNDDOWN(N242/P242*100,0))),"")</f>
        <v/>
      </c>
    </row>
    <row r="243" spans="2:22" ht="22.5">
      <c r="B243" s="427"/>
      <c r="C243" s="426"/>
      <c r="D243" s="422" t="s">
        <v>1326</v>
      </c>
      <c r="E243" s="416" t="s">
        <v>912</v>
      </c>
      <c r="F243" s="421" t="s">
        <v>1271</v>
      </c>
      <c r="G243" s="416" t="s">
        <v>1278</v>
      </c>
      <c r="H243" s="416" t="s">
        <v>466</v>
      </c>
      <c r="I243" s="416" t="s">
        <v>71</v>
      </c>
      <c r="J243" s="208">
        <v>2652</v>
      </c>
      <c r="K243" s="208">
        <v>5812</v>
      </c>
      <c r="L243" s="208">
        <v>2995</v>
      </c>
      <c r="M243" s="420" t="s">
        <v>589</v>
      </c>
      <c r="N243" s="425">
        <v>9.4700000000000006</v>
      </c>
      <c r="O243" s="344">
        <f>IF(N243&gt;0,1/N243*37.7*68.6,"")</f>
        <v>273.09609292502637</v>
      </c>
      <c r="P243" s="418">
        <v>9.51</v>
      </c>
      <c r="Q243" s="417" t="s">
        <v>1268</v>
      </c>
      <c r="R243" s="416" t="s">
        <v>1267</v>
      </c>
      <c r="S243" s="416" t="s">
        <v>34</v>
      </c>
      <c r="T243" s="415" t="s">
        <v>1266</v>
      </c>
      <c r="U243" s="414"/>
      <c r="V243" s="324" t="str">
        <f>IFERROR(IF(N243&lt;P243,"",(ROUNDDOWN(N243/P243*100,0))),"")</f>
        <v/>
      </c>
    </row>
    <row r="244" spans="2:22" ht="22.5">
      <c r="B244" s="427"/>
      <c r="C244" s="426"/>
      <c r="D244" s="422" t="s">
        <v>1326</v>
      </c>
      <c r="E244" s="416" t="s">
        <v>912</v>
      </c>
      <c r="F244" s="421" t="s">
        <v>1271</v>
      </c>
      <c r="G244" s="416" t="s">
        <v>1278</v>
      </c>
      <c r="H244" s="416" t="s">
        <v>466</v>
      </c>
      <c r="I244" s="416" t="s">
        <v>790</v>
      </c>
      <c r="J244" s="208">
        <v>2652</v>
      </c>
      <c r="K244" s="208">
        <v>5812</v>
      </c>
      <c r="L244" s="208">
        <v>2995</v>
      </c>
      <c r="M244" s="420" t="s">
        <v>589</v>
      </c>
      <c r="N244" s="425">
        <v>9.09</v>
      </c>
      <c r="O244" s="344">
        <f>IF(N244&gt;0,1/N244*37.7*68.6,"")</f>
        <v>284.51265126512652</v>
      </c>
      <c r="P244" s="418">
        <v>9.51</v>
      </c>
      <c r="Q244" s="417" t="s">
        <v>1268</v>
      </c>
      <c r="R244" s="416" t="s">
        <v>1267</v>
      </c>
      <c r="S244" s="416" t="s">
        <v>34</v>
      </c>
      <c r="T244" s="415" t="s">
        <v>1266</v>
      </c>
      <c r="U244" s="414"/>
      <c r="V244" s="324" t="str">
        <f>IFERROR(IF(N244&lt;P244,"",(ROUNDDOWN(N244/P244*100,0))),"")</f>
        <v/>
      </c>
    </row>
    <row r="245" spans="2:22" ht="22.5">
      <c r="B245" s="427"/>
      <c r="C245" s="426"/>
      <c r="D245" s="422" t="s">
        <v>1325</v>
      </c>
      <c r="E245" s="416" t="s">
        <v>912</v>
      </c>
      <c r="F245" s="421" t="s">
        <v>1271</v>
      </c>
      <c r="G245" s="416" t="s">
        <v>1278</v>
      </c>
      <c r="H245" s="416" t="s">
        <v>466</v>
      </c>
      <c r="I245" s="416" t="s">
        <v>71</v>
      </c>
      <c r="J245" s="208">
        <v>2652</v>
      </c>
      <c r="K245" s="208">
        <v>5812</v>
      </c>
      <c r="L245" s="208">
        <v>2995</v>
      </c>
      <c r="M245" s="420" t="s">
        <v>589</v>
      </c>
      <c r="N245" s="425">
        <v>9.4700000000000006</v>
      </c>
      <c r="O245" s="344">
        <f>IF(N245&gt;0,1/N245*37.7*68.6,"")</f>
        <v>273.09609292502637</v>
      </c>
      <c r="P245" s="418">
        <v>9.51</v>
      </c>
      <c r="Q245" s="417" t="s">
        <v>1268</v>
      </c>
      <c r="R245" s="416" t="s">
        <v>1267</v>
      </c>
      <c r="S245" s="416" t="s">
        <v>34</v>
      </c>
      <c r="T245" s="415" t="s">
        <v>1266</v>
      </c>
      <c r="U245" s="414"/>
      <c r="V245" s="324" t="str">
        <f>IFERROR(IF(N245&lt;P245,"",(ROUNDDOWN(N245/P245*100,0))),"")</f>
        <v/>
      </c>
    </row>
    <row r="246" spans="2:22" ht="22.5">
      <c r="B246" s="427"/>
      <c r="C246" s="426"/>
      <c r="D246" s="422" t="s">
        <v>1324</v>
      </c>
      <c r="E246" s="416" t="s">
        <v>912</v>
      </c>
      <c r="F246" s="421" t="s">
        <v>1271</v>
      </c>
      <c r="G246" s="416" t="s">
        <v>1278</v>
      </c>
      <c r="H246" s="416" t="s">
        <v>466</v>
      </c>
      <c r="I246" s="416" t="s">
        <v>71</v>
      </c>
      <c r="J246" s="208">
        <v>2652</v>
      </c>
      <c r="K246" s="208">
        <v>5812</v>
      </c>
      <c r="L246" s="208">
        <v>2995</v>
      </c>
      <c r="M246" s="420" t="s">
        <v>589</v>
      </c>
      <c r="N246" s="425">
        <v>9.4700000000000006</v>
      </c>
      <c r="O246" s="344">
        <f>IF(N246&gt;0,1/N246*37.7*68.6,"")</f>
        <v>273.09609292502637</v>
      </c>
      <c r="P246" s="418">
        <v>9.51</v>
      </c>
      <c r="Q246" s="417" t="s">
        <v>1268</v>
      </c>
      <c r="R246" s="416" t="s">
        <v>1267</v>
      </c>
      <c r="S246" s="416" t="s">
        <v>34</v>
      </c>
      <c r="T246" s="415" t="s">
        <v>1266</v>
      </c>
      <c r="U246" s="414"/>
      <c r="V246" s="324" t="str">
        <f>IFERROR(IF(N246&lt;P246,"",(ROUNDDOWN(N246/P246*100,0))),"")</f>
        <v/>
      </c>
    </row>
    <row r="247" spans="2:22" ht="22.5">
      <c r="B247" s="427"/>
      <c r="C247" s="426"/>
      <c r="D247" s="422" t="s">
        <v>1323</v>
      </c>
      <c r="E247" s="416" t="s">
        <v>912</v>
      </c>
      <c r="F247" s="421" t="s">
        <v>1271</v>
      </c>
      <c r="G247" s="416" t="s">
        <v>1278</v>
      </c>
      <c r="H247" s="416" t="s">
        <v>466</v>
      </c>
      <c r="I247" s="416" t="s">
        <v>71</v>
      </c>
      <c r="J247" s="208">
        <v>2652</v>
      </c>
      <c r="K247" s="208">
        <v>5812</v>
      </c>
      <c r="L247" s="208">
        <v>2995</v>
      </c>
      <c r="M247" s="420" t="s">
        <v>589</v>
      </c>
      <c r="N247" s="425">
        <v>9.4700000000000006</v>
      </c>
      <c r="O247" s="344">
        <f>IF(N247&gt;0,1/N247*37.7*68.6,"")</f>
        <v>273.09609292502637</v>
      </c>
      <c r="P247" s="418">
        <v>9.51</v>
      </c>
      <c r="Q247" s="417" t="s">
        <v>1268</v>
      </c>
      <c r="R247" s="416" t="s">
        <v>1267</v>
      </c>
      <c r="S247" s="416" t="s">
        <v>34</v>
      </c>
      <c r="T247" s="415" t="s">
        <v>1266</v>
      </c>
      <c r="U247" s="414"/>
      <c r="V247" s="324" t="str">
        <f>IFERROR(IF(N247&lt;P247,"",(ROUNDDOWN(N247/P247*100,0))),"")</f>
        <v/>
      </c>
    </row>
    <row r="248" spans="2:22" ht="22.5">
      <c r="B248" s="427"/>
      <c r="C248" s="426"/>
      <c r="D248" s="422" t="s">
        <v>1322</v>
      </c>
      <c r="E248" s="416" t="s">
        <v>912</v>
      </c>
      <c r="F248" s="421" t="s">
        <v>1271</v>
      </c>
      <c r="G248" s="416" t="s">
        <v>1278</v>
      </c>
      <c r="H248" s="416" t="s">
        <v>466</v>
      </c>
      <c r="I248" s="416" t="s">
        <v>71</v>
      </c>
      <c r="J248" s="208">
        <v>2652</v>
      </c>
      <c r="K248" s="208">
        <v>5812</v>
      </c>
      <c r="L248" s="208">
        <v>2995</v>
      </c>
      <c r="M248" s="420" t="s">
        <v>589</v>
      </c>
      <c r="N248" s="425">
        <v>9.4700000000000006</v>
      </c>
      <c r="O248" s="344">
        <f>IF(N248&gt;0,1/N248*37.7*68.6,"")</f>
        <v>273.09609292502637</v>
      </c>
      <c r="P248" s="418">
        <v>9.51</v>
      </c>
      <c r="Q248" s="417" t="s">
        <v>1268</v>
      </c>
      <c r="R248" s="416" t="s">
        <v>1267</v>
      </c>
      <c r="S248" s="416" t="s">
        <v>34</v>
      </c>
      <c r="T248" s="415" t="s">
        <v>1266</v>
      </c>
      <c r="U248" s="414"/>
      <c r="V248" s="324" t="str">
        <f>IFERROR(IF(N248&lt;P248,"",(ROUNDDOWN(N248/P248*100,0))),"")</f>
        <v/>
      </c>
    </row>
    <row r="249" spans="2:22" ht="22.5">
      <c r="B249" s="427"/>
      <c r="C249" s="426"/>
      <c r="D249" s="422" t="s">
        <v>1321</v>
      </c>
      <c r="E249" s="416" t="s">
        <v>912</v>
      </c>
      <c r="F249" s="421" t="s">
        <v>1271</v>
      </c>
      <c r="G249" s="416" t="s">
        <v>1278</v>
      </c>
      <c r="H249" s="416" t="s">
        <v>466</v>
      </c>
      <c r="I249" s="416" t="s">
        <v>71</v>
      </c>
      <c r="J249" s="208">
        <v>2652</v>
      </c>
      <c r="K249" s="208">
        <v>5812</v>
      </c>
      <c r="L249" s="208">
        <v>2995</v>
      </c>
      <c r="M249" s="420" t="s">
        <v>589</v>
      </c>
      <c r="N249" s="425">
        <v>9.4700000000000006</v>
      </c>
      <c r="O249" s="344">
        <f>IF(N249&gt;0,1/N249*37.7*68.6,"")</f>
        <v>273.09609292502637</v>
      </c>
      <c r="P249" s="418">
        <v>9.51</v>
      </c>
      <c r="Q249" s="417" t="s">
        <v>1268</v>
      </c>
      <c r="R249" s="416" t="s">
        <v>1267</v>
      </c>
      <c r="S249" s="416" t="s">
        <v>34</v>
      </c>
      <c r="T249" s="415" t="s">
        <v>1266</v>
      </c>
      <c r="U249" s="414"/>
      <c r="V249" s="324" t="str">
        <f>IFERROR(IF(N249&lt;P249,"",(ROUNDDOWN(N249/P249*100,0))),"")</f>
        <v/>
      </c>
    </row>
    <row r="250" spans="2:22" ht="22.5">
      <c r="B250" s="427"/>
      <c r="C250" s="426"/>
      <c r="D250" s="422" t="s">
        <v>1321</v>
      </c>
      <c r="E250" s="416" t="s">
        <v>912</v>
      </c>
      <c r="F250" s="421" t="s">
        <v>1271</v>
      </c>
      <c r="G250" s="416" t="s">
        <v>1270</v>
      </c>
      <c r="H250" s="416" t="s">
        <v>1269</v>
      </c>
      <c r="I250" s="416" t="s">
        <v>71</v>
      </c>
      <c r="J250" s="208">
        <v>2979</v>
      </c>
      <c r="K250" s="208">
        <v>6893</v>
      </c>
      <c r="L250" s="208">
        <v>3749</v>
      </c>
      <c r="M250" s="420" t="s">
        <v>589</v>
      </c>
      <c r="N250" s="425">
        <v>8.0399999999999991</v>
      </c>
      <c r="O250" s="344">
        <f>IF(N250&gt;0,1/N250*37.7*68.6,"")</f>
        <v>321.66915422885575</v>
      </c>
      <c r="P250" s="418">
        <v>8.1199999999999992</v>
      </c>
      <c r="Q250" s="417" t="s">
        <v>834</v>
      </c>
      <c r="R250" s="416" t="s">
        <v>1267</v>
      </c>
      <c r="S250" s="416" t="s">
        <v>34</v>
      </c>
      <c r="T250" s="415" t="s">
        <v>1266</v>
      </c>
      <c r="U250" s="414"/>
      <c r="V250" s="324" t="str">
        <f>IFERROR(IF(N250&lt;P250,"",(ROUNDDOWN(N250/P250*100,0))),"")</f>
        <v/>
      </c>
    </row>
    <row r="251" spans="2:22" ht="22.5">
      <c r="B251" s="427"/>
      <c r="C251" s="426"/>
      <c r="D251" s="422" t="s">
        <v>1320</v>
      </c>
      <c r="E251" s="416" t="s">
        <v>912</v>
      </c>
      <c r="F251" s="421" t="s">
        <v>1271</v>
      </c>
      <c r="G251" s="416" t="s">
        <v>1278</v>
      </c>
      <c r="H251" s="416" t="s">
        <v>466</v>
      </c>
      <c r="I251" s="416" t="s">
        <v>71</v>
      </c>
      <c r="J251" s="208">
        <v>2652</v>
      </c>
      <c r="K251" s="208">
        <v>5812</v>
      </c>
      <c r="L251" s="208">
        <v>2995</v>
      </c>
      <c r="M251" s="420" t="s">
        <v>589</v>
      </c>
      <c r="N251" s="425">
        <v>9.4700000000000006</v>
      </c>
      <c r="O251" s="344">
        <f>IF(N251&gt;0,1/N251*37.7*68.6,"")</f>
        <v>273.09609292502637</v>
      </c>
      <c r="P251" s="418">
        <v>9.51</v>
      </c>
      <c r="Q251" s="417" t="s">
        <v>1268</v>
      </c>
      <c r="R251" s="416" t="s">
        <v>1267</v>
      </c>
      <c r="S251" s="416" t="s">
        <v>34</v>
      </c>
      <c r="T251" s="415" t="s">
        <v>1266</v>
      </c>
      <c r="U251" s="414"/>
      <c r="V251" s="324" t="str">
        <f>IFERROR(IF(N251&lt;P251,"",(ROUNDDOWN(N251/P251*100,0))),"")</f>
        <v/>
      </c>
    </row>
    <row r="252" spans="2:22" ht="22.5">
      <c r="B252" s="427"/>
      <c r="C252" s="426"/>
      <c r="D252" s="422" t="s">
        <v>1320</v>
      </c>
      <c r="E252" s="416" t="s">
        <v>912</v>
      </c>
      <c r="F252" s="421" t="s">
        <v>1271</v>
      </c>
      <c r="G252" s="416" t="s">
        <v>1270</v>
      </c>
      <c r="H252" s="416" t="s">
        <v>1269</v>
      </c>
      <c r="I252" s="416" t="s">
        <v>71</v>
      </c>
      <c r="J252" s="208">
        <v>2979</v>
      </c>
      <c r="K252" s="208">
        <v>6893</v>
      </c>
      <c r="L252" s="208">
        <v>3749</v>
      </c>
      <c r="M252" s="420" t="s">
        <v>589</v>
      </c>
      <c r="N252" s="425">
        <v>8.0399999999999991</v>
      </c>
      <c r="O252" s="344">
        <f>IF(N252&gt;0,1/N252*37.7*68.6,"")</f>
        <v>321.66915422885575</v>
      </c>
      <c r="P252" s="418">
        <v>8.1199999999999992</v>
      </c>
      <c r="Q252" s="417" t="s">
        <v>834</v>
      </c>
      <c r="R252" s="416" t="s">
        <v>1267</v>
      </c>
      <c r="S252" s="416" t="s">
        <v>34</v>
      </c>
      <c r="T252" s="415" t="s">
        <v>1266</v>
      </c>
      <c r="U252" s="414"/>
      <c r="V252" s="324" t="str">
        <f>IFERROR(IF(N252&lt;P252,"",(ROUNDDOWN(N252/P252*100,0))),"")</f>
        <v/>
      </c>
    </row>
    <row r="253" spans="2:22" ht="22.5">
      <c r="B253" s="427"/>
      <c r="C253" s="426"/>
      <c r="D253" s="422" t="s">
        <v>1319</v>
      </c>
      <c r="E253" s="416" t="s">
        <v>912</v>
      </c>
      <c r="F253" s="421" t="s">
        <v>1271</v>
      </c>
      <c r="G253" s="416" t="s">
        <v>1278</v>
      </c>
      <c r="H253" s="416" t="s">
        <v>466</v>
      </c>
      <c r="I253" s="416" t="s">
        <v>70</v>
      </c>
      <c r="J253" s="208">
        <v>2652</v>
      </c>
      <c r="K253" s="208">
        <v>5812</v>
      </c>
      <c r="L253" s="208">
        <v>2995</v>
      </c>
      <c r="M253" s="420" t="s">
        <v>589</v>
      </c>
      <c r="N253" s="425">
        <v>9.16</v>
      </c>
      <c r="O253" s="344">
        <f>IF(N253&gt;0,1/N253*37.7*68.6,"")</f>
        <v>282.33842794759829</v>
      </c>
      <c r="P253" s="418">
        <v>9.51</v>
      </c>
      <c r="Q253" s="417" t="s">
        <v>834</v>
      </c>
      <c r="R253" s="416" t="s">
        <v>1267</v>
      </c>
      <c r="S253" s="416" t="s">
        <v>110</v>
      </c>
      <c r="T253" s="415" t="s">
        <v>1266</v>
      </c>
      <c r="U253" s="414"/>
      <c r="V253" s="324" t="str">
        <f>IFERROR(IF(N253&lt;P253,"",(ROUNDDOWN(N253/P253*100,0))),"")</f>
        <v/>
      </c>
    </row>
    <row r="254" spans="2:22" ht="22.5">
      <c r="B254" s="427"/>
      <c r="C254" s="426"/>
      <c r="D254" s="422" t="s">
        <v>1318</v>
      </c>
      <c r="E254" s="416" t="s">
        <v>912</v>
      </c>
      <c r="F254" s="421" t="s">
        <v>1271</v>
      </c>
      <c r="G254" s="416" t="s">
        <v>1278</v>
      </c>
      <c r="H254" s="416" t="s">
        <v>466</v>
      </c>
      <c r="I254" s="416" t="s">
        <v>70</v>
      </c>
      <c r="J254" s="208">
        <v>2652</v>
      </c>
      <c r="K254" s="208">
        <v>5812</v>
      </c>
      <c r="L254" s="208">
        <v>2995</v>
      </c>
      <c r="M254" s="420" t="s">
        <v>589</v>
      </c>
      <c r="N254" s="425">
        <v>9.16</v>
      </c>
      <c r="O254" s="344">
        <f>IF(N254&gt;0,1/N254*37.7*68.6,"")</f>
        <v>282.33842794759829</v>
      </c>
      <c r="P254" s="418">
        <v>9.51</v>
      </c>
      <c r="Q254" s="417" t="s">
        <v>834</v>
      </c>
      <c r="R254" s="416" t="s">
        <v>1267</v>
      </c>
      <c r="S254" s="416" t="s">
        <v>110</v>
      </c>
      <c r="T254" s="415" t="s">
        <v>1266</v>
      </c>
      <c r="U254" s="414"/>
      <c r="V254" s="324" t="str">
        <f>IFERROR(IF(N254&lt;P254,"",(ROUNDDOWN(N254/P254*100,0))),"")</f>
        <v/>
      </c>
    </row>
    <row r="255" spans="2:22" ht="22.5">
      <c r="B255" s="427"/>
      <c r="C255" s="426"/>
      <c r="D255" s="422" t="s">
        <v>1317</v>
      </c>
      <c r="E255" s="416" t="s">
        <v>912</v>
      </c>
      <c r="F255" s="421" t="s">
        <v>1271</v>
      </c>
      <c r="G255" s="416" t="s">
        <v>1278</v>
      </c>
      <c r="H255" s="416" t="s">
        <v>466</v>
      </c>
      <c r="I255" s="416" t="s">
        <v>70</v>
      </c>
      <c r="J255" s="208">
        <v>2652</v>
      </c>
      <c r="K255" s="208">
        <v>5812</v>
      </c>
      <c r="L255" s="208">
        <v>2995</v>
      </c>
      <c r="M255" s="420" t="s">
        <v>589</v>
      </c>
      <c r="N255" s="425">
        <v>9.16</v>
      </c>
      <c r="O255" s="344">
        <f>IF(N255&gt;0,1/N255*37.7*68.6,"")</f>
        <v>282.33842794759829</v>
      </c>
      <c r="P255" s="418">
        <v>9.51</v>
      </c>
      <c r="Q255" s="417" t="s">
        <v>834</v>
      </c>
      <c r="R255" s="416" t="s">
        <v>1267</v>
      </c>
      <c r="S255" s="416" t="s">
        <v>110</v>
      </c>
      <c r="T255" s="415" t="s">
        <v>1266</v>
      </c>
      <c r="U255" s="414"/>
      <c r="V255" s="324" t="str">
        <f>IFERROR(IF(N255&lt;P255,"",(ROUNDDOWN(N255/P255*100,0))),"")</f>
        <v/>
      </c>
    </row>
    <row r="256" spans="2:22" ht="22.5">
      <c r="B256" s="427"/>
      <c r="C256" s="426"/>
      <c r="D256" s="422" t="s">
        <v>1317</v>
      </c>
      <c r="E256" s="416" t="s">
        <v>912</v>
      </c>
      <c r="F256" s="421" t="s">
        <v>1271</v>
      </c>
      <c r="G256" s="416" t="s">
        <v>1278</v>
      </c>
      <c r="H256" s="416" t="s">
        <v>466</v>
      </c>
      <c r="I256" s="416" t="s">
        <v>70</v>
      </c>
      <c r="J256" s="208">
        <v>2652</v>
      </c>
      <c r="K256" s="208">
        <v>5812</v>
      </c>
      <c r="L256" s="208">
        <v>2995</v>
      </c>
      <c r="M256" s="420" t="s">
        <v>589</v>
      </c>
      <c r="N256" s="425">
        <v>8.7899999999999991</v>
      </c>
      <c r="O256" s="344">
        <f>IF(N256&gt;0,1/N256*37.7*68.6,"")</f>
        <v>294.22298065984074</v>
      </c>
      <c r="P256" s="418">
        <v>9.51</v>
      </c>
      <c r="Q256" s="417" t="s">
        <v>1268</v>
      </c>
      <c r="R256" s="416" t="s">
        <v>1267</v>
      </c>
      <c r="S256" s="416" t="s">
        <v>110</v>
      </c>
      <c r="T256" s="415" t="s">
        <v>1266</v>
      </c>
      <c r="U256" s="414"/>
      <c r="V256" s="324" t="str">
        <f>IFERROR(IF(N256&lt;P256,"",(ROUNDDOWN(N256/P256*100,0))),"")</f>
        <v/>
      </c>
    </row>
    <row r="257" spans="2:22" ht="22.5">
      <c r="B257" s="427"/>
      <c r="C257" s="426"/>
      <c r="D257" s="422" t="s">
        <v>1316</v>
      </c>
      <c r="E257" s="416" t="s">
        <v>912</v>
      </c>
      <c r="F257" s="421" t="s">
        <v>1271</v>
      </c>
      <c r="G257" s="416" t="s">
        <v>1278</v>
      </c>
      <c r="H257" s="416" t="s">
        <v>466</v>
      </c>
      <c r="I257" s="416" t="s">
        <v>70</v>
      </c>
      <c r="J257" s="208">
        <v>2652</v>
      </c>
      <c r="K257" s="208">
        <v>5812</v>
      </c>
      <c r="L257" s="208">
        <v>2995</v>
      </c>
      <c r="M257" s="420" t="s">
        <v>589</v>
      </c>
      <c r="N257" s="425">
        <v>9.16</v>
      </c>
      <c r="O257" s="344">
        <f>IF(N257&gt;0,1/N257*37.7*68.6,"")</f>
        <v>282.33842794759829</v>
      </c>
      <c r="P257" s="418">
        <v>9.51</v>
      </c>
      <c r="Q257" s="417" t="s">
        <v>834</v>
      </c>
      <c r="R257" s="416" t="s">
        <v>1267</v>
      </c>
      <c r="S257" s="416" t="s">
        <v>110</v>
      </c>
      <c r="T257" s="415" t="s">
        <v>1266</v>
      </c>
      <c r="U257" s="414"/>
      <c r="V257" s="324" t="str">
        <f>IFERROR(IF(N257&lt;P257,"",(ROUNDDOWN(N257/P257*100,0))),"")</f>
        <v/>
      </c>
    </row>
    <row r="258" spans="2:22" ht="22.5">
      <c r="B258" s="427"/>
      <c r="C258" s="426"/>
      <c r="D258" s="422" t="s">
        <v>1315</v>
      </c>
      <c r="E258" s="416" t="s">
        <v>912</v>
      </c>
      <c r="F258" s="421" t="s">
        <v>1271</v>
      </c>
      <c r="G258" s="416" t="s">
        <v>1278</v>
      </c>
      <c r="H258" s="416" t="s">
        <v>466</v>
      </c>
      <c r="I258" s="416" t="s">
        <v>70</v>
      </c>
      <c r="J258" s="208">
        <v>2652</v>
      </c>
      <c r="K258" s="208">
        <v>5812</v>
      </c>
      <c r="L258" s="208">
        <v>2995</v>
      </c>
      <c r="M258" s="420" t="s">
        <v>589</v>
      </c>
      <c r="N258" s="425">
        <v>9.16</v>
      </c>
      <c r="O258" s="344">
        <f>IF(N258&gt;0,1/N258*37.7*68.6,"")</f>
        <v>282.33842794759829</v>
      </c>
      <c r="P258" s="418">
        <v>9.51</v>
      </c>
      <c r="Q258" s="417" t="s">
        <v>834</v>
      </c>
      <c r="R258" s="416" t="s">
        <v>1267</v>
      </c>
      <c r="S258" s="416" t="s">
        <v>110</v>
      </c>
      <c r="T258" s="415" t="s">
        <v>1266</v>
      </c>
      <c r="U258" s="414"/>
      <c r="V258" s="324" t="str">
        <f>IFERROR(IF(N258&lt;P258,"",(ROUNDDOWN(N258/P258*100,0))),"")</f>
        <v/>
      </c>
    </row>
    <row r="259" spans="2:22" ht="22.5">
      <c r="B259" s="427"/>
      <c r="C259" s="426"/>
      <c r="D259" s="422" t="s">
        <v>1314</v>
      </c>
      <c r="E259" s="416" t="s">
        <v>912</v>
      </c>
      <c r="F259" s="421" t="s">
        <v>1271</v>
      </c>
      <c r="G259" s="416" t="s">
        <v>1278</v>
      </c>
      <c r="H259" s="416" t="s">
        <v>466</v>
      </c>
      <c r="I259" s="416" t="s">
        <v>790</v>
      </c>
      <c r="J259" s="208">
        <v>2979</v>
      </c>
      <c r="K259" s="208">
        <v>6893</v>
      </c>
      <c r="L259" s="208">
        <v>3749</v>
      </c>
      <c r="M259" s="420" t="s">
        <v>589</v>
      </c>
      <c r="N259" s="425">
        <v>8.26</v>
      </c>
      <c r="O259" s="344">
        <f>IF(N259&gt;0,1/N259*37.7*68.6,"")</f>
        <v>313.10169491525426</v>
      </c>
      <c r="P259" s="418">
        <v>8.1199999999999992</v>
      </c>
      <c r="Q259" s="417" t="s">
        <v>834</v>
      </c>
      <c r="R259" s="416" t="s">
        <v>1267</v>
      </c>
      <c r="S259" s="416" t="s">
        <v>34</v>
      </c>
      <c r="T259" s="415" t="s">
        <v>1266</v>
      </c>
      <c r="U259" s="414"/>
      <c r="V259" s="324">
        <f>IFERROR(IF(N259&lt;P259,"",(ROUNDDOWN(N259/P259*100,0))),"")</f>
        <v>101</v>
      </c>
    </row>
    <row r="260" spans="2:22" ht="22.5">
      <c r="B260" s="427"/>
      <c r="C260" s="426"/>
      <c r="D260" s="422" t="s">
        <v>1314</v>
      </c>
      <c r="E260" s="416" t="s">
        <v>912</v>
      </c>
      <c r="F260" s="421" t="s">
        <v>1271</v>
      </c>
      <c r="G260" s="416" t="s">
        <v>1278</v>
      </c>
      <c r="H260" s="416" t="s">
        <v>466</v>
      </c>
      <c r="I260" s="416" t="s">
        <v>71</v>
      </c>
      <c r="J260" s="208">
        <v>2979</v>
      </c>
      <c r="K260" s="208">
        <v>6893</v>
      </c>
      <c r="L260" s="208">
        <v>3749</v>
      </c>
      <c r="M260" s="420" t="s">
        <v>589</v>
      </c>
      <c r="N260" s="425">
        <v>8.23</v>
      </c>
      <c r="O260" s="344">
        <f>IF(N260&gt;0,1/N260*37.7*68.6,"")</f>
        <v>314.24301336573512</v>
      </c>
      <c r="P260" s="418">
        <v>8.1199999999999992</v>
      </c>
      <c r="Q260" s="417" t="s">
        <v>834</v>
      </c>
      <c r="R260" s="416" t="s">
        <v>1267</v>
      </c>
      <c r="S260" s="416" t="s">
        <v>34</v>
      </c>
      <c r="T260" s="415" t="s">
        <v>1266</v>
      </c>
      <c r="U260" s="414"/>
      <c r="V260" s="324">
        <f>IFERROR(IF(N260&lt;P260,"",(ROUNDDOWN(N260/P260*100,0))),"")</f>
        <v>101</v>
      </c>
    </row>
    <row r="261" spans="2:22" ht="22.5">
      <c r="B261" s="427"/>
      <c r="C261" s="426"/>
      <c r="D261" s="422" t="s">
        <v>1313</v>
      </c>
      <c r="E261" s="416" t="s">
        <v>912</v>
      </c>
      <c r="F261" s="421" t="s">
        <v>1271</v>
      </c>
      <c r="G261" s="416" t="s">
        <v>1278</v>
      </c>
      <c r="H261" s="416" t="s">
        <v>466</v>
      </c>
      <c r="I261" s="416" t="s">
        <v>790</v>
      </c>
      <c r="J261" s="208">
        <v>2979</v>
      </c>
      <c r="K261" s="208">
        <v>6893</v>
      </c>
      <c r="L261" s="208">
        <v>3749</v>
      </c>
      <c r="M261" s="420" t="s">
        <v>589</v>
      </c>
      <c r="N261" s="425">
        <v>8.26</v>
      </c>
      <c r="O261" s="344">
        <f>IF(N261&gt;0,1/N261*37.7*68.6,"")</f>
        <v>313.10169491525426</v>
      </c>
      <c r="P261" s="418">
        <v>8.1199999999999992</v>
      </c>
      <c r="Q261" s="417" t="s">
        <v>834</v>
      </c>
      <c r="R261" s="416" t="s">
        <v>1267</v>
      </c>
      <c r="S261" s="416" t="s">
        <v>34</v>
      </c>
      <c r="T261" s="415" t="s">
        <v>1266</v>
      </c>
      <c r="U261" s="414"/>
      <c r="V261" s="324">
        <f>IFERROR(IF(N261&lt;P261,"",(ROUNDDOWN(N261/P261*100,0))),"")</f>
        <v>101</v>
      </c>
    </row>
    <row r="262" spans="2:22" ht="22.5">
      <c r="B262" s="427"/>
      <c r="C262" s="426"/>
      <c r="D262" s="422" t="s">
        <v>1312</v>
      </c>
      <c r="E262" s="416" t="s">
        <v>912</v>
      </c>
      <c r="F262" s="421" t="s">
        <v>1271</v>
      </c>
      <c r="G262" s="416" t="s">
        <v>1278</v>
      </c>
      <c r="H262" s="416" t="s">
        <v>466</v>
      </c>
      <c r="I262" s="416" t="s">
        <v>790</v>
      </c>
      <c r="J262" s="208">
        <v>2979</v>
      </c>
      <c r="K262" s="208">
        <v>6893</v>
      </c>
      <c r="L262" s="208">
        <v>3749</v>
      </c>
      <c r="M262" s="420" t="s">
        <v>589</v>
      </c>
      <c r="N262" s="425">
        <v>8.26</v>
      </c>
      <c r="O262" s="344">
        <f>IF(N262&gt;0,1/N262*37.7*68.6,"")</f>
        <v>313.10169491525426</v>
      </c>
      <c r="P262" s="418">
        <v>8.1199999999999992</v>
      </c>
      <c r="Q262" s="417" t="s">
        <v>834</v>
      </c>
      <c r="R262" s="416" t="s">
        <v>1267</v>
      </c>
      <c r="S262" s="416" t="s">
        <v>34</v>
      </c>
      <c r="T262" s="415" t="s">
        <v>1266</v>
      </c>
      <c r="U262" s="414"/>
      <c r="V262" s="324">
        <f>IFERROR(IF(N262&lt;P262,"",(ROUNDDOWN(N262/P262*100,0))),"")</f>
        <v>101</v>
      </c>
    </row>
    <row r="263" spans="2:22" ht="22.5">
      <c r="B263" s="427"/>
      <c r="C263" s="426"/>
      <c r="D263" s="422" t="s">
        <v>1311</v>
      </c>
      <c r="E263" s="416" t="s">
        <v>912</v>
      </c>
      <c r="F263" s="421" t="s">
        <v>1271</v>
      </c>
      <c r="G263" s="416" t="s">
        <v>1270</v>
      </c>
      <c r="H263" s="416" t="s">
        <v>1269</v>
      </c>
      <c r="I263" s="416" t="s">
        <v>71</v>
      </c>
      <c r="J263" s="208">
        <v>2979</v>
      </c>
      <c r="K263" s="208">
        <v>6893</v>
      </c>
      <c r="L263" s="208">
        <v>3749</v>
      </c>
      <c r="M263" s="420" t="s">
        <v>589</v>
      </c>
      <c r="N263" s="425">
        <v>8.0399999999999991</v>
      </c>
      <c r="O263" s="344">
        <f>IF(N263&gt;0,1/N263*37.7*68.6,"")</f>
        <v>321.66915422885575</v>
      </c>
      <c r="P263" s="418">
        <v>8.1199999999999992</v>
      </c>
      <c r="Q263" s="417" t="s">
        <v>834</v>
      </c>
      <c r="R263" s="416" t="s">
        <v>1267</v>
      </c>
      <c r="S263" s="416" t="s">
        <v>34</v>
      </c>
      <c r="T263" s="415" t="s">
        <v>1266</v>
      </c>
      <c r="U263" s="414"/>
      <c r="V263" s="324" t="str">
        <f>IFERROR(IF(N263&lt;P263,"",(ROUNDDOWN(N263/P263*100,0))),"")</f>
        <v/>
      </c>
    </row>
    <row r="264" spans="2:22" ht="22.5">
      <c r="B264" s="427"/>
      <c r="C264" s="426"/>
      <c r="D264" s="422" t="s">
        <v>1283</v>
      </c>
      <c r="E264" s="416" t="s">
        <v>912</v>
      </c>
      <c r="F264" s="421" t="s">
        <v>1271</v>
      </c>
      <c r="G264" s="416" t="s">
        <v>1278</v>
      </c>
      <c r="H264" s="416" t="s">
        <v>466</v>
      </c>
      <c r="I264" s="416" t="s">
        <v>790</v>
      </c>
      <c r="J264" s="208">
        <v>3543</v>
      </c>
      <c r="K264" s="208">
        <v>7928</v>
      </c>
      <c r="L264" s="208">
        <v>4275</v>
      </c>
      <c r="M264" s="420" t="s">
        <v>589</v>
      </c>
      <c r="N264" s="425">
        <v>7.45</v>
      </c>
      <c r="O264" s="344">
        <f>IF(N264&gt;0,1/N264*37.7*68.6,"")</f>
        <v>347.14362416107377</v>
      </c>
      <c r="P264" s="418">
        <v>7.24</v>
      </c>
      <c r="Q264" s="417" t="s">
        <v>834</v>
      </c>
      <c r="R264" s="416" t="s">
        <v>1267</v>
      </c>
      <c r="S264" s="416" t="s">
        <v>34</v>
      </c>
      <c r="T264" s="415" t="s">
        <v>1266</v>
      </c>
      <c r="U264" s="414"/>
      <c r="V264" s="324">
        <f>IFERROR(IF(N264&lt;P264,"",(ROUNDDOWN(N264/P264*100,0))),"")</f>
        <v>102</v>
      </c>
    </row>
    <row r="265" spans="2:22" ht="22.5">
      <c r="B265" s="427"/>
      <c r="C265" s="426"/>
      <c r="D265" s="422" t="s">
        <v>1283</v>
      </c>
      <c r="E265" s="416" t="s">
        <v>912</v>
      </c>
      <c r="F265" s="421" t="s">
        <v>1271</v>
      </c>
      <c r="G265" s="416" t="s">
        <v>1278</v>
      </c>
      <c r="H265" s="416" t="s">
        <v>466</v>
      </c>
      <c r="I265" s="416" t="s">
        <v>71</v>
      </c>
      <c r="J265" s="208">
        <v>3543</v>
      </c>
      <c r="K265" s="208">
        <v>7928</v>
      </c>
      <c r="L265" s="208">
        <v>4275</v>
      </c>
      <c r="M265" s="420" t="s">
        <v>589</v>
      </c>
      <c r="N265" s="425">
        <v>7.38</v>
      </c>
      <c r="O265" s="344">
        <f>IF(N265&gt;0,1/N265*37.7*68.6,"")</f>
        <v>350.43631436314365</v>
      </c>
      <c r="P265" s="418">
        <v>7.24</v>
      </c>
      <c r="Q265" s="417" t="s">
        <v>834</v>
      </c>
      <c r="R265" s="416" t="s">
        <v>1267</v>
      </c>
      <c r="S265" s="416" t="s">
        <v>34</v>
      </c>
      <c r="T265" s="415" t="s">
        <v>1266</v>
      </c>
      <c r="U265" s="414"/>
      <c r="V265" s="324">
        <f>IFERROR(IF(N265&lt;P265,"",(ROUNDDOWN(N265/P265*100,0))),"")</f>
        <v>101</v>
      </c>
    </row>
    <row r="266" spans="2:22" ht="22.5">
      <c r="B266" s="427"/>
      <c r="C266" s="426"/>
      <c r="D266" s="422" t="s">
        <v>1283</v>
      </c>
      <c r="E266" s="416" t="s">
        <v>912</v>
      </c>
      <c r="F266" s="421" t="s">
        <v>1271</v>
      </c>
      <c r="G266" s="416" t="s">
        <v>1270</v>
      </c>
      <c r="H266" s="416" t="s">
        <v>1269</v>
      </c>
      <c r="I266" s="416" t="s">
        <v>71</v>
      </c>
      <c r="J266" s="208">
        <v>3543</v>
      </c>
      <c r="K266" s="208">
        <v>7928</v>
      </c>
      <c r="L266" s="208">
        <v>4275</v>
      </c>
      <c r="M266" s="420" t="s">
        <v>589</v>
      </c>
      <c r="N266" s="425">
        <v>7.24</v>
      </c>
      <c r="O266" s="344">
        <f>IF(N266&gt;0,1/N266*37.7*68.6,"")</f>
        <v>357.21270718232046</v>
      </c>
      <c r="P266" s="418">
        <v>7.24</v>
      </c>
      <c r="Q266" s="417" t="s">
        <v>834</v>
      </c>
      <c r="R266" s="416" t="s">
        <v>1267</v>
      </c>
      <c r="S266" s="416" t="s">
        <v>34</v>
      </c>
      <c r="T266" s="415" t="s">
        <v>1266</v>
      </c>
      <c r="U266" s="414"/>
      <c r="V266" s="324">
        <f>IFERROR(IF(N266&lt;P266,"",(ROUNDDOWN(N266/P266*100,0))),"")</f>
        <v>100</v>
      </c>
    </row>
    <row r="267" spans="2:22" ht="22.5">
      <c r="B267" s="427"/>
      <c r="C267" s="426"/>
      <c r="D267" s="422" t="s">
        <v>1282</v>
      </c>
      <c r="E267" s="416" t="s">
        <v>912</v>
      </c>
      <c r="F267" s="421" t="s">
        <v>1271</v>
      </c>
      <c r="G267" s="416" t="s">
        <v>1278</v>
      </c>
      <c r="H267" s="416" t="s">
        <v>466</v>
      </c>
      <c r="I267" s="416" t="s">
        <v>790</v>
      </c>
      <c r="J267" s="208">
        <v>3543</v>
      </c>
      <c r="K267" s="208">
        <v>7928</v>
      </c>
      <c r="L267" s="208">
        <v>4275</v>
      </c>
      <c r="M267" s="420" t="s">
        <v>589</v>
      </c>
      <c r="N267" s="425">
        <v>7.45</v>
      </c>
      <c r="O267" s="344">
        <f>IF(N267&gt;0,1/N267*37.7*68.6,"")</f>
        <v>347.14362416107377</v>
      </c>
      <c r="P267" s="418">
        <v>7.24</v>
      </c>
      <c r="Q267" s="417" t="s">
        <v>834</v>
      </c>
      <c r="R267" s="416" t="s">
        <v>1267</v>
      </c>
      <c r="S267" s="416" t="s">
        <v>34</v>
      </c>
      <c r="T267" s="415" t="s">
        <v>1266</v>
      </c>
      <c r="U267" s="414"/>
      <c r="V267" s="324">
        <f>IFERROR(IF(N267&lt;P267,"",(ROUNDDOWN(N267/P267*100,0))),"")</f>
        <v>102</v>
      </c>
    </row>
    <row r="268" spans="2:22" ht="22.5">
      <c r="B268" s="427"/>
      <c r="C268" s="426"/>
      <c r="D268" s="422" t="s">
        <v>1282</v>
      </c>
      <c r="E268" s="416" t="s">
        <v>912</v>
      </c>
      <c r="F268" s="421" t="s">
        <v>1271</v>
      </c>
      <c r="G268" s="416" t="s">
        <v>1278</v>
      </c>
      <c r="H268" s="416" t="s">
        <v>466</v>
      </c>
      <c r="I268" s="416" t="s">
        <v>71</v>
      </c>
      <c r="J268" s="208">
        <v>3543</v>
      </c>
      <c r="K268" s="208">
        <v>7928</v>
      </c>
      <c r="L268" s="208">
        <v>4275</v>
      </c>
      <c r="M268" s="420" t="s">
        <v>589</v>
      </c>
      <c r="N268" s="425">
        <v>7.38</v>
      </c>
      <c r="O268" s="344">
        <f>IF(N268&gt;0,1/N268*37.7*68.6,"")</f>
        <v>350.43631436314365</v>
      </c>
      <c r="P268" s="418">
        <v>7.24</v>
      </c>
      <c r="Q268" s="417" t="s">
        <v>834</v>
      </c>
      <c r="R268" s="416" t="s">
        <v>1267</v>
      </c>
      <c r="S268" s="416" t="s">
        <v>34</v>
      </c>
      <c r="T268" s="415" t="s">
        <v>1266</v>
      </c>
      <c r="U268" s="414"/>
      <c r="V268" s="324">
        <f>IFERROR(IF(N268&lt;P268,"",(ROUNDDOWN(N268/P268*100,0))),"")</f>
        <v>101</v>
      </c>
    </row>
    <row r="269" spans="2:22" ht="22.5">
      <c r="B269" s="427"/>
      <c r="C269" s="426"/>
      <c r="D269" s="422" t="s">
        <v>1282</v>
      </c>
      <c r="E269" s="416" t="s">
        <v>912</v>
      </c>
      <c r="F269" s="421" t="s">
        <v>1271</v>
      </c>
      <c r="G269" s="416" t="s">
        <v>1270</v>
      </c>
      <c r="H269" s="416" t="s">
        <v>1269</v>
      </c>
      <c r="I269" s="416" t="s">
        <v>71</v>
      </c>
      <c r="J269" s="208">
        <v>3543</v>
      </c>
      <c r="K269" s="208">
        <v>7928</v>
      </c>
      <c r="L269" s="208">
        <v>4275</v>
      </c>
      <c r="M269" s="420" t="s">
        <v>589</v>
      </c>
      <c r="N269" s="425">
        <v>7.24</v>
      </c>
      <c r="O269" s="344">
        <f>IF(N269&gt;0,1/N269*37.7*68.6,"")</f>
        <v>357.21270718232046</v>
      </c>
      <c r="P269" s="418">
        <v>7.24</v>
      </c>
      <c r="Q269" s="417" t="s">
        <v>834</v>
      </c>
      <c r="R269" s="416" t="s">
        <v>1267</v>
      </c>
      <c r="S269" s="416" t="s">
        <v>34</v>
      </c>
      <c r="T269" s="415" t="s">
        <v>1266</v>
      </c>
      <c r="U269" s="414"/>
      <c r="V269" s="324">
        <f>IFERROR(IF(N269&lt;P269,"",(ROUNDDOWN(N269/P269*100,0))),"")</f>
        <v>100</v>
      </c>
    </row>
    <row r="270" spans="2:22" ht="22.5">
      <c r="B270" s="427"/>
      <c r="C270" s="426"/>
      <c r="D270" s="422" t="s">
        <v>1279</v>
      </c>
      <c r="E270" s="416" t="s">
        <v>912</v>
      </c>
      <c r="F270" s="421" t="s">
        <v>1271</v>
      </c>
      <c r="G270" s="416" t="s">
        <v>1278</v>
      </c>
      <c r="H270" s="416" t="s">
        <v>466</v>
      </c>
      <c r="I270" s="416" t="s">
        <v>71</v>
      </c>
      <c r="J270" s="208">
        <v>3543</v>
      </c>
      <c r="K270" s="208">
        <v>7928</v>
      </c>
      <c r="L270" s="208">
        <v>4275</v>
      </c>
      <c r="M270" s="420" t="s">
        <v>589</v>
      </c>
      <c r="N270" s="425">
        <v>7.38</v>
      </c>
      <c r="O270" s="344">
        <f>IF(N270&gt;0,1/N270*37.7*68.6,"")</f>
        <v>350.43631436314365</v>
      </c>
      <c r="P270" s="418">
        <v>7.24</v>
      </c>
      <c r="Q270" s="417" t="s">
        <v>834</v>
      </c>
      <c r="R270" s="416" t="s">
        <v>1267</v>
      </c>
      <c r="S270" s="416" t="s">
        <v>34</v>
      </c>
      <c r="T270" s="415" t="s">
        <v>1266</v>
      </c>
      <c r="U270" s="414"/>
      <c r="V270" s="324">
        <f>IFERROR(IF(N270&lt;P270,"",(ROUNDDOWN(N270/P270*100,0))),"")</f>
        <v>101</v>
      </c>
    </row>
    <row r="271" spans="2:22" ht="22.5">
      <c r="B271" s="427"/>
      <c r="C271" s="426"/>
      <c r="D271" s="422" t="s">
        <v>1284</v>
      </c>
      <c r="E271" s="416" t="s">
        <v>912</v>
      </c>
      <c r="F271" s="421" t="s">
        <v>1271</v>
      </c>
      <c r="G271" s="416" t="s">
        <v>1278</v>
      </c>
      <c r="H271" s="416" t="s">
        <v>466</v>
      </c>
      <c r="I271" s="416" t="s">
        <v>71</v>
      </c>
      <c r="J271" s="208">
        <v>3543</v>
      </c>
      <c r="K271" s="208">
        <v>7928</v>
      </c>
      <c r="L271" s="208">
        <v>4275</v>
      </c>
      <c r="M271" s="420" t="s">
        <v>589</v>
      </c>
      <c r="N271" s="425">
        <v>7.38</v>
      </c>
      <c r="O271" s="344">
        <f>IF(N271&gt;0,1/N271*37.7*68.6,"")</f>
        <v>350.43631436314365</v>
      </c>
      <c r="P271" s="418">
        <v>7.24</v>
      </c>
      <c r="Q271" s="417" t="s">
        <v>834</v>
      </c>
      <c r="R271" s="416" t="s">
        <v>1267</v>
      </c>
      <c r="S271" s="416" t="s">
        <v>34</v>
      </c>
      <c r="T271" s="415" t="s">
        <v>1266</v>
      </c>
      <c r="U271" s="414"/>
      <c r="V271" s="324">
        <f>IFERROR(IF(N271&lt;P271,"",(ROUNDDOWN(N271/P271*100,0))),"")</f>
        <v>101</v>
      </c>
    </row>
    <row r="272" spans="2:22" ht="22.5">
      <c r="B272" s="427"/>
      <c r="C272" s="426"/>
      <c r="D272" s="422" t="s">
        <v>1281</v>
      </c>
      <c r="E272" s="416" t="s">
        <v>912</v>
      </c>
      <c r="F272" s="421" t="s">
        <v>1271</v>
      </c>
      <c r="G272" s="416" t="s">
        <v>1270</v>
      </c>
      <c r="H272" s="416" t="s">
        <v>1269</v>
      </c>
      <c r="I272" s="416" t="s">
        <v>71</v>
      </c>
      <c r="J272" s="208">
        <v>3543</v>
      </c>
      <c r="K272" s="208">
        <v>7928</v>
      </c>
      <c r="L272" s="208">
        <v>4275</v>
      </c>
      <c r="M272" s="420" t="s">
        <v>589</v>
      </c>
      <c r="N272" s="425">
        <v>7.24</v>
      </c>
      <c r="O272" s="344">
        <f>IF(N272&gt;0,1/N272*37.7*68.6,"")</f>
        <v>357.21270718232046</v>
      </c>
      <c r="P272" s="418">
        <v>7.24</v>
      </c>
      <c r="Q272" s="417" t="s">
        <v>834</v>
      </c>
      <c r="R272" s="416" t="s">
        <v>1267</v>
      </c>
      <c r="S272" s="416" t="s">
        <v>34</v>
      </c>
      <c r="T272" s="415" t="s">
        <v>1266</v>
      </c>
      <c r="U272" s="414"/>
      <c r="V272" s="324">
        <f>IFERROR(IF(N272&lt;P272,"",(ROUNDDOWN(N272/P272*100,0))),"")</f>
        <v>100</v>
      </c>
    </row>
    <row r="273" spans="2:22" ht="22.5">
      <c r="B273" s="427"/>
      <c r="C273" s="426"/>
      <c r="D273" s="422" t="s">
        <v>1274</v>
      </c>
      <c r="E273" s="416" t="s">
        <v>912</v>
      </c>
      <c r="F273" s="421" t="s">
        <v>1271</v>
      </c>
      <c r="G273" s="416" t="s">
        <v>1270</v>
      </c>
      <c r="H273" s="416" t="s">
        <v>1269</v>
      </c>
      <c r="I273" s="416" t="s">
        <v>71</v>
      </c>
      <c r="J273" s="208">
        <v>3543</v>
      </c>
      <c r="K273" s="208">
        <v>7928</v>
      </c>
      <c r="L273" s="208">
        <v>4275</v>
      </c>
      <c r="M273" s="420" t="s">
        <v>589</v>
      </c>
      <c r="N273" s="425">
        <v>7.07</v>
      </c>
      <c r="O273" s="344">
        <f>IF(N273&gt;0,1/N273*37.7*68.6,"")</f>
        <v>365.80198019801975</v>
      </c>
      <c r="P273" s="418">
        <v>7.24</v>
      </c>
      <c r="Q273" s="417" t="s">
        <v>1268</v>
      </c>
      <c r="R273" s="416" t="s">
        <v>1267</v>
      </c>
      <c r="S273" s="416" t="s">
        <v>34</v>
      </c>
      <c r="T273" s="415" t="s">
        <v>1266</v>
      </c>
      <c r="U273" s="414"/>
      <c r="V273" s="324" t="str">
        <f>IFERROR(IF(N273&lt;P273,"",(ROUNDDOWN(N273/P273*100,0))),"")</f>
        <v/>
      </c>
    </row>
    <row r="274" spans="2:22" ht="22.5">
      <c r="B274" s="427"/>
      <c r="C274" s="426"/>
      <c r="D274" s="422" t="s">
        <v>1273</v>
      </c>
      <c r="E274" s="416" t="s">
        <v>912</v>
      </c>
      <c r="F274" s="421" t="s">
        <v>1271</v>
      </c>
      <c r="G274" s="416" t="s">
        <v>1270</v>
      </c>
      <c r="H274" s="416" t="s">
        <v>1269</v>
      </c>
      <c r="I274" s="416" t="s">
        <v>71</v>
      </c>
      <c r="J274" s="208">
        <v>3543</v>
      </c>
      <c r="K274" s="208">
        <v>7928</v>
      </c>
      <c r="L274" s="208">
        <v>4275</v>
      </c>
      <c r="M274" s="420" t="s">
        <v>589</v>
      </c>
      <c r="N274" s="425">
        <v>7.07</v>
      </c>
      <c r="O274" s="344">
        <f>IF(N274&gt;0,1/N274*37.7*68.6,"")</f>
        <v>365.80198019801975</v>
      </c>
      <c r="P274" s="418">
        <v>7.24</v>
      </c>
      <c r="Q274" s="417" t="s">
        <v>1268</v>
      </c>
      <c r="R274" s="416" t="s">
        <v>1267</v>
      </c>
      <c r="S274" s="416" t="s">
        <v>34</v>
      </c>
      <c r="T274" s="415" t="s">
        <v>1266</v>
      </c>
      <c r="U274" s="414"/>
      <c r="V274" s="324" t="str">
        <f>IFERROR(IF(N274&lt;P274,"",(ROUNDDOWN(N274/P274*100,0))),"")</f>
        <v/>
      </c>
    </row>
    <row r="275" spans="2:22" ht="22.5">
      <c r="B275" s="427"/>
      <c r="C275" s="426"/>
      <c r="D275" s="422" t="s">
        <v>1272</v>
      </c>
      <c r="E275" s="416" t="s">
        <v>912</v>
      </c>
      <c r="F275" s="421" t="s">
        <v>1271</v>
      </c>
      <c r="G275" s="416" t="s">
        <v>1270</v>
      </c>
      <c r="H275" s="416" t="s">
        <v>1269</v>
      </c>
      <c r="I275" s="416" t="s">
        <v>71</v>
      </c>
      <c r="J275" s="208">
        <v>3543</v>
      </c>
      <c r="K275" s="208">
        <v>7928</v>
      </c>
      <c r="L275" s="208">
        <v>4275</v>
      </c>
      <c r="M275" s="420" t="s">
        <v>589</v>
      </c>
      <c r="N275" s="425">
        <v>7.07</v>
      </c>
      <c r="O275" s="344">
        <f>IF(N275&gt;0,1/N275*37.7*68.6,"")</f>
        <v>365.80198019801975</v>
      </c>
      <c r="P275" s="418">
        <v>7.24</v>
      </c>
      <c r="Q275" s="417" t="s">
        <v>1268</v>
      </c>
      <c r="R275" s="416" t="s">
        <v>1267</v>
      </c>
      <c r="S275" s="416" t="s">
        <v>34</v>
      </c>
      <c r="T275" s="415" t="s">
        <v>1266</v>
      </c>
      <c r="U275" s="414"/>
      <c r="V275" s="324" t="str">
        <f>IFERROR(IF(N275&lt;P275,"",(ROUNDDOWN(N275/P275*100,0))),"")</f>
        <v/>
      </c>
    </row>
    <row r="276" spans="2:22" ht="22.5">
      <c r="B276" s="413" t="s">
        <v>1253</v>
      </c>
      <c r="C276" s="428" t="s">
        <v>1310</v>
      </c>
      <c r="D276" s="435" t="s">
        <v>1309</v>
      </c>
      <c r="E276" s="416" t="s">
        <v>979</v>
      </c>
      <c r="F276" s="421" t="s">
        <v>1271</v>
      </c>
      <c r="G276" s="416" t="s">
        <v>1270</v>
      </c>
      <c r="H276" s="416">
        <v>110</v>
      </c>
      <c r="I276" s="416" t="s">
        <v>839</v>
      </c>
      <c r="J276" s="208">
        <v>2979</v>
      </c>
      <c r="K276" s="208">
        <v>6893</v>
      </c>
      <c r="L276" s="416">
        <v>3749</v>
      </c>
      <c r="M276" s="420" t="s">
        <v>589</v>
      </c>
      <c r="N276" s="434" t="s">
        <v>1308</v>
      </c>
      <c r="O276" s="436">
        <f>IF(N276&gt;0,1/N276*37.7*68.6,"")</f>
        <v>243.98301886792456</v>
      </c>
      <c r="P276" s="418">
        <v>8.1199999999999992</v>
      </c>
      <c r="Q276" s="417" t="s">
        <v>1307</v>
      </c>
      <c r="R276" s="416" t="s">
        <v>1267</v>
      </c>
      <c r="S276" s="416" t="s">
        <v>34</v>
      </c>
      <c r="T276" s="415"/>
      <c r="U276" s="414"/>
      <c r="V276" s="28">
        <f>IFERROR(IF(N276&lt;P276,"",(ROUNDDOWN(N276/P276*100,0))),"")</f>
        <v>130</v>
      </c>
    </row>
    <row r="277" spans="2:22" ht="22.5">
      <c r="B277" s="427"/>
      <c r="C277" s="426"/>
      <c r="D277" s="435" t="s">
        <v>1306</v>
      </c>
      <c r="E277" s="416" t="s">
        <v>912</v>
      </c>
      <c r="F277" s="421" t="s">
        <v>1271</v>
      </c>
      <c r="G277" s="416" t="s">
        <v>1278</v>
      </c>
      <c r="H277" s="416">
        <v>110</v>
      </c>
      <c r="I277" s="416" t="s">
        <v>790</v>
      </c>
      <c r="J277" s="208">
        <v>2979</v>
      </c>
      <c r="K277" s="208">
        <v>6893</v>
      </c>
      <c r="L277" s="416">
        <v>3749</v>
      </c>
      <c r="M277" s="420" t="s">
        <v>589</v>
      </c>
      <c r="N277" s="430" t="s">
        <v>1303</v>
      </c>
      <c r="O277" s="23">
        <f>IF(N277&gt;0,1/N277*37.7*68.6,"")</f>
        <v>293.88863636363635</v>
      </c>
      <c r="P277" s="418">
        <v>8.1199999999999992</v>
      </c>
      <c r="Q277" s="417" t="s">
        <v>834</v>
      </c>
      <c r="R277" s="416" t="s">
        <v>1267</v>
      </c>
      <c r="S277" s="416" t="s">
        <v>34</v>
      </c>
      <c r="T277" s="415"/>
      <c r="U277" s="414"/>
      <c r="V277" s="28">
        <f>IFERROR(IF(N277&lt;P277,"",(ROUNDDOWN(N277/P277*100,0))),"")</f>
        <v>108</v>
      </c>
    </row>
    <row r="278" spans="2:22" ht="22.5">
      <c r="B278" s="427"/>
      <c r="C278" s="426"/>
      <c r="D278" s="435" t="s">
        <v>1306</v>
      </c>
      <c r="E278" s="416" t="s">
        <v>912</v>
      </c>
      <c r="F278" s="421" t="s">
        <v>1271</v>
      </c>
      <c r="G278" s="416" t="s">
        <v>1278</v>
      </c>
      <c r="H278" s="416">
        <v>110</v>
      </c>
      <c r="I278" s="416" t="s">
        <v>71</v>
      </c>
      <c r="J278" s="208">
        <v>2979</v>
      </c>
      <c r="K278" s="208">
        <v>6893</v>
      </c>
      <c r="L278" s="416">
        <v>3749</v>
      </c>
      <c r="M278" s="420" t="s">
        <v>589</v>
      </c>
      <c r="N278" s="430" t="s">
        <v>1301</v>
      </c>
      <c r="O278" s="23">
        <f>IF(N278&gt;0,1/N278*37.7*68.6,"")</f>
        <v>297.26666666666671</v>
      </c>
      <c r="P278" s="418">
        <v>8.1199999999999992</v>
      </c>
      <c r="Q278" s="417" t="s">
        <v>834</v>
      </c>
      <c r="R278" s="416" t="s">
        <v>1267</v>
      </c>
      <c r="S278" s="416" t="s">
        <v>34</v>
      </c>
      <c r="T278" s="415"/>
      <c r="U278" s="414"/>
      <c r="V278" s="28">
        <f>IFERROR(IF(N278&lt;P278,"",(ROUNDDOWN(N278/P278*100,0))),"")</f>
        <v>107</v>
      </c>
    </row>
    <row r="279" spans="2:22" ht="22.5">
      <c r="B279" s="427"/>
      <c r="C279" s="426"/>
      <c r="D279" s="435" t="s">
        <v>1305</v>
      </c>
      <c r="E279" s="416" t="s">
        <v>912</v>
      </c>
      <c r="F279" s="421" t="s">
        <v>1271</v>
      </c>
      <c r="G279" s="416" t="s">
        <v>1278</v>
      </c>
      <c r="H279" s="416">
        <v>110</v>
      </c>
      <c r="I279" s="416" t="s">
        <v>71</v>
      </c>
      <c r="J279" s="208">
        <v>2979</v>
      </c>
      <c r="K279" s="208">
        <v>6893</v>
      </c>
      <c r="L279" s="416">
        <v>3749</v>
      </c>
      <c r="M279" s="420" t="s">
        <v>589</v>
      </c>
      <c r="N279" s="430" t="s">
        <v>1301</v>
      </c>
      <c r="O279" s="23">
        <f>IF(N279&gt;0,1/N279*37.7*68.6,"")</f>
        <v>297.26666666666671</v>
      </c>
      <c r="P279" s="418">
        <v>8.1199999999999992</v>
      </c>
      <c r="Q279" s="417" t="s">
        <v>834</v>
      </c>
      <c r="R279" s="416" t="s">
        <v>1267</v>
      </c>
      <c r="S279" s="416" t="s">
        <v>34</v>
      </c>
      <c r="T279" s="415"/>
      <c r="U279" s="414"/>
      <c r="V279" s="28">
        <f>IFERROR(IF(N279&lt;P279,"",(ROUNDDOWN(N279/P279*100,0))),"")</f>
        <v>107</v>
      </c>
    </row>
    <row r="280" spans="2:22" ht="22.5">
      <c r="B280" s="427"/>
      <c r="C280" s="426"/>
      <c r="D280" s="435" t="s">
        <v>1304</v>
      </c>
      <c r="E280" s="416" t="s">
        <v>912</v>
      </c>
      <c r="F280" s="421" t="s">
        <v>1271</v>
      </c>
      <c r="G280" s="416" t="s">
        <v>1278</v>
      </c>
      <c r="H280" s="416">
        <v>110</v>
      </c>
      <c r="I280" s="416" t="s">
        <v>790</v>
      </c>
      <c r="J280" s="208">
        <v>2979</v>
      </c>
      <c r="K280" s="208">
        <v>6893</v>
      </c>
      <c r="L280" s="416">
        <v>3749</v>
      </c>
      <c r="M280" s="420" t="s">
        <v>589</v>
      </c>
      <c r="N280" s="430" t="s">
        <v>1303</v>
      </c>
      <c r="O280" s="23">
        <f>IF(N280&gt;0,1/N280*37.7*68.6,"")</f>
        <v>293.88863636363635</v>
      </c>
      <c r="P280" s="418">
        <v>8.1199999999999992</v>
      </c>
      <c r="Q280" s="417" t="s">
        <v>834</v>
      </c>
      <c r="R280" s="416" t="s">
        <v>1267</v>
      </c>
      <c r="S280" s="416" t="s">
        <v>34</v>
      </c>
      <c r="T280" s="415"/>
      <c r="U280" s="414"/>
      <c r="V280" s="28">
        <f>IFERROR(IF(N280&lt;P280,"",(ROUNDDOWN(N280/P280*100,0))),"")</f>
        <v>108</v>
      </c>
    </row>
    <row r="281" spans="2:22" ht="22.5">
      <c r="B281" s="427"/>
      <c r="C281" s="426"/>
      <c r="D281" s="435" t="s">
        <v>1304</v>
      </c>
      <c r="E281" s="416" t="s">
        <v>912</v>
      </c>
      <c r="F281" s="421" t="s">
        <v>1271</v>
      </c>
      <c r="G281" s="416" t="s">
        <v>1278</v>
      </c>
      <c r="H281" s="416">
        <v>110</v>
      </c>
      <c r="I281" s="416" t="s">
        <v>71</v>
      </c>
      <c r="J281" s="208">
        <v>2979</v>
      </c>
      <c r="K281" s="208">
        <v>6893</v>
      </c>
      <c r="L281" s="416">
        <v>3749</v>
      </c>
      <c r="M281" s="420" t="s">
        <v>589</v>
      </c>
      <c r="N281" s="430" t="s">
        <v>1301</v>
      </c>
      <c r="O281" s="23">
        <f>IF(N281&gt;0,1/N281*37.7*68.6,"")</f>
        <v>297.26666666666671</v>
      </c>
      <c r="P281" s="418">
        <v>8.1199999999999992</v>
      </c>
      <c r="Q281" s="417" t="s">
        <v>834</v>
      </c>
      <c r="R281" s="416" t="s">
        <v>1267</v>
      </c>
      <c r="S281" s="416" t="s">
        <v>34</v>
      </c>
      <c r="T281" s="415"/>
      <c r="U281" s="414"/>
      <c r="V281" s="28">
        <f>IFERROR(IF(N281&lt;P281,"",(ROUNDDOWN(N281/P281*100,0))),"")</f>
        <v>107</v>
      </c>
    </row>
    <row r="282" spans="2:22" ht="22.5">
      <c r="B282" s="427"/>
      <c r="C282" s="426"/>
      <c r="D282" s="435" t="s">
        <v>1302</v>
      </c>
      <c r="E282" s="416" t="s">
        <v>912</v>
      </c>
      <c r="F282" s="421" t="s">
        <v>1271</v>
      </c>
      <c r="G282" s="416" t="s">
        <v>1278</v>
      </c>
      <c r="H282" s="416">
        <v>110</v>
      </c>
      <c r="I282" s="416" t="s">
        <v>790</v>
      </c>
      <c r="J282" s="208">
        <v>2979</v>
      </c>
      <c r="K282" s="208">
        <v>6893</v>
      </c>
      <c r="L282" s="416">
        <v>3749</v>
      </c>
      <c r="M282" s="420" t="s">
        <v>589</v>
      </c>
      <c r="N282" s="430" t="s">
        <v>1303</v>
      </c>
      <c r="O282" s="23">
        <f>IF(N282&gt;0,1/N282*37.7*68.6,"")</f>
        <v>293.88863636363635</v>
      </c>
      <c r="P282" s="418">
        <v>8.1199999999999992</v>
      </c>
      <c r="Q282" s="417" t="s">
        <v>834</v>
      </c>
      <c r="R282" s="416" t="s">
        <v>1267</v>
      </c>
      <c r="S282" s="416" t="s">
        <v>34</v>
      </c>
      <c r="T282" s="415"/>
      <c r="U282" s="414"/>
      <c r="V282" s="28">
        <f>IFERROR(IF(N282&lt;P282,"",(ROUNDDOWN(N282/P282*100,0))),"")</f>
        <v>108</v>
      </c>
    </row>
    <row r="283" spans="2:22" ht="22.5">
      <c r="B283" s="427"/>
      <c r="C283" s="426"/>
      <c r="D283" s="435" t="s">
        <v>1302</v>
      </c>
      <c r="E283" s="416" t="s">
        <v>912</v>
      </c>
      <c r="F283" s="421" t="s">
        <v>1271</v>
      </c>
      <c r="G283" s="416" t="s">
        <v>1278</v>
      </c>
      <c r="H283" s="416">
        <v>110</v>
      </c>
      <c r="I283" s="416" t="s">
        <v>71</v>
      </c>
      <c r="J283" s="208">
        <v>2979</v>
      </c>
      <c r="K283" s="208">
        <v>6893</v>
      </c>
      <c r="L283" s="416">
        <v>3749</v>
      </c>
      <c r="M283" s="420" t="s">
        <v>589</v>
      </c>
      <c r="N283" s="425" t="s">
        <v>1301</v>
      </c>
      <c r="O283" s="23">
        <f>IF(N283&gt;0,1/N283*37.7*68.6,"")</f>
        <v>297.26666666666671</v>
      </c>
      <c r="P283" s="418">
        <v>8.1199999999999992</v>
      </c>
      <c r="Q283" s="417" t="s">
        <v>834</v>
      </c>
      <c r="R283" s="416" t="s">
        <v>1267</v>
      </c>
      <c r="S283" s="416" t="s">
        <v>34</v>
      </c>
      <c r="T283" s="415"/>
      <c r="U283" s="414"/>
      <c r="V283" s="28">
        <f>IFERROR(IF(N283&lt;P283,"",(ROUNDDOWN(N283/P283*100,0))),"")</f>
        <v>107</v>
      </c>
    </row>
    <row r="284" spans="2:22" ht="22.5">
      <c r="B284" s="427"/>
      <c r="C284" s="426"/>
      <c r="D284" s="435" t="s">
        <v>1284</v>
      </c>
      <c r="E284" s="416" t="s">
        <v>912</v>
      </c>
      <c r="F284" s="421" t="s">
        <v>1271</v>
      </c>
      <c r="G284" s="416">
        <v>470</v>
      </c>
      <c r="H284" s="416">
        <v>132</v>
      </c>
      <c r="I284" s="416" t="s">
        <v>71</v>
      </c>
      <c r="J284" s="208">
        <v>3543</v>
      </c>
      <c r="K284" s="208">
        <v>7928</v>
      </c>
      <c r="L284" s="416">
        <v>4275</v>
      </c>
      <c r="M284" s="420" t="s">
        <v>589</v>
      </c>
      <c r="N284" s="430" t="s">
        <v>1300</v>
      </c>
      <c r="O284" s="23">
        <f>IF(N284&gt;0,1/N284*37.7*68.6,"")</f>
        <v>349.48918918918912</v>
      </c>
      <c r="P284" s="418">
        <v>7.24</v>
      </c>
      <c r="Q284" s="417" t="s">
        <v>834</v>
      </c>
      <c r="R284" s="416" t="s">
        <v>1267</v>
      </c>
      <c r="S284" s="416" t="s">
        <v>34</v>
      </c>
      <c r="T284" s="415"/>
      <c r="U284" s="414"/>
      <c r="V284" s="28">
        <f>IFERROR(IF(N284&lt;P284,"",(ROUNDDOWN(N284/P284*100,0))),"")</f>
        <v>102</v>
      </c>
    </row>
    <row r="285" spans="2:22" ht="22.5">
      <c r="B285" s="427"/>
      <c r="C285" s="426"/>
      <c r="D285" s="435" t="s">
        <v>1284</v>
      </c>
      <c r="E285" s="416" t="s">
        <v>912</v>
      </c>
      <c r="F285" s="421" t="s">
        <v>1271</v>
      </c>
      <c r="G285" s="416">
        <v>470</v>
      </c>
      <c r="H285" s="416">
        <v>132</v>
      </c>
      <c r="I285" s="416" t="s">
        <v>71</v>
      </c>
      <c r="J285" s="208">
        <v>3543</v>
      </c>
      <c r="K285" s="208">
        <v>7928</v>
      </c>
      <c r="L285" s="416">
        <v>4275</v>
      </c>
      <c r="M285" s="420" t="s">
        <v>589</v>
      </c>
      <c r="N285" s="430" t="s">
        <v>1299</v>
      </c>
      <c r="O285" s="23">
        <f>IF(N285&gt;0,1/N285*37.7*68.6,"")</f>
        <v>354.27671232876708</v>
      </c>
      <c r="P285" s="418">
        <v>7.24</v>
      </c>
      <c r="Q285" s="417" t="s">
        <v>831</v>
      </c>
      <c r="R285" s="416" t="s">
        <v>1267</v>
      </c>
      <c r="S285" s="416" t="s">
        <v>34</v>
      </c>
      <c r="T285" s="415"/>
      <c r="U285" s="414"/>
      <c r="V285" s="28">
        <f>IFERROR(IF(N285&lt;P285,"",(ROUNDDOWN(N285/P285*100,0))),"")</f>
        <v>100</v>
      </c>
    </row>
    <row r="286" spans="2:22" ht="22.5">
      <c r="B286" s="427"/>
      <c r="C286" s="426"/>
      <c r="D286" s="435" t="s">
        <v>1277</v>
      </c>
      <c r="E286" s="416" t="s">
        <v>912</v>
      </c>
      <c r="F286" s="421" t="s">
        <v>1271</v>
      </c>
      <c r="G286" s="416" t="s">
        <v>1270</v>
      </c>
      <c r="H286" s="416">
        <v>132</v>
      </c>
      <c r="I286" s="416" t="s">
        <v>71</v>
      </c>
      <c r="J286" s="208">
        <v>3543</v>
      </c>
      <c r="K286" s="208">
        <v>7928</v>
      </c>
      <c r="L286" s="416">
        <v>4275</v>
      </c>
      <c r="M286" s="420" t="s">
        <v>589</v>
      </c>
      <c r="N286" s="430" t="s">
        <v>1300</v>
      </c>
      <c r="O286" s="23">
        <f>IF(N286&gt;0,1/N286*37.7*68.6,"")</f>
        <v>349.48918918918912</v>
      </c>
      <c r="P286" s="418">
        <v>7.24</v>
      </c>
      <c r="Q286" s="417" t="s">
        <v>834</v>
      </c>
      <c r="R286" s="416" t="s">
        <v>1267</v>
      </c>
      <c r="S286" s="416" t="s">
        <v>34</v>
      </c>
      <c r="T286" s="415"/>
      <c r="U286" s="414"/>
      <c r="V286" s="28">
        <f>IFERROR(IF(N286&lt;P286,"",(ROUNDDOWN(N286/P286*100,0))),"")</f>
        <v>102</v>
      </c>
    </row>
    <row r="287" spans="2:22" ht="22.5">
      <c r="B287" s="427"/>
      <c r="C287" s="426"/>
      <c r="D287" s="435" t="s">
        <v>1277</v>
      </c>
      <c r="E287" s="416" t="s">
        <v>912</v>
      </c>
      <c r="F287" s="421" t="s">
        <v>1271</v>
      </c>
      <c r="G287" s="416" t="s">
        <v>1270</v>
      </c>
      <c r="H287" s="416">
        <v>132</v>
      </c>
      <c r="I287" s="416" t="s">
        <v>71</v>
      </c>
      <c r="J287" s="208">
        <v>3543</v>
      </c>
      <c r="K287" s="208">
        <v>7928</v>
      </c>
      <c r="L287" s="416">
        <v>4275</v>
      </c>
      <c r="M287" s="420" t="s">
        <v>589</v>
      </c>
      <c r="N287" s="430" t="s">
        <v>1299</v>
      </c>
      <c r="O287" s="23">
        <f>IF(N287&gt;0,1/N287*37.7*68.6,"")</f>
        <v>354.27671232876708</v>
      </c>
      <c r="P287" s="418">
        <v>7.24</v>
      </c>
      <c r="Q287" s="417" t="s">
        <v>831</v>
      </c>
      <c r="R287" s="416" t="s">
        <v>1267</v>
      </c>
      <c r="S287" s="416" t="s">
        <v>34</v>
      </c>
      <c r="T287" s="415"/>
      <c r="U287" s="414"/>
      <c r="V287" s="28">
        <f>IFERROR(IF(N287&lt;P287,"",(ROUNDDOWN(N287/P287*100,0))),"")</f>
        <v>100</v>
      </c>
    </row>
    <row r="288" spans="2:22" ht="22.5">
      <c r="B288" s="427"/>
      <c r="C288" s="426"/>
      <c r="D288" s="435" t="s">
        <v>1283</v>
      </c>
      <c r="E288" s="416" t="s">
        <v>912</v>
      </c>
      <c r="F288" s="421" t="s">
        <v>1271</v>
      </c>
      <c r="G288" s="416">
        <v>470</v>
      </c>
      <c r="H288" s="416">
        <v>132</v>
      </c>
      <c r="I288" s="416" t="s">
        <v>71</v>
      </c>
      <c r="J288" s="208">
        <v>3543</v>
      </c>
      <c r="K288" s="208">
        <v>7928</v>
      </c>
      <c r="L288" s="416">
        <v>4275</v>
      </c>
      <c r="M288" s="420" t="s">
        <v>589</v>
      </c>
      <c r="N288" s="430" t="s">
        <v>1300</v>
      </c>
      <c r="O288" s="23">
        <f>IF(N288&gt;0,1/N288*37.7*68.6,"")</f>
        <v>349.48918918918912</v>
      </c>
      <c r="P288" s="418">
        <v>7.24</v>
      </c>
      <c r="Q288" s="417" t="s">
        <v>834</v>
      </c>
      <c r="R288" s="416" t="s">
        <v>1267</v>
      </c>
      <c r="S288" s="416" t="s">
        <v>34</v>
      </c>
      <c r="T288" s="415"/>
      <c r="U288" s="414"/>
      <c r="V288" s="28">
        <f>IFERROR(IF(N288&lt;P288,"",(ROUNDDOWN(N288/P288*100,0))),"")</f>
        <v>102</v>
      </c>
    </row>
    <row r="289" spans="2:22" ht="22.5">
      <c r="B289" s="427"/>
      <c r="C289" s="426"/>
      <c r="D289" s="435" t="s">
        <v>1283</v>
      </c>
      <c r="E289" s="416" t="s">
        <v>912</v>
      </c>
      <c r="F289" s="421" t="s">
        <v>1271</v>
      </c>
      <c r="G289" s="416">
        <v>470</v>
      </c>
      <c r="H289" s="416">
        <v>132</v>
      </c>
      <c r="I289" s="416" t="s">
        <v>71</v>
      </c>
      <c r="J289" s="208">
        <v>3543</v>
      </c>
      <c r="K289" s="208">
        <v>7928</v>
      </c>
      <c r="L289" s="416">
        <v>4275</v>
      </c>
      <c r="M289" s="420" t="s">
        <v>589</v>
      </c>
      <c r="N289" s="430">
        <v>7.3</v>
      </c>
      <c r="O289" s="23">
        <f>IF(N289&gt;0,1/N289*37.7*68.6,"")</f>
        <v>354.27671232876708</v>
      </c>
      <c r="P289" s="418">
        <v>7.24</v>
      </c>
      <c r="Q289" s="417" t="s">
        <v>831</v>
      </c>
      <c r="R289" s="416" t="s">
        <v>1267</v>
      </c>
      <c r="S289" s="416" t="s">
        <v>34</v>
      </c>
      <c r="T289" s="415"/>
      <c r="U289" s="414"/>
      <c r="V289" s="28">
        <f>IFERROR(IF(N289&lt;P289,"",(ROUNDDOWN(N289/P289*100,0))),"")</f>
        <v>100</v>
      </c>
    </row>
    <row r="290" spans="2:22" ht="22.5">
      <c r="B290" s="427"/>
      <c r="C290" s="426"/>
      <c r="D290" s="435" t="s">
        <v>1282</v>
      </c>
      <c r="E290" s="416" t="s">
        <v>912</v>
      </c>
      <c r="F290" s="421" t="s">
        <v>1271</v>
      </c>
      <c r="G290" s="416">
        <v>470</v>
      </c>
      <c r="H290" s="416">
        <v>132</v>
      </c>
      <c r="I290" s="416" t="s">
        <v>71</v>
      </c>
      <c r="J290" s="208">
        <v>3543</v>
      </c>
      <c r="K290" s="208">
        <v>7928</v>
      </c>
      <c r="L290" s="416">
        <v>4275</v>
      </c>
      <c r="M290" s="420" t="s">
        <v>589</v>
      </c>
      <c r="N290" s="430" t="s">
        <v>1300</v>
      </c>
      <c r="O290" s="23">
        <f>IF(N290&gt;0,1/N290*37.7*68.6,"")</f>
        <v>349.48918918918912</v>
      </c>
      <c r="P290" s="418">
        <v>7.24</v>
      </c>
      <c r="Q290" s="417" t="s">
        <v>834</v>
      </c>
      <c r="R290" s="416" t="s">
        <v>1267</v>
      </c>
      <c r="S290" s="416" t="s">
        <v>34</v>
      </c>
      <c r="T290" s="415"/>
      <c r="U290" s="414"/>
      <c r="V290" s="28">
        <f>IFERROR(IF(N290&lt;P290,"",(ROUNDDOWN(N290/P290*100,0))),"")</f>
        <v>102</v>
      </c>
    </row>
    <row r="291" spans="2:22" ht="22.5">
      <c r="B291" s="427"/>
      <c r="C291" s="426"/>
      <c r="D291" s="435" t="s">
        <v>1282</v>
      </c>
      <c r="E291" s="416" t="s">
        <v>912</v>
      </c>
      <c r="F291" s="421" t="s">
        <v>1271</v>
      </c>
      <c r="G291" s="416">
        <v>470</v>
      </c>
      <c r="H291" s="416">
        <v>132</v>
      </c>
      <c r="I291" s="416" t="s">
        <v>71</v>
      </c>
      <c r="J291" s="208">
        <v>3543</v>
      </c>
      <c r="K291" s="208">
        <v>7928</v>
      </c>
      <c r="L291" s="416">
        <v>4275</v>
      </c>
      <c r="M291" s="420" t="s">
        <v>589</v>
      </c>
      <c r="N291" s="430">
        <v>7.3</v>
      </c>
      <c r="O291" s="23">
        <f>IF(N291&gt;0,1/N291*37.7*68.6,"")</f>
        <v>354.27671232876708</v>
      </c>
      <c r="P291" s="418">
        <v>7.24</v>
      </c>
      <c r="Q291" s="417" t="s">
        <v>831</v>
      </c>
      <c r="R291" s="416" t="s">
        <v>1267</v>
      </c>
      <c r="S291" s="416" t="s">
        <v>34</v>
      </c>
      <c r="T291" s="415"/>
      <c r="U291" s="414"/>
      <c r="V291" s="28">
        <f>IFERROR(IF(N291&lt;P291,"",(ROUNDDOWN(N291/P291*100,0))),"")</f>
        <v>100</v>
      </c>
    </row>
    <row r="292" spans="2:22" ht="22.5">
      <c r="B292" s="427"/>
      <c r="C292" s="426"/>
      <c r="D292" s="435" t="s">
        <v>1281</v>
      </c>
      <c r="E292" s="416" t="s">
        <v>912</v>
      </c>
      <c r="F292" s="421" t="s">
        <v>1271</v>
      </c>
      <c r="G292" s="416" t="s">
        <v>1270</v>
      </c>
      <c r="H292" s="416">
        <v>132</v>
      </c>
      <c r="I292" s="416" t="s">
        <v>71</v>
      </c>
      <c r="J292" s="208">
        <v>3543</v>
      </c>
      <c r="K292" s="208">
        <v>7928</v>
      </c>
      <c r="L292" s="416">
        <v>4275</v>
      </c>
      <c r="M292" s="420" t="s">
        <v>589</v>
      </c>
      <c r="N292" s="430" t="s">
        <v>1300</v>
      </c>
      <c r="O292" s="23">
        <f>IF(N292&gt;0,1/N292*37.7*68.6,"")</f>
        <v>349.48918918918912</v>
      </c>
      <c r="P292" s="418">
        <v>7.24</v>
      </c>
      <c r="Q292" s="417" t="s">
        <v>834</v>
      </c>
      <c r="R292" s="416" t="s">
        <v>1267</v>
      </c>
      <c r="S292" s="416" t="s">
        <v>34</v>
      </c>
      <c r="T292" s="415"/>
      <c r="U292" s="414"/>
      <c r="V292" s="28">
        <f>IFERROR(IF(N292&lt;P292,"",(ROUNDDOWN(N292/P292*100,0))),"")</f>
        <v>102</v>
      </c>
    </row>
    <row r="293" spans="2:22" ht="22.5">
      <c r="B293" s="427"/>
      <c r="C293" s="426"/>
      <c r="D293" s="435" t="s">
        <v>1281</v>
      </c>
      <c r="E293" s="416" t="s">
        <v>912</v>
      </c>
      <c r="F293" s="421" t="s">
        <v>1271</v>
      </c>
      <c r="G293" s="416" t="s">
        <v>1270</v>
      </c>
      <c r="H293" s="416">
        <v>132</v>
      </c>
      <c r="I293" s="416" t="s">
        <v>71</v>
      </c>
      <c r="J293" s="208">
        <v>3543</v>
      </c>
      <c r="K293" s="208">
        <v>7928</v>
      </c>
      <c r="L293" s="416">
        <v>4275</v>
      </c>
      <c r="M293" s="420" t="s">
        <v>589</v>
      </c>
      <c r="N293" s="425" t="s">
        <v>1299</v>
      </c>
      <c r="O293" s="23">
        <f>IF(N293&gt;0,1/N293*37.7*68.6,"")</f>
        <v>354.27671232876708</v>
      </c>
      <c r="P293" s="418">
        <v>7.24</v>
      </c>
      <c r="Q293" s="417" t="s">
        <v>831</v>
      </c>
      <c r="R293" s="416" t="s">
        <v>1267</v>
      </c>
      <c r="S293" s="416" t="s">
        <v>34</v>
      </c>
      <c r="T293" s="415"/>
      <c r="U293" s="414"/>
      <c r="V293" s="28">
        <f>IFERROR(IF(N293&lt;P293,"",(ROUNDDOWN(N293/P293*100,0))),"")</f>
        <v>100</v>
      </c>
    </row>
    <row r="294" spans="2:22" ht="22.5">
      <c r="B294" s="427"/>
      <c r="C294" s="426"/>
      <c r="D294" s="435" t="s">
        <v>1298</v>
      </c>
      <c r="E294" s="416" t="s">
        <v>912</v>
      </c>
      <c r="F294" s="421" t="s">
        <v>1271</v>
      </c>
      <c r="G294" s="416" t="s">
        <v>1278</v>
      </c>
      <c r="H294" s="416">
        <v>110</v>
      </c>
      <c r="I294" s="416" t="s">
        <v>71</v>
      </c>
      <c r="J294" s="208">
        <v>3543</v>
      </c>
      <c r="K294" s="208">
        <v>7928</v>
      </c>
      <c r="L294" s="416">
        <v>4275</v>
      </c>
      <c r="M294" s="420" t="s">
        <v>589</v>
      </c>
      <c r="N294" s="425">
        <v>7.9</v>
      </c>
      <c r="O294" s="23">
        <f>IF(N294&gt;0,1/N294*37.7*68.6,"")</f>
        <v>327.3696202531645</v>
      </c>
      <c r="P294" s="418">
        <v>7.24</v>
      </c>
      <c r="Q294" s="417" t="s">
        <v>834</v>
      </c>
      <c r="R294" s="416" t="s">
        <v>1267</v>
      </c>
      <c r="S294" s="416" t="s">
        <v>34</v>
      </c>
      <c r="T294" s="415"/>
      <c r="U294" s="414"/>
      <c r="V294" s="28">
        <f>IFERROR(IF(N294&lt;P294,"",(ROUNDDOWN(N294/P294*100,0))),"")</f>
        <v>109</v>
      </c>
    </row>
    <row r="295" spans="2:22" ht="22.5">
      <c r="B295" s="427"/>
      <c r="C295" s="426"/>
      <c r="D295" s="435" t="s">
        <v>1297</v>
      </c>
      <c r="E295" s="416" t="s">
        <v>912</v>
      </c>
      <c r="F295" s="421" t="s">
        <v>1271</v>
      </c>
      <c r="G295" s="416" t="s">
        <v>1278</v>
      </c>
      <c r="H295" s="416">
        <v>110</v>
      </c>
      <c r="I295" s="416" t="s">
        <v>790</v>
      </c>
      <c r="J295" s="208">
        <v>3543</v>
      </c>
      <c r="K295" s="208">
        <v>7928</v>
      </c>
      <c r="L295" s="416">
        <v>4275</v>
      </c>
      <c r="M295" s="420" t="s">
        <v>589</v>
      </c>
      <c r="N295" s="430">
        <v>8</v>
      </c>
      <c r="O295" s="23">
        <f>IF(N295&gt;0,1/N295*37.7*68.6,"")</f>
        <v>323.27749999999997</v>
      </c>
      <c r="P295" s="418">
        <v>7.24</v>
      </c>
      <c r="Q295" s="417" t="s">
        <v>834</v>
      </c>
      <c r="R295" s="416" t="s">
        <v>1267</v>
      </c>
      <c r="S295" s="416" t="s">
        <v>34</v>
      </c>
      <c r="T295" s="415"/>
      <c r="U295" s="414"/>
      <c r="V295" s="28">
        <f>IFERROR(IF(N295&lt;P295,"",(ROUNDDOWN(N295/P295*100,0))),"")</f>
        <v>110</v>
      </c>
    </row>
    <row r="296" spans="2:22" ht="22.5">
      <c r="B296" s="427"/>
      <c r="C296" s="426"/>
      <c r="D296" s="435" t="s">
        <v>1296</v>
      </c>
      <c r="E296" s="416" t="s">
        <v>912</v>
      </c>
      <c r="F296" s="421" t="s">
        <v>1271</v>
      </c>
      <c r="G296" s="416" t="s">
        <v>1278</v>
      </c>
      <c r="H296" s="416">
        <v>110</v>
      </c>
      <c r="I296" s="416" t="s">
        <v>71</v>
      </c>
      <c r="J296" s="208">
        <v>3543</v>
      </c>
      <c r="K296" s="208">
        <v>7928</v>
      </c>
      <c r="L296" s="416">
        <v>4275</v>
      </c>
      <c r="M296" s="420" t="s">
        <v>589</v>
      </c>
      <c r="N296" s="430">
        <v>7.9</v>
      </c>
      <c r="O296" s="23">
        <f>IF(N296&gt;0,1/N296*37.7*68.6,"")</f>
        <v>327.3696202531645</v>
      </c>
      <c r="P296" s="418">
        <v>7.24</v>
      </c>
      <c r="Q296" s="417" t="s">
        <v>834</v>
      </c>
      <c r="R296" s="416" t="s">
        <v>1267</v>
      </c>
      <c r="S296" s="416" t="s">
        <v>34</v>
      </c>
      <c r="T296" s="415"/>
      <c r="U296" s="414"/>
      <c r="V296" s="28">
        <f>IFERROR(IF(N296&lt;P296,"",(ROUNDDOWN(N296/P296*100,0))),"")</f>
        <v>109</v>
      </c>
    </row>
    <row r="297" spans="2:22" ht="22.5">
      <c r="B297" s="427"/>
      <c r="C297" s="426"/>
      <c r="D297" s="435" t="s">
        <v>1295</v>
      </c>
      <c r="E297" s="416" t="s">
        <v>912</v>
      </c>
      <c r="F297" s="421" t="s">
        <v>1271</v>
      </c>
      <c r="G297" s="416" t="s">
        <v>1278</v>
      </c>
      <c r="H297" s="416">
        <v>110</v>
      </c>
      <c r="I297" s="416" t="s">
        <v>71</v>
      </c>
      <c r="J297" s="208">
        <v>3543</v>
      </c>
      <c r="K297" s="208">
        <v>7928</v>
      </c>
      <c r="L297" s="416">
        <v>4275</v>
      </c>
      <c r="M297" s="420" t="s">
        <v>589</v>
      </c>
      <c r="N297" s="430">
        <v>7.9</v>
      </c>
      <c r="O297" s="23">
        <f>IF(N297&gt;0,1/N297*37.7*68.6,"")</f>
        <v>327.3696202531645</v>
      </c>
      <c r="P297" s="418">
        <v>7.24</v>
      </c>
      <c r="Q297" s="417" t="s">
        <v>834</v>
      </c>
      <c r="R297" s="416" t="s">
        <v>1267</v>
      </c>
      <c r="S297" s="416" t="s">
        <v>34</v>
      </c>
      <c r="T297" s="415"/>
      <c r="U297" s="414"/>
      <c r="V297" s="28">
        <f>IFERROR(IF(N297&lt;P297,"",(ROUNDDOWN(N297/P297*100,0))),"")</f>
        <v>109</v>
      </c>
    </row>
    <row r="298" spans="2:22" ht="22.5">
      <c r="B298" s="427"/>
      <c r="C298" s="426"/>
      <c r="D298" s="422" t="s">
        <v>1294</v>
      </c>
      <c r="E298" s="416" t="s">
        <v>912</v>
      </c>
      <c r="F298" s="421" t="s">
        <v>1271</v>
      </c>
      <c r="G298" s="416">
        <v>440</v>
      </c>
      <c r="H298" s="416">
        <v>110</v>
      </c>
      <c r="I298" s="416" t="s">
        <v>71</v>
      </c>
      <c r="J298" s="208">
        <v>3543</v>
      </c>
      <c r="K298" s="208">
        <v>7928</v>
      </c>
      <c r="L298" s="416">
        <v>4275</v>
      </c>
      <c r="M298" s="420" t="s">
        <v>589</v>
      </c>
      <c r="N298" s="425">
        <v>7.9</v>
      </c>
      <c r="O298" s="23">
        <f>IF(N298&gt;0,1/N298*37.7*68.6,"")</f>
        <v>327.3696202531645</v>
      </c>
      <c r="P298" s="418">
        <v>7.24</v>
      </c>
      <c r="Q298" s="417" t="s">
        <v>834</v>
      </c>
      <c r="R298" s="416" t="s">
        <v>1267</v>
      </c>
      <c r="S298" s="416" t="s">
        <v>34</v>
      </c>
      <c r="T298" s="415"/>
      <c r="U298" s="414"/>
      <c r="V298" s="28">
        <f>IFERROR(IF(N298&lt;P298,"",(ROUNDDOWN(N298/P298*100,0))),"")</f>
        <v>109</v>
      </c>
    </row>
    <row r="299" spans="2:22" ht="22.5">
      <c r="B299" s="427"/>
      <c r="C299" s="426"/>
      <c r="D299" s="435" t="s">
        <v>1293</v>
      </c>
      <c r="E299" s="416" t="s">
        <v>912</v>
      </c>
      <c r="F299" s="421" t="s">
        <v>1271</v>
      </c>
      <c r="G299" s="416" t="s">
        <v>1278</v>
      </c>
      <c r="H299" s="416">
        <v>110</v>
      </c>
      <c r="I299" s="416" t="s">
        <v>790</v>
      </c>
      <c r="J299" s="208">
        <v>3543</v>
      </c>
      <c r="K299" s="208">
        <v>7928</v>
      </c>
      <c r="L299" s="416">
        <v>4275</v>
      </c>
      <c r="M299" s="420" t="s">
        <v>589</v>
      </c>
      <c r="N299" s="430">
        <v>8</v>
      </c>
      <c r="O299" s="23">
        <f>IF(N299&gt;0,1/N299*37.7*68.6,"")</f>
        <v>323.27749999999997</v>
      </c>
      <c r="P299" s="418">
        <v>7.24</v>
      </c>
      <c r="Q299" s="417" t="s">
        <v>834</v>
      </c>
      <c r="R299" s="416" t="s">
        <v>1267</v>
      </c>
      <c r="S299" s="416" t="s">
        <v>34</v>
      </c>
      <c r="T299" s="415"/>
      <c r="U299" s="414"/>
      <c r="V299" s="28">
        <f>IFERROR(IF(N299&lt;P299,"",(ROUNDDOWN(N299/P299*100,0))),"")</f>
        <v>110</v>
      </c>
    </row>
    <row r="300" spans="2:22" ht="22.5">
      <c r="B300" s="427"/>
      <c r="C300" s="426"/>
      <c r="D300" s="435" t="s">
        <v>1292</v>
      </c>
      <c r="E300" s="416" t="s">
        <v>912</v>
      </c>
      <c r="F300" s="421" t="s">
        <v>1271</v>
      </c>
      <c r="G300" s="416" t="s">
        <v>1278</v>
      </c>
      <c r="H300" s="416">
        <v>110</v>
      </c>
      <c r="I300" s="416" t="s">
        <v>790</v>
      </c>
      <c r="J300" s="208">
        <v>3543</v>
      </c>
      <c r="K300" s="208">
        <v>7928</v>
      </c>
      <c r="L300" s="416">
        <v>4275</v>
      </c>
      <c r="M300" s="420" t="s">
        <v>589</v>
      </c>
      <c r="N300" s="430">
        <v>8</v>
      </c>
      <c r="O300" s="23">
        <f>IF(N300&gt;0,1/N300*37.7*68.6,"")</f>
        <v>323.27749999999997</v>
      </c>
      <c r="P300" s="418">
        <v>7.24</v>
      </c>
      <c r="Q300" s="417" t="s">
        <v>834</v>
      </c>
      <c r="R300" s="416" t="s">
        <v>1267</v>
      </c>
      <c r="S300" s="416" t="s">
        <v>34</v>
      </c>
      <c r="T300" s="415"/>
      <c r="U300" s="414"/>
      <c r="V300" s="28">
        <f>IFERROR(IF(N300&lt;P300,"",(ROUNDDOWN(N300/P300*100,0))),"")</f>
        <v>110</v>
      </c>
    </row>
    <row r="301" spans="2:22" ht="22.5">
      <c r="B301" s="427"/>
      <c r="C301" s="426"/>
      <c r="D301" s="422" t="s">
        <v>1291</v>
      </c>
      <c r="E301" s="416" t="s">
        <v>912</v>
      </c>
      <c r="F301" s="421" t="s">
        <v>1271</v>
      </c>
      <c r="G301" s="416">
        <v>440</v>
      </c>
      <c r="H301" s="416">
        <v>110</v>
      </c>
      <c r="I301" s="416" t="s">
        <v>790</v>
      </c>
      <c r="J301" s="208">
        <v>3543</v>
      </c>
      <c r="K301" s="208">
        <v>7928</v>
      </c>
      <c r="L301" s="416">
        <v>4275</v>
      </c>
      <c r="M301" s="420" t="s">
        <v>589</v>
      </c>
      <c r="N301" s="425">
        <v>8</v>
      </c>
      <c r="O301" s="23">
        <f>IF(N301&gt;0,1/N301*37.7*68.6,"")</f>
        <v>323.27749999999997</v>
      </c>
      <c r="P301" s="418">
        <v>7.24</v>
      </c>
      <c r="Q301" s="417" t="s">
        <v>834</v>
      </c>
      <c r="R301" s="416" t="s">
        <v>1267</v>
      </c>
      <c r="S301" s="416" t="s">
        <v>34</v>
      </c>
      <c r="T301" s="415"/>
      <c r="U301" s="414"/>
      <c r="V301" s="28">
        <f>IFERROR(IF(N301&lt;P301,"",(ROUNDDOWN(N301/P301*100,0))),"")</f>
        <v>110</v>
      </c>
    </row>
    <row r="302" spans="2:22" ht="22.5">
      <c r="B302" s="429" t="s">
        <v>1265</v>
      </c>
      <c r="C302" s="428" t="s">
        <v>1290</v>
      </c>
      <c r="D302" s="422" t="s">
        <v>1289</v>
      </c>
      <c r="E302" s="416" t="s">
        <v>912</v>
      </c>
      <c r="F302" s="421" t="s">
        <v>1271</v>
      </c>
      <c r="G302" s="416" t="s">
        <v>1278</v>
      </c>
      <c r="H302" s="416" t="s">
        <v>466</v>
      </c>
      <c r="I302" s="416" t="s">
        <v>790</v>
      </c>
      <c r="J302" s="208">
        <v>2979</v>
      </c>
      <c r="K302" s="208">
        <v>6893</v>
      </c>
      <c r="L302" s="208">
        <v>3749</v>
      </c>
      <c r="M302" s="420" t="s">
        <v>589</v>
      </c>
      <c r="N302" s="434">
        <v>8.26</v>
      </c>
      <c r="O302" s="433">
        <f>IF(N302&gt;0,1/N302*37.7*68.6,"")</f>
        <v>313.10169491525426</v>
      </c>
      <c r="P302" s="418">
        <v>8.1199999999999992</v>
      </c>
      <c r="Q302" s="417" t="s">
        <v>834</v>
      </c>
      <c r="R302" s="416" t="s">
        <v>1267</v>
      </c>
      <c r="S302" s="416" t="s">
        <v>34</v>
      </c>
      <c r="T302" s="415" t="s">
        <v>1266</v>
      </c>
      <c r="U302" s="414"/>
      <c r="V302" s="324">
        <f>IFERROR(IF(N302&lt;P302,"",(ROUNDDOWN(N302/P302*100,0))),"")</f>
        <v>101</v>
      </c>
    </row>
    <row r="303" spans="2:22" ht="22.5">
      <c r="B303" s="427"/>
      <c r="C303" s="426"/>
      <c r="D303" s="422" t="s">
        <v>1289</v>
      </c>
      <c r="E303" s="416" t="s">
        <v>912</v>
      </c>
      <c r="F303" s="421" t="s">
        <v>1271</v>
      </c>
      <c r="G303" s="416" t="s">
        <v>1278</v>
      </c>
      <c r="H303" s="416" t="s">
        <v>466</v>
      </c>
      <c r="I303" s="416" t="s">
        <v>71</v>
      </c>
      <c r="J303" s="208">
        <v>2979</v>
      </c>
      <c r="K303" s="208">
        <v>6893</v>
      </c>
      <c r="L303" s="208">
        <v>3749</v>
      </c>
      <c r="M303" s="420" t="s">
        <v>589</v>
      </c>
      <c r="N303" s="430">
        <v>8.23</v>
      </c>
      <c r="O303" s="344">
        <f>IF(N303&gt;0,1/N303*37.7*68.6,"")</f>
        <v>314.24301336573512</v>
      </c>
      <c r="P303" s="418">
        <v>8.1199999999999992</v>
      </c>
      <c r="Q303" s="417" t="s">
        <v>834</v>
      </c>
      <c r="R303" s="416" t="s">
        <v>1267</v>
      </c>
      <c r="S303" s="416" t="s">
        <v>34</v>
      </c>
      <c r="T303" s="415" t="s">
        <v>1266</v>
      </c>
      <c r="U303" s="414"/>
      <c r="V303" s="324">
        <f>IFERROR(IF(N303&lt;P303,"",(ROUNDDOWN(N303/P303*100,0))),"")</f>
        <v>101</v>
      </c>
    </row>
    <row r="304" spans="2:22" ht="22.5">
      <c r="B304" s="427"/>
      <c r="C304" s="432"/>
      <c r="D304" s="422" t="s">
        <v>1288</v>
      </c>
      <c r="E304" s="416" t="s">
        <v>912</v>
      </c>
      <c r="F304" s="421" t="s">
        <v>1271</v>
      </c>
      <c r="G304" s="416" t="s">
        <v>1278</v>
      </c>
      <c r="H304" s="416" t="s">
        <v>466</v>
      </c>
      <c r="I304" s="416" t="s">
        <v>790</v>
      </c>
      <c r="J304" s="208">
        <v>2979</v>
      </c>
      <c r="K304" s="208">
        <v>6893</v>
      </c>
      <c r="L304" s="208">
        <v>3749</v>
      </c>
      <c r="M304" s="420" t="s">
        <v>589</v>
      </c>
      <c r="N304" s="430">
        <v>8.26</v>
      </c>
      <c r="O304" s="344">
        <f>IF(N304&gt;0,1/N304*37.7*68.6,"")</f>
        <v>313.10169491525426</v>
      </c>
      <c r="P304" s="418">
        <v>8.1199999999999992</v>
      </c>
      <c r="Q304" s="417" t="s">
        <v>834</v>
      </c>
      <c r="R304" s="416" t="s">
        <v>1267</v>
      </c>
      <c r="S304" s="416" t="s">
        <v>34</v>
      </c>
      <c r="T304" s="415" t="s">
        <v>1266</v>
      </c>
      <c r="U304" s="414"/>
      <c r="V304" s="324">
        <f>IFERROR(IF(N304&lt;P304,"",(ROUNDDOWN(N304/P304*100,0))),"")</f>
        <v>101</v>
      </c>
    </row>
    <row r="305" spans="2:22" ht="22.5">
      <c r="B305" s="427"/>
      <c r="D305" s="422" t="s">
        <v>1288</v>
      </c>
      <c r="E305" s="416" t="s">
        <v>912</v>
      </c>
      <c r="F305" s="421" t="s">
        <v>1271</v>
      </c>
      <c r="G305" s="416" t="s">
        <v>1278</v>
      </c>
      <c r="H305" s="416" t="s">
        <v>466</v>
      </c>
      <c r="I305" s="416" t="s">
        <v>71</v>
      </c>
      <c r="J305" s="208">
        <v>2979</v>
      </c>
      <c r="K305" s="208">
        <v>6893</v>
      </c>
      <c r="L305" s="208">
        <v>3749</v>
      </c>
      <c r="M305" s="420" t="s">
        <v>589</v>
      </c>
      <c r="N305" s="430">
        <v>8.23</v>
      </c>
      <c r="O305" s="344">
        <f>IF(N305&gt;0,1/N305*37.7*68.6,"")</f>
        <v>314.24301336573512</v>
      </c>
      <c r="P305" s="418">
        <v>8.1199999999999992</v>
      </c>
      <c r="Q305" s="417" t="s">
        <v>834</v>
      </c>
      <c r="R305" s="416" t="s">
        <v>1267</v>
      </c>
      <c r="S305" s="416" t="s">
        <v>34</v>
      </c>
      <c r="T305" s="415" t="s">
        <v>1266</v>
      </c>
      <c r="U305" s="414"/>
      <c r="V305" s="324">
        <f>IFERROR(IF(N305&lt;P305,"",(ROUNDDOWN(N305/P305*100,0))),"")</f>
        <v>101</v>
      </c>
    </row>
    <row r="306" spans="2:22" ht="22.5">
      <c r="B306" s="427"/>
      <c r="D306" s="422" t="s">
        <v>1287</v>
      </c>
      <c r="E306" s="416" t="s">
        <v>912</v>
      </c>
      <c r="F306" s="421" t="s">
        <v>1271</v>
      </c>
      <c r="G306" s="416" t="s">
        <v>1278</v>
      </c>
      <c r="H306" s="416" t="s">
        <v>466</v>
      </c>
      <c r="I306" s="416" t="s">
        <v>790</v>
      </c>
      <c r="J306" s="208">
        <v>2979</v>
      </c>
      <c r="K306" s="208">
        <v>6893</v>
      </c>
      <c r="L306" s="208">
        <v>3749</v>
      </c>
      <c r="M306" s="420" t="s">
        <v>589</v>
      </c>
      <c r="N306" s="430">
        <v>8.26</v>
      </c>
      <c r="O306" s="344">
        <f>IF(N306&gt;0,1/N306*37.7*68.6,"")</f>
        <v>313.10169491525426</v>
      </c>
      <c r="P306" s="418">
        <v>8.1199999999999992</v>
      </c>
      <c r="Q306" s="417" t="s">
        <v>834</v>
      </c>
      <c r="R306" s="416" t="s">
        <v>1267</v>
      </c>
      <c r="S306" s="416" t="s">
        <v>34</v>
      </c>
      <c r="T306" s="415" t="s">
        <v>1266</v>
      </c>
      <c r="U306" s="414"/>
      <c r="V306" s="324">
        <f>IFERROR(IF(N306&lt;P306,"",(ROUNDDOWN(N306/P306*100,0))),"")</f>
        <v>101</v>
      </c>
    </row>
    <row r="307" spans="2:22" ht="22.5">
      <c r="B307" s="427"/>
      <c r="D307" s="422" t="s">
        <v>1287</v>
      </c>
      <c r="E307" s="416" t="s">
        <v>912</v>
      </c>
      <c r="F307" s="421" t="s">
        <v>1271</v>
      </c>
      <c r="G307" s="416" t="s">
        <v>1278</v>
      </c>
      <c r="H307" s="416" t="s">
        <v>466</v>
      </c>
      <c r="I307" s="416" t="s">
        <v>71</v>
      </c>
      <c r="J307" s="208">
        <v>2979</v>
      </c>
      <c r="K307" s="208">
        <v>6893</v>
      </c>
      <c r="L307" s="208">
        <v>3749</v>
      </c>
      <c r="M307" s="420" t="s">
        <v>589</v>
      </c>
      <c r="N307" s="430">
        <v>8.23</v>
      </c>
      <c r="O307" s="344">
        <f>IF(N307&gt;0,1/N307*37.7*68.6,"")</f>
        <v>314.24301336573512</v>
      </c>
      <c r="P307" s="418">
        <v>8.1199999999999992</v>
      </c>
      <c r="Q307" s="417" t="s">
        <v>834</v>
      </c>
      <c r="R307" s="416" t="s">
        <v>1267</v>
      </c>
      <c r="S307" s="416" t="s">
        <v>34</v>
      </c>
      <c r="T307" s="415" t="s">
        <v>1266</v>
      </c>
      <c r="U307" s="414"/>
      <c r="V307" s="324">
        <f>IFERROR(IF(N307&lt;P307,"",(ROUNDDOWN(N307/P307*100,0))),"")</f>
        <v>101</v>
      </c>
    </row>
    <row r="308" spans="2:22" ht="22.5">
      <c r="B308" s="427"/>
      <c r="D308" s="422" t="s">
        <v>1286</v>
      </c>
      <c r="E308" s="416" t="s">
        <v>912</v>
      </c>
      <c r="F308" s="421" t="s">
        <v>1271</v>
      </c>
      <c r="G308" s="416" t="s">
        <v>1278</v>
      </c>
      <c r="H308" s="416" t="s">
        <v>466</v>
      </c>
      <c r="I308" s="416" t="s">
        <v>71</v>
      </c>
      <c r="J308" s="208">
        <v>2979</v>
      </c>
      <c r="K308" s="208">
        <v>6893</v>
      </c>
      <c r="L308" s="208">
        <v>3749</v>
      </c>
      <c r="M308" s="420" t="s">
        <v>589</v>
      </c>
      <c r="N308" s="430">
        <v>8.23</v>
      </c>
      <c r="O308" s="344">
        <f>IF(N308&gt;0,1/N308*37.7*68.6,"")</f>
        <v>314.24301336573512</v>
      </c>
      <c r="P308" s="418">
        <v>8.1199999999999992</v>
      </c>
      <c r="Q308" s="417" t="s">
        <v>834</v>
      </c>
      <c r="R308" s="416" t="s">
        <v>1267</v>
      </c>
      <c r="S308" s="416" t="s">
        <v>34</v>
      </c>
      <c r="T308" s="415" t="s">
        <v>1266</v>
      </c>
      <c r="U308" s="414"/>
      <c r="V308" s="324">
        <f>IFERROR(IF(N308&lt;P308,"",(ROUNDDOWN(N308/P308*100,0))),"")</f>
        <v>101</v>
      </c>
    </row>
    <row r="309" spans="2:22" ht="22.5">
      <c r="B309" s="427"/>
      <c r="D309" s="422" t="s">
        <v>1285</v>
      </c>
      <c r="E309" s="416" t="s">
        <v>912</v>
      </c>
      <c r="F309" s="421" t="s">
        <v>1271</v>
      </c>
      <c r="G309" s="416" t="s">
        <v>1278</v>
      </c>
      <c r="H309" s="416" t="s">
        <v>466</v>
      </c>
      <c r="I309" s="416" t="s">
        <v>790</v>
      </c>
      <c r="J309" s="208">
        <v>3543</v>
      </c>
      <c r="K309" s="208">
        <v>7928</v>
      </c>
      <c r="L309" s="208">
        <v>4275</v>
      </c>
      <c r="M309" s="420" t="s">
        <v>589</v>
      </c>
      <c r="N309" s="430">
        <v>7.45</v>
      </c>
      <c r="O309" s="344">
        <f>IF(N309&gt;0,1/N309*37.7*68.6,"")</f>
        <v>347.14362416107377</v>
      </c>
      <c r="P309" s="418">
        <v>7.24</v>
      </c>
      <c r="Q309" s="417" t="s">
        <v>834</v>
      </c>
      <c r="R309" s="416" t="s">
        <v>1267</v>
      </c>
      <c r="S309" s="416" t="s">
        <v>34</v>
      </c>
      <c r="T309" s="415" t="s">
        <v>1266</v>
      </c>
      <c r="U309" s="414"/>
      <c r="V309" s="324">
        <f>IFERROR(IF(N309&lt;P309,"",(ROUNDDOWN(N309/P309*100,0))),"")</f>
        <v>102</v>
      </c>
    </row>
    <row r="310" spans="2:22" ht="22.5">
      <c r="B310" s="427"/>
      <c r="D310" s="422" t="s">
        <v>1285</v>
      </c>
      <c r="E310" s="416" t="s">
        <v>912</v>
      </c>
      <c r="F310" s="421" t="s">
        <v>1271</v>
      </c>
      <c r="G310" s="416" t="s">
        <v>1278</v>
      </c>
      <c r="H310" s="416" t="s">
        <v>466</v>
      </c>
      <c r="I310" s="416" t="s">
        <v>71</v>
      </c>
      <c r="J310" s="208">
        <v>3543</v>
      </c>
      <c r="K310" s="208">
        <v>7928</v>
      </c>
      <c r="L310" s="208">
        <v>4275</v>
      </c>
      <c r="M310" s="420" t="s">
        <v>589</v>
      </c>
      <c r="N310" s="430">
        <v>7.38</v>
      </c>
      <c r="O310" s="344">
        <f>IF(N310&gt;0,1/N310*37.7*68.6,"")</f>
        <v>350.43631436314365</v>
      </c>
      <c r="P310" s="418">
        <v>7.24</v>
      </c>
      <c r="Q310" s="417" t="s">
        <v>834</v>
      </c>
      <c r="R310" s="416" t="s">
        <v>1267</v>
      </c>
      <c r="S310" s="416" t="s">
        <v>34</v>
      </c>
      <c r="T310" s="415" t="s">
        <v>1266</v>
      </c>
      <c r="U310" s="414"/>
      <c r="V310" s="324">
        <f>IFERROR(IF(N310&lt;P310,"",(ROUNDDOWN(N310/P310*100,0))),"")</f>
        <v>101</v>
      </c>
    </row>
    <row r="311" spans="2:22" ht="22.5">
      <c r="B311" s="427"/>
      <c r="D311" s="422" t="s">
        <v>1284</v>
      </c>
      <c r="E311" s="416" t="s">
        <v>912</v>
      </c>
      <c r="F311" s="421" t="s">
        <v>1271</v>
      </c>
      <c r="G311" s="416" t="s">
        <v>1278</v>
      </c>
      <c r="H311" s="416" t="s">
        <v>466</v>
      </c>
      <c r="I311" s="416" t="s">
        <v>790</v>
      </c>
      <c r="J311" s="208">
        <v>3543</v>
      </c>
      <c r="K311" s="208">
        <v>7928</v>
      </c>
      <c r="L311" s="208">
        <v>4275</v>
      </c>
      <c r="M311" s="420" t="s">
        <v>589</v>
      </c>
      <c r="N311" s="430">
        <v>7.45</v>
      </c>
      <c r="O311" s="344">
        <f>IF(N311&gt;0,1/N311*37.7*68.6,"")</f>
        <v>347.14362416107377</v>
      </c>
      <c r="P311" s="418">
        <v>7.24</v>
      </c>
      <c r="Q311" s="417" t="s">
        <v>834</v>
      </c>
      <c r="R311" s="416" t="s">
        <v>1267</v>
      </c>
      <c r="S311" s="416" t="s">
        <v>34</v>
      </c>
      <c r="T311" s="415" t="s">
        <v>1266</v>
      </c>
      <c r="U311" s="414"/>
      <c r="V311" s="324">
        <f>IFERROR(IF(N311&lt;P311,"",(ROUNDDOWN(N311/P311*100,0))),"")</f>
        <v>102</v>
      </c>
    </row>
    <row r="312" spans="2:22" ht="22.5">
      <c r="B312" s="427"/>
      <c r="D312" s="422" t="s">
        <v>1284</v>
      </c>
      <c r="E312" s="416" t="s">
        <v>912</v>
      </c>
      <c r="F312" s="421" t="s">
        <v>1271</v>
      </c>
      <c r="G312" s="416" t="s">
        <v>1270</v>
      </c>
      <c r="H312" s="416" t="s">
        <v>1269</v>
      </c>
      <c r="I312" s="416" t="s">
        <v>71</v>
      </c>
      <c r="J312" s="208">
        <v>3543</v>
      </c>
      <c r="K312" s="208">
        <v>7928</v>
      </c>
      <c r="L312" s="208">
        <v>4275</v>
      </c>
      <c r="M312" s="420" t="s">
        <v>589</v>
      </c>
      <c r="N312" s="430">
        <v>7.24</v>
      </c>
      <c r="O312" s="344">
        <f>IF(N312&gt;0,1/N312*37.7*68.6,"")</f>
        <v>357.21270718232046</v>
      </c>
      <c r="P312" s="418">
        <v>7.24</v>
      </c>
      <c r="Q312" s="417" t="s">
        <v>834</v>
      </c>
      <c r="R312" s="416" t="s">
        <v>1267</v>
      </c>
      <c r="S312" s="416" t="s">
        <v>34</v>
      </c>
      <c r="T312" s="415" t="s">
        <v>1266</v>
      </c>
      <c r="U312" s="414"/>
      <c r="V312" s="324">
        <f>IFERROR(IF(N312&lt;P312,"",(ROUNDDOWN(N312/P312*100,0))),"")</f>
        <v>100</v>
      </c>
    </row>
    <row r="313" spans="2:22" ht="22.5">
      <c r="B313" s="427"/>
      <c r="D313" s="422" t="s">
        <v>1283</v>
      </c>
      <c r="E313" s="416" t="s">
        <v>912</v>
      </c>
      <c r="F313" s="421" t="s">
        <v>1271</v>
      </c>
      <c r="G313" s="416" t="s">
        <v>1278</v>
      </c>
      <c r="H313" s="416" t="s">
        <v>466</v>
      </c>
      <c r="I313" s="416" t="s">
        <v>790</v>
      </c>
      <c r="J313" s="208">
        <v>3543</v>
      </c>
      <c r="K313" s="208">
        <v>7928</v>
      </c>
      <c r="L313" s="208">
        <v>4275</v>
      </c>
      <c r="M313" s="420" t="s">
        <v>589</v>
      </c>
      <c r="N313" s="430">
        <v>7.45</v>
      </c>
      <c r="O313" s="344">
        <f>IF(N313&gt;0,1/N313*37.7*68.6,"")</f>
        <v>347.14362416107377</v>
      </c>
      <c r="P313" s="418">
        <v>7.24</v>
      </c>
      <c r="Q313" s="417" t="s">
        <v>834</v>
      </c>
      <c r="R313" s="416" t="s">
        <v>1267</v>
      </c>
      <c r="S313" s="416" t="s">
        <v>34</v>
      </c>
      <c r="T313" s="415" t="s">
        <v>1266</v>
      </c>
      <c r="U313" s="414"/>
      <c r="V313" s="324">
        <f>IFERROR(IF(N313&lt;P313,"",(ROUNDDOWN(N313/P313*100,0))),"")</f>
        <v>102</v>
      </c>
    </row>
    <row r="314" spans="2:22" ht="22.5">
      <c r="B314" s="427"/>
      <c r="D314" s="422" t="s">
        <v>1283</v>
      </c>
      <c r="E314" s="416" t="s">
        <v>912</v>
      </c>
      <c r="F314" s="421" t="s">
        <v>1271</v>
      </c>
      <c r="G314" s="416" t="s">
        <v>1278</v>
      </c>
      <c r="H314" s="416" t="s">
        <v>466</v>
      </c>
      <c r="I314" s="416" t="s">
        <v>71</v>
      </c>
      <c r="J314" s="208">
        <v>3543</v>
      </c>
      <c r="K314" s="208">
        <v>7928</v>
      </c>
      <c r="L314" s="208">
        <v>4275</v>
      </c>
      <c r="M314" s="420" t="s">
        <v>589</v>
      </c>
      <c r="N314" s="430">
        <v>7.38</v>
      </c>
      <c r="O314" s="344">
        <f>IF(N314&gt;0,1/N314*37.7*68.6,"")</f>
        <v>350.43631436314365</v>
      </c>
      <c r="P314" s="418">
        <v>7.24</v>
      </c>
      <c r="Q314" s="417" t="s">
        <v>834</v>
      </c>
      <c r="R314" s="416" t="s">
        <v>1267</v>
      </c>
      <c r="S314" s="416" t="s">
        <v>34</v>
      </c>
      <c r="T314" s="415" t="s">
        <v>1266</v>
      </c>
      <c r="U314" s="414"/>
      <c r="V314" s="324">
        <f>IFERROR(IF(N314&lt;P314,"",(ROUNDDOWN(N314/P314*100,0))),"")</f>
        <v>101</v>
      </c>
    </row>
    <row r="315" spans="2:22" ht="22.5">
      <c r="B315" s="427"/>
      <c r="D315" s="422" t="s">
        <v>1283</v>
      </c>
      <c r="E315" s="416" t="s">
        <v>912</v>
      </c>
      <c r="F315" s="421" t="s">
        <v>1271</v>
      </c>
      <c r="G315" s="416" t="s">
        <v>1270</v>
      </c>
      <c r="H315" s="416" t="s">
        <v>1269</v>
      </c>
      <c r="I315" s="416" t="s">
        <v>71</v>
      </c>
      <c r="J315" s="208">
        <v>3543</v>
      </c>
      <c r="K315" s="208">
        <v>7928</v>
      </c>
      <c r="L315" s="208">
        <v>4275</v>
      </c>
      <c r="M315" s="420" t="s">
        <v>589</v>
      </c>
      <c r="N315" s="430">
        <v>7.24</v>
      </c>
      <c r="O315" s="344">
        <f>IF(N315&gt;0,1/N315*37.7*68.6,"")</f>
        <v>357.21270718232046</v>
      </c>
      <c r="P315" s="418">
        <v>7.24</v>
      </c>
      <c r="Q315" s="417" t="s">
        <v>834</v>
      </c>
      <c r="R315" s="416" t="s">
        <v>1267</v>
      </c>
      <c r="S315" s="416" t="s">
        <v>34</v>
      </c>
      <c r="T315" s="415" t="s">
        <v>1266</v>
      </c>
      <c r="U315" s="414"/>
      <c r="V315" s="324">
        <f>IFERROR(IF(N315&lt;P315,"",(ROUNDDOWN(N315/P315*100,0))),"")</f>
        <v>100</v>
      </c>
    </row>
    <row r="316" spans="2:22" ht="22.5">
      <c r="B316" s="427"/>
      <c r="D316" s="422" t="s">
        <v>1282</v>
      </c>
      <c r="E316" s="416" t="s">
        <v>912</v>
      </c>
      <c r="F316" s="421" t="s">
        <v>1271</v>
      </c>
      <c r="G316" s="416" t="s">
        <v>1278</v>
      </c>
      <c r="H316" s="416" t="s">
        <v>466</v>
      </c>
      <c r="I316" s="416" t="s">
        <v>790</v>
      </c>
      <c r="J316" s="208">
        <v>3543</v>
      </c>
      <c r="K316" s="208">
        <v>7928</v>
      </c>
      <c r="L316" s="208">
        <v>4275</v>
      </c>
      <c r="M316" s="420" t="s">
        <v>589</v>
      </c>
      <c r="N316" s="430">
        <v>7.45</v>
      </c>
      <c r="O316" s="344">
        <f>IF(N316&gt;0,1/N316*37.7*68.6,"")</f>
        <v>347.14362416107377</v>
      </c>
      <c r="P316" s="418">
        <v>7.24</v>
      </c>
      <c r="Q316" s="417" t="s">
        <v>834</v>
      </c>
      <c r="R316" s="416" t="s">
        <v>1267</v>
      </c>
      <c r="S316" s="416" t="s">
        <v>34</v>
      </c>
      <c r="T316" s="415" t="s">
        <v>1266</v>
      </c>
      <c r="U316" s="414"/>
      <c r="V316" s="324">
        <f>IFERROR(IF(N316&lt;P316,"",(ROUNDDOWN(N316/P316*100,0))),"")</f>
        <v>102</v>
      </c>
    </row>
    <row r="317" spans="2:22" ht="22.5">
      <c r="B317" s="427"/>
      <c r="D317" s="422" t="s">
        <v>1282</v>
      </c>
      <c r="E317" s="416" t="s">
        <v>912</v>
      </c>
      <c r="F317" s="421" t="s">
        <v>1271</v>
      </c>
      <c r="G317" s="416" t="s">
        <v>1270</v>
      </c>
      <c r="H317" s="416" t="s">
        <v>1269</v>
      </c>
      <c r="I317" s="416" t="s">
        <v>71</v>
      </c>
      <c r="J317" s="208">
        <v>3543</v>
      </c>
      <c r="K317" s="208">
        <v>7928</v>
      </c>
      <c r="L317" s="208">
        <v>4275</v>
      </c>
      <c r="M317" s="420" t="s">
        <v>589</v>
      </c>
      <c r="N317" s="430">
        <v>7.24</v>
      </c>
      <c r="O317" s="344">
        <f>IF(N317&gt;0,1/N317*37.7*68.6,"")</f>
        <v>357.21270718232046</v>
      </c>
      <c r="P317" s="418">
        <v>7.24</v>
      </c>
      <c r="Q317" s="417" t="s">
        <v>834</v>
      </c>
      <c r="R317" s="416" t="s">
        <v>1267</v>
      </c>
      <c r="S317" s="416" t="s">
        <v>34</v>
      </c>
      <c r="T317" s="415" t="s">
        <v>1266</v>
      </c>
      <c r="U317" s="414"/>
      <c r="V317" s="324">
        <f>IFERROR(IF(N317&lt;P317,"",(ROUNDDOWN(N317/P317*100,0))),"")</f>
        <v>100</v>
      </c>
    </row>
    <row r="318" spans="2:22" ht="22.5">
      <c r="B318" s="427"/>
      <c r="D318" s="422" t="s">
        <v>1281</v>
      </c>
      <c r="E318" s="416" t="s">
        <v>912</v>
      </c>
      <c r="F318" s="421" t="s">
        <v>1271</v>
      </c>
      <c r="G318" s="416" t="s">
        <v>1278</v>
      </c>
      <c r="H318" s="416" t="s">
        <v>466</v>
      </c>
      <c r="I318" s="416" t="s">
        <v>790</v>
      </c>
      <c r="J318" s="208">
        <v>3543</v>
      </c>
      <c r="K318" s="208">
        <v>7928</v>
      </c>
      <c r="L318" s="208">
        <v>4275</v>
      </c>
      <c r="M318" s="420" t="s">
        <v>589</v>
      </c>
      <c r="N318" s="430">
        <v>7.45</v>
      </c>
      <c r="O318" s="344">
        <f>IF(N318&gt;0,1/N318*37.7*68.6,"")</f>
        <v>347.14362416107377</v>
      </c>
      <c r="P318" s="418">
        <v>7.24</v>
      </c>
      <c r="Q318" s="417" t="s">
        <v>834</v>
      </c>
      <c r="R318" s="416" t="s">
        <v>1267</v>
      </c>
      <c r="S318" s="416" t="s">
        <v>34</v>
      </c>
      <c r="T318" s="415" t="s">
        <v>1266</v>
      </c>
      <c r="U318" s="414"/>
      <c r="V318" s="324">
        <f>IFERROR(IF(N318&lt;P318,"",(ROUNDDOWN(N318/P318*100,0))),"")</f>
        <v>102</v>
      </c>
    </row>
    <row r="319" spans="2:22" ht="22.5">
      <c r="B319" s="427"/>
      <c r="D319" s="422" t="s">
        <v>1281</v>
      </c>
      <c r="E319" s="416" t="s">
        <v>912</v>
      </c>
      <c r="F319" s="421" t="s">
        <v>1271</v>
      </c>
      <c r="G319" s="416" t="s">
        <v>1270</v>
      </c>
      <c r="H319" s="416" t="s">
        <v>1269</v>
      </c>
      <c r="I319" s="416" t="s">
        <v>71</v>
      </c>
      <c r="J319" s="208">
        <v>3543</v>
      </c>
      <c r="K319" s="208">
        <v>7928</v>
      </c>
      <c r="L319" s="208">
        <v>4275</v>
      </c>
      <c r="M319" s="420" t="s">
        <v>589</v>
      </c>
      <c r="N319" s="430">
        <v>7.24</v>
      </c>
      <c r="O319" s="344">
        <f>IF(N319&gt;0,1/N319*37.7*68.6,"")</f>
        <v>357.21270718232046</v>
      </c>
      <c r="P319" s="418">
        <v>7.24</v>
      </c>
      <c r="Q319" s="417" t="s">
        <v>834</v>
      </c>
      <c r="R319" s="416" t="s">
        <v>1267</v>
      </c>
      <c r="S319" s="416" t="s">
        <v>34</v>
      </c>
      <c r="T319" s="415" t="s">
        <v>1266</v>
      </c>
      <c r="U319" s="414"/>
      <c r="V319" s="324">
        <f>IFERROR(IF(N319&lt;P319,"",(ROUNDDOWN(N319/P319*100,0))),"")</f>
        <v>100</v>
      </c>
    </row>
    <row r="320" spans="2:22" ht="22.5">
      <c r="B320" s="427"/>
      <c r="D320" s="422" t="s">
        <v>1280</v>
      </c>
      <c r="E320" s="416" t="s">
        <v>912</v>
      </c>
      <c r="F320" s="421" t="s">
        <v>1271</v>
      </c>
      <c r="G320" s="416" t="s">
        <v>1278</v>
      </c>
      <c r="H320" s="416" t="s">
        <v>466</v>
      </c>
      <c r="I320" s="416" t="s">
        <v>71</v>
      </c>
      <c r="J320" s="208">
        <v>3543</v>
      </c>
      <c r="K320" s="208">
        <v>7928</v>
      </c>
      <c r="L320" s="208">
        <v>4275</v>
      </c>
      <c r="M320" s="420" t="s">
        <v>589</v>
      </c>
      <c r="N320" s="430">
        <v>7.38</v>
      </c>
      <c r="O320" s="344">
        <f>IF(N320&gt;0,1/N320*37.7*68.6,"")</f>
        <v>350.43631436314365</v>
      </c>
      <c r="P320" s="418">
        <v>7.24</v>
      </c>
      <c r="Q320" s="417" t="s">
        <v>834</v>
      </c>
      <c r="R320" s="416" t="s">
        <v>1267</v>
      </c>
      <c r="S320" s="416" t="s">
        <v>34</v>
      </c>
      <c r="T320" s="415" t="s">
        <v>1266</v>
      </c>
      <c r="U320" s="414"/>
      <c r="V320" s="324">
        <f>IFERROR(IF(N320&lt;P320,"",(ROUNDDOWN(N320/P320*100,0))),"")</f>
        <v>101</v>
      </c>
    </row>
    <row r="321" spans="1:22" ht="22.5">
      <c r="B321" s="427"/>
      <c r="D321" s="422" t="s">
        <v>1279</v>
      </c>
      <c r="E321" s="416" t="s">
        <v>912</v>
      </c>
      <c r="F321" s="421" t="s">
        <v>1271</v>
      </c>
      <c r="G321" s="416" t="s">
        <v>1278</v>
      </c>
      <c r="H321" s="416" t="s">
        <v>466</v>
      </c>
      <c r="I321" s="416" t="s">
        <v>71</v>
      </c>
      <c r="J321" s="208">
        <v>3543</v>
      </c>
      <c r="K321" s="208">
        <v>7928</v>
      </c>
      <c r="L321" s="208">
        <v>4275</v>
      </c>
      <c r="M321" s="420" t="s">
        <v>589</v>
      </c>
      <c r="N321" s="430">
        <v>7.38</v>
      </c>
      <c r="O321" s="344">
        <f>IF(N321&gt;0,1/N321*37.7*68.6,"")</f>
        <v>350.43631436314365</v>
      </c>
      <c r="P321" s="418">
        <v>7.24</v>
      </c>
      <c r="Q321" s="417" t="s">
        <v>834</v>
      </c>
      <c r="R321" s="416" t="s">
        <v>1267</v>
      </c>
      <c r="S321" s="416" t="s">
        <v>34</v>
      </c>
      <c r="T321" s="415" t="s">
        <v>1266</v>
      </c>
      <c r="U321" s="414"/>
      <c r="V321" s="324">
        <f>IFERROR(IF(N321&lt;P321,"",(ROUNDDOWN(N321/P321*100,0))),"")</f>
        <v>101</v>
      </c>
    </row>
    <row r="322" spans="1:22" ht="22.5">
      <c r="B322" s="427"/>
      <c r="D322" s="422" t="s">
        <v>1277</v>
      </c>
      <c r="E322" s="416" t="s">
        <v>912</v>
      </c>
      <c r="F322" s="421" t="s">
        <v>1271</v>
      </c>
      <c r="G322" s="416" t="s">
        <v>1270</v>
      </c>
      <c r="H322" s="416" t="s">
        <v>1269</v>
      </c>
      <c r="I322" s="416" t="s">
        <v>71</v>
      </c>
      <c r="J322" s="208">
        <v>3543</v>
      </c>
      <c r="K322" s="208">
        <v>7928</v>
      </c>
      <c r="L322" s="208">
        <v>4275</v>
      </c>
      <c r="M322" s="420" t="s">
        <v>589</v>
      </c>
      <c r="N322" s="430">
        <v>7.24</v>
      </c>
      <c r="O322" s="344">
        <f>IF(N322&gt;0,1/N322*37.7*68.6,"")</f>
        <v>357.21270718232046</v>
      </c>
      <c r="P322" s="418">
        <v>7.24</v>
      </c>
      <c r="Q322" s="417" t="s">
        <v>834</v>
      </c>
      <c r="R322" s="416" t="s">
        <v>1267</v>
      </c>
      <c r="S322" s="416" t="s">
        <v>34</v>
      </c>
      <c r="T322" s="415" t="s">
        <v>1266</v>
      </c>
      <c r="U322" s="414"/>
      <c r="V322" s="324">
        <f>IFERROR(IF(N322&lt;P322,"",(ROUNDDOWN(N322/P322*100,0))),"")</f>
        <v>100</v>
      </c>
    </row>
    <row r="323" spans="1:22" ht="22.5">
      <c r="B323" s="427"/>
      <c r="D323" s="422" t="s">
        <v>1276</v>
      </c>
      <c r="E323" s="416" t="s">
        <v>912</v>
      </c>
      <c r="F323" s="421" t="s">
        <v>1271</v>
      </c>
      <c r="G323" s="416" t="s">
        <v>1270</v>
      </c>
      <c r="H323" s="416" t="s">
        <v>1269</v>
      </c>
      <c r="I323" s="416" t="s">
        <v>71</v>
      </c>
      <c r="J323" s="208">
        <v>3543</v>
      </c>
      <c r="K323" s="208">
        <v>7928</v>
      </c>
      <c r="L323" s="208">
        <v>4275</v>
      </c>
      <c r="M323" s="420" t="s">
        <v>589</v>
      </c>
      <c r="N323" s="430">
        <v>7.07</v>
      </c>
      <c r="O323" s="344">
        <f>IF(N323&gt;0,1/N323*37.7*68.6,"")</f>
        <v>365.80198019801975</v>
      </c>
      <c r="P323" s="418">
        <v>7.24</v>
      </c>
      <c r="Q323" s="417" t="s">
        <v>1268</v>
      </c>
      <c r="R323" s="416" t="s">
        <v>1267</v>
      </c>
      <c r="S323" s="416" t="s">
        <v>34</v>
      </c>
      <c r="T323" s="415" t="s">
        <v>1266</v>
      </c>
      <c r="U323" s="414"/>
      <c r="V323" s="324" t="str">
        <f>IFERROR(IF(N323&lt;P323,"",(ROUNDDOWN(N323/P323*100,0))),"")</f>
        <v/>
      </c>
    </row>
    <row r="324" spans="1:22" ht="22.5">
      <c r="B324" s="427"/>
      <c r="D324" s="422" t="s">
        <v>1275</v>
      </c>
      <c r="E324" s="416" t="s">
        <v>912</v>
      </c>
      <c r="F324" s="421" t="s">
        <v>1271</v>
      </c>
      <c r="G324" s="416" t="s">
        <v>1270</v>
      </c>
      <c r="H324" s="416" t="s">
        <v>1269</v>
      </c>
      <c r="I324" s="416" t="s">
        <v>71</v>
      </c>
      <c r="J324" s="208">
        <v>3543</v>
      </c>
      <c r="K324" s="208">
        <v>7928</v>
      </c>
      <c r="L324" s="208">
        <v>4275</v>
      </c>
      <c r="M324" s="420" t="s">
        <v>589</v>
      </c>
      <c r="N324" s="430">
        <v>7.07</v>
      </c>
      <c r="O324" s="344">
        <f>IF(N324&gt;0,1/N324*37.7*68.6,"")</f>
        <v>365.80198019801975</v>
      </c>
      <c r="P324" s="418">
        <v>7.24</v>
      </c>
      <c r="Q324" s="417" t="s">
        <v>1268</v>
      </c>
      <c r="R324" s="416" t="s">
        <v>1267</v>
      </c>
      <c r="S324" s="416" t="s">
        <v>34</v>
      </c>
      <c r="T324" s="415" t="s">
        <v>1266</v>
      </c>
      <c r="U324" s="414"/>
      <c r="V324" s="324" t="str">
        <f>IFERROR(IF(N324&lt;P324,"",(ROUNDDOWN(N324/P324*100,0))),"")</f>
        <v/>
      </c>
    </row>
    <row r="325" spans="1:22" ht="22.5">
      <c r="B325" s="427"/>
      <c r="D325" s="422" t="s">
        <v>1274</v>
      </c>
      <c r="E325" s="416" t="s">
        <v>912</v>
      </c>
      <c r="F325" s="421" t="s">
        <v>1271</v>
      </c>
      <c r="G325" s="416" t="s">
        <v>1270</v>
      </c>
      <c r="H325" s="416" t="s">
        <v>1269</v>
      </c>
      <c r="I325" s="416" t="s">
        <v>71</v>
      </c>
      <c r="J325" s="208">
        <v>3543</v>
      </c>
      <c r="K325" s="208">
        <v>7928</v>
      </c>
      <c r="L325" s="208">
        <v>4275</v>
      </c>
      <c r="M325" s="420" t="s">
        <v>589</v>
      </c>
      <c r="N325" s="430">
        <v>7.07</v>
      </c>
      <c r="O325" s="344">
        <f>IF(N325&gt;0,1/N325*37.7*68.6,"")</f>
        <v>365.80198019801975</v>
      </c>
      <c r="P325" s="418">
        <v>7.24</v>
      </c>
      <c r="Q325" s="417" t="s">
        <v>1268</v>
      </c>
      <c r="R325" s="416" t="s">
        <v>1267</v>
      </c>
      <c r="S325" s="416" t="s">
        <v>34</v>
      </c>
      <c r="T325" s="415" t="s">
        <v>1266</v>
      </c>
      <c r="U325" s="414"/>
      <c r="V325" s="324" t="str">
        <f>IFERROR(IF(N325&lt;P325,"",(ROUNDDOWN(N325/P325*100,0))),"")</f>
        <v/>
      </c>
    </row>
    <row r="326" spans="1:22" ht="22.5">
      <c r="B326" s="427"/>
      <c r="D326" s="422" t="s">
        <v>1273</v>
      </c>
      <c r="E326" s="416" t="s">
        <v>912</v>
      </c>
      <c r="F326" s="421" t="s">
        <v>1271</v>
      </c>
      <c r="G326" s="416" t="s">
        <v>1270</v>
      </c>
      <c r="H326" s="416" t="s">
        <v>1269</v>
      </c>
      <c r="I326" s="416" t="s">
        <v>71</v>
      </c>
      <c r="J326" s="208">
        <v>3543</v>
      </c>
      <c r="K326" s="208">
        <v>7928</v>
      </c>
      <c r="L326" s="208">
        <v>4275</v>
      </c>
      <c r="M326" s="420" t="s">
        <v>589</v>
      </c>
      <c r="N326" s="430">
        <v>7.07</v>
      </c>
      <c r="O326" s="344">
        <f>IF(N326&gt;0,1/N326*37.7*68.6,"")</f>
        <v>365.80198019801975</v>
      </c>
      <c r="P326" s="418">
        <v>7.24</v>
      </c>
      <c r="Q326" s="417" t="s">
        <v>1268</v>
      </c>
      <c r="R326" s="416" t="s">
        <v>1267</v>
      </c>
      <c r="S326" s="416" t="s">
        <v>34</v>
      </c>
      <c r="T326" s="415" t="s">
        <v>1266</v>
      </c>
      <c r="U326" s="414"/>
      <c r="V326" s="324" t="str">
        <f>IFERROR(IF(N326&lt;P326,"",(ROUNDDOWN(N326/P326*100,0))),"")</f>
        <v/>
      </c>
    </row>
    <row r="327" spans="1:22" ht="22.5">
      <c r="B327" s="411"/>
      <c r="C327" s="431"/>
      <c r="D327" s="422" t="s">
        <v>1272</v>
      </c>
      <c r="E327" s="416" t="s">
        <v>912</v>
      </c>
      <c r="F327" s="421" t="s">
        <v>1271</v>
      </c>
      <c r="G327" s="416" t="s">
        <v>1270</v>
      </c>
      <c r="H327" s="416" t="s">
        <v>1269</v>
      </c>
      <c r="I327" s="416" t="s">
        <v>71</v>
      </c>
      <c r="J327" s="208">
        <v>3543</v>
      </c>
      <c r="K327" s="208">
        <v>7928</v>
      </c>
      <c r="L327" s="208">
        <v>4275</v>
      </c>
      <c r="M327" s="420" t="s">
        <v>589</v>
      </c>
      <c r="N327" s="430">
        <v>7.07</v>
      </c>
      <c r="O327" s="337">
        <f>IF(N327&gt;0,1/N327*37.7*68.6,"")</f>
        <v>365.80198019801975</v>
      </c>
      <c r="P327" s="418">
        <v>7.24</v>
      </c>
      <c r="Q327" s="417" t="s">
        <v>1268</v>
      </c>
      <c r="R327" s="416" t="s">
        <v>1267</v>
      </c>
      <c r="S327" s="416" t="s">
        <v>34</v>
      </c>
      <c r="T327" s="415" t="s">
        <v>1266</v>
      </c>
      <c r="U327" s="414"/>
      <c r="V327" s="324" t="str">
        <f>IFERROR(IF(N327&lt;P327,"",(ROUNDDOWN(N327/P327*100,0))),"")</f>
        <v/>
      </c>
    </row>
    <row r="328" spans="1:22" ht="12.75">
      <c r="B328" s="429" t="s">
        <v>1265</v>
      </c>
      <c r="C328" s="428" t="s">
        <v>1264</v>
      </c>
      <c r="D328" s="422" t="s">
        <v>1263</v>
      </c>
      <c r="E328" s="416" t="s">
        <v>1262</v>
      </c>
      <c r="F328" s="421">
        <v>2.754</v>
      </c>
      <c r="G328" s="416">
        <v>300</v>
      </c>
      <c r="H328" s="416">
        <v>106</v>
      </c>
      <c r="I328" s="416" t="s">
        <v>1257</v>
      </c>
      <c r="J328" s="208">
        <v>1957</v>
      </c>
      <c r="K328" s="208">
        <v>3612</v>
      </c>
      <c r="L328" s="416">
        <v>1490</v>
      </c>
      <c r="M328" s="420" t="s">
        <v>589</v>
      </c>
      <c r="N328" s="425">
        <v>11.4</v>
      </c>
      <c r="O328" s="23">
        <f>IF(N328&gt;0,1/N328*37.7*68.6,"")</f>
        <v>226.8614035087719</v>
      </c>
      <c r="P328" s="418">
        <v>10.83</v>
      </c>
      <c r="Q328" s="417" t="s">
        <v>1261</v>
      </c>
      <c r="R328" s="416" t="s">
        <v>1260</v>
      </c>
      <c r="S328" s="416" t="s">
        <v>34</v>
      </c>
      <c r="T328" s="415"/>
      <c r="U328" s="414"/>
      <c r="V328" s="28">
        <f>IFERROR(IF(N328&lt;P328,"",(ROUNDDOWN(N328/P328*100,0))),"")</f>
        <v>105</v>
      </c>
    </row>
    <row r="329" spans="1:22" ht="12.75">
      <c r="B329" s="427"/>
      <c r="C329" s="426"/>
      <c r="D329" s="422" t="s">
        <v>1259</v>
      </c>
      <c r="E329" s="416" t="s">
        <v>906</v>
      </c>
      <c r="F329" s="421">
        <v>2.754</v>
      </c>
      <c r="G329" s="416">
        <v>300</v>
      </c>
      <c r="H329" s="416">
        <v>106</v>
      </c>
      <c r="I329" s="416" t="s">
        <v>1257</v>
      </c>
      <c r="J329" s="208">
        <v>1957</v>
      </c>
      <c r="K329" s="208">
        <v>3612</v>
      </c>
      <c r="L329" s="416">
        <v>1490</v>
      </c>
      <c r="M329" s="420" t="s">
        <v>589</v>
      </c>
      <c r="N329" s="425">
        <v>11.4</v>
      </c>
      <c r="O329" s="23">
        <f>IF(N329&gt;0,1/N329*37.7*68.6,"")</f>
        <v>226.8614035087719</v>
      </c>
      <c r="P329" s="418">
        <v>10.83</v>
      </c>
      <c r="Q329" s="417" t="s">
        <v>905</v>
      </c>
      <c r="R329" s="416" t="s">
        <v>904</v>
      </c>
      <c r="S329" s="416" t="s">
        <v>110</v>
      </c>
      <c r="T329" s="415"/>
      <c r="U329" s="414"/>
      <c r="V329" s="28">
        <f>IFERROR(IF(N329&lt;P329,"",(ROUNDDOWN(N329/P329*100,0))),"")</f>
        <v>105</v>
      </c>
    </row>
    <row r="330" spans="1:22" ht="12.75">
      <c r="B330" s="427"/>
      <c r="C330" s="426"/>
      <c r="D330" s="422" t="s">
        <v>1258</v>
      </c>
      <c r="E330" s="416" t="s">
        <v>906</v>
      </c>
      <c r="F330" s="421">
        <v>2.754</v>
      </c>
      <c r="G330" s="416">
        <v>300</v>
      </c>
      <c r="H330" s="416">
        <v>106</v>
      </c>
      <c r="I330" s="416" t="s">
        <v>1255</v>
      </c>
      <c r="J330" s="208">
        <v>1957</v>
      </c>
      <c r="K330" s="208">
        <v>3612</v>
      </c>
      <c r="L330" s="416">
        <v>1490</v>
      </c>
      <c r="M330" s="420" t="s">
        <v>589</v>
      </c>
      <c r="N330" s="425">
        <v>10.8</v>
      </c>
      <c r="O330" s="23">
        <f>IF(N330&gt;0,1/N330*37.7*68.6,"")</f>
        <v>239.46481481481482</v>
      </c>
      <c r="P330" s="418">
        <v>10.83</v>
      </c>
      <c r="Q330" s="417" t="s">
        <v>905</v>
      </c>
      <c r="R330" s="416" t="s">
        <v>904</v>
      </c>
      <c r="S330" s="416" t="s">
        <v>110</v>
      </c>
      <c r="T330" s="415"/>
      <c r="U330" s="414"/>
      <c r="V330" s="28" t="str">
        <f>IFERROR(IF(N330&lt;P330,"",(ROUNDDOWN(N330/P330*100,0))),"")</f>
        <v/>
      </c>
    </row>
    <row r="331" spans="1:22" ht="12.75">
      <c r="B331" s="427"/>
      <c r="C331" s="426"/>
      <c r="D331" s="422" t="s">
        <v>1256</v>
      </c>
      <c r="E331" s="416" t="s">
        <v>906</v>
      </c>
      <c r="F331" s="421">
        <v>2.754</v>
      </c>
      <c r="G331" s="416">
        <v>300</v>
      </c>
      <c r="H331" s="416">
        <v>106</v>
      </c>
      <c r="I331" s="416" t="s">
        <v>1255</v>
      </c>
      <c r="J331" s="208">
        <v>1957</v>
      </c>
      <c r="K331" s="208">
        <v>3612</v>
      </c>
      <c r="L331" s="416">
        <v>1490</v>
      </c>
      <c r="M331" s="420" t="s">
        <v>589</v>
      </c>
      <c r="N331" s="425">
        <v>10.8</v>
      </c>
      <c r="O331" s="23">
        <f>IF(N331&gt;0,1/N331*37.7*68.6,"")</f>
        <v>239.46481481481482</v>
      </c>
      <c r="P331" s="418">
        <v>10.83</v>
      </c>
      <c r="Q331" s="417" t="s">
        <v>905</v>
      </c>
      <c r="R331" s="416" t="s">
        <v>904</v>
      </c>
      <c r="S331" s="416" t="s">
        <v>34</v>
      </c>
      <c r="T331" s="415"/>
      <c r="U331" s="414"/>
      <c r="V331" s="28" t="str">
        <f>IFERROR(IF(N331&lt;P331,"",(ROUNDDOWN(N331/P331*100,0))),"")</f>
        <v/>
      </c>
    </row>
    <row r="332" spans="1:22" ht="12.75">
      <c r="B332" s="427"/>
      <c r="C332" s="426"/>
      <c r="D332" s="422" t="s">
        <v>1256</v>
      </c>
      <c r="E332" s="416" t="s">
        <v>906</v>
      </c>
      <c r="F332" s="421">
        <v>2.754</v>
      </c>
      <c r="G332" s="416">
        <v>300</v>
      </c>
      <c r="H332" s="416">
        <v>106</v>
      </c>
      <c r="I332" s="416" t="s">
        <v>1257</v>
      </c>
      <c r="J332" s="208">
        <v>2356</v>
      </c>
      <c r="K332" s="208">
        <v>4521</v>
      </c>
      <c r="L332" s="416">
        <v>2000</v>
      </c>
      <c r="M332" s="420" t="s">
        <v>589</v>
      </c>
      <c r="N332" s="425">
        <v>10.199999999999999</v>
      </c>
      <c r="O332" s="23">
        <f>IF(N332&gt;0,1/N332*37.7*68.6,"")</f>
        <v>253.55098039215687</v>
      </c>
      <c r="P332" s="418">
        <v>10.35</v>
      </c>
      <c r="Q332" s="417" t="s">
        <v>905</v>
      </c>
      <c r="R332" s="416" t="s">
        <v>904</v>
      </c>
      <c r="S332" s="416" t="s">
        <v>34</v>
      </c>
      <c r="T332" s="415"/>
      <c r="U332" s="414"/>
      <c r="V332" s="28" t="str">
        <f>IFERROR(IF(N332&lt;P332,"",(ROUNDDOWN(N332/P332*100,0))),"")</f>
        <v/>
      </c>
    </row>
    <row r="333" spans="1:22" ht="13.5" thickBot="1">
      <c r="A333" s="424"/>
      <c r="B333" s="411"/>
      <c r="C333" s="423"/>
      <c r="D333" s="422" t="s">
        <v>1256</v>
      </c>
      <c r="E333" s="416" t="s">
        <v>906</v>
      </c>
      <c r="F333" s="421">
        <v>2.754</v>
      </c>
      <c r="G333" s="416">
        <v>300</v>
      </c>
      <c r="H333" s="416">
        <v>106</v>
      </c>
      <c r="I333" s="416" t="s">
        <v>1255</v>
      </c>
      <c r="J333" s="208">
        <v>2356</v>
      </c>
      <c r="K333" s="208">
        <v>4521</v>
      </c>
      <c r="L333" s="416">
        <v>2000</v>
      </c>
      <c r="M333" s="420" t="s">
        <v>589</v>
      </c>
      <c r="N333" s="419">
        <v>9.9</v>
      </c>
      <c r="O333" s="75">
        <f>IF(N333&gt;0,1/N333*37.7*68.6,"")</f>
        <v>261.23434343434343</v>
      </c>
      <c r="P333" s="418">
        <v>10.35</v>
      </c>
      <c r="Q333" s="417" t="s">
        <v>905</v>
      </c>
      <c r="R333" s="416" t="s">
        <v>904</v>
      </c>
      <c r="S333" s="416" t="s">
        <v>34</v>
      </c>
      <c r="T333" s="415"/>
      <c r="U333" s="414"/>
      <c r="V333" s="28" t="str">
        <f>IFERROR(IF(N333&lt;P333,"",(ROUNDDOWN(N333/P333*100,0))),"")</f>
        <v/>
      </c>
    </row>
    <row r="334" spans="1:22">
      <c r="B334" s="412"/>
    </row>
    <row r="335" spans="1:22">
      <c r="B335" s="412"/>
      <c r="C335" s="3" t="s">
        <v>1254</v>
      </c>
    </row>
    <row r="336" spans="1:22">
      <c r="B336" s="412"/>
      <c r="C336" s="3" t="s">
        <v>459</v>
      </c>
    </row>
    <row r="337" spans="2:3">
      <c r="B337" s="412"/>
      <c r="C337" s="3" t="s">
        <v>460</v>
      </c>
    </row>
    <row r="338" spans="2:3" ht="12">
      <c r="B338" s="78" t="s">
        <v>585</v>
      </c>
    </row>
    <row r="339" spans="2:3">
      <c r="B339" s="3" t="s">
        <v>584</v>
      </c>
    </row>
    <row r="340" spans="2:3">
      <c r="B340" s="3" t="s">
        <v>583</v>
      </c>
    </row>
    <row r="341" spans="2:3">
      <c r="B341" s="3" t="s">
        <v>582</v>
      </c>
    </row>
    <row r="342" spans="2:3">
      <c r="B342" s="3" t="s">
        <v>581</v>
      </c>
    </row>
    <row r="343" spans="2:3">
      <c r="B343" s="3" t="s">
        <v>580</v>
      </c>
    </row>
    <row r="344" spans="2:3">
      <c r="B344" s="3" t="s">
        <v>579</v>
      </c>
    </row>
    <row r="345" spans="2:3">
      <c r="B345" s="3" t="s">
        <v>578</v>
      </c>
    </row>
    <row r="346" spans="2:3">
      <c r="B346" s="3" t="s">
        <v>577</v>
      </c>
    </row>
  </sheetData>
  <sheetProtection selectLockedCells="1"/>
  <mergeCells count="24">
    <mergeCell ref="J4:J8"/>
    <mergeCell ref="K4:K8"/>
    <mergeCell ref="L4:L8"/>
    <mergeCell ref="M4:M8"/>
    <mergeCell ref="V4:V8"/>
    <mergeCell ref="N5:N8"/>
    <mergeCell ref="O5:O8"/>
    <mergeCell ref="P5:P8"/>
    <mergeCell ref="S2:V2"/>
    <mergeCell ref="T6:T8"/>
    <mergeCell ref="N4:P4"/>
    <mergeCell ref="Q4:Q8"/>
    <mergeCell ref="R4:T5"/>
    <mergeCell ref="U4:U8"/>
    <mergeCell ref="R6:R8"/>
    <mergeCell ref="S6:S8"/>
    <mergeCell ref="A4:A8"/>
    <mergeCell ref="B4:C8"/>
    <mergeCell ref="D4:D8"/>
    <mergeCell ref="E4:H5"/>
    <mergeCell ref="I4:I8"/>
    <mergeCell ref="F6:F8"/>
    <mergeCell ref="G6:G8"/>
    <mergeCell ref="H6:H8"/>
  </mergeCells>
  <phoneticPr fontId="8"/>
  <printOptions horizontalCentered="1"/>
  <pageMargins left="0.39370078740157483" right="0.39370078740157483" top="0.39370078740157483" bottom="0.39370078740157483" header="0.19685039370078741" footer="0.39370078740157483"/>
  <pageSetup paperSize="9" scale="57" fitToHeight="0" orientation="landscape" horizontalDpi="400" verticalDpi="400" r:id="rId1"/>
  <headerFooter alignWithMargins="0">
    <oddHeader>&amp;R様式3-4</oddHeader>
  </headerFooter>
  <rowBreaks count="3" manualBreakCount="3">
    <brk id="165" max="21" man="1"/>
    <brk id="205" max="21" man="1"/>
    <brk id="289" max="2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D8D1-5A22-48AA-82CB-671EBF6AB875}">
  <sheetPr>
    <tabColor theme="6"/>
    <pageSetUpPr fitToPage="1"/>
  </sheetPr>
  <dimension ref="A1:V380"/>
  <sheetViews>
    <sheetView showGridLines="0" topLeftCell="A355" zoomScaleNormal="100" zoomScaleSheetLayoutView="100" workbookViewId="0">
      <selection activeCell="C55" sqref="C55"/>
    </sheetView>
  </sheetViews>
  <sheetFormatPr defaultRowHeight="11.25"/>
  <cols>
    <col min="1" max="1" width="8.625" style="3" customWidth="1"/>
    <col min="2" max="2" width="2.875" style="3" customWidth="1"/>
    <col min="3" max="3" width="7" style="3" customWidth="1"/>
    <col min="4" max="4" width="12.5" style="3" customWidth="1"/>
    <col min="5" max="8" width="5.75" style="3" customWidth="1"/>
    <col min="9" max="9" width="9.25" style="3" customWidth="1"/>
    <col min="10" max="11" width="7.125" style="3" customWidth="1"/>
    <col min="12" max="12" width="8.125" style="3" customWidth="1"/>
    <col min="13" max="13" width="5.875" style="3" customWidth="1"/>
    <col min="14" max="14" width="6.125" style="3" customWidth="1"/>
    <col min="15" max="16" width="9.75" style="3" customWidth="1"/>
    <col min="17" max="17" width="7.5" style="3" customWidth="1"/>
    <col min="18" max="18" width="11.375" style="3" customWidth="1"/>
    <col min="19" max="19" width="8.875" style="3" customWidth="1"/>
    <col min="20" max="20" width="6.375" style="3" customWidth="1"/>
    <col min="21" max="21" width="8.375" style="3" customWidth="1"/>
    <col min="22" max="22" width="9.625" style="10" customWidth="1"/>
    <col min="23" max="23" width="2.75" style="3" customWidth="1"/>
    <col min="24" max="256" width="9" style="3"/>
    <col min="257" max="257" width="16.25" style="3" customWidth="1"/>
    <col min="258" max="258" width="4.625" style="3" bestFit="1" customWidth="1"/>
    <col min="259" max="259" width="26.875" style="3" customWidth="1"/>
    <col min="260" max="260" width="12.75" style="3" bestFit="1" customWidth="1"/>
    <col min="261" max="261" width="8.625" style="3" bestFit="1" customWidth="1"/>
    <col min="262" max="262" width="8.5" style="3" bestFit="1" customWidth="1"/>
    <col min="263" max="263" width="10.625" style="3" bestFit="1" customWidth="1"/>
    <col min="264" max="264" width="10" style="3" bestFit="1" customWidth="1"/>
    <col min="265" max="265" width="12.5" style="3" bestFit="1" customWidth="1"/>
    <col min="266" max="266" width="7.125" style="3" customWidth="1"/>
    <col min="267" max="267" width="9.875" style="3" customWidth="1"/>
    <col min="268" max="268" width="10.75" style="3" customWidth="1"/>
    <col min="269" max="269" width="9.75" style="3" bestFit="1" customWidth="1"/>
    <col min="270" max="270" width="6.125" style="3" customWidth="1"/>
    <col min="271" max="271" width="9.5" style="3" bestFit="1" customWidth="1"/>
    <col min="272" max="272" width="7.75" style="3" customWidth="1"/>
    <col min="273" max="273" width="17.125" style="3" bestFit="1" customWidth="1"/>
    <col min="274" max="274" width="16.25" style="3" bestFit="1" customWidth="1"/>
    <col min="275" max="275" width="11.375" style="3" bestFit="1" customWidth="1"/>
    <col min="276" max="276" width="9.625" style="3" customWidth="1"/>
    <col min="277" max="277" width="13.25" style="3" bestFit="1" customWidth="1"/>
    <col min="278" max="278" width="9.625" style="3" customWidth="1"/>
    <col min="279" max="512" width="9" style="3"/>
    <col min="513" max="513" width="16.25" style="3" customWidth="1"/>
    <col min="514" max="514" width="4.625" style="3" bestFit="1" customWidth="1"/>
    <col min="515" max="515" width="26.875" style="3" customWidth="1"/>
    <col min="516" max="516" width="12.75" style="3" bestFit="1" customWidth="1"/>
    <col min="517" max="517" width="8.625" style="3" bestFit="1" customWidth="1"/>
    <col min="518" max="518" width="8.5" style="3" bestFit="1" customWidth="1"/>
    <col min="519" max="519" width="10.625" style="3" bestFit="1" customWidth="1"/>
    <col min="520" max="520" width="10" style="3" bestFit="1" customWidth="1"/>
    <col min="521" max="521" width="12.5" style="3" bestFit="1" customWidth="1"/>
    <col min="522" max="522" width="7.125" style="3" customWidth="1"/>
    <col min="523" max="523" width="9.875" style="3" customWidth="1"/>
    <col min="524" max="524" width="10.75" style="3" customWidth="1"/>
    <col min="525" max="525" width="9.75" style="3" bestFit="1" customWidth="1"/>
    <col min="526" max="526" width="6.125" style="3" customWidth="1"/>
    <col min="527" max="527" width="9.5" style="3" bestFit="1" customWidth="1"/>
    <col min="528" max="528" width="7.75" style="3" customWidth="1"/>
    <col min="529" max="529" width="17.125" style="3" bestFit="1" customWidth="1"/>
    <col min="530" max="530" width="16.25" style="3" bestFit="1" customWidth="1"/>
    <col min="531" max="531" width="11.375" style="3" bestFit="1" customWidth="1"/>
    <col min="532" max="532" width="9.625" style="3" customWidth="1"/>
    <col min="533" max="533" width="13.25" style="3" bestFit="1" customWidth="1"/>
    <col min="534" max="534" width="9.625" style="3" customWidth="1"/>
    <col min="535" max="768" width="9" style="3"/>
    <col min="769" max="769" width="16.25" style="3" customWidth="1"/>
    <col min="770" max="770" width="4.625" style="3" bestFit="1" customWidth="1"/>
    <col min="771" max="771" width="26.875" style="3" customWidth="1"/>
    <col min="772" max="772" width="12.75" style="3" bestFit="1" customWidth="1"/>
    <col min="773" max="773" width="8.625" style="3" bestFit="1" customWidth="1"/>
    <col min="774" max="774" width="8.5" style="3" bestFit="1" customWidth="1"/>
    <col min="775" max="775" width="10.625" style="3" bestFit="1" customWidth="1"/>
    <col min="776" max="776" width="10" style="3" bestFit="1" customWidth="1"/>
    <col min="777" max="777" width="12.5" style="3" bestFit="1" customWidth="1"/>
    <col min="778" max="778" width="7.125" style="3" customWidth="1"/>
    <col min="779" max="779" width="9.875" style="3" customWidth="1"/>
    <col min="780" max="780" width="10.75" style="3" customWidth="1"/>
    <col min="781" max="781" width="9.75" style="3" bestFit="1" customWidth="1"/>
    <col min="782" max="782" width="6.125" style="3" customWidth="1"/>
    <col min="783" max="783" width="9.5" style="3" bestFit="1" customWidth="1"/>
    <col min="784" max="784" width="7.75" style="3" customWidth="1"/>
    <col min="785" max="785" width="17.125" style="3" bestFit="1" customWidth="1"/>
    <col min="786" max="786" width="16.25" style="3" bestFit="1" customWidth="1"/>
    <col min="787" max="787" width="11.375" style="3" bestFit="1" customWidth="1"/>
    <col min="788" max="788" width="9.625" style="3" customWidth="1"/>
    <col min="789" max="789" width="13.25" style="3" bestFit="1" customWidth="1"/>
    <col min="790" max="790" width="9.625" style="3" customWidth="1"/>
    <col min="791" max="1024" width="9" style="3"/>
    <col min="1025" max="1025" width="16.25" style="3" customWidth="1"/>
    <col min="1026" max="1026" width="4.625" style="3" bestFit="1" customWidth="1"/>
    <col min="1027" max="1027" width="26.875" style="3" customWidth="1"/>
    <col min="1028" max="1028" width="12.75" style="3" bestFit="1" customWidth="1"/>
    <col min="1029" max="1029" width="8.625" style="3" bestFit="1" customWidth="1"/>
    <col min="1030" max="1030" width="8.5" style="3" bestFit="1" customWidth="1"/>
    <col min="1031" max="1031" width="10.625" style="3" bestFit="1" customWidth="1"/>
    <col min="1032" max="1032" width="10" style="3" bestFit="1" customWidth="1"/>
    <col min="1033" max="1033" width="12.5" style="3" bestFit="1" customWidth="1"/>
    <col min="1034" max="1034" width="7.125" style="3" customWidth="1"/>
    <col min="1035" max="1035" width="9.875" style="3" customWidth="1"/>
    <col min="1036" max="1036" width="10.75" style="3" customWidth="1"/>
    <col min="1037" max="1037" width="9.75" style="3" bestFit="1" customWidth="1"/>
    <col min="1038" max="1038" width="6.125" style="3" customWidth="1"/>
    <col min="1039" max="1039" width="9.5" style="3" bestFit="1" customWidth="1"/>
    <col min="1040" max="1040" width="7.75" style="3" customWidth="1"/>
    <col min="1041" max="1041" width="17.125" style="3" bestFit="1" customWidth="1"/>
    <col min="1042" max="1042" width="16.25" style="3" bestFit="1" customWidth="1"/>
    <col min="1043" max="1043" width="11.375" style="3" bestFit="1" customWidth="1"/>
    <col min="1044" max="1044" width="9.625" style="3" customWidth="1"/>
    <col min="1045" max="1045" width="13.25" style="3" bestFit="1" customWidth="1"/>
    <col min="1046" max="1046" width="9.625" style="3" customWidth="1"/>
    <col min="1047" max="1280" width="9" style="3"/>
    <col min="1281" max="1281" width="16.25" style="3" customWidth="1"/>
    <col min="1282" max="1282" width="4.625" style="3" bestFit="1" customWidth="1"/>
    <col min="1283" max="1283" width="26.875" style="3" customWidth="1"/>
    <col min="1284" max="1284" width="12.75" style="3" bestFit="1" customWidth="1"/>
    <col min="1285" max="1285" width="8.625" style="3" bestFit="1" customWidth="1"/>
    <col min="1286" max="1286" width="8.5" style="3" bestFit="1" customWidth="1"/>
    <col min="1287" max="1287" width="10.625" style="3" bestFit="1" customWidth="1"/>
    <col min="1288" max="1288" width="10" style="3" bestFit="1" customWidth="1"/>
    <col min="1289" max="1289" width="12.5" style="3" bestFit="1" customWidth="1"/>
    <col min="1290" max="1290" width="7.125" style="3" customWidth="1"/>
    <col min="1291" max="1291" width="9.875" style="3" customWidth="1"/>
    <col min="1292" max="1292" width="10.75" style="3" customWidth="1"/>
    <col min="1293" max="1293" width="9.75" style="3" bestFit="1" customWidth="1"/>
    <col min="1294" max="1294" width="6.125" style="3" customWidth="1"/>
    <col min="1295" max="1295" width="9.5" style="3" bestFit="1" customWidth="1"/>
    <col min="1296" max="1296" width="7.75" style="3" customWidth="1"/>
    <col min="1297" max="1297" width="17.125" style="3" bestFit="1" customWidth="1"/>
    <col min="1298" max="1298" width="16.25" style="3" bestFit="1" customWidth="1"/>
    <col min="1299" max="1299" width="11.375" style="3" bestFit="1" customWidth="1"/>
    <col min="1300" max="1300" width="9.625" style="3" customWidth="1"/>
    <col min="1301" max="1301" width="13.25" style="3" bestFit="1" customWidth="1"/>
    <col min="1302" max="1302" width="9.625" style="3" customWidth="1"/>
    <col min="1303" max="1536" width="9" style="3"/>
    <col min="1537" max="1537" width="16.25" style="3" customWidth="1"/>
    <col min="1538" max="1538" width="4.625" style="3" bestFit="1" customWidth="1"/>
    <col min="1539" max="1539" width="26.875" style="3" customWidth="1"/>
    <col min="1540" max="1540" width="12.75" style="3" bestFit="1" customWidth="1"/>
    <col min="1541" max="1541" width="8.625" style="3" bestFit="1" customWidth="1"/>
    <col min="1542" max="1542" width="8.5" style="3" bestFit="1" customWidth="1"/>
    <col min="1543" max="1543" width="10.625" style="3" bestFit="1" customWidth="1"/>
    <col min="1544" max="1544" width="10" style="3" bestFit="1" customWidth="1"/>
    <col min="1545" max="1545" width="12.5" style="3" bestFit="1" customWidth="1"/>
    <col min="1546" max="1546" width="7.125" style="3" customWidth="1"/>
    <col min="1547" max="1547" width="9.875" style="3" customWidth="1"/>
    <col min="1548" max="1548" width="10.75" style="3" customWidth="1"/>
    <col min="1549" max="1549" width="9.75" style="3" bestFit="1" customWidth="1"/>
    <col min="1550" max="1550" width="6.125" style="3" customWidth="1"/>
    <col min="1551" max="1551" width="9.5" style="3" bestFit="1" customWidth="1"/>
    <col min="1552" max="1552" width="7.75" style="3" customWidth="1"/>
    <col min="1553" max="1553" width="17.125" style="3" bestFit="1" customWidth="1"/>
    <col min="1554" max="1554" width="16.25" style="3" bestFit="1" customWidth="1"/>
    <col min="1555" max="1555" width="11.375" style="3" bestFit="1" customWidth="1"/>
    <col min="1556" max="1556" width="9.625" style="3" customWidth="1"/>
    <col min="1557" max="1557" width="13.25" style="3" bestFit="1" customWidth="1"/>
    <col min="1558" max="1558" width="9.625" style="3" customWidth="1"/>
    <col min="1559" max="1792" width="9" style="3"/>
    <col min="1793" max="1793" width="16.25" style="3" customWidth="1"/>
    <col min="1794" max="1794" width="4.625" style="3" bestFit="1" customWidth="1"/>
    <col min="1795" max="1795" width="26.875" style="3" customWidth="1"/>
    <col min="1796" max="1796" width="12.75" style="3" bestFit="1" customWidth="1"/>
    <col min="1797" max="1797" width="8.625" style="3" bestFit="1" customWidth="1"/>
    <col min="1798" max="1798" width="8.5" style="3" bestFit="1" customWidth="1"/>
    <col min="1799" max="1799" width="10.625" style="3" bestFit="1" customWidth="1"/>
    <col min="1800" max="1800" width="10" style="3" bestFit="1" customWidth="1"/>
    <col min="1801" max="1801" width="12.5" style="3" bestFit="1" customWidth="1"/>
    <col min="1802" max="1802" width="7.125" style="3" customWidth="1"/>
    <col min="1803" max="1803" width="9.875" style="3" customWidth="1"/>
    <col min="1804" max="1804" width="10.75" style="3" customWidth="1"/>
    <col min="1805" max="1805" width="9.75" style="3" bestFit="1" customWidth="1"/>
    <col min="1806" max="1806" width="6.125" style="3" customWidth="1"/>
    <col min="1807" max="1807" width="9.5" style="3" bestFit="1" customWidth="1"/>
    <col min="1808" max="1808" width="7.75" style="3" customWidth="1"/>
    <col min="1809" max="1809" width="17.125" style="3" bestFit="1" customWidth="1"/>
    <col min="1810" max="1810" width="16.25" style="3" bestFit="1" customWidth="1"/>
    <col min="1811" max="1811" width="11.375" style="3" bestFit="1" customWidth="1"/>
    <col min="1812" max="1812" width="9.625" style="3" customWidth="1"/>
    <col min="1813" max="1813" width="13.25" style="3" bestFit="1" customWidth="1"/>
    <col min="1814" max="1814" width="9.625" style="3" customWidth="1"/>
    <col min="1815" max="2048" width="9" style="3"/>
    <col min="2049" max="2049" width="16.25" style="3" customWidth="1"/>
    <col min="2050" max="2050" width="4.625" style="3" bestFit="1" customWidth="1"/>
    <col min="2051" max="2051" width="26.875" style="3" customWidth="1"/>
    <col min="2052" max="2052" width="12.75" style="3" bestFit="1" customWidth="1"/>
    <col min="2053" max="2053" width="8.625" style="3" bestFit="1" customWidth="1"/>
    <col min="2054" max="2054" width="8.5" style="3" bestFit="1" customWidth="1"/>
    <col min="2055" max="2055" width="10.625" style="3" bestFit="1" customWidth="1"/>
    <col min="2056" max="2056" width="10" style="3" bestFit="1" customWidth="1"/>
    <col min="2057" max="2057" width="12.5" style="3" bestFit="1" customWidth="1"/>
    <col min="2058" max="2058" width="7.125" style="3" customWidth="1"/>
    <col min="2059" max="2059" width="9.875" style="3" customWidth="1"/>
    <col min="2060" max="2060" width="10.75" style="3" customWidth="1"/>
    <col min="2061" max="2061" width="9.75" style="3" bestFit="1" customWidth="1"/>
    <col min="2062" max="2062" width="6.125" style="3" customWidth="1"/>
    <col min="2063" max="2063" width="9.5" style="3" bestFit="1" customWidth="1"/>
    <col min="2064" max="2064" width="7.75" style="3" customWidth="1"/>
    <col min="2065" max="2065" width="17.125" style="3" bestFit="1" customWidth="1"/>
    <col min="2066" max="2066" width="16.25" style="3" bestFit="1" customWidth="1"/>
    <col min="2067" max="2067" width="11.375" style="3" bestFit="1" customWidth="1"/>
    <col min="2068" max="2068" width="9.625" style="3" customWidth="1"/>
    <col min="2069" max="2069" width="13.25" style="3" bestFit="1" customWidth="1"/>
    <col min="2070" max="2070" width="9.625" style="3" customWidth="1"/>
    <col min="2071" max="2304" width="9" style="3"/>
    <col min="2305" max="2305" width="16.25" style="3" customWidth="1"/>
    <col min="2306" max="2306" width="4.625" style="3" bestFit="1" customWidth="1"/>
    <col min="2307" max="2307" width="26.875" style="3" customWidth="1"/>
    <col min="2308" max="2308" width="12.75" style="3" bestFit="1" customWidth="1"/>
    <col min="2309" max="2309" width="8.625" style="3" bestFit="1" customWidth="1"/>
    <col min="2310" max="2310" width="8.5" style="3" bestFit="1" customWidth="1"/>
    <col min="2311" max="2311" width="10.625" style="3" bestFit="1" customWidth="1"/>
    <col min="2312" max="2312" width="10" style="3" bestFit="1" customWidth="1"/>
    <col min="2313" max="2313" width="12.5" style="3" bestFit="1" customWidth="1"/>
    <col min="2314" max="2314" width="7.125" style="3" customWidth="1"/>
    <col min="2315" max="2315" width="9.875" style="3" customWidth="1"/>
    <col min="2316" max="2316" width="10.75" style="3" customWidth="1"/>
    <col min="2317" max="2317" width="9.75" style="3" bestFit="1" customWidth="1"/>
    <col min="2318" max="2318" width="6.125" style="3" customWidth="1"/>
    <col min="2319" max="2319" width="9.5" style="3" bestFit="1" customWidth="1"/>
    <col min="2320" max="2320" width="7.75" style="3" customWidth="1"/>
    <col min="2321" max="2321" width="17.125" style="3" bestFit="1" customWidth="1"/>
    <col min="2322" max="2322" width="16.25" style="3" bestFit="1" customWidth="1"/>
    <col min="2323" max="2323" width="11.375" style="3" bestFit="1" customWidth="1"/>
    <col min="2324" max="2324" width="9.625" style="3" customWidth="1"/>
    <col min="2325" max="2325" width="13.25" style="3" bestFit="1" customWidth="1"/>
    <col min="2326" max="2326" width="9.625" style="3" customWidth="1"/>
    <col min="2327" max="2560" width="9" style="3"/>
    <col min="2561" max="2561" width="16.25" style="3" customWidth="1"/>
    <col min="2562" max="2562" width="4.625" style="3" bestFit="1" customWidth="1"/>
    <col min="2563" max="2563" width="26.875" style="3" customWidth="1"/>
    <col min="2564" max="2564" width="12.75" style="3" bestFit="1" customWidth="1"/>
    <col min="2565" max="2565" width="8.625" style="3" bestFit="1" customWidth="1"/>
    <col min="2566" max="2566" width="8.5" style="3" bestFit="1" customWidth="1"/>
    <col min="2567" max="2567" width="10.625" style="3" bestFit="1" customWidth="1"/>
    <col min="2568" max="2568" width="10" style="3" bestFit="1" customWidth="1"/>
    <col min="2569" max="2569" width="12.5" style="3" bestFit="1" customWidth="1"/>
    <col min="2570" max="2570" width="7.125" style="3" customWidth="1"/>
    <col min="2571" max="2571" width="9.875" style="3" customWidth="1"/>
    <col min="2572" max="2572" width="10.75" style="3" customWidth="1"/>
    <col min="2573" max="2573" width="9.75" style="3" bestFit="1" customWidth="1"/>
    <col min="2574" max="2574" width="6.125" style="3" customWidth="1"/>
    <col min="2575" max="2575" width="9.5" style="3" bestFit="1" customWidth="1"/>
    <col min="2576" max="2576" width="7.75" style="3" customWidth="1"/>
    <col min="2577" max="2577" width="17.125" style="3" bestFit="1" customWidth="1"/>
    <col min="2578" max="2578" width="16.25" style="3" bestFit="1" customWidth="1"/>
    <col min="2579" max="2579" width="11.375" style="3" bestFit="1" customWidth="1"/>
    <col min="2580" max="2580" width="9.625" style="3" customWidth="1"/>
    <col min="2581" max="2581" width="13.25" style="3" bestFit="1" customWidth="1"/>
    <col min="2582" max="2582" width="9.625" style="3" customWidth="1"/>
    <col min="2583" max="2816" width="9" style="3"/>
    <col min="2817" max="2817" width="16.25" style="3" customWidth="1"/>
    <col min="2818" max="2818" width="4.625" style="3" bestFit="1" customWidth="1"/>
    <col min="2819" max="2819" width="26.875" style="3" customWidth="1"/>
    <col min="2820" max="2820" width="12.75" style="3" bestFit="1" customWidth="1"/>
    <col min="2821" max="2821" width="8.625" style="3" bestFit="1" customWidth="1"/>
    <col min="2822" max="2822" width="8.5" style="3" bestFit="1" customWidth="1"/>
    <col min="2823" max="2823" width="10.625" style="3" bestFit="1" customWidth="1"/>
    <col min="2824" max="2824" width="10" style="3" bestFit="1" customWidth="1"/>
    <col min="2825" max="2825" width="12.5" style="3" bestFit="1" customWidth="1"/>
    <col min="2826" max="2826" width="7.125" style="3" customWidth="1"/>
    <col min="2827" max="2827" width="9.875" style="3" customWidth="1"/>
    <col min="2828" max="2828" width="10.75" style="3" customWidth="1"/>
    <col min="2829" max="2829" width="9.75" style="3" bestFit="1" customWidth="1"/>
    <col min="2830" max="2830" width="6.125" style="3" customWidth="1"/>
    <col min="2831" max="2831" width="9.5" style="3" bestFit="1" customWidth="1"/>
    <col min="2832" max="2832" width="7.75" style="3" customWidth="1"/>
    <col min="2833" max="2833" width="17.125" style="3" bestFit="1" customWidth="1"/>
    <col min="2834" max="2834" width="16.25" style="3" bestFit="1" customWidth="1"/>
    <col min="2835" max="2835" width="11.375" style="3" bestFit="1" customWidth="1"/>
    <col min="2836" max="2836" width="9.625" style="3" customWidth="1"/>
    <col min="2837" max="2837" width="13.25" style="3" bestFit="1" customWidth="1"/>
    <col min="2838" max="2838" width="9.625" style="3" customWidth="1"/>
    <col min="2839" max="3072" width="9" style="3"/>
    <col min="3073" max="3073" width="16.25" style="3" customWidth="1"/>
    <col min="3074" max="3074" width="4.625" style="3" bestFit="1" customWidth="1"/>
    <col min="3075" max="3075" width="26.875" style="3" customWidth="1"/>
    <col min="3076" max="3076" width="12.75" style="3" bestFit="1" customWidth="1"/>
    <col min="3077" max="3077" width="8.625" style="3" bestFit="1" customWidth="1"/>
    <col min="3078" max="3078" width="8.5" style="3" bestFit="1" customWidth="1"/>
    <col min="3079" max="3079" width="10.625" style="3" bestFit="1" customWidth="1"/>
    <col min="3080" max="3080" width="10" style="3" bestFit="1" customWidth="1"/>
    <col min="3081" max="3081" width="12.5" style="3" bestFit="1" customWidth="1"/>
    <col min="3082" max="3082" width="7.125" style="3" customWidth="1"/>
    <col min="3083" max="3083" width="9.875" style="3" customWidth="1"/>
    <col min="3084" max="3084" width="10.75" style="3" customWidth="1"/>
    <col min="3085" max="3085" width="9.75" style="3" bestFit="1" customWidth="1"/>
    <col min="3086" max="3086" width="6.125" style="3" customWidth="1"/>
    <col min="3087" max="3087" width="9.5" style="3" bestFit="1" customWidth="1"/>
    <col min="3088" max="3088" width="7.75" style="3" customWidth="1"/>
    <col min="3089" max="3089" width="17.125" style="3" bestFit="1" customWidth="1"/>
    <col min="3090" max="3090" width="16.25" style="3" bestFit="1" customWidth="1"/>
    <col min="3091" max="3091" width="11.375" style="3" bestFit="1" customWidth="1"/>
    <col min="3092" max="3092" width="9.625" style="3" customWidth="1"/>
    <col min="3093" max="3093" width="13.25" style="3" bestFit="1" customWidth="1"/>
    <col min="3094" max="3094" width="9.625" style="3" customWidth="1"/>
    <col min="3095" max="3328" width="9" style="3"/>
    <col min="3329" max="3329" width="16.25" style="3" customWidth="1"/>
    <col min="3330" max="3330" width="4.625" style="3" bestFit="1" customWidth="1"/>
    <col min="3331" max="3331" width="26.875" style="3" customWidth="1"/>
    <col min="3332" max="3332" width="12.75" style="3" bestFit="1" customWidth="1"/>
    <col min="3333" max="3333" width="8.625" style="3" bestFit="1" customWidth="1"/>
    <col min="3334" max="3334" width="8.5" style="3" bestFit="1" customWidth="1"/>
    <col min="3335" max="3335" width="10.625" style="3" bestFit="1" customWidth="1"/>
    <col min="3336" max="3336" width="10" style="3" bestFit="1" customWidth="1"/>
    <col min="3337" max="3337" width="12.5" style="3" bestFit="1" customWidth="1"/>
    <col min="3338" max="3338" width="7.125" style="3" customWidth="1"/>
    <col min="3339" max="3339" width="9.875" style="3" customWidth="1"/>
    <col min="3340" max="3340" width="10.75" style="3" customWidth="1"/>
    <col min="3341" max="3341" width="9.75" style="3" bestFit="1" customWidth="1"/>
    <col min="3342" max="3342" width="6.125" style="3" customWidth="1"/>
    <col min="3343" max="3343" width="9.5" style="3" bestFit="1" customWidth="1"/>
    <col min="3344" max="3344" width="7.75" style="3" customWidth="1"/>
    <col min="3345" max="3345" width="17.125" style="3" bestFit="1" customWidth="1"/>
    <col min="3346" max="3346" width="16.25" style="3" bestFit="1" customWidth="1"/>
    <col min="3347" max="3347" width="11.375" style="3" bestFit="1" customWidth="1"/>
    <col min="3348" max="3348" width="9.625" style="3" customWidth="1"/>
    <col min="3349" max="3349" width="13.25" style="3" bestFit="1" customWidth="1"/>
    <col min="3350" max="3350" width="9.625" style="3" customWidth="1"/>
    <col min="3351" max="3584" width="9" style="3"/>
    <col min="3585" max="3585" width="16.25" style="3" customWidth="1"/>
    <col min="3586" max="3586" width="4.625" style="3" bestFit="1" customWidth="1"/>
    <col min="3587" max="3587" width="26.875" style="3" customWidth="1"/>
    <col min="3588" max="3588" width="12.75" style="3" bestFit="1" customWidth="1"/>
    <col min="3589" max="3589" width="8.625" style="3" bestFit="1" customWidth="1"/>
    <col min="3590" max="3590" width="8.5" style="3" bestFit="1" customWidth="1"/>
    <col min="3591" max="3591" width="10.625" style="3" bestFit="1" customWidth="1"/>
    <col min="3592" max="3592" width="10" style="3" bestFit="1" customWidth="1"/>
    <col min="3593" max="3593" width="12.5" style="3" bestFit="1" customWidth="1"/>
    <col min="3594" max="3594" width="7.125" style="3" customWidth="1"/>
    <col min="3595" max="3595" width="9.875" style="3" customWidth="1"/>
    <col min="3596" max="3596" width="10.75" style="3" customWidth="1"/>
    <col min="3597" max="3597" width="9.75" style="3" bestFit="1" customWidth="1"/>
    <col min="3598" max="3598" width="6.125" style="3" customWidth="1"/>
    <col min="3599" max="3599" width="9.5" style="3" bestFit="1" customWidth="1"/>
    <col min="3600" max="3600" width="7.75" style="3" customWidth="1"/>
    <col min="3601" max="3601" width="17.125" style="3" bestFit="1" customWidth="1"/>
    <col min="3602" max="3602" width="16.25" style="3" bestFit="1" customWidth="1"/>
    <col min="3603" max="3603" width="11.375" style="3" bestFit="1" customWidth="1"/>
    <col min="3604" max="3604" width="9.625" style="3" customWidth="1"/>
    <col min="3605" max="3605" width="13.25" style="3" bestFit="1" customWidth="1"/>
    <col min="3606" max="3606" width="9.625" style="3" customWidth="1"/>
    <col min="3607" max="3840" width="9" style="3"/>
    <col min="3841" max="3841" width="16.25" style="3" customWidth="1"/>
    <col min="3842" max="3842" width="4.625" style="3" bestFit="1" customWidth="1"/>
    <col min="3843" max="3843" width="26.875" style="3" customWidth="1"/>
    <col min="3844" max="3844" width="12.75" style="3" bestFit="1" customWidth="1"/>
    <col min="3845" max="3845" width="8.625" style="3" bestFit="1" customWidth="1"/>
    <col min="3846" max="3846" width="8.5" style="3" bestFit="1" customWidth="1"/>
    <col min="3847" max="3847" width="10.625" style="3" bestFit="1" customWidth="1"/>
    <col min="3848" max="3848" width="10" style="3" bestFit="1" customWidth="1"/>
    <col min="3849" max="3849" width="12.5" style="3" bestFit="1" customWidth="1"/>
    <col min="3850" max="3850" width="7.125" style="3" customWidth="1"/>
    <col min="3851" max="3851" width="9.875" style="3" customWidth="1"/>
    <col min="3852" max="3852" width="10.75" style="3" customWidth="1"/>
    <col min="3853" max="3853" width="9.75" style="3" bestFit="1" customWidth="1"/>
    <col min="3854" max="3854" width="6.125" style="3" customWidth="1"/>
    <col min="3855" max="3855" width="9.5" style="3" bestFit="1" customWidth="1"/>
    <col min="3856" max="3856" width="7.75" style="3" customWidth="1"/>
    <col min="3857" max="3857" width="17.125" style="3" bestFit="1" customWidth="1"/>
    <col min="3858" max="3858" width="16.25" style="3" bestFit="1" customWidth="1"/>
    <col min="3859" max="3859" width="11.375" style="3" bestFit="1" customWidth="1"/>
    <col min="3860" max="3860" width="9.625" style="3" customWidth="1"/>
    <col min="3861" max="3861" width="13.25" style="3" bestFit="1" customWidth="1"/>
    <col min="3862" max="3862" width="9.625" style="3" customWidth="1"/>
    <col min="3863" max="4096" width="9" style="3"/>
    <col min="4097" max="4097" width="16.25" style="3" customWidth="1"/>
    <col min="4098" max="4098" width="4.625" style="3" bestFit="1" customWidth="1"/>
    <col min="4099" max="4099" width="26.875" style="3" customWidth="1"/>
    <col min="4100" max="4100" width="12.75" style="3" bestFit="1" customWidth="1"/>
    <col min="4101" max="4101" width="8.625" style="3" bestFit="1" customWidth="1"/>
    <col min="4102" max="4102" width="8.5" style="3" bestFit="1" customWidth="1"/>
    <col min="4103" max="4103" width="10.625" style="3" bestFit="1" customWidth="1"/>
    <col min="4104" max="4104" width="10" style="3" bestFit="1" customWidth="1"/>
    <col min="4105" max="4105" width="12.5" style="3" bestFit="1" customWidth="1"/>
    <col min="4106" max="4106" width="7.125" style="3" customWidth="1"/>
    <col min="4107" max="4107" width="9.875" style="3" customWidth="1"/>
    <col min="4108" max="4108" width="10.75" style="3" customWidth="1"/>
    <col min="4109" max="4109" width="9.75" style="3" bestFit="1" customWidth="1"/>
    <col min="4110" max="4110" width="6.125" style="3" customWidth="1"/>
    <col min="4111" max="4111" width="9.5" style="3" bestFit="1" customWidth="1"/>
    <col min="4112" max="4112" width="7.75" style="3" customWidth="1"/>
    <col min="4113" max="4113" width="17.125" style="3" bestFit="1" customWidth="1"/>
    <col min="4114" max="4114" width="16.25" style="3" bestFit="1" customWidth="1"/>
    <col min="4115" max="4115" width="11.375" style="3" bestFit="1" customWidth="1"/>
    <col min="4116" max="4116" width="9.625" style="3" customWidth="1"/>
    <col min="4117" max="4117" width="13.25" style="3" bestFit="1" customWidth="1"/>
    <col min="4118" max="4118" width="9.625" style="3" customWidth="1"/>
    <col min="4119" max="4352" width="9" style="3"/>
    <col min="4353" max="4353" width="16.25" style="3" customWidth="1"/>
    <col min="4354" max="4354" width="4.625" style="3" bestFit="1" customWidth="1"/>
    <col min="4355" max="4355" width="26.875" style="3" customWidth="1"/>
    <col min="4356" max="4356" width="12.75" style="3" bestFit="1" customWidth="1"/>
    <col min="4357" max="4357" width="8.625" style="3" bestFit="1" customWidth="1"/>
    <col min="4358" max="4358" width="8.5" style="3" bestFit="1" customWidth="1"/>
    <col min="4359" max="4359" width="10.625" style="3" bestFit="1" customWidth="1"/>
    <col min="4360" max="4360" width="10" style="3" bestFit="1" customWidth="1"/>
    <col min="4361" max="4361" width="12.5" style="3" bestFit="1" customWidth="1"/>
    <col min="4362" max="4362" width="7.125" style="3" customWidth="1"/>
    <col min="4363" max="4363" width="9.875" style="3" customWidth="1"/>
    <col min="4364" max="4364" width="10.75" style="3" customWidth="1"/>
    <col min="4365" max="4365" width="9.75" style="3" bestFit="1" customWidth="1"/>
    <col min="4366" max="4366" width="6.125" style="3" customWidth="1"/>
    <col min="4367" max="4367" width="9.5" style="3" bestFit="1" customWidth="1"/>
    <col min="4368" max="4368" width="7.75" style="3" customWidth="1"/>
    <col min="4369" max="4369" width="17.125" style="3" bestFit="1" customWidth="1"/>
    <col min="4370" max="4370" width="16.25" style="3" bestFit="1" customWidth="1"/>
    <col min="4371" max="4371" width="11.375" style="3" bestFit="1" customWidth="1"/>
    <col min="4372" max="4372" width="9.625" style="3" customWidth="1"/>
    <col min="4373" max="4373" width="13.25" style="3" bestFit="1" customWidth="1"/>
    <col min="4374" max="4374" width="9.625" style="3" customWidth="1"/>
    <col min="4375" max="4608" width="9" style="3"/>
    <col min="4609" max="4609" width="16.25" style="3" customWidth="1"/>
    <col min="4610" max="4610" width="4.625" style="3" bestFit="1" customWidth="1"/>
    <col min="4611" max="4611" width="26.875" style="3" customWidth="1"/>
    <col min="4612" max="4612" width="12.75" style="3" bestFit="1" customWidth="1"/>
    <col min="4613" max="4613" width="8.625" style="3" bestFit="1" customWidth="1"/>
    <col min="4614" max="4614" width="8.5" style="3" bestFit="1" customWidth="1"/>
    <col min="4615" max="4615" width="10.625" style="3" bestFit="1" customWidth="1"/>
    <col min="4616" max="4616" width="10" style="3" bestFit="1" customWidth="1"/>
    <col min="4617" max="4617" width="12.5" style="3" bestFit="1" customWidth="1"/>
    <col min="4618" max="4618" width="7.125" style="3" customWidth="1"/>
    <col min="4619" max="4619" width="9.875" style="3" customWidth="1"/>
    <col min="4620" max="4620" width="10.75" style="3" customWidth="1"/>
    <col min="4621" max="4621" width="9.75" style="3" bestFit="1" customWidth="1"/>
    <col min="4622" max="4622" width="6.125" style="3" customWidth="1"/>
    <col min="4623" max="4623" width="9.5" style="3" bestFit="1" customWidth="1"/>
    <col min="4624" max="4624" width="7.75" style="3" customWidth="1"/>
    <col min="4625" max="4625" width="17.125" style="3" bestFit="1" customWidth="1"/>
    <col min="4626" max="4626" width="16.25" style="3" bestFit="1" customWidth="1"/>
    <col min="4627" max="4627" width="11.375" style="3" bestFit="1" customWidth="1"/>
    <col min="4628" max="4628" width="9.625" style="3" customWidth="1"/>
    <col min="4629" max="4629" width="13.25" style="3" bestFit="1" customWidth="1"/>
    <col min="4630" max="4630" width="9.625" style="3" customWidth="1"/>
    <col min="4631" max="4864" width="9" style="3"/>
    <col min="4865" max="4865" width="16.25" style="3" customWidth="1"/>
    <col min="4866" max="4866" width="4.625" style="3" bestFit="1" customWidth="1"/>
    <col min="4867" max="4867" width="26.875" style="3" customWidth="1"/>
    <col min="4868" max="4868" width="12.75" style="3" bestFit="1" customWidth="1"/>
    <col min="4869" max="4869" width="8.625" style="3" bestFit="1" customWidth="1"/>
    <col min="4870" max="4870" width="8.5" style="3" bestFit="1" customWidth="1"/>
    <col min="4871" max="4871" width="10.625" style="3" bestFit="1" customWidth="1"/>
    <col min="4872" max="4872" width="10" style="3" bestFit="1" customWidth="1"/>
    <col min="4873" max="4873" width="12.5" style="3" bestFit="1" customWidth="1"/>
    <col min="4874" max="4874" width="7.125" style="3" customWidth="1"/>
    <col min="4875" max="4875" width="9.875" style="3" customWidth="1"/>
    <col min="4876" max="4876" width="10.75" style="3" customWidth="1"/>
    <col min="4877" max="4877" width="9.75" style="3" bestFit="1" customWidth="1"/>
    <col min="4878" max="4878" width="6.125" style="3" customWidth="1"/>
    <col min="4879" max="4879" width="9.5" style="3" bestFit="1" customWidth="1"/>
    <col min="4880" max="4880" width="7.75" style="3" customWidth="1"/>
    <col min="4881" max="4881" width="17.125" style="3" bestFit="1" customWidth="1"/>
    <col min="4882" max="4882" width="16.25" style="3" bestFit="1" customWidth="1"/>
    <col min="4883" max="4883" width="11.375" style="3" bestFit="1" customWidth="1"/>
    <col min="4884" max="4884" width="9.625" style="3" customWidth="1"/>
    <col min="4885" max="4885" width="13.25" style="3" bestFit="1" customWidth="1"/>
    <col min="4886" max="4886" width="9.625" style="3" customWidth="1"/>
    <col min="4887" max="5120" width="9" style="3"/>
    <col min="5121" max="5121" width="16.25" style="3" customWidth="1"/>
    <col min="5122" max="5122" width="4.625" style="3" bestFit="1" customWidth="1"/>
    <col min="5123" max="5123" width="26.875" style="3" customWidth="1"/>
    <col min="5124" max="5124" width="12.75" style="3" bestFit="1" customWidth="1"/>
    <col min="5125" max="5125" width="8.625" style="3" bestFit="1" customWidth="1"/>
    <col min="5126" max="5126" width="8.5" style="3" bestFit="1" customWidth="1"/>
    <col min="5127" max="5127" width="10.625" style="3" bestFit="1" customWidth="1"/>
    <col min="5128" max="5128" width="10" style="3" bestFit="1" customWidth="1"/>
    <col min="5129" max="5129" width="12.5" style="3" bestFit="1" customWidth="1"/>
    <col min="5130" max="5130" width="7.125" style="3" customWidth="1"/>
    <col min="5131" max="5131" width="9.875" style="3" customWidth="1"/>
    <col min="5132" max="5132" width="10.75" style="3" customWidth="1"/>
    <col min="5133" max="5133" width="9.75" style="3" bestFit="1" customWidth="1"/>
    <col min="5134" max="5134" width="6.125" style="3" customWidth="1"/>
    <col min="5135" max="5135" width="9.5" style="3" bestFit="1" customWidth="1"/>
    <col min="5136" max="5136" width="7.75" style="3" customWidth="1"/>
    <col min="5137" max="5137" width="17.125" style="3" bestFit="1" customWidth="1"/>
    <col min="5138" max="5138" width="16.25" style="3" bestFit="1" customWidth="1"/>
    <col min="5139" max="5139" width="11.375" style="3" bestFit="1" customWidth="1"/>
    <col min="5140" max="5140" width="9.625" style="3" customWidth="1"/>
    <col min="5141" max="5141" width="13.25" style="3" bestFit="1" customWidth="1"/>
    <col min="5142" max="5142" width="9.625" style="3" customWidth="1"/>
    <col min="5143" max="5376" width="9" style="3"/>
    <col min="5377" max="5377" width="16.25" style="3" customWidth="1"/>
    <col min="5378" max="5378" width="4.625" style="3" bestFit="1" customWidth="1"/>
    <col min="5379" max="5379" width="26.875" style="3" customWidth="1"/>
    <col min="5380" max="5380" width="12.75" style="3" bestFit="1" customWidth="1"/>
    <col min="5381" max="5381" width="8.625" style="3" bestFit="1" customWidth="1"/>
    <col min="5382" max="5382" width="8.5" style="3" bestFit="1" customWidth="1"/>
    <col min="5383" max="5383" width="10.625" style="3" bestFit="1" customWidth="1"/>
    <col min="5384" max="5384" width="10" style="3" bestFit="1" customWidth="1"/>
    <col min="5385" max="5385" width="12.5" style="3" bestFit="1" customWidth="1"/>
    <col min="5386" max="5386" width="7.125" style="3" customWidth="1"/>
    <col min="5387" max="5387" width="9.875" style="3" customWidth="1"/>
    <col min="5388" max="5388" width="10.75" style="3" customWidth="1"/>
    <col min="5389" max="5389" width="9.75" style="3" bestFit="1" customWidth="1"/>
    <col min="5390" max="5390" width="6.125" style="3" customWidth="1"/>
    <col min="5391" max="5391" width="9.5" style="3" bestFit="1" customWidth="1"/>
    <col min="5392" max="5392" width="7.75" style="3" customWidth="1"/>
    <col min="5393" max="5393" width="17.125" style="3" bestFit="1" customWidth="1"/>
    <col min="5394" max="5394" width="16.25" style="3" bestFit="1" customWidth="1"/>
    <col min="5395" max="5395" width="11.375" style="3" bestFit="1" customWidth="1"/>
    <col min="5396" max="5396" width="9.625" style="3" customWidth="1"/>
    <col min="5397" max="5397" width="13.25" style="3" bestFit="1" customWidth="1"/>
    <col min="5398" max="5398" width="9.625" style="3" customWidth="1"/>
    <col min="5399" max="5632" width="9" style="3"/>
    <col min="5633" max="5633" width="16.25" style="3" customWidth="1"/>
    <col min="5634" max="5634" width="4.625" style="3" bestFit="1" customWidth="1"/>
    <col min="5635" max="5635" width="26.875" style="3" customWidth="1"/>
    <col min="5636" max="5636" width="12.75" style="3" bestFit="1" customWidth="1"/>
    <col min="5637" max="5637" width="8.625" style="3" bestFit="1" customWidth="1"/>
    <col min="5638" max="5638" width="8.5" style="3" bestFit="1" customWidth="1"/>
    <col min="5639" max="5639" width="10.625" style="3" bestFit="1" customWidth="1"/>
    <col min="5640" max="5640" width="10" style="3" bestFit="1" customWidth="1"/>
    <col min="5641" max="5641" width="12.5" style="3" bestFit="1" customWidth="1"/>
    <col min="5642" max="5642" width="7.125" style="3" customWidth="1"/>
    <col min="5643" max="5643" width="9.875" style="3" customWidth="1"/>
    <col min="5644" max="5644" width="10.75" style="3" customWidth="1"/>
    <col min="5645" max="5645" width="9.75" style="3" bestFit="1" customWidth="1"/>
    <col min="5646" max="5646" width="6.125" style="3" customWidth="1"/>
    <col min="5647" max="5647" width="9.5" style="3" bestFit="1" customWidth="1"/>
    <col min="5648" max="5648" width="7.75" style="3" customWidth="1"/>
    <col min="5649" max="5649" width="17.125" style="3" bestFit="1" customWidth="1"/>
    <col min="5650" max="5650" width="16.25" style="3" bestFit="1" customWidth="1"/>
    <col min="5651" max="5651" width="11.375" style="3" bestFit="1" customWidth="1"/>
    <col min="5652" max="5652" width="9.625" style="3" customWidth="1"/>
    <col min="5653" max="5653" width="13.25" style="3" bestFit="1" customWidth="1"/>
    <col min="5654" max="5654" width="9.625" style="3" customWidth="1"/>
    <col min="5655" max="5888" width="9" style="3"/>
    <col min="5889" max="5889" width="16.25" style="3" customWidth="1"/>
    <col min="5890" max="5890" width="4.625" style="3" bestFit="1" customWidth="1"/>
    <col min="5891" max="5891" width="26.875" style="3" customWidth="1"/>
    <col min="5892" max="5892" width="12.75" style="3" bestFit="1" customWidth="1"/>
    <col min="5893" max="5893" width="8.625" style="3" bestFit="1" customWidth="1"/>
    <col min="5894" max="5894" width="8.5" style="3" bestFit="1" customWidth="1"/>
    <col min="5895" max="5895" width="10.625" style="3" bestFit="1" customWidth="1"/>
    <col min="5896" max="5896" width="10" style="3" bestFit="1" customWidth="1"/>
    <col min="5897" max="5897" width="12.5" style="3" bestFit="1" customWidth="1"/>
    <col min="5898" max="5898" width="7.125" style="3" customWidth="1"/>
    <col min="5899" max="5899" width="9.875" style="3" customWidth="1"/>
    <col min="5900" max="5900" width="10.75" style="3" customWidth="1"/>
    <col min="5901" max="5901" width="9.75" style="3" bestFit="1" customWidth="1"/>
    <col min="5902" max="5902" width="6.125" style="3" customWidth="1"/>
    <col min="5903" max="5903" width="9.5" style="3" bestFit="1" customWidth="1"/>
    <col min="5904" max="5904" width="7.75" style="3" customWidth="1"/>
    <col min="5905" max="5905" width="17.125" style="3" bestFit="1" customWidth="1"/>
    <col min="5906" max="5906" width="16.25" style="3" bestFit="1" customWidth="1"/>
    <col min="5907" max="5907" width="11.375" style="3" bestFit="1" customWidth="1"/>
    <col min="5908" max="5908" width="9.625" style="3" customWidth="1"/>
    <col min="5909" max="5909" width="13.25" style="3" bestFit="1" customWidth="1"/>
    <col min="5910" max="5910" width="9.625" style="3" customWidth="1"/>
    <col min="5911" max="6144" width="9" style="3"/>
    <col min="6145" max="6145" width="16.25" style="3" customWidth="1"/>
    <col min="6146" max="6146" width="4.625" style="3" bestFit="1" customWidth="1"/>
    <col min="6147" max="6147" width="26.875" style="3" customWidth="1"/>
    <col min="6148" max="6148" width="12.75" style="3" bestFit="1" customWidth="1"/>
    <col min="6149" max="6149" width="8.625" style="3" bestFit="1" customWidth="1"/>
    <col min="6150" max="6150" width="8.5" style="3" bestFit="1" customWidth="1"/>
    <col min="6151" max="6151" width="10.625" style="3" bestFit="1" customWidth="1"/>
    <col min="6152" max="6152" width="10" style="3" bestFit="1" customWidth="1"/>
    <col min="6153" max="6153" width="12.5" style="3" bestFit="1" customWidth="1"/>
    <col min="6154" max="6154" width="7.125" style="3" customWidth="1"/>
    <col min="6155" max="6155" width="9.875" style="3" customWidth="1"/>
    <col min="6156" max="6156" width="10.75" style="3" customWidth="1"/>
    <col min="6157" max="6157" width="9.75" style="3" bestFit="1" customWidth="1"/>
    <col min="6158" max="6158" width="6.125" style="3" customWidth="1"/>
    <col min="6159" max="6159" width="9.5" style="3" bestFit="1" customWidth="1"/>
    <col min="6160" max="6160" width="7.75" style="3" customWidth="1"/>
    <col min="6161" max="6161" width="17.125" style="3" bestFit="1" customWidth="1"/>
    <col min="6162" max="6162" width="16.25" style="3" bestFit="1" customWidth="1"/>
    <col min="6163" max="6163" width="11.375" style="3" bestFit="1" customWidth="1"/>
    <col min="6164" max="6164" width="9.625" style="3" customWidth="1"/>
    <col min="6165" max="6165" width="13.25" style="3" bestFit="1" customWidth="1"/>
    <col min="6166" max="6166" width="9.625" style="3" customWidth="1"/>
    <col min="6167" max="6400" width="9" style="3"/>
    <col min="6401" max="6401" width="16.25" style="3" customWidth="1"/>
    <col min="6402" max="6402" width="4.625" style="3" bestFit="1" customWidth="1"/>
    <col min="6403" max="6403" width="26.875" style="3" customWidth="1"/>
    <col min="6404" max="6404" width="12.75" style="3" bestFit="1" customWidth="1"/>
    <col min="6405" max="6405" width="8.625" style="3" bestFit="1" customWidth="1"/>
    <col min="6406" max="6406" width="8.5" style="3" bestFit="1" customWidth="1"/>
    <col min="6407" max="6407" width="10.625" style="3" bestFit="1" customWidth="1"/>
    <col min="6408" max="6408" width="10" style="3" bestFit="1" customWidth="1"/>
    <col min="6409" max="6409" width="12.5" style="3" bestFit="1" customWidth="1"/>
    <col min="6410" max="6410" width="7.125" style="3" customWidth="1"/>
    <col min="6411" max="6411" width="9.875" style="3" customWidth="1"/>
    <col min="6412" max="6412" width="10.75" style="3" customWidth="1"/>
    <col min="6413" max="6413" width="9.75" style="3" bestFit="1" customWidth="1"/>
    <col min="6414" max="6414" width="6.125" style="3" customWidth="1"/>
    <col min="6415" max="6415" width="9.5" style="3" bestFit="1" customWidth="1"/>
    <col min="6416" max="6416" width="7.75" style="3" customWidth="1"/>
    <col min="6417" max="6417" width="17.125" style="3" bestFit="1" customWidth="1"/>
    <col min="6418" max="6418" width="16.25" style="3" bestFit="1" customWidth="1"/>
    <col min="6419" max="6419" width="11.375" style="3" bestFit="1" customWidth="1"/>
    <col min="6420" max="6420" width="9.625" style="3" customWidth="1"/>
    <col min="6421" max="6421" width="13.25" style="3" bestFit="1" customWidth="1"/>
    <col min="6422" max="6422" width="9.625" style="3" customWidth="1"/>
    <col min="6423" max="6656" width="9" style="3"/>
    <col min="6657" max="6657" width="16.25" style="3" customWidth="1"/>
    <col min="6658" max="6658" width="4.625" style="3" bestFit="1" customWidth="1"/>
    <col min="6659" max="6659" width="26.875" style="3" customWidth="1"/>
    <col min="6660" max="6660" width="12.75" style="3" bestFit="1" customWidth="1"/>
    <col min="6661" max="6661" width="8.625" style="3" bestFit="1" customWidth="1"/>
    <col min="6662" max="6662" width="8.5" style="3" bestFit="1" customWidth="1"/>
    <col min="6663" max="6663" width="10.625" style="3" bestFit="1" customWidth="1"/>
    <col min="6664" max="6664" width="10" style="3" bestFit="1" customWidth="1"/>
    <col min="6665" max="6665" width="12.5" style="3" bestFit="1" customWidth="1"/>
    <col min="6666" max="6666" width="7.125" style="3" customWidth="1"/>
    <col min="6667" max="6667" width="9.875" style="3" customWidth="1"/>
    <col min="6668" max="6668" width="10.75" style="3" customWidth="1"/>
    <col min="6669" max="6669" width="9.75" style="3" bestFit="1" customWidth="1"/>
    <col min="6670" max="6670" width="6.125" style="3" customWidth="1"/>
    <col min="6671" max="6671" width="9.5" style="3" bestFit="1" customWidth="1"/>
    <col min="6672" max="6672" width="7.75" style="3" customWidth="1"/>
    <col min="6673" max="6673" width="17.125" style="3" bestFit="1" customWidth="1"/>
    <col min="6674" max="6674" width="16.25" style="3" bestFit="1" customWidth="1"/>
    <col min="6675" max="6675" width="11.375" style="3" bestFit="1" customWidth="1"/>
    <col min="6676" max="6676" width="9.625" style="3" customWidth="1"/>
    <col min="6677" max="6677" width="13.25" style="3" bestFit="1" customWidth="1"/>
    <col min="6678" max="6678" width="9.625" style="3" customWidth="1"/>
    <col min="6679" max="6912" width="9" style="3"/>
    <col min="6913" max="6913" width="16.25" style="3" customWidth="1"/>
    <col min="6914" max="6914" width="4.625" style="3" bestFit="1" customWidth="1"/>
    <col min="6915" max="6915" width="26.875" style="3" customWidth="1"/>
    <col min="6916" max="6916" width="12.75" style="3" bestFit="1" customWidth="1"/>
    <col min="6917" max="6917" width="8.625" style="3" bestFit="1" customWidth="1"/>
    <col min="6918" max="6918" width="8.5" style="3" bestFit="1" customWidth="1"/>
    <col min="6919" max="6919" width="10.625" style="3" bestFit="1" customWidth="1"/>
    <col min="6920" max="6920" width="10" style="3" bestFit="1" customWidth="1"/>
    <col min="6921" max="6921" width="12.5" style="3" bestFit="1" customWidth="1"/>
    <col min="6922" max="6922" width="7.125" style="3" customWidth="1"/>
    <col min="6923" max="6923" width="9.875" style="3" customWidth="1"/>
    <col min="6924" max="6924" width="10.75" style="3" customWidth="1"/>
    <col min="6925" max="6925" width="9.75" style="3" bestFit="1" customWidth="1"/>
    <col min="6926" max="6926" width="6.125" style="3" customWidth="1"/>
    <col min="6927" max="6927" width="9.5" style="3" bestFit="1" customWidth="1"/>
    <col min="6928" max="6928" width="7.75" style="3" customWidth="1"/>
    <col min="6929" max="6929" width="17.125" style="3" bestFit="1" customWidth="1"/>
    <col min="6930" max="6930" width="16.25" style="3" bestFit="1" customWidth="1"/>
    <col min="6931" max="6931" width="11.375" style="3" bestFit="1" customWidth="1"/>
    <col min="6932" max="6932" width="9.625" style="3" customWidth="1"/>
    <col min="6933" max="6933" width="13.25" style="3" bestFit="1" customWidth="1"/>
    <col min="6934" max="6934" width="9.625" style="3" customWidth="1"/>
    <col min="6935" max="7168" width="9" style="3"/>
    <col min="7169" max="7169" width="16.25" style="3" customWidth="1"/>
    <col min="7170" max="7170" width="4.625" style="3" bestFit="1" customWidth="1"/>
    <col min="7171" max="7171" width="26.875" style="3" customWidth="1"/>
    <col min="7172" max="7172" width="12.75" style="3" bestFit="1" customWidth="1"/>
    <col min="7173" max="7173" width="8.625" style="3" bestFit="1" customWidth="1"/>
    <col min="7174" max="7174" width="8.5" style="3" bestFit="1" customWidth="1"/>
    <col min="7175" max="7175" width="10.625" style="3" bestFit="1" customWidth="1"/>
    <col min="7176" max="7176" width="10" style="3" bestFit="1" customWidth="1"/>
    <col min="7177" max="7177" width="12.5" style="3" bestFit="1" customWidth="1"/>
    <col min="7178" max="7178" width="7.125" style="3" customWidth="1"/>
    <col min="7179" max="7179" width="9.875" style="3" customWidth="1"/>
    <col min="7180" max="7180" width="10.75" style="3" customWidth="1"/>
    <col min="7181" max="7181" width="9.75" style="3" bestFit="1" customWidth="1"/>
    <col min="7182" max="7182" width="6.125" style="3" customWidth="1"/>
    <col min="7183" max="7183" width="9.5" style="3" bestFit="1" customWidth="1"/>
    <col min="7184" max="7184" width="7.75" style="3" customWidth="1"/>
    <col min="7185" max="7185" width="17.125" style="3" bestFit="1" customWidth="1"/>
    <col min="7186" max="7186" width="16.25" style="3" bestFit="1" customWidth="1"/>
    <col min="7187" max="7187" width="11.375" style="3" bestFit="1" customWidth="1"/>
    <col min="7188" max="7188" width="9.625" style="3" customWidth="1"/>
    <col min="7189" max="7189" width="13.25" style="3" bestFit="1" customWidth="1"/>
    <col min="7190" max="7190" width="9.625" style="3" customWidth="1"/>
    <col min="7191" max="7424" width="9" style="3"/>
    <col min="7425" max="7425" width="16.25" style="3" customWidth="1"/>
    <col min="7426" max="7426" width="4.625" style="3" bestFit="1" customWidth="1"/>
    <col min="7427" max="7427" width="26.875" style="3" customWidth="1"/>
    <col min="7428" max="7428" width="12.75" style="3" bestFit="1" customWidth="1"/>
    <col min="7429" max="7429" width="8.625" style="3" bestFit="1" customWidth="1"/>
    <col min="7430" max="7430" width="8.5" style="3" bestFit="1" customWidth="1"/>
    <col min="7431" max="7431" width="10.625" style="3" bestFit="1" customWidth="1"/>
    <col min="7432" max="7432" width="10" style="3" bestFit="1" customWidth="1"/>
    <col min="7433" max="7433" width="12.5" style="3" bestFit="1" customWidth="1"/>
    <col min="7434" max="7434" width="7.125" style="3" customWidth="1"/>
    <col min="7435" max="7435" width="9.875" style="3" customWidth="1"/>
    <col min="7436" max="7436" width="10.75" style="3" customWidth="1"/>
    <col min="7437" max="7437" width="9.75" style="3" bestFit="1" customWidth="1"/>
    <col min="7438" max="7438" width="6.125" style="3" customWidth="1"/>
    <col min="7439" max="7439" width="9.5" style="3" bestFit="1" customWidth="1"/>
    <col min="7440" max="7440" width="7.75" style="3" customWidth="1"/>
    <col min="7441" max="7441" width="17.125" style="3" bestFit="1" customWidth="1"/>
    <col min="7442" max="7442" width="16.25" style="3" bestFit="1" customWidth="1"/>
    <col min="7443" max="7443" width="11.375" style="3" bestFit="1" customWidth="1"/>
    <col min="7444" max="7444" width="9.625" style="3" customWidth="1"/>
    <col min="7445" max="7445" width="13.25" style="3" bestFit="1" customWidth="1"/>
    <col min="7446" max="7446" width="9.625" style="3" customWidth="1"/>
    <col min="7447" max="7680" width="9" style="3"/>
    <col min="7681" max="7681" width="16.25" style="3" customWidth="1"/>
    <col min="7682" max="7682" width="4.625" style="3" bestFit="1" customWidth="1"/>
    <col min="7683" max="7683" width="26.875" style="3" customWidth="1"/>
    <col min="7684" max="7684" width="12.75" style="3" bestFit="1" customWidth="1"/>
    <col min="7685" max="7685" width="8.625" style="3" bestFit="1" customWidth="1"/>
    <col min="7686" max="7686" width="8.5" style="3" bestFit="1" customWidth="1"/>
    <col min="7687" max="7687" width="10.625" style="3" bestFit="1" customWidth="1"/>
    <col min="7688" max="7688" width="10" style="3" bestFit="1" customWidth="1"/>
    <col min="7689" max="7689" width="12.5" style="3" bestFit="1" customWidth="1"/>
    <col min="7690" max="7690" width="7.125" style="3" customWidth="1"/>
    <col min="7691" max="7691" width="9.875" style="3" customWidth="1"/>
    <col min="7692" max="7692" width="10.75" style="3" customWidth="1"/>
    <col min="7693" max="7693" width="9.75" style="3" bestFit="1" customWidth="1"/>
    <col min="7694" max="7694" width="6.125" style="3" customWidth="1"/>
    <col min="7695" max="7695" width="9.5" style="3" bestFit="1" customWidth="1"/>
    <col min="7696" max="7696" width="7.75" style="3" customWidth="1"/>
    <col min="7697" max="7697" width="17.125" style="3" bestFit="1" customWidth="1"/>
    <col min="7698" max="7698" width="16.25" style="3" bestFit="1" customWidth="1"/>
    <col min="7699" max="7699" width="11.375" style="3" bestFit="1" customWidth="1"/>
    <col min="7700" max="7700" width="9.625" style="3" customWidth="1"/>
    <col min="7701" max="7701" width="13.25" style="3" bestFit="1" customWidth="1"/>
    <col min="7702" max="7702" width="9.625" style="3" customWidth="1"/>
    <col min="7703" max="7936" width="9" style="3"/>
    <col min="7937" max="7937" width="16.25" style="3" customWidth="1"/>
    <col min="7938" max="7938" width="4.625" style="3" bestFit="1" customWidth="1"/>
    <col min="7939" max="7939" width="26.875" style="3" customWidth="1"/>
    <col min="7940" max="7940" width="12.75" style="3" bestFit="1" customWidth="1"/>
    <col min="7941" max="7941" width="8.625" style="3" bestFit="1" customWidth="1"/>
    <col min="7942" max="7942" width="8.5" style="3" bestFit="1" customWidth="1"/>
    <col min="7943" max="7943" width="10.625" style="3" bestFit="1" customWidth="1"/>
    <col min="7944" max="7944" width="10" style="3" bestFit="1" customWidth="1"/>
    <col min="7945" max="7945" width="12.5" style="3" bestFit="1" customWidth="1"/>
    <col min="7946" max="7946" width="7.125" style="3" customWidth="1"/>
    <col min="7947" max="7947" width="9.875" style="3" customWidth="1"/>
    <col min="7948" max="7948" width="10.75" style="3" customWidth="1"/>
    <col min="7949" max="7949" width="9.75" style="3" bestFit="1" customWidth="1"/>
    <col min="7950" max="7950" width="6.125" style="3" customWidth="1"/>
    <col min="7951" max="7951" width="9.5" style="3" bestFit="1" customWidth="1"/>
    <col min="7952" max="7952" width="7.75" style="3" customWidth="1"/>
    <col min="7953" max="7953" width="17.125" style="3" bestFit="1" customWidth="1"/>
    <col min="7954" max="7954" width="16.25" style="3" bestFit="1" customWidth="1"/>
    <col min="7955" max="7955" width="11.375" style="3" bestFit="1" customWidth="1"/>
    <col min="7956" max="7956" width="9.625" style="3" customWidth="1"/>
    <col min="7957" max="7957" width="13.25" style="3" bestFit="1" customWidth="1"/>
    <col min="7958" max="7958" width="9.625" style="3" customWidth="1"/>
    <col min="7959" max="8192" width="9" style="3"/>
    <col min="8193" max="8193" width="16.25" style="3" customWidth="1"/>
    <col min="8194" max="8194" width="4.625" style="3" bestFit="1" customWidth="1"/>
    <col min="8195" max="8195" width="26.875" style="3" customWidth="1"/>
    <col min="8196" max="8196" width="12.75" style="3" bestFit="1" customWidth="1"/>
    <col min="8197" max="8197" width="8.625" style="3" bestFit="1" customWidth="1"/>
    <col min="8198" max="8198" width="8.5" style="3" bestFit="1" customWidth="1"/>
    <col min="8199" max="8199" width="10.625" style="3" bestFit="1" customWidth="1"/>
    <col min="8200" max="8200" width="10" style="3" bestFit="1" customWidth="1"/>
    <col min="8201" max="8201" width="12.5" style="3" bestFit="1" customWidth="1"/>
    <col min="8202" max="8202" width="7.125" style="3" customWidth="1"/>
    <col min="8203" max="8203" width="9.875" style="3" customWidth="1"/>
    <col min="8204" max="8204" width="10.75" style="3" customWidth="1"/>
    <col min="8205" max="8205" width="9.75" style="3" bestFit="1" customWidth="1"/>
    <col min="8206" max="8206" width="6.125" style="3" customWidth="1"/>
    <col min="8207" max="8207" width="9.5" style="3" bestFit="1" customWidth="1"/>
    <col min="8208" max="8208" width="7.75" style="3" customWidth="1"/>
    <col min="8209" max="8209" width="17.125" style="3" bestFit="1" customWidth="1"/>
    <col min="8210" max="8210" width="16.25" style="3" bestFit="1" customWidth="1"/>
    <col min="8211" max="8211" width="11.375" style="3" bestFit="1" customWidth="1"/>
    <col min="8212" max="8212" width="9.625" style="3" customWidth="1"/>
    <col min="8213" max="8213" width="13.25" style="3" bestFit="1" customWidth="1"/>
    <col min="8214" max="8214" width="9.625" style="3" customWidth="1"/>
    <col min="8215" max="8448" width="9" style="3"/>
    <col min="8449" max="8449" width="16.25" style="3" customWidth="1"/>
    <col min="8450" max="8450" width="4.625" style="3" bestFit="1" customWidth="1"/>
    <col min="8451" max="8451" width="26.875" style="3" customWidth="1"/>
    <col min="8452" max="8452" width="12.75" style="3" bestFit="1" customWidth="1"/>
    <col min="8453" max="8453" width="8.625" style="3" bestFit="1" customWidth="1"/>
    <col min="8454" max="8454" width="8.5" style="3" bestFit="1" customWidth="1"/>
    <col min="8455" max="8455" width="10.625" style="3" bestFit="1" customWidth="1"/>
    <col min="8456" max="8456" width="10" style="3" bestFit="1" customWidth="1"/>
    <col min="8457" max="8457" width="12.5" style="3" bestFit="1" customWidth="1"/>
    <col min="8458" max="8458" width="7.125" style="3" customWidth="1"/>
    <col min="8459" max="8459" width="9.875" style="3" customWidth="1"/>
    <col min="8460" max="8460" width="10.75" style="3" customWidth="1"/>
    <col min="8461" max="8461" width="9.75" style="3" bestFit="1" customWidth="1"/>
    <col min="8462" max="8462" width="6.125" style="3" customWidth="1"/>
    <col min="8463" max="8463" width="9.5" style="3" bestFit="1" customWidth="1"/>
    <col min="8464" max="8464" width="7.75" style="3" customWidth="1"/>
    <col min="8465" max="8465" width="17.125" style="3" bestFit="1" customWidth="1"/>
    <col min="8466" max="8466" width="16.25" style="3" bestFit="1" customWidth="1"/>
    <col min="8467" max="8467" width="11.375" style="3" bestFit="1" customWidth="1"/>
    <col min="8468" max="8468" width="9.625" style="3" customWidth="1"/>
    <col min="8469" max="8469" width="13.25" style="3" bestFit="1" customWidth="1"/>
    <col min="8470" max="8470" width="9.625" style="3" customWidth="1"/>
    <col min="8471" max="8704" width="9" style="3"/>
    <col min="8705" max="8705" width="16.25" style="3" customWidth="1"/>
    <col min="8706" max="8706" width="4.625" style="3" bestFit="1" customWidth="1"/>
    <col min="8707" max="8707" width="26.875" style="3" customWidth="1"/>
    <col min="8708" max="8708" width="12.75" style="3" bestFit="1" customWidth="1"/>
    <col min="8709" max="8709" width="8.625" style="3" bestFit="1" customWidth="1"/>
    <col min="8710" max="8710" width="8.5" style="3" bestFit="1" customWidth="1"/>
    <col min="8711" max="8711" width="10.625" style="3" bestFit="1" customWidth="1"/>
    <col min="8712" max="8712" width="10" style="3" bestFit="1" customWidth="1"/>
    <col min="8713" max="8713" width="12.5" style="3" bestFit="1" customWidth="1"/>
    <col min="8714" max="8714" width="7.125" style="3" customWidth="1"/>
    <col min="8715" max="8715" width="9.875" style="3" customWidth="1"/>
    <col min="8716" max="8716" width="10.75" style="3" customWidth="1"/>
    <col min="8717" max="8717" width="9.75" style="3" bestFit="1" customWidth="1"/>
    <col min="8718" max="8718" width="6.125" style="3" customWidth="1"/>
    <col min="8719" max="8719" width="9.5" style="3" bestFit="1" customWidth="1"/>
    <col min="8720" max="8720" width="7.75" style="3" customWidth="1"/>
    <col min="8721" max="8721" width="17.125" style="3" bestFit="1" customWidth="1"/>
    <col min="8722" max="8722" width="16.25" style="3" bestFit="1" customWidth="1"/>
    <col min="8723" max="8723" width="11.375" style="3" bestFit="1" customWidth="1"/>
    <col min="8724" max="8724" width="9.625" style="3" customWidth="1"/>
    <col min="8725" max="8725" width="13.25" style="3" bestFit="1" customWidth="1"/>
    <col min="8726" max="8726" width="9.625" style="3" customWidth="1"/>
    <col min="8727" max="8960" width="9" style="3"/>
    <col min="8961" max="8961" width="16.25" style="3" customWidth="1"/>
    <col min="8962" max="8962" width="4.625" style="3" bestFit="1" customWidth="1"/>
    <col min="8963" max="8963" width="26.875" style="3" customWidth="1"/>
    <col min="8964" max="8964" width="12.75" style="3" bestFit="1" customWidth="1"/>
    <col min="8965" max="8965" width="8.625" style="3" bestFit="1" customWidth="1"/>
    <col min="8966" max="8966" width="8.5" style="3" bestFit="1" customWidth="1"/>
    <col min="8967" max="8967" width="10.625" style="3" bestFit="1" customWidth="1"/>
    <col min="8968" max="8968" width="10" style="3" bestFit="1" customWidth="1"/>
    <col min="8969" max="8969" width="12.5" style="3" bestFit="1" customWidth="1"/>
    <col min="8970" max="8970" width="7.125" style="3" customWidth="1"/>
    <col min="8971" max="8971" width="9.875" style="3" customWidth="1"/>
    <col min="8972" max="8972" width="10.75" style="3" customWidth="1"/>
    <col min="8973" max="8973" width="9.75" style="3" bestFit="1" customWidth="1"/>
    <col min="8974" max="8974" width="6.125" style="3" customWidth="1"/>
    <col min="8975" max="8975" width="9.5" style="3" bestFit="1" customWidth="1"/>
    <col min="8976" max="8976" width="7.75" style="3" customWidth="1"/>
    <col min="8977" max="8977" width="17.125" style="3" bestFit="1" customWidth="1"/>
    <col min="8978" max="8978" width="16.25" style="3" bestFit="1" customWidth="1"/>
    <col min="8979" max="8979" width="11.375" style="3" bestFit="1" customWidth="1"/>
    <col min="8980" max="8980" width="9.625" style="3" customWidth="1"/>
    <col min="8981" max="8981" width="13.25" style="3" bestFit="1" customWidth="1"/>
    <col min="8982" max="8982" width="9.625" style="3" customWidth="1"/>
    <col min="8983" max="9216" width="9" style="3"/>
    <col min="9217" max="9217" width="16.25" style="3" customWidth="1"/>
    <col min="9218" max="9218" width="4.625" style="3" bestFit="1" customWidth="1"/>
    <col min="9219" max="9219" width="26.875" style="3" customWidth="1"/>
    <col min="9220" max="9220" width="12.75" style="3" bestFit="1" customWidth="1"/>
    <col min="9221" max="9221" width="8.625" style="3" bestFit="1" customWidth="1"/>
    <col min="9222" max="9222" width="8.5" style="3" bestFit="1" customWidth="1"/>
    <col min="9223" max="9223" width="10.625" style="3" bestFit="1" customWidth="1"/>
    <col min="9224" max="9224" width="10" style="3" bestFit="1" customWidth="1"/>
    <col min="9225" max="9225" width="12.5" style="3" bestFit="1" customWidth="1"/>
    <col min="9226" max="9226" width="7.125" style="3" customWidth="1"/>
    <col min="9227" max="9227" width="9.875" style="3" customWidth="1"/>
    <col min="9228" max="9228" width="10.75" style="3" customWidth="1"/>
    <col min="9229" max="9229" width="9.75" style="3" bestFit="1" customWidth="1"/>
    <col min="9230" max="9230" width="6.125" style="3" customWidth="1"/>
    <col min="9231" max="9231" width="9.5" style="3" bestFit="1" customWidth="1"/>
    <col min="9232" max="9232" width="7.75" style="3" customWidth="1"/>
    <col min="9233" max="9233" width="17.125" style="3" bestFit="1" customWidth="1"/>
    <col min="9234" max="9234" width="16.25" style="3" bestFit="1" customWidth="1"/>
    <col min="9235" max="9235" width="11.375" style="3" bestFit="1" customWidth="1"/>
    <col min="9236" max="9236" width="9.625" style="3" customWidth="1"/>
    <col min="9237" max="9237" width="13.25" style="3" bestFit="1" customWidth="1"/>
    <col min="9238" max="9238" width="9.625" style="3" customWidth="1"/>
    <col min="9239" max="9472" width="9" style="3"/>
    <col min="9473" max="9473" width="16.25" style="3" customWidth="1"/>
    <col min="9474" max="9474" width="4.625" style="3" bestFit="1" customWidth="1"/>
    <col min="9475" max="9475" width="26.875" style="3" customWidth="1"/>
    <col min="9476" max="9476" width="12.75" style="3" bestFit="1" customWidth="1"/>
    <col min="9477" max="9477" width="8.625" style="3" bestFit="1" customWidth="1"/>
    <col min="9478" max="9478" width="8.5" style="3" bestFit="1" customWidth="1"/>
    <col min="9479" max="9479" width="10.625" style="3" bestFit="1" customWidth="1"/>
    <col min="9480" max="9480" width="10" style="3" bestFit="1" customWidth="1"/>
    <col min="9481" max="9481" width="12.5" style="3" bestFit="1" customWidth="1"/>
    <col min="9482" max="9482" width="7.125" style="3" customWidth="1"/>
    <col min="9483" max="9483" width="9.875" style="3" customWidth="1"/>
    <col min="9484" max="9484" width="10.75" style="3" customWidth="1"/>
    <col min="9485" max="9485" width="9.75" style="3" bestFit="1" customWidth="1"/>
    <col min="9486" max="9486" width="6.125" style="3" customWidth="1"/>
    <col min="9487" max="9487" width="9.5" style="3" bestFit="1" customWidth="1"/>
    <col min="9488" max="9488" width="7.75" style="3" customWidth="1"/>
    <col min="9489" max="9489" width="17.125" style="3" bestFit="1" customWidth="1"/>
    <col min="9490" max="9490" width="16.25" style="3" bestFit="1" customWidth="1"/>
    <col min="9491" max="9491" width="11.375" style="3" bestFit="1" customWidth="1"/>
    <col min="9492" max="9492" width="9.625" style="3" customWidth="1"/>
    <col min="9493" max="9493" width="13.25" style="3" bestFit="1" customWidth="1"/>
    <col min="9494" max="9494" width="9.625" style="3" customWidth="1"/>
    <col min="9495" max="9728" width="9" style="3"/>
    <col min="9729" max="9729" width="16.25" style="3" customWidth="1"/>
    <col min="9730" max="9730" width="4.625" style="3" bestFit="1" customWidth="1"/>
    <col min="9731" max="9731" width="26.875" style="3" customWidth="1"/>
    <col min="9732" max="9732" width="12.75" style="3" bestFit="1" customWidth="1"/>
    <col min="9733" max="9733" width="8.625" style="3" bestFit="1" customWidth="1"/>
    <col min="9734" max="9734" width="8.5" style="3" bestFit="1" customWidth="1"/>
    <col min="9735" max="9735" width="10.625" style="3" bestFit="1" customWidth="1"/>
    <col min="9736" max="9736" width="10" style="3" bestFit="1" customWidth="1"/>
    <col min="9737" max="9737" width="12.5" style="3" bestFit="1" customWidth="1"/>
    <col min="9738" max="9738" width="7.125" style="3" customWidth="1"/>
    <col min="9739" max="9739" width="9.875" style="3" customWidth="1"/>
    <col min="9740" max="9740" width="10.75" style="3" customWidth="1"/>
    <col min="9741" max="9741" width="9.75" style="3" bestFit="1" customWidth="1"/>
    <col min="9742" max="9742" width="6.125" style="3" customWidth="1"/>
    <col min="9743" max="9743" width="9.5" style="3" bestFit="1" customWidth="1"/>
    <col min="9744" max="9744" width="7.75" style="3" customWidth="1"/>
    <col min="9745" max="9745" width="17.125" style="3" bestFit="1" customWidth="1"/>
    <col min="9746" max="9746" width="16.25" style="3" bestFit="1" customWidth="1"/>
    <col min="9747" max="9747" width="11.375" style="3" bestFit="1" customWidth="1"/>
    <col min="9748" max="9748" width="9.625" style="3" customWidth="1"/>
    <col min="9749" max="9749" width="13.25" style="3" bestFit="1" customWidth="1"/>
    <col min="9750" max="9750" width="9.625" style="3" customWidth="1"/>
    <col min="9751" max="9984" width="9" style="3"/>
    <col min="9985" max="9985" width="16.25" style="3" customWidth="1"/>
    <col min="9986" max="9986" width="4.625" style="3" bestFit="1" customWidth="1"/>
    <col min="9987" max="9987" width="26.875" style="3" customWidth="1"/>
    <col min="9988" max="9988" width="12.75" style="3" bestFit="1" customWidth="1"/>
    <col min="9989" max="9989" width="8.625" style="3" bestFit="1" customWidth="1"/>
    <col min="9990" max="9990" width="8.5" style="3" bestFit="1" customWidth="1"/>
    <col min="9991" max="9991" width="10.625" style="3" bestFit="1" customWidth="1"/>
    <col min="9992" max="9992" width="10" style="3" bestFit="1" customWidth="1"/>
    <col min="9993" max="9993" width="12.5" style="3" bestFit="1" customWidth="1"/>
    <col min="9994" max="9994" width="7.125" style="3" customWidth="1"/>
    <col min="9995" max="9995" width="9.875" style="3" customWidth="1"/>
    <col min="9996" max="9996" width="10.75" style="3" customWidth="1"/>
    <col min="9997" max="9997" width="9.75" style="3" bestFit="1" customWidth="1"/>
    <col min="9998" max="9998" width="6.125" style="3" customWidth="1"/>
    <col min="9999" max="9999" width="9.5" style="3" bestFit="1" customWidth="1"/>
    <col min="10000" max="10000" width="7.75" style="3" customWidth="1"/>
    <col min="10001" max="10001" width="17.125" style="3" bestFit="1" customWidth="1"/>
    <col min="10002" max="10002" width="16.25" style="3" bestFit="1" customWidth="1"/>
    <col min="10003" max="10003" width="11.375" style="3" bestFit="1" customWidth="1"/>
    <col min="10004" max="10004" width="9.625" style="3" customWidth="1"/>
    <col min="10005" max="10005" width="13.25" style="3" bestFit="1" customWidth="1"/>
    <col min="10006" max="10006" width="9.625" style="3" customWidth="1"/>
    <col min="10007" max="10240" width="9" style="3"/>
    <col min="10241" max="10241" width="16.25" style="3" customWidth="1"/>
    <col min="10242" max="10242" width="4.625" style="3" bestFit="1" customWidth="1"/>
    <col min="10243" max="10243" width="26.875" style="3" customWidth="1"/>
    <col min="10244" max="10244" width="12.75" style="3" bestFit="1" customWidth="1"/>
    <col min="10245" max="10245" width="8.625" style="3" bestFit="1" customWidth="1"/>
    <col min="10246" max="10246" width="8.5" style="3" bestFit="1" customWidth="1"/>
    <col min="10247" max="10247" width="10.625" style="3" bestFit="1" customWidth="1"/>
    <col min="10248" max="10248" width="10" style="3" bestFit="1" customWidth="1"/>
    <col min="10249" max="10249" width="12.5" style="3" bestFit="1" customWidth="1"/>
    <col min="10250" max="10250" width="7.125" style="3" customWidth="1"/>
    <col min="10251" max="10251" width="9.875" style="3" customWidth="1"/>
    <col min="10252" max="10252" width="10.75" style="3" customWidth="1"/>
    <col min="10253" max="10253" width="9.75" style="3" bestFit="1" customWidth="1"/>
    <col min="10254" max="10254" width="6.125" style="3" customWidth="1"/>
    <col min="10255" max="10255" width="9.5" style="3" bestFit="1" customWidth="1"/>
    <col min="10256" max="10256" width="7.75" style="3" customWidth="1"/>
    <col min="10257" max="10257" width="17.125" style="3" bestFit="1" customWidth="1"/>
    <col min="10258" max="10258" width="16.25" style="3" bestFit="1" customWidth="1"/>
    <col min="10259" max="10259" width="11.375" style="3" bestFit="1" customWidth="1"/>
    <col min="10260" max="10260" width="9.625" style="3" customWidth="1"/>
    <col min="10261" max="10261" width="13.25" style="3" bestFit="1" customWidth="1"/>
    <col min="10262" max="10262" width="9.625" style="3" customWidth="1"/>
    <col min="10263" max="10496" width="9" style="3"/>
    <col min="10497" max="10497" width="16.25" style="3" customWidth="1"/>
    <col min="10498" max="10498" width="4.625" style="3" bestFit="1" customWidth="1"/>
    <col min="10499" max="10499" width="26.875" style="3" customWidth="1"/>
    <col min="10500" max="10500" width="12.75" style="3" bestFit="1" customWidth="1"/>
    <col min="10501" max="10501" width="8.625" style="3" bestFit="1" customWidth="1"/>
    <col min="10502" max="10502" width="8.5" style="3" bestFit="1" customWidth="1"/>
    <col min="10503" max="10503" width="10.625" style="3" bestFit="1" customWidth="1"/>
    <col min="10504" max="10504" width="10" style="3" bestFit="1" customWidth="1"/>
    <col min="10505" max="10505" width="12.5" style="3" bestFit="1" customWidth="1"/>
    <col min="10506" max="10506" width="7.125" style="3" customWidth="1"/>
    <col min="10507" max="10507" width="9.875" style="3" customWidth="1"/>
    <col min="10508" max="10508" width="10.75" style="3" customWidth="1"/>
    <col min="10509" max="10509" width="9.75" style="3" bestFit="1" customWidth="1"/>
    <col min="10510" max="10510" width="6.125" style="3" customWidth="1"/>
    <col min="10511" max="10511" width="9.5" style="3" bestFit="1" customWidth="1"/>
    <col min="10512" max="10512" width="7.75" style="3" customWidth="1"/>
    <col min="10513" max="10513" width="17.125" style="3" bestFit="1" customWidth="1"/>
    <col min="10514" max="10514" width="16.25" style="3" bestFit="1" customWidth="1"/>
    <col min="10515" max="10515" width="11.375" style="3" bestFit="1" customWidth="1"/>
    <col min="10516" max="10516" width="9.625" style="3" customWidth="1"/>
    <col min="10517" max="10517" width="13.25" style="3" bestFit="1" customWidth="1"/>
    <col min="10518" max="10518" width="9.625" style="3" customWidth="1"/>
    <col min="10519" max="10752" width="9" style="3"/>
    <col min="10753" max="10753" width="16.25" style="3" customWidth="1"/>
    <col min="10754" max="10754" width="4.625" style="3" bestFit="1" customWidth="1"/>
    <col min="10755" max="10755" width="26.875" style="3" customWidth="1"/>
    <col min="10756" max="10756" width="12.75" style="3" bestFit="1" customWidth="1"/>
    <col min="10757" max="10757" width="8.625" style="3" bestFit="1" customWidth="1"/>
    <col min="10758" max="10758" width="8.5" style="3" bestFit="1" customWidth="1"/>
    <col min="10759" max="10759" width="10.625" style="3" bestFit="1" customWidth="1"/>
    <col min="10760" max="10760" width="10" style="3" bestFit="1" customWidth="1"/>
    <col min="10761" max="10761" width="12.5" style="3" bestFit="1" customWidth="1"/>
    <col min="10762" max="10762" width="7.125" style="3" customWidth="1"/>
    <col min="10763" max="10763" width="9.875" style="3" customWidth="1"/>
    <col min="10764" max="10764" width="10.75" style="3" customWidth="1"/>
    <col min="10765" max="10765" width="9.75" style="3" bestFit="1" customWidth="1"/>
    <col min="10766" max="10766" width="6.125" style="3" customWidth="1"/>
    <col min="10767" max="10767" width="9.5" style="3" bestFit="1" customWidth="1"/>
    <col min="10768" max="10768" width="7.75" style="3" customWidth="1"/>
    <col min="10769" max="10769" width="17.125" style="3" bestFit="1" customWidth="1"/>
    <col min="10770" max="10770" width="16.25" style="3" bestFit="1" customWidth="1"/>
    <col min="10771" max="10771" width="11.375" style="3" bestFit="1" customWidth="1"/>
    <col min="10772" max="10772" width="9.625" style="3" customWidth="1"/>
    <col min="10773" max="10773" width="13.25" style="3" bestFit="1" customWidth="1"/>
    <col min="10774" max="10774" width="9.625" style="3" customWidth="1"/>
    <col min="10775" max="11008" width="9" style="3"/>
    <col min="11009" max="11009" width="16.25" style="3" customWidth="1"/>
    <col min="11010" max="11010" width="4.625" style="3" bestFit="1" customWidth="1"/>
    <col min="11011" max="11011" width="26.875" style="3" customWidth="1"/>
    <col min="11012" max="11012" width="12.75" style="3" bestFit="1" customWidth="1"/>
    <col min="11013" max="11013" width="8.625" style="3" bestFit="1" customWidth="1"/>
    <col min="11014" max="11014" width="8.5" style="3" bestFit="1" customWidth="1"/>
    <col min="11015" max="11015" width="10.625" style="3" bestFit="1" customWidth="1"/>
    <col min="11016" max="11016" width="10" style="3" bestFit="1" customWidth="1"/>
    <col min="11017" max="11017" width="12.5" style="3" bestFit="1" customWidth="1"/>
    <col min="11018" max="11018" width="7.125" style="3" customWidth="1"/>
    <col min="11019" max="11019" width="9.875" style="3" customWidth="1"/>
    <col min="11020" max="11020" width="10.75" style="3" customWidth="1"/>
    <col min="11021" max="11021" width="9.75" style="3" bestFit="1" customWidth="1"/>
    <col min="11022" max="11022" width="6.125" style="3" customWidth="1"/>
    <col min="11023" max="11023" width="9.5" style="3" bestFit="1" customWidth="1"/>
    <col min="11024" max="11024" width="7.75" style="3" customWidth="1"/>
    <col min="11025" max="11025" width="17.125" style="3" bestFit="1" customWidth="1"/>
    <col min="11026" max="11026" width="16.25" style="3" bestFit="1" customWidth="1"/>
    <col min="11027" max="11027" width="11.375" style="3" bestFit="1" customWidth="1"/>
    <col min="11028" max="11028" width="9.625" style="3" customWidth="1"/>
    <col min="11029" max="11029" width="13.25" style="3" bestFit="1" customWidth="1"/>
    <col min="11030" max="11030" width="9.625" style="3" customWidth="1"/>
    <col min="11031" max="11264" width="9" style="3"/>
    <col min="11265" max="11265" width="16.25" style="3" customWidth="1"/>
    <col min="11266" max="11266" width="4.625" style="3" bestFit="1" customWidth="1"/>
    <col min="11267" max="11267" width="26.875" style="3" customWidth="1"/>
    <col min="11268" max="11268" width="12.75" style="3" bestFit="1" customWidth="1"/>
    <col min="11269" max="11269" width="8.625" style="3" bestFit="1" customWidth="1"/>
    <col min="11270" max="11270" width="8.5" style="3" bestFit="1" customWidth="1"/>
    <col min="11271" max="11271" width="10.625" style="3" bestFit="1" customWidth="1"/>
    <col min="11272" max="11272" width="10" style="3" bestFit="1" customWidth="1"/>
    <col min="11273" max="11273" width="12.5" style="3" bestFit="1" customWidth="1"/>
    <col min="11274" max="11274" width="7.125" style="3" customWidth="1"/>
    <col min="11275" max="11275" width="9.875" style="3" customWidth="1"/>
    <col min="11276" max="11276" width="10.75" style="3" customWidth="1"/>
    <col min="11277" max="11277" width="9.75" style="3" bestFit="1" customWidth="1"/>
    <col min="11278" max="11278" width="6.125" style="3" customWidth="1"/>
    <col min="11279" max="11279" width="9.5" style="3" bestFit="1" customWidth="1"/>
    <col min="11280" max="11280" width="7.75" style="3" customWidth="1"/>
    <col min="11281" max="11281" width="17.125" style="3" bestFit="1" customWidth="1"/>
    <col min="11282" max="11282" width="16.25" style="3" bestFit="1" customWidth="1"/>
    <col min="11283" max="11283" width="11.375" style="3" bestFit="1" customWidth="1"/>
    <col min="11284" max="11284" width="9.625" style="3" customWidth="1"/>
    <col min="11285" max="11285" width="13.25" style="3" bestFit="1" customWidth="1"/>
    <col min="11286" max="11286" width="9.625" style="3" customWidth="1"/>
    <col min="11287" max="11520" width="9" style="3"/>
    <col min="11521" max="11521" width="16.25" style="3" customWidth="1"/>
    <col min="11522" max="11522" width="4.625" style="3" bestFit="1" customWidth="1"/>
    <col min="11523" max="11523" width="26.875" style="3" customWidth="1"/>
    <col min="11524" max="11524" width="12.75" style="3" bestFit="1" customWidth="1"/>
    <col min="11525" max="11525" width="8.625" style="3" bestFit="1" customWidth="1"/>
    <col min="11526" max="11526" width="8.5" style="3" bestFit="1" customWidth="1"/>
    <col min="11527" max="11527" width="10.625" style="3" bestFit="1" customWidth="1"/>
    <col min="11528" max="11528" width="10" style="3" bestFit="1" customWidth="1"/>
    <col min="11529" max="11529" width="12.5" style="3" bestFit="1" customWidth="1"/>
    <col min="11530" max="11530" width="7.125" style="3" customWidth="1"/>
    <col min="11531" max="11531" width="9.875" style="3" customWidth="1"/>
    <col min="11532" max="11532" width="10.75" style="3" customWidth="1"/>
    <col min="11533" max="11533" width="9.75" style="3" bestFit="1" customWidth="1"/>
    <col min="11534" max="11534" width="6.125" style="3" customWidth="1"/>
    <col min="11535" max="11535" width="9.5" style="3" bestFit="1" customWidth="1"/>
    <col min="11536" max="11536" width="7.75" style="3" customWidth="1"/>
    <col min="11537" max="11537" width="17.125" style="3" bestFit="1" customWidth="1"/>
    <col min="11538" max="11538" width="16.25" style="3" bestFit="1" customWidth="1"/>
    <col min="11539" max="11539" width="11.375" style="3" bestFit="1" customWidth="1"/>
    <col min="11540" max="11540" width="9.625" style="3" customWidth="1"/>
    <col min="11541" max="11541" width="13.25" style="3" bestFit="1" customWidth="1"/>
    <col min="11542" max="11542" width="9.625" style="3" customWidth="1"/>
    <col min="11543" max="11776" width="9" style="3"/>
    <col min="11777" max="11777" width="16.25" style="3" customWidth="1"/>
    <col min="11778" max="11778" width="4.625" style="3" bestFit="1" customWidth="1"/>
    <col min="11779" max="11779" width="26.875" style="3" customWidth="1"/>
    <col min="11780" max="11780" width="12.75" style="3" bestFit="1" customWidth="1"/>
    <col min="11781" max="11781" width="8.625" style="3" bestFit="1" customWidth="1"/>
    <col min="11782" max="11782" width="8.5" style="3" bestFit="1" customWidth="1"/>
    <col min="11783" max="11783" width="10.625" style="3" bestFit="1" customWidth="1"/>
    <col min="11784" max="11784" width="10" style="3" bestFit="1" customWidth="1"/>
    <col min="11785" max="11785" width="12.5" style="3" bestFit="1" customWidth="1"/>
    <col min="11786" max="11786" width="7.125" style="3" customWidth="1"/>
    <col min="11787" max="11787" width="9.875" style="3" customWidth="1"/>
    <col min="11788" max="11788" width="10.75" style="3" customWidth="1"/>
    <col min="11789" max="11789" width="9.75" style="3" bestFit="1" customWidth="1"/>
    <col min="11790" max="11790" width="6.125" style="3" customWidth="1"/>
    <col min="11791" max="11791" width="9.5" style="3" bestFit="1" customWidth="1"/>
    <col min="11792" max="11792" width="7.75" style="3" customWidth="1"/>
    <col min="11793" max="11793" width="17.125" style="3" bestFit="1" customWidth="1"/>
    <col min="11794" max="11794" width="16.25" style="3" bestFit="1" customWidth="1"/>
    <col min="11795" max="11795" width="11.375" style="3" bestFit="1" customWidth="1"/>
    <col min="11796" max="11796" width="9.625" style="3" customWidth="1"/>
    <col min="11797" max="11797" width="13.25" style="3" bestFit="1" customWidth="1"/>
    <col min="11798" max="11798" width="9.625" style="3" customWidth="1"/>
    <col min="11799" max="12032" width="9" style="3"/>
    <col min="12033" max="12033" width="16.25" style="3" customWidth="1"/>
    <col min="12034" max="12034" width="4.625" style="3" bestFit="1" customWidth="1"/>
    <col min="12035" max="12035" width="26.875" style="3" customWidth="1"/>
    <col min="12036" max="12036" width="12.75" style="3" bestFit="1" customWidth="1"/>
    <col min="12037" max="12037" width="8.625" style="3" bestFit="1" customWidth="1"/>
    <col min="12038" max="12038" width="8.5" style="3" bestFit="1" customWidth="1"/>
    <col min="12039" max="12039" width="10.625" style="3" bestFit="1" customWidth="1"/>
    <col min="12040" max="12040" width="10" style="3" bestFit="1" customWidth="1"/>
    <col min="12041" max="12041" width="12.5" style="3" bestFit="1" customWidth="1"/>
    <col min="12042" max="12042" width="7.125" style="3" customWidth="1"/>
    <col min="12043" max="12043" width="9.875" style="3" customWidth="1"/>
    <col min="12044" max="12044" width="10.75" style="3" customWidth="1"/>
    <col min="12045" max="12045" width="9.75" style="3" bestFit="1" customWidth="1"/>
    <col min="12046" max="12046" width="6.125" style="3" customWidth="1"/>
    <col min="12047" max="12047" width="9.5" style="3" bestFit="1" customWidth="1"/>
    <col min="12048" max="12048" width="7.75" style="3" customWidth="1"/>
    <col min="12049" max="12049" width="17.125" style="3" bestFit="1" customWidth="1"/>
    <col min="12050" max="12050" width="16.25" style="3" bestFit="1" customWidth="1"/>
    <col min="12051" max="12051" width="11.375" style="3" bestFit="1" customWidth="1"/>
    <col min="12052" max="12052" width="9.625" style="3" customWidth="1"/>
    <col min="12053" max="12053" width="13.25" style="3" bestFit="1" customWidth="1"/>
    <col min="12054" max="12054" width="9.625" style="3" customWidth="1"/>
    <col min="12055" max="12288" width="9" style="3"/>
    <col min="12289" max="12289" width="16.25" style="3" customWidth="1"/>
    <col min="12290" max="12290" width="4.625" style="3" bestFit="1" customWidth="1"/>
    <col min="12291" max="12291" width="26.875" style="3" customWidth="1"/>
    <col min="12292" max="12292" width="12.75" style="3" bestFit="1" customWidth="1"/>
    <col min="12293" max="12293" width="8.625" style="3" bestFit="1" customWidth="1"/>
    <col min="12294" max="12294" width="8.5" style="3" bestFit="1" customWidth="1"/>
    <col min="12295" max="12295" width="10.625" style="3" bestFit="1" customWidth="1"/>
    <col min="12296" max="12296" width="10" style="3" bestFit="1" customWidth="1"/>
    <col min="12297" max="12297" width="12.5" style="3" bestFit="1" customWidth="1"/>
    <col min="12298" max="12298" width="7.125" style="3" customWidth="1"/>
    <col min="12299" max="12299" width="9.875" style="3" customWidth="1"/>
    <col min="12300" max="12300" width="10.75" style="3" customWidth="1"/>
    <col min="12301" max="12301" width="9.75" style="3" bestFit="1" customWidth="1"/>
    <col min="12302" max="12302" width="6.125" style="3" customWidth="1"/>
    <col min="12303" max="12303" width="9.5" style="3" bestFit="1" customWidth="1"/>
    <col min="12304" max="12304" width="7.75" style="3" customWidth="1"/>
    <col min="12305" max="12305" width="17.125" style="3" bestFit="1" customWidth="1"/>
    <col min="12306" max="12306" width="16.25" style="3" bestFit="1" customWidth="1"/>
    <col min="12307" max="12307" width="11.375" style="3" bestFit="1" customWidth="1"/>
    <col min="12308" max="12308" width="9.625" style="3" customWidth="1"/>
    <col min="12309" max="12309" width="13.25" style="3" bestFit="1" customWidth="1"/>
    <col min="12310" max="12310" width="9.625" style="3" customWidth="1"/>
    <col min="12311" max="12544" width="9" style="3"/>
    <col min="12545" max="12545" width="16.25" style="3" customWidth="1"/>
    <col min="12546" max="12546" width="4.625" style="3" bestFit="1" customWidth="1"/>
    <col min="12547" max="12547" width="26.875" style="3" customWidth="1"/>
    <col min="12548" max="12548" width="12.75" style="3" bestFit="1" customWidth="1"/>
    <col min="12549" max="12549" width="8.625" style="3" bestFit="1" customWidth="1"/>
    <col min="12550" max="12550" width="8.5" style="3" bestFit="1" customWidth="1"/>
    <col min="12551" max="12551" width="10.625" style="3" bestFit="1" customWidth="1"/>
    <col min="12552" max="12552" width="10" style="3" bestFit="1" customWidth="1"/>
    <col min="12553" max="12553" width="12.5" style="3" bestFit="1" customWidth="1"/>
    <col min="12554" max="12554" width="7.125" style="3" customWidth="1"/>
    <col min="12555" max="12555" width="9.875" style="3" customWidth="1"/>
    <col min="12556" max="12556" width="10.75" style="3" customWidth="1"/>
    <col min="12557" max="12557" width="9.75" style="3" bestFit="1" customWidth="1"/>
    <col min="12558" max="12558" width="6.125" style="3" customWidth="1"/>
    <col min="12559" max="12559" width="9.5" style="3" bestFit="1" customWidth="1"/>
    <col min="12560" max="12560" width="7.75" style="3" customWidth="1"/>
    <col min="12561" max="12561" width="17.125" style="3" bestFit="1" customWidth="1"/>
    <col min="12562" max="12562" width="16.25" style="3" bestFit="1" customWidth="1"/>
    <col min="12563" max="12563" width="11.375" style="3" bestFit="1" customWidth="1"/>
    <col min="12564" max="12564" width="9.625" style="3" customWidth="1"/>
    <col min="12565" max="12565" width="13.25" style="3" bestFit="1" customWidth="1"/>
    <col min="12566" max="12566" width="9.625" style="3" customWidth="1"/>
    <col min="12567" max="12800" width="9" style="3"/>
    <col min="12801" max="12801" width="16.25" style="3" customWidth="1"/>
    <col min="12802" max="12802" width="4.625" style="3" bestFit="1" customWidth="1"/>
    <col min="12803" max="12803" width="26.875" style="3" customWidth="1"/>
    <col min="12804" max="12804" width="12.75" style="3" bestFit="1" customWidth="1"/>
    <col min="12805" max="12805" width="8.625" style="3" bestFit="1" customWidth="1"/>
    <col min="12806" max="12806" width="8.5" style="3" bestFit="1" customWidth="1"/>
    <col min="12807" max="12807" width="10.625" style="3" bestFit="1" customWidth="1"/>
    <col min="12808" max="12808" width="10" style="3" bestFit="1" customWidth="1"/>
    <col min="12809" max="12809" width="12.5" style="3" bestFit="1" customWidth="1"/>
    <col min="12810" max="12810" width="7.125" style="3" customWidth="1"/>
    <col min="12811" max="12811" width="9.875" style="3" customWidth="1"/>
    <col min="12812" max="12812" width="10.75" style="3" customWidth="1"/>
    <col min="12813" max="12813" width="9.75" style="3" bestFit="1" customWidth="1"/>
    <col min="12814" max="12814" width="6.125" style="3" customWidth="1"/>
    <col min="12815" max="12815" width="9.5" style="3" bestFit="1" customWidth="1"/>
    <col min="12816" max="12816" width="7.75" style="3" customWidth="1"/>
    <col min="12817" max="12817" width="17.125" style="3" bestFit="1" customWidth="1"/>
    <col min="12818" max="12818" width="16.25" style="3" bestFit="1" customWidth="1"/>
    <col min="12819" max="12819" width="11.375" style="3" bestFit="1" customWidth="1"/>
    <col min="12820" max="12820" width="9.625" style="3" customWidth="1"/>
    <col min="12821" max="12821" width="13.25" style="3" bestFit="1" customWidth="1"/>
    <col min="12822" max="12822" width="9.625" style="3" customWidth="1"/>
    <col min="12823" max="13056" width="9" style="3"/>
    <col min="13057" max="13057" width="16.25" style="3" customWidth="1"/>
    <col min="13058" max="13058" width="4.625" style="3" bestFit="1" customWidth="1"/>
    <col min="13059" max="13059" width="26.875" style="3" customWidth="1"/>
    <col min="13060" max="13060" width="12.75" style="3" bestFit="1" customWidth="1"/>
    <col min="13061" max="13061" width="8.625" style="3" bestFit="1" customWidth="1"/>
    <col min="13062" max="13062" width="8.5" style="3" bestFit="1" customWidth="1"/>
    <col min="13063" max="13063" width="10.625" style="3" bestFit="1" customWidth="1"/>
    <col min="13064" max="13064" width="10" style="3" bestFit="1" customWidth="1"/>
    <col min="13065" max="13065" width="12.5" style="3" bestFit="1" customWidth="1"/>
    <col min="13066" max="13066" width="7.125" style="3" customWidth="1"/>
    <col min="13067" max="13067" width="9.875" style="3" customWidth="1"/>
    <col min="13068" max="13068" width="10.75" style="3" customWidth="1"/>
    <col min="13069" max="13069" width="9.75" style="3" bestFit="1" customWidth="1"/>
    <col min="13070" max="13070" width="6.125" style="3" customWidth="1"/>
    <col min="13071" max="13071" width="9.5" style="3" bestFit="1" customWidth="1"/>
    <col min="13072" max="13072" width="7.75" style="3" customWidth="1"/>
    <col min="13073" max="13073" width="17.125" style="3" bestFit="1" customWidth="1"/>
    <col min="13074" max="13074" width="16.25" style="3" bestFit="1" customWidth="1"/>
    <col min="13075" max="13075" width="11.375" style="3" bestFit="1" customWidth="1"/>
    <col min="13076" max="13076" width="9.625" style="3" customWidth="1"/>
    <col min="13077" max="13077" width="13.25" style="3" bestFit="1" customWidth="1"/>
    <col min="13078" max="13078" width="9.625" style="3" customWidth="1"/>
    <col min="13079" max="13312" width="9" style="3"/>
    <col min="13313" max="13313" width="16.25" style="3" customWidth="1"/>
    <col min="13314" max="13314" width="4.625" style="3" bestFit="1" customWidth="1"/>
    <col min="13315" max="13315" width="26.875" style="3" customWidth="1"/>
    <col min="13316" max="13316" width="12.75" style="3" bestFit="1" customWidth="1"/>
    <col min="13317" max="13317" width="8.625" style="3" bestFit="1" customWidth="1"/>
    <col min="13318" max="13318" width="8.5" style="3" bestFit="1" customWidth="1"/>
    <col min="13319" max="13319" width="10.625" style="3" bestFit="1" customWidth="1"/>
    <col min="13320" max="13320" width="10" style="3" bestFit="1" customWidth="1"/>
    <col min="13321" max="13321" width="12.5" style="3" bestFit="1" customWidth="1"/>
    <col min="13322" max="13322" width="7.125" style="3" customWidth="1"/>
    <col min="13323" max="13323" width="9.875" style="3" customWidth="1"/>
    <col min="13324" max="13324" width="10.75" style="3" customWidth="1"/>
    <col min="13325" max="13325" width="9.75" style="3" bestFit="1" customWidth="1"/>
    <col min="13326" max="13326" width="6.125" style="3" customWidth="1"/>
    <col min="13327" max="13327" width="9.5" style="3" bestFit="1" customWidth="1"/>
    <col min="13328" max="13328" width="7.75" style="3" customWidth="1"/>
    <col min="13329" max="13329" width="17.125" style="3" bestFit="1" customWidth="1"/>
    <col min="13330" max="13330" width="16.25" style="3" bestFit="1" customWidth="1"/>
    <col min="13331" max="13331" width="11.375" style="3" bestFit="1" customWidth="1"/>
    <col min="13332" max="13332" width="9.625" style="3" customWidth="1"/>
    <col min="13333" max="13333" width="13.25" style="3" bestFit="1" customWidth="1"/>
    <col min="13334" max="13334" width="9.625" style="3" customWidth="1"/>
    <col min="13335" max="13568" width="9" style="3"/>
    <col min="13569" max="13569" width="16.25" style="3" customWidth="1"/>
    <col min="13570" max="13570" width="4.625" style="3" bestFit="1" customWidth="1"/>
    <col min="13571" max="13571" width="26.875" style="3" customWidth="1"/>
    <col min="13572" max="13572" width="12.75" style="3" bestFit="1" customWidth="1"/>
    <col min="13573" max="13573" width="8.625" style="3" bestFit="1" customWidth="1"/>
    <col min="13574" max="13574" width="8.5" style="3" bestFit="1" customWidth="1"/>
    <col min="13575" max="13575" width="10.625" style="3" bestFit="1" customWidth="1"/>
    <col min="13576" max="13576" width="10" style="3" bestFit="1" customWidth="1"/>
    <col min="13577" max="13577" width="12.5" style="3" bestFit="1" customWidth="1"/>
    <col min="13578" max="13578" width="7.125" style="3" customWidth="1"/>
    <col min="13579" max="13579" width="9.875" style="3" customWidth="1"/>
    <col min="13580" max="13580" width="10.75" style="3" customWidth="1"/>
    <col min="13581" max="13581" width="9.75" style="3" bestFit="1" customWidth="1"/>
    <col min="13582" max="13582" width="6.125" style="3" customWidth="1"/>
    <col min="13583" max="13583" width="9.5" style="3" bestFit="1" customWidth="1"/>
    <col min="13584" max="13584" width="7.75" style="3" customWidth="1"/>
    <col min="13585" max="13585" width="17.125" style="3" bestFit="1" customWidth="1"/>
    <col min="13586" max="13586" width="16.25" style="3" bestFit="1" customWidth="1"/>
    <col min="13587" max="13587" width="11.375" style="3" bestFit="1" customWidth="1"/>
    <col min="13588" max="13588" width="9.625" style="3" customWidth="1"/>
    <col min="13589" max="13589" width="13.25" style="3" bestFit="1" customWidth="1"/>
    <col min="13590" max="13590" width="9.625" style="3" customWidth="1"/>
    <col min="13591" max="13824" width="9" style="3"/>
    <col min="13825" max="13825" width="16.25" style="3" customWidth="1"/>
    <col min="13826" max="13826" width="4.625" style="3" bestFit="1" customWidth="1"/>
    <col min="13827" max="13827" width="26.875" style="3" customWidth="1"/>
    <col min="13828" max="13828" width="12.75" style="3" bestFit="1" customWidth="1"/>
    <col min="13829" max="13829" width="8.625" style="3" bestFit="1" customWidth="1"/>
    <col min="13830" max="13830" width="8.5" style="3" bestFit="1" customWidth="1"/>
    <col min="13831" max="13831" width="10.625" style="3" bestFit="1" customWidth="1"/>
    <col min="13832" max="13832" width="10" style="3" bestFit="1" customWidth="1"/>
    <col min="13833" max="13833" width="12.5" style="3" bestFit="1" customWidth="1"/>
    <col min="13834" max="13834" width="7.125" style="3" customWidth="1"/>
    <col min="13835" max="13835" width="9.875" style="3" customWidth="1"/>
    <col min="13836" max="13836" width="10.75" style="3" customWidth="1"/>
    <col min="13837" max="13837" width="9.75" style="3" bestFit="1" customWidth="1"/>
    <col min="13838" max="13838" width="6.125" style="3" customWidth="1"/>
    <col min="13839" max="13839" width="9.5" style="3" bestFit="1" customWidth="1"/>
    <col min="13840" max="13840" width="7.75" style="3" customWidth="1"/>
    <col min="13841" max="13841" width="17.125" style="3" bestFit="1" customWidth="1"/>
    <col min="13842" max="13842" width="16.25" style="3" bestFit="1" customWidth="1"/>
    <col min="13843" max="13843" width="11.375" style="3" bestFit="1" customWidth="1"/>
    <col min="13844" max="13844" width="9.625" style="3" customWidth="1"/>
    <col min="13845" max="13845" width="13.25" style="3" bestFit="1" customWidth="1"/>
    <col min="13846" max="13846" width="9.625" style="3" customWidth="1"/>
    <col min="13847" max="14080" width="9" style="3"/>
    <col min="14081" max="14081" width="16.25" style="3" customWidth="1"/>
    <col min="14082" max="14082" width="4.625" style="3" bestFit="1" customWidth="1"/>
    <col min="14083" max="14083" width="26.875" style="3" customWidth="1"/>
    <col min="14084" max="14084" width="12.75" style="3" bestFit="1" customWidth="1"/>
    <col min="14085" max="14085" width="8.625" style="3" bestFit="1" customWidth="1"/>
    <col min="14086" max="14086" width="8.5" style="3" bestFit="1" customWidth="1"/>
    <col min="14087" max="14087" width="10.625" style="3" bestFit="1" customWidth="1"/>
    <col min="14088" max="14088" width="10" style="3" bestFit="1" customWidth="1"/>
    <col min="14089" max="14089" width="12.5" style="3" bestFit="1" customWidth="1"/>
    <col min="14090" max="14090" width="7.125" style="3" customWidth="1"/>
    <col min="14091" max="14091" width="9.875" style="3" customWidth="1"/>
    <col min="14092" max="14092" width="10.75" style="3" customWidth="1"/>
    <col min="14093" max="14093" width="9.75" style="3" bestFit="1" customWidth="1"/>
    <col min="14094" max="14094" width="6.125" style="3" customWidth="1"/>
    <col min="14095" max="14095" width="9.5" style="3" bestFit="1" customWidth="1"/>
    <col min="14096" max="14096" width="7.75" style="3" customWidth="1"/>
    <col min="14097" max="14097" width="17.125" style="3" bestFit="1" customWidth="1"/>
    <col min="14098" max="14098" width="16.25" style="3" bestFit="1" customWidth="1"/>
    <col min="14099" max="14099" width="11.375" style="3" bestFit="1" customWidth="1"/>
    <col min="14100" max="14100" width="9.625" style="3" customWidth="1"/>
    <col min="14101" max="14101" width="13.25" style="3" bestFit="1" customWidth="1"/>
    <col min="14102" max="14102" width="9.625" style="3" customWidth="1"/>
    <col min="14103" max="14336" width="9" style="3"/>
    <col min="14337" max="14337" width="16.25" style="3" customWidth="1"/>
    <col min="14338" max="14338" width="4.625" style="3" bestFit="1" customWidth="1"/>
    <col min="14339" max="14339" width="26.875" style="3" customWidth="1"/>
    <col min="14340" max="14340" width="12.75" style="3" bestFit="1" customWidth="1"/>
    <col min="14341" max="14341" width="8.625" style="3" bestFit="1" customWidth="1"/>
    <col min="14342" max="14342" width="8.5" style="3" bestFit="1" customWidth="1"/>
    <col min="14343" max="14343" width="10.625" style="3" bestFit="1" customWidth="1"/>
    <col min="14344" max="14344" width="10" style="3" bestFit="1" customWidth="1"/>
    <col min="14345" max="14345" width="12.5" style="3" bestFit="1" customWidth="1"/>
    <col min="14346" max="14346" width="7.125" style="3" customWidth="1"/>
    <col min="14347" max="14347" width="9.875" style="3" customWidth="1"/>
    <col min="14348" max="14348" width="10.75" style="3" customWidth="1"/>
    <col min="14349" max="14349" width="9.75" style="3" bestFit="1" customWidth="1"/>
    <col min="14350" max="14350" width="6.125" style="3" customWidth="1"/>
    <col min="14351" max="14351" width="9.5" style="3" bestFit="1" customWidth="1"/>
    <col min="14352" max="14352" width="7.75" style="3" customWidth="1"/>
    <col min="14353" max="14353" width="17.125" style="3" bestFit="1" customWidth="1"/>
    <col min="14354" max="14354" width="16.25" style="3" bestFit="1" customWidth="1"/>
    <col min="14355" max="14355" width="11.375" style="3" bestFit="1" customWidth="1"/>
    <col min="14356" max="14356" width="9.625" style="3" customWidth="1"/>
    <col min="14357" max="14357" width="13.25" style="3" bestFit="1" customWidth="1"/>
    <col min="14358" max="14358" width="9.625" style="3" customWidth="1"/>
    <col min="14359" max="14592" width="9" style="3"/>
    <col min="14593" max="14593" width="16.25" style="3" customWidth="1"/>
    <col min="14594" max="14594" width="4.625" style="3" bestFit="1" customWidth="1"/>
    <col min="14595" max="14595" width="26.875" style="3" customWidth="1"/>
    <col min="14596" max="14596" width="12.75" style="3" bestFit="1" customWidth="1"/>
    <col min="14597" max="14597" width="8.625" style="3" bestFit="1" customWidth="1"/>
    <col min="14598" max="14598" width="8.5" style="3" bestFit="1" customWidth="1"/>
    <col min="14599" max="14599" width="10.625" style="3" bestFit="1" customWidth="1"/>
    <col min="14600" max="14600" width="10" style="3" bestFit="1" customWidth="1"/>
    <col min="14601" max="14601" width="12.5" style="3" bestFit="1" customWidth="1"/>
    <col min="14602" max="14602" width="7.125" style="3" customWidth="1"/>
    <col min="14603" max="14603" width="9.875" style="3" customWidth="1"/>
    <col min="14604" max="14604" width="10.75" style="3" customWidth="1"/>
    <col min="14605" max="14605" width="9.75" style="3" bestFit="1" customWidth="1"/>
    <col min="14606" max="14606" width="6.125" style="3" customWidth="1"/>
    <col min="14607" max="14607" width="9.5" style="3" bestFit="1" customWidth="1"/>
    <col min="14608" max="14608" width="7.75" style="3" customWidth="1"/>
    <col min="14609" max="14609" width="17.125" style="3" bestFit="1" customWidth="1"/>
    <col min="14610" max="14610" width="16.25" style="3" bestFit="1" customWidth="1"/>
    <col min="14611" max="14611" width="11.375" style="3" bestFit="1" customWidth="1"/>
    <col min="14612" max="14612" width="9.625" style="3" customWidth="1"/>
    <col min="14613" max="14613" width="13.25" style="3" bestFit="1" customWidth="1"/>
    <col min="14614" max="14614" width="9.625" style="3" customWidth="1"/>
    <col min="14615" max="14848" width="9" style="3"/>
    <col min="14849" max="14849" width="16.25" style="3" customWidth="1"/>
    <col min="14850" max="14850" width="4.625" style="3" bestFit="1" customWidth="1"/>
    <col min="14851" max="14851" width="26.875" style="3" customWidth="1"/>
    <col min="14852" max="14852" width="12.75" style="3" bestFit="1" customWidth="1"/>
    <col min="14853" max="14853" width="8.625" style="3" bestFit="1" customWidth="1"/>
    <col min="14854" max="14854" width="8.5" style="3" bestFit="1" customWidth="1"/>
    <col min="14855" max="14855" width="10.625" style="3" bestFit="1" customWidth="1"/>
    <col min="14856" max="14856" width="10" style="3" bestFit="1" customWidth="1"/>
    <col min="14857" max="14857" width="12.5" style="3" bestFit="1" customWidth="1"/>
    <col min="14858" max="14858" width="7.125" style="3" customWidth="1"/>
    <col min="14859" max="14859" width="9.875" style="3" customWidth="1"/>
    <col min="14860" max="14860" width="10.75" style="3" customWidth="1"/>
    <col min="14861" max="14861" width="9.75" style="3" bestFit="1" customWidth="1"/>
    <col min="14862" max="14862" width="6.125" style="3" customWidth="1"/>
    <col min="14863" max="14863" width="9.5" style="3" bestFit="1" customWidth="1"/>
    <col min="14864" max="14864" width="7.75" style="3" customWidth="1"/>
    <col min="14865" max="14865" width="17.125" style="3" bestFit="1" customWidth="1"/>
    <col min="14866" max="14866" width="16.25" style="3" bestFit="1" customWidth="1"/>
    <col min="14867" max="14867" width="11.375" style="3" bestFit="1" customWidth="1"/>
    <col min="14868" max="14868" width="9.625" style="3" customWidth="1"/>
    <col min="14869" max="14869" width="13.25" style="3" bestFit="1" customWidth="1"/>
    <col min="14870" max="14870" width="9.625" style="3" customWidth="1"/>
    <col min="14871" max="15104" width="9" style="3"/>
    <col min="15105" max="15105" width="16.25" style="3" customWidth="1"/>
    <col min="15106" max="15106" width="4.625" style="3" bestFit="1" customWidth="1"/>
    <col min="15107" max="15107" width="26.875" style="3" customWidth="1"/>
    <col min="15108" max="15108" width="12.75" style="3" bestFit="1" customWidth="1"/>
    <col min="15109" max="15109" width="8.625" style="3" bestFit="1" customWidth="1"/>
    <col min="15110" max="15110" width="8.5" style="3" bestFit="1" customWidth="1"/>
    <col min="15111" max="15111" width="10.625" style="3" bestFit="1" customWidth="1"/>
    <col min="15112" max="15112" width="10" style="3" bestFit="1" customWidth="1"/>
    <col min="15113" max="15113" width="12.5" style="3" bestFit="1" customWidth="1"/>
    <col min="15114" max="15114" width="7.125" style="3" customWidth="1"/>
    <col min="15115" max="15115" width="9.875" style="3" customWidth="1"/>
    <col min="15116" max="15116" width="10.75" style="3" customWidth="1"/>
    <col min="15117" max="15117" width="9.75" style="3" bestFit="1" customWidth="1"/>
    <col min="15118" max="15118" width="6.125" style="3" customWidth="1"/>
    <col min="15119" max="15119" width="9.5" style="3" bestFit="1" customWidth="1"/>
    <col min="15120" max="15120" width="7.75" style="3" customWidth="1"/>
    <col min="15121" max="15121" width="17.125" style="3" bestFit="1" customWidth="1"/>
    <col min="15122" max="15122" width="16.25" style="3" bestFit="1" customWidth="1"/>
    <col min="15123" max="15123" width="11.375" style="3" bestFit="1" customWidth="1"/>
    <col min="15124" max="15124" width="9.625" style="3" customWidth="1"/>
    <col min="15125" max="15125" width="13.25" style="3" bestFit="1" customWidth="1"/>
    <col min="15126" max="15126" width="9.625" style="3" customWidth="1"/>
    <col min="15127" max="15360" width="9" style="3"/>
    <col min="15361" max="15361" width="16.25" style="3" customWidth="1"/>
    <col min="15362" max="15362" width="4.625" style="3" bestFit="1" customWidth="1"/>
    <col min="15363" max="15363" width="26.875" style="3" customWidth="1"/>
    <col min="15364" max="15364" width="12.75" style="3" bestFit="1" customWidth="1"/>
    <col min="15365" max="15365" width="8.625" style="3" bestFit="1" customWidth="1"/>
    <col min="15366" max="15366" width="8.5" style="3" bestFit="1" customWidth="1"/>
    <col min="15367" max="15367" width="10.625" style="3" bestFit="1" customWidth="1"/>
    <col min="15368" max="15368" width="10" style="3" bestFit="1" customWidth="1"/>
    <col min="15369" max="15369" width="12.5" style="3" bestFit="1" customWidth="1"/>
    <col min="15370" max="15370" width="7.125" style="3" customWidth="1"/>
    <col min="15371" max="15371" width="9.875" style="3" customWidth="1"/>
    <col min="15372" max="15372" width="10.75" style="3" customWidth="1"/>
    <col min="15373" max="15373" width="9.75" style="3" bestFit="1" customWidth="1"/>
    <col min="15374" max="15374" width="6.125" style="3" customWidth="1"/>
    <col min="15375" max="15375" width="9.5" style="3" bestFit="1" customWidth="1"/>
    <col min="15376" max="15376" width="7.75" style="3" customWidth="1"/>
    <col min="15377" max="15377" width="17.125" style="3" bestFit="1" customWidth="1"/>
    <col min="15378" max="15378" width="16.25" style="3" bestFit="1" customWidth="1"/>
    <col min="15379" max="15379" width="11.375" style="3" bestFit="1" customWidth="1"/>
    <col min="15380" max="15380" width="9.625" style="3" customWidth="1"/>
    <col min="15381" max="15381" width="13.25" style="3" bestFit="1" customWidth="1"/>
    <col min="15382" max="15382" width="9.625" style="3" customWidth="1"/>
    <col min="15383" max="15616" width="9" style="3"/>
    <col min="15617" max="15617" width="16.25" style="3" customWidth="1"/>
    <col min="15618" max="15618" width="4.625" style="3" bestFit="1" customWidth="1"/>
    <col min="15619" max="15619" width="26.875" style="3" customWidth="1"/>
    <col min="15620" max="15620" width="12.75" style="3" bestFit="1" customWidth="1"/>
    <col min="15621" max="15621" width="8.625" style="3" bestFit="1" customWidth="1"/>
    <col min="15622" max="15622" width="8.5" style="3" bestFit="1" customWidth="1"/>
    <col min="15623" max="15623" width="10.625" style="3" bestFit="1" customWidth="1"/>
    <col min="15624" max="15624" width="10" style="3" bestFit="1" customWidth="1"/>
    <col min="15625" max="15625" width="12.5" style="3" bestFit="1" customWidth="1"/>
    <col min="15626" max="15626" width="7.125" style="3" customWidth="1"/>
    <col min="15627" max="15627" width="9.875" style="3" customWidth="1"/>
    <col min="15628" max="15628" width="10.75" style="3" customWidth="1"/>
    <col min="15629" max="15629" width="9.75" style="3" bestFit="1" customWidth="1"/>
    <col min="15630" max="15630" width="6.125" style="3" customWidth="1"/>
    <col min="15631" max="15631" width="9.5" style="3" bestFit="1" customWidth="1"/>
    <col min="15632" max="15632" width="7.75" style="3" customWidth="1"/>
    <col min="15633" max="15633" width="17.125" style="3" bestFit="1" customWidth="1"/>
    <col min="15634" max="15634" width="16.25" style="3" bestFit="1" customWidth="1"/>
    <col min="15635" max="15635" width="11.375" style="3" bestFit="1" customWidth="1"/>
    <col min="15636" max="15636" width="9.625" style="3" customWidth="1"/>
    <col min="15637" max="15637" width="13.25" style="3" bestFit="1" customWidth="1"/>
    <col min="15638" max="15638" width="9.625" style="3" customWidth="1"/>
    <col min="15639" max="15872" width="9" style="3"/>
    <col min="15873" max="15873" width="16.25" style="3" customWidth="1"/>
    <col min="15874" max="15874" width="4.625" style="3" bestFit="1" customWidth="1"/>
    <col min="15875" max="15875" width="26.875" style="3" customWidth="1"/>
    <col min="15876" max="15876" width="12.75" style="3" bestFit="1" customWidth="1"/>
    <col min="15877" max="15877" width="8.625" style="3" bestFit="1" customWidth="1"/>
    <col min="15878" max="15878" width="8.5" style="3" bestFit="1" customWidth="1"/>
    <col min="15879" max="15879" width="10.625" style="3" bestFit="1" customWidth="1"/>
    <col min="15880" max="15880" width="10" style="3" bestFit="1" customWidth="1"/>
    <col min="15881" max="15881" width="12.5" style="3" bestFit="1" customWidth="1"/>
    <col min="15882" max="15882" width="7.125" style="3" customWidth="1"/>
    <col min="15883" max="15883" width="9.875" style="3" customWidth="1"/>
    <col min="15884" max="15884" width="10.75" style="3" customWidth="1"/>
    <col min="15885" max="15885" width="9.75" style="3" bestFit="1" customWidth="1"/>
    <col min="15886" max="15886" width="6.125" style="3" customWidth="1"/>
    <col min="15887" max="15887" width="9.5" style="3" bestFit="1" customWidth="1"/>
    <col min="15888" max="15888" width="7.75" style="3" customWidth="1"/>
    <col min="15889" max="15889" width="17.125" style="3" bestFit="1" customWidth="1"/>
    <col min="15890" max="15890" width="16.25" style="3" bestFit="1" customWidth="1"/>
    <col min="15891" max="15891" width="11.375" style="3" bestFit="1" customWidth="1"/>
    <col min="15892" max="15892" width="9.625" style="3" customWidth="1"/>
    <col min="15893" max="15893" width="13.25" style="3" bestFit="1" customWidth="1"/>
    <col min="15894" max="15894" width="9.625" style="3" customWidth="1"/>
    <col min="15895" max="16128" width="9" style="3"/>
    <col min="16129" max="16129" width="16.25" style="3" customWidth="1"/>
    <col min="16130" max="16130" width="4.625" style="3" bestFit="1" customWidth="1"/>
    <col min="16131" max="16131" width="26.875" style="3" customWidth="1"/>
    <col min="16132" max="16132" width="12.75" style="3" bestFit="1" customWidth="1"/>
    <col min="16133" max="16133" width="8.625" style="3" bestFit="1" customWidth="1"/>
    <col min="16134" max="16134" width="8.5" style="3" bestFit="1" customWidth="1"/>
    <col min="16135" max="16135" width="10.625" style="3" bestFit="1" customWidth="1"/>
    <col min="16136" max="16136" width="10" style="3" bestFit="1" customWidth="1"/>
    <col min="16137" max="16137" width="12.5" style="3" bestFit="1" customWidth="1"/>
    <col min="16138" max="16138" width="7.125" style="3" customWidth="1"/>
    <col min="16139" max="16139" width="9.875" style="3" customWidth="1"/>
    <col min="16140" max="16140" width="10.75" style="3" customWidth="1"/>
    <col min="16141" max="16141" width="9.75" style="3" bestFit="1" customWidth="1"/>
    <col min="16142" max="16142" width="6.125" style="3" customWidth="1"/>
    <col min="16143" max="16143" width="9.5" style="3" bestFit="1" customWidth="1"/>
    <col min="16144" max="16144" width="7.75" style="3" customWidth="1"/>
    <col min="16145" max="16145" width="17.125" style="3" bestFit="1" customWidth="1"/>
    <col min="16146" max="16146" width="16.25" style="3" bestFit="1" customWidth="1"/>
    <col min="16147" max="16147" width="11.375" style="3" bestFit="1" customWidth="1"/>
    <col min="16148" max="16148" width="9.625" style="3" customWidth="1"/>
    <col min="16149" max="16149" width="13.25" style="3" bestFit="1" customWidth="1"/>
    <col min="16150" max="16150" width="9.625" style="3" customWidth="1"/>
    <col min="16151" max="16384" width="9" style="3"/>
  </cols>
  <sheetData>
    <row r="1" spans="1:22" ht="21" customHeight="1">
      <c r="A1" s="157"/>
      <c r="V1" s="3"/>
    </row>
    <row r="2" spans="1:22" ht="15.75">
      <c r="C2" s="156"/>
      <c r="F2" s="155"/>
      <c r="G2" s="155"/>
      <c r="H2" s="155"/>
      <c r="L2" s="530" t="s">
        <v>1622</v>
      </c>
      <c r="M2" s="7"/>
      <c r="N2" s="7"/>
      <c r="O2" s="7"/>
      <c r="P2" s="7"/>
      <c r="Q2" s="7"/>
      <c r="R2" s="7"/>
      <c r="S2" s="154"/>
      <c r="T2" s="153"/>
      <c r="U2" s="153"/>
      <c r="V2" s="153"/>
    </row>
    <row r="3" spans="1:22" ht="19.5" customHeight="1">
      <c r="A3" s="152" t="s">
        <v>1</v>
      </c>
      <c r="V3" s="9" t="s">
        <v>2</v>
      </c>
    </row>
    <row r="4" spans="1:22" ht="11.25" customHeight="1" thickBot="1">
      <c r="A4" s="82" t="s">
        <v>3</v>
      </c>
      <c r="B4" s="82" t="s">
        <v>4</v>
      </c>
      <c r="C4" s="114"/>
      <c r="D4" s="82" t="s">
        <v>5</v>
      </c>
      <c r="E4" s="82" t="s">
        <v>6</v>
      </c>
      <c r="F4" s="82"/>
      <c r="G4" s="82"/>
      <c r="H4" s="82"/>
      <c r="I4" s="81" t="s">
        <v>1621</v>
      </c>
      <c r="J4" s="81" t="s">
        <v>1085</v>
      </c>
      <c r="K4" s="516" t="s">
        <v>1620</v>
      </c>
      <c r="L4" s="516" t="s">
        <v>1083</v>
      </c>
      <c r="M4" s="529" t="s">
        <v>1082</v>
      </c>
      <c r="N4" s="528" t="s">
        <v>1081</v>
      </c>
      <c r="O4" s="527"/>
      <c r="P4" s="526"/>
      <c r="Q4" s="81" t="s">
        <v>1080</v>
      </c>
      <c r="R4" s="96" t="s">
        <v>14</v>
      </c>
      <c r="S4" s="96"/>
      <c r="T4" s="96"/>
      <c r="U4" s="525" t="s">
        <v>1079</v>
      </c>
      <c r="V4" s="524" t="s">
        <v>1619</v>
      </c>
    </row>
    <row r="5" spans="1:22" ht="11.25" customHeight="1">
      <c r="A5" s="82"/>
      <c r="B5" s="82"/>
      <c r="C5" s="114"/>
      <c r="D5" s="82"/>
      <c r="E5" s="82"/>
      <c r="F5" s="82"/>
      <c r="G5" s="82"/>
      <c r="H5" s="82"/>
      <c r="I5" s="81"/>
      <c r="J5" s="81"/>
      <c r="K5" s="516"/>
      <c r="L5" s="516"/>
      <c r="M5" s="520"/>
      <c r="N5" s="523" t="s">
        <v>1077</v>
      </c>
      <c r="O5" s="106" t="s">
        <v>18</v>
      </c>
      <c r="P5" s="522" t="s">
        <v>1618</v>
      </c>
      <c r="Q5" s="81"/>
      <c r="R5" s="96"/>
      <c r="S5" s="96"/>
      <c r="T5" s="96"/>
      <c r="U5" s="518"/>
      <c r="V5" s="517"/>
    </row>
    <row r="6" spans="1:22">
      <c r="A6" s="82"/>
      <c r="B6" s="82"/>
      <c r="C6" s="114"/>
      <c r="D6" s="82"/>
      <c r="E6" s="10"/>
      <c r="F6" s="81" t="s">
        <v>1617</v>
      </c>
      <c r="G6" s="81" t="s">
        <v>1616</v>
      </c>
      <c r="H6" s="81" t="s">
        <v>1615</v>
      </c>
      <c r="I6" s="81"/>
      <c r="J6" s="81"/>
      <c r="K6" s="516"/>
      <c r="L6" s="516"/>
      <c r="M6" s="520"/>
      <c r="N6" s="104"/>
      <c r="O6" s="107"/>
      <c r="P6" s="150"/>
      <c r="Q6" s="81"/>
      <c r="R6" s="521" t="s">
        <v>1075</v>
      </c>
      <c r="S6" s="89" t="s">
        <v>1074</v>
      </c>
      <c r="T6" s="89" t="s">
        <v>25</v>
      </c>
      <c r="U6" s="518"/>
      <c r="V6" s="517"/>
    </row>
    <row r="7" spans="1:22">
      <c r="A7" s="82"/>
      <c r="B7" s="82"/>
      <c r="C7" s="114"/>
      <c r="D7" s="82"/>
      <c r="E7" s="10" t="s">
        <v>5</v>
      </c>
      <c r="F7" s="82"/>
      <c r="G7" s="82"/>
      <c r="H7" s="82"/>
      <c r="I7" s="81"/>
      <c r="J7" s="81"/>
      <c r="K7" s="516"/>
      <c r="L7" s="516"/>
      <c r="M7" s="520"/>
      <c r="N7" s="104"/>
      <c r="O7" s="107"/>
      <c r="P7" s="150"/>
      <c r="Q7" s="81"/>
      <c r="R7" s="519"/>
      <c r="S7" s="90"/>
      <c r="T7" s="90"/>
      <c r="U7" s="518"/>
      <c r="V7" s="517"/>
    </row>
    <row r="8" spans="1:22">
      <c r="A8" s="82"/>
      <c r="B8" s="82"/>
      <c r="C8" s="114"/>
      <c r="D8" s="82"/>
      <c r="E8" s="7"/>
      <c r="F8" s="82"/>
      <c r="G8" s="82"/>
      <c r="H8" s="82"/>
      <c r="I8" s="81"/>
      <c r="J8" s="81"/>
      <c r="K8" s="516"/>
      <c r="L8" s="516"/>
      <c r="M8" s="515"/>
      <c r="N8" s="105"/>
      <c r="O8" s="108"/>
      <c r="P8" s="111"/>
      <c r="Q8" s="81"/>
      <c r="R8" s="514"/>
      <c r="S8" s="91"/>
      <c r="T8" s="91"/>
      <c r="U8" s="513"/>
      <c r="V8" s="512"/>
    </row>
    <row r="9" spans="1:22" s="461" customFormat="1" ht="45">
      <c r="A9" s="488" t="s">
        <v>1576</v>
      </c>
      <c r="B9" s="511" t="s">
        <v>750</v>
      </c>
      <c r="C9" s="486" t="s">
        <v>1614</v>
      </c>
      <c r="D9" s="508" t="s">
        <v>1613</v>
      </c>
      <c r="E9" s="502" t="s">
        <v>590</v>
      </c>
      <c r="F9" s="507">
        <v>2.9980000000000002</v>
      </c>
      <c r="G9" s="502">
        <v>430</v>
      </c>
      <c r="H9" s="506">
        <v>129</v>
      </c>
      <c r="I9" s="502" t="s">
        <v>70</v>
      </c>
      <c r="J9" s="505">
        <v>3543</v>
      </c>
      <c r="K9" s="504">
        <v>7928</v>
      </c>
      <c r="L9" s="503">
        <v>4275</v>
      </c>
      <c r="M9" s="502" t="s">
        <v>745</v>
      </c>
      <c r="N9" s="501">
        <v>7.7</v>
      </c>
      <c r="O9" s="471">
        <f>IF(N9&gt;0,1/N9*37.7*68.6,"")</f>
        <v>335.87272727272722</v>
      </c>
      <c r="P9" s="500">
        <v>7.24</v>
      </c>
      <c r="Q9" s="415" t="s">
        <v>1578</v>
      </c>
      <c r="R9" s="415" t="s">
        <v>1612</v>
      </c>
      <c r="S9" s="415" t="s">
        <v>1577</v>
      </c>
      <c r="T9" s="499"/>
      <c r="U9" s="475"/>
      <c r="V9" s="468">
        <f>IF(N9&lt;&gt;0, IF(N9&gt;=P9,ROUNDDOWN(N9/P9*100,0),""),"")</f>
        <v>106</v>
      </c>
    </row>
    <row r="10" spans="1:22" s="461" customFormat="1" ht="45">
      <c r="A10" s="510"/>
      <c r="B10" s="509"/>
      <c r="C10" s="477"/>
      <c r="D10" s="508" t="s">
        <v>1611</v>
      </c>
      <c r="E10" s="502" t="s">
        <v>590</v>
      </c>
      <c r="F10" s="507">
        <v>2.9980000000000002</v>
      </c>
      <c r="G10" s="502">
        <v>430</v>
      </c>
      <c r="H10" s="506">
        <v>129</v>
      </c>
      <c r="I10" s="502" t="s">
        <v>71</v>
      </c>
      <c r="J10" s="505">
        <v>3543</v>
      </c>
      <c r="K10" s="504">
        <v>7928</v>
      </c>
      <c r="L10" s="503">
        <v>4275</v>
      </c>
      <c r="M10" s="502" t="s">
        <v>745</v>
      </c>
      <c r="N10" s="501">
        <v>8</v>
      </c>
      <c r="O10" s="471">
        <f>IF(N10&gt;0,1/N10*37.7*68.6,"")</f>
        <v>323.27749999999997</v>
      </c>
      <c r="P10" s="500">
        <v>7.24</v>
      </c>
      <c r="Q10" s="415" t="s">
        <v>1578</v>
      </c>
      <c r="R10" s="415" t="s">
        <v>1582</v>
      </c>
      <c r="S10" s="415" t="s">
        <v>1577</v>
      </c>
      <c r="T10" s="499"/>
      <c r="U10" s="475"/>
      <c r="V10" s="468">
        <f>IF(N10&lt;&gt;0, IF(N10&gt;=P10,ROUNDDOWN(N10/P10*100,0),""),"")</f>
        <v>110</v>
      </c>
    </row>
    <row r="11" spans="1:22" s="461" customFormat="1" ht="45">
      <c r="A11" s="510"/>
      <c r="B11" s="509"/>
      <c r="C11" s="477"/>
      <c r="D11" s="508" t="s">
        <v>1610</v>
      </c>
      <c r="E11" s="502" t="s">
        <v>590</v>
      </c>
      <c r="F11" s="507">
        <v>2.9980000000000002</v>
      </c>
      <c r="G11" s="502">
        <v>430</v>
      </c>
      <c r="H11" s="506">
        <v>129</v>
      </c>
      <c r="I11" s="502" t="s">
        <v>598</v>
      </c>
      <c r="J11" s="505">
        <v>3543</v>
      </c>
      <c r="K11" s="504">
        <v>7928</v>
      </c>
      <c r="L11" s="503">
        <v>4275</v>
      </c>
      <c r="M11" s="502" t="s">
        <v>745</v>
      </c>
      <c r="N11" s="501">
        <v>7.7</v>
      </c>
      <c r="O11" s="471">
        <f>IF(N11&gt;0,1/N11*37.7*68.6,"")</f>
        <v>335.87272727272722</v>
      </c>
      <c r="P11" s="500">
        <v>7.24</v>
      </c>
      <c r="Q11" s="415" t="s">
        <v>1583</v>
      </c>
      <c r="R11" s="415" t="s">
        <v>1582</v>
      </c>
      <c r="S11" s="415" t="s">
        <v>1577</v>
      </c>
      <c r="T11" s="499"/>
      <c r="U11" s="475"/>
      <c r="V11" s="468">
        <f>IF(N11&lt;&gt;0, IF(N11&gt;=P11,ROUNDDOWN(N11/P11*100,0),""),"")</f>
        <v>106</v>
      </c>
    </row>
    <row r="12" spans="1:22" s="461" customFormat="1" ht="45">
      <c r="A12" s="510"/>
      <c r="B12" s="509"/>
      <c r="C12" s="477"/>
      <c r="D12" s="508" t="s">
        <v>1609</v>
      </c>
      <c r="E12" s="502" t="s">
        <v>590</v>
      </c>
      <c r="F12" s="507">
        <v>2.9980000000000002</v>
      </c>
      <c r="G12" s="502">
        <v>430</v>
      </c>
      <c r="H12" s="506">
        <v>129</v>
      </c>
      <c r="I12" s="502" t="s">
        <v>70</v>
      </c>
      <c r="J12" s="505">
        <v>3543</v>
      </c>
      <c r="K12" s="504">
        <v>7928</v>
      </c>
      <c r="L12" s="503">
        <v>4275</v>
      </c>
      <c r="M12" s="502" t="s">
        <v>745</v>
      </c>
      <c r="N12" s="501">
        <v>7.7</v>
      </c>
      <c r="O12" s="471">
        <f>IF(N12&gt;0,1/N12*37.7*68.6,"")</f>
        <v>335.87272727272722</v>
      </c>
      <c r="P12" s="500">
        <v>7.24</v>
      </c>
      <c r="Q12" s="415" t="s">
        <v>1578</v>
      </c>
      <c r="R12" s="415" t="s">
        <v>1582</v>
      </c>
      <c r="S12" s="415" t="s">
        <v>1577</v>
      </c>
      <c r="T12" s="499"/>
      <c r="U12" s="475"/>
      <c r="V12" s="468">
        <f>IF(N12&lt;&gt;0, IF(N12&gt;=P12,ROUNDDOWN(N12/P12*100,0),""),"")</f>
        <v>106</v>
      </c>
    </row>
    <row r="13" spans="1:22" s="461" customFormat="1" ht="45">
      <c r="A13" s="510"/>
      <c r="B13" s="509"/>
      <c r="C13" s="477"/>
      <c r="D13" s="508" t="s">
        <v>1608</v>
      </c>
      <c r="E13" s="502" t="s">
        <v>590</v>
      </c>
      <c r="F13" s="507">
        <v>2.9980000000000002</v>
      </c>
      <c r="G13" s="502">
        <v>430</v>
      </c>
      <c r="H13" s="506">
        <v>129</v>
      </c>
      <c r="I13" s="502" t="s">
        <v>71</v>
      </c>
      <c r="J13" s="505">
        <v>3543</v>
      </c>
      <c r="K13" s="504">
        <v>7928</v>
      </c>
      <c r="L13" s="503">
        <v>4275</v>
      </c>
      <c r="M13" s="502" t="s">
        <v>745</v>
      </c>
      <c r="N13" s="501">
        <v>8</v>
      </c>
      <c r="O13" s="471">
        <f>IF(N13&gt;0,1/N13*37.7*68.6,"")</f>
        <v>323.27749999999997</v>
      </c>
      <c r="P13" s="500">
        <v>7.24</v>
      </c>
      <c r="Q13" s="415" t="s">
        <v>1578</v>
      </c>
      <c r="R13" s="415" t="s">
        <v>1582</v>
      </c>
      <c r="S13" s="415" t="s">
        <v>1577</v>
      </c>
      <c r="T13" s="499"/>
      <c r="U13" s="475"/>
      <c r="V13" s="468">
        <f>IF(N13&lt;&gt;0, IF(N13&gt;=P13,ROUNDDOWN(N13/P13*100,0),""),"")</f>
        <v>110</v>
      </c>
    </row>
    <row r="14" spans="1:22" s="461" customFormat="1" ht="45">
      <c r="A14" s="510"/>
      <c r="B14" s="509"/>
      <c r="C14" s="477"/>
      <c r="D14" s="508" t="s">
        <v>1607</v>
      </c>
      <c r="E14" s="502" t="s">
        <v>590</v>
      </c>
      <c r="F14" s="507">
        <v>2.9980000000000002</v>
      </c>
      <c r="G14" s="502">
        <v>430</v>
      </c>
      <c r="H14" s="506">
        <v>129</v>
      </c>
      <c r="I14" s="502" t="s">
        <v>70</v>
      </c>
      <c r="J14" s="505">
        <v>3543</v>
      </c>
      <c r="K14" s="504">
        <v>7928</v>
      </c>
      <c r="L14" s="503">
        <v>4275</v>
      </c>
      <c r="M14" s="502" t="s">
        <v>745</v>
      </c>
      <c r="N14" s="501">
        <v>7.7</v>
      </c>
      <c r="O14" s="471">
        <f>IF(N14&gt;0,1/N14*37.7*68.6,"")</f>
        <v>335.87272727272722</v>
      </c>
      <c r="P14" s="500">
        <v>7.24</v>
      </c>
      <c r="Q14" s="415" t="s">
        <v>1578</v>
      </c>
      <c r="R14" s="415" t="s">
        <v>1582</v>
      </c>
      <c r="S14" s="415" t="s">
        <v>1577</v>
      </c>
      <c r="T14" s="499"/>
      <c r="U14" s="475"/>
      <c r="V14" s="468">
        <f>IF(N14&lt;&gt;0, IF(N14&gt;=P14,ROUNDDOWN(N14/P14*100,0),""),"")</f>
        <v>106</v>
      </c>
    </row>
    <row r="15" spans="1:22" s="461" customFormat="1" ht="45">
      <c r="A15" s="510"/>
      <c r="B15" s="509"/>
      <c r="C15" s="477"/>
      <c r="D15" s="508" t="s">
        <v>1606</v>
      </c>
      <c r="E15" s="502" t="s">
        <v>590</v>
      </c>
      <c r="F15" s="507">
        <v>2.9980000000000002</v>
      </c>
      <c r="G15" s="502">
        <v>430</v>
      </c>
      <c r="H15" s="506">
        <v>129</v>
      </c>
      <c r="I15" s="502" t="s">
        <v>71</v>
      </c>
      <c r="J15" s="505">
        <v>3543</v>
      </c>
      <c r="K15" s="504">
        <v>7928</v>
      </c>
      <c r="L15" s="503">
        <v>4275</v>
      </c>
      <c r="M15" s="502" t="s">
        <v>745</v>
      </c>
      <c r="N15" s="501">
        <v>8</v>
      </c>
      <c r="O15" s="471">
        <f>IF(N15&gt;0,1/N15*37.7*68.6,"")</f>
        <v>323.27749999999997</v>
      </c>
      <c r="P15" s="500">
        <v>7.24</v>
      </c>
      <c r="Q15" s="415" t="s">
        <v>1578</v>
      </c>
      <c r="R15" s="415" t="s">
        <v>1582</v>
      </c>
      <c r="S15" s="415" t="s">
        <v>1577</v>
      </c>
      <c r="T15" s="499"/>
      <c r="U15" s="475"/>
      <c r="V15" s="468">
        <f>IF(N15&lt;&gt;0, IF(N15&gt;=P15,ROUNDDOWN(N15/P15*100,0),""),"")</f>
        <v>110</v>
      </c>
    </row>
    <row r="16" spans="1:22" s="461" customFormat="1" ht="45">
      <c r="A16" s="510"/>
      <c r="B16" s="509"/>
      <c r="C16" s="477"/>
      <c r="D16" s="508" t="s">
        <v>1605</v>
      </c>
      <c r="E16" s="502" t="s">
        <v>590</v>
      </c>
      <c r="F16" s="507">
        <v>2.9980000000000002</v>
      </c>
      <c r="G16" s="502">
        <v>430</v>
      </c>
      <c r="H16" s="506">
        <v>110</v>
      </c>
      <c r="I16" s="502" t="s">
        <v>598</v>
      </c>
      <c r="J16" s="505">
        <v>2356</v>
      </c>
      <c r="K16" s="504">
        <v>4521</v>
      </c>
      <c r="L16" s="503">
        <v>2000</v>
      </c>
      <c r="M16" s="502" t="s">
        <v>745</v>
      </c>
      <c r="N16" s="501">
        <v>11.4</v>
      </c>
      <c r="O16" s="471">
        <f>IF(N16&gt;0,1/N16*37.7*68.6,"")</f>
        <v>226.8614035087719</v>
      </c>
      <c r="P16" s="500">
        <v>10.35</v>
      </c>
      <c r="Q16" s="415" t="s">
        <v>1578</v>
      </c>
      <c r="R16" s="415" t="s">
        <v>1582</v>
      </c>
      <c r="S16" s="415" t="s">
        <v>1577</v>
      </c>
      <c r="T16" s="499"/>
      <c r="U16" s="475"/>
      <c r="V16" s="468">
        <f>IF(N16&lt;&gt;0, IF(N16&gt;=P16,ROUNDDOWN(N16/P16*100,0),""),"")</f>
        <v>110</v>
      </c>
    </row>
    <row r="17" spans="1:22" s="461" customFormat="1" ht="45">
      <c r="A17" s="510"/>
      <c r="B17" s="509"/>
      <c r="C17" s="477"/>
      <c r="D17" s="508" t="s">
        <v>1604</v>
      </c>
      <c r="E17" s="502" t="s">
        <v>590</v>
      </c>
      <c r="F17" s="507">
        <v>2.9980000000000002</v>
      </c>
      <c r="G17" s="502">
        <v>430</v>
      </c>
      <c r="H17" s="506">
        <v>110</v>
      </c>
      <c r="I17" s="502" t="s">
        <v>598</v>
      </c>
      <c r="J17" s="505">
        <v>2356</v>
      </c>
      <c r="K17" s="504">
        <v>4521</v>
      </c>
      <c r="L17" s="503">
        <v>2000</v>
      </c>
      <c r="M17" s="502" t="s">
        <v>745</v>
      </c>
      <c r="N17" s="501">
        <v>11.4</v>
      </c>
      <c r="O17" s="471">
        <f>IF(N17&gt;0,1/N17*37.7*68.6,"")</f>
        <v>226.8614035087719</v>
      </c>
      <c r="P17" s="500">
        <v>10.35</v>
      </c>
      <c r="Q17" s="415" t="s">
        <v>1578</v>
      </c>
      <c r="R17" s="415" t="s">
        <v>1582</v>
      </c>
      <c r="S17" s="415" t="s">
        <v>1577</v>
      </c>
      <c r="T17" s="499"/>
      <c r="U17" s="475"/>
      <c r="V17" s="468">
        <f>IF(N17&lt;&gt;0, IF(N17&gt;=P17,ROUNDDOWN(N17/P17*100,0),""),"")</f>
        <v>110</v>
      </c>
    </row>
    <row r="18" spans="1:22" s="461" customFormat="1" ht="45">
      <c r="A18" s="510"/>
      <c r="B18" s="509"/>
      <c r="C18" s="477"/>
      <c r="D18" s="508" t="s">
        <v>1604</v>
      </c>
      <c r="E18" s="502" t="s">
        <v>590</v>
      </c>
      <c r="F18" s="507">
        <v>2.9980000000000002</v>
      </c>
      <c r="G18" s="502">
        <v>430</v>
      </c>
      <c r="H18" s="506">
        <v>110</v>
      </c>
      <c r="I18" s="502" t="s">
        <v>71</v>
      </c>
      <c r="J18" s="505">
        <v>2652</v>
      </c>
      <c r="K18" s="504">
        <v>5812</v>
      </c>
      <c r="L18" s="503">
        <v>2995</v>
      </c>
      <c r="M18" s="502" t="s">
        <v>745</v>
      </c>
      <c r="N18" s="501">
        <v>10.6</v>
      </c>
      <c r="O18" s="471">
        <f>IF(N18&gt;0,1/N18*37.7*68.6,"")</f>
        <v>243.98301886792456</v>
      </c>
      <c r="P18" s="500">
        <v>9.51</v>
      </c>
      <c r="Q18" s="415" t="s">
        <v>1578</v>
      </c>
      <c r="R18" s="415" t="s">
        <v>1582</v>
      </c>
      <c r="S18" s="415" t="s">
        <v>1577</v>
      </c>
      <c r="T18" s="499"/>
      <c r="U18" s="475"/>
      <c r="V18" s="468">
        <f>IF(N18&lt;&gt;0, IF(N18&gt;=P18,ROUNDDOWN(N18/P18*100,0),""),"")</f>
        <v>111</v>
      </c>
    </row>
    <row r="19" spans="1:22" s="461" customFormat="1" ht="45">
      <c r="A19" s="510"/>
      <c r="B19" s="509"/>
      <c r="C19" s="477"/>
      <c r="D19" s="508" t="s">
        <v>1603</v>
      </c>
      <c r="E19" s="502" t="s">
        <v>590</v>
      </c>
      <c r="F19" s="507">
        <v>2.9980000000000002</v>
      </c>
      <c r="G19" s="502">
        <v>430</v>
      </c>
      <c r="H19" s="506">
        <v>96</v>
      </c>
      <c r="I19" s="502" t="s">
        <v>71</v>
      </c>
      <c r="J19" s="505">
        <v>2356</v>
      </c>
      <c r="K19" s="504">
        <v>4521</v>
      </c>
      <c r="L19" s="503">
        <v>2000</v>
      </c>
      <c r="M19" s="502" t="s">
        <v>745</v>
      </c>
      <c r="N19" s="501">
        <v>11.4</v>
      </c>
      <c r="O19" s="471">
        <f>IF(N19&gt;0,1/N19*37.7*68.6,"")</f>
        <v>226.8614035087719</v>
      </c>
      <c r="P19" s="500">
        <v>10.35</v>
      </c>
      <c r="Q19" s="415" t="s">
        <v>1602</v>
      </c>
      <c r="R19" s="415" t="s">
        <v>1582</v>
      </c>
      <c r="S19" s="415" t="s">
        <v>110</v>
      </c>
      <c r="T19" s="499"/>
      <c r="U19" s="475"/>
      <c r="V19" s="468">
        <f>IF(N19&lt;&gt;0, IF(N19&gt;=P19,ROUNDDOWN(N19/P19*100,0),""),"")</f>
        <v>110</v>
      </c>
    </row>
    <row r="20" spans="1:22" s="461" customFormat="1" ht="45">
      <c r="A20" s="510"/>
      <c r="B20" s="509"/>
      <c r="C20" s="477"/>
      <c r="D20" s="508" t="s">
        <v>1601</v>
      </c>
      <c r="E20" s="502" t="s">
        <v>590</v>
      </c>
      <c r="F20" s="507">
        <v>2.9980000000000002</v>
      </c>
      <c r="G20" s="502">
        <v>430</v>
      </c>
      <c r="H20" s="506">
        <v>110</v>
      </c>
      <c r="I20" s="502" t="s">
        <v>71</v>
      </c>
      <c r="J20" s="505">
        <v>2356</v>
      </c>
      <c r="K20" s="504">
        <v>4521</v>
      </c>
      <c r="L20" s="503">
        <v>2000</v>
      </c>
      <c r="M20" s="502" t="s">
        <v>745</v>
      </c>
      <c r="N20" s="501">
        <v>11.4</v>
      </c>
      <c r="O20" s="471">
        <f>IF(N20&gt;0,1/N20*37.7*68.6,"")</f>
        <v>226.8614035087719</v>
      </c>
      <c r="P20" s="500">
        <v>10.35</v>
      </c>
      <c r="Q20" s="415" t="s">
        <v>1578</v>
      </c>
      <c r="R20" s="415" t="s">
        <v>1582</v>
      </c>
      <c r="S20" s="415" t="s">
        <v>110</v>
      </c>
      <c r="T20" s="499"/>
      <c r="U20" s="475"/>
      <c r="V20" s="468">
        <f>IF(N20&lt;&gt;0, IF(N20&gt;=P20,ROUNDDOWN(N20/P20*100,0),""),"")</f>
        <v>110</v>
      </c>
    </row>
    <row r="21" spans="1:22" s="461" customFormat="1" ht="45">
      <c r="A21" s="510"/>
      <c r="B21" s="509"/>
      <c r="C21" s="477"/>
      <c r="D21" s="508" t="s">
        <v>1601</v>
      </c>
      <c r="E21" s="502" t="s">
        <v>590</v>
      </c>
      <c r="F21" s="507">
        <v>2.9980000000000002</v>
      </c>
      <c r="G21" s="502">
        <v>430</v>
      </c>
      <c r="H21" s="506">
        <v>110</v>
      </c>
      <c r="I21" s="502" t="s">
        <v>71</v>
      </c>
      <c r="J21" s="505">
        <v>2652</v>
      </c>
      <c r="K21" s="504">
        <v>5812</v>
      </c>
      <c r="L21" s="503">
        <v>2995</v>
      </c>
      <c r="M21" s="502" t="s">
        <v>745</v>
      </c>
      <c r="N21" s="501">
        <v>10.6</v>
      </c>
      <c r="O21" s="471">
        <f>IF(N21&gt;0,1/N21*37.7*68.6,"")</f>
        <v>243.98301886792456</v>
      </c>
      <c r="P21" s="500">
        <v>9.51</v>
      </c>
      <c r="Q21" s="415" t="s">
        <v>1578</v>
      </c>
      <c r="R21" s="415" t="s">
        <v>1582</v>
      </c>
      <c r="S21" s="415" t="s">
        <v>110</v>
      </c>
      <c r="T21" s="499"/>
      <c r="U21" s="475"/>
      <c r="V21" s="468">
        <f>IF(N21&lt;&gt;0, IF(N21&gt;=P21,ROUNDDOWN(N21/P21*100,0),""),"")</f>
        <v>111</v>
      </c>
    </row>
    <row r="22" spans="1:22" s="461" customFormat="1" ht="45">
      <c r="A22" s="510"/>
      <c r="B22" s="509"/>
      <c r="C22" s="477"/>
      <c r="D22" s="508" t="s">
        <v>1600</v>
      </c>
      <c r="E22" s="502" t="s">
        <v>590</v>
      </c>
      <c r="F22" s="507">
        <v>2.9980000000000002</v>
      </c>
      <c r="G22" s="502">
        <v>430</v>
      </c>
      <c r="H22" s="506">
        <v>96</v>
      </c>
      <c r="I22" s="502" t="s">
        <v>598</v>
      </c>
      <c r="J22" s="505">
        <v>2356</v>
      </c>
      <c r="K22" s="504">
        <v>4521</v>
      </c>
      <c r="L22" s="503">
        <v>2000</v>
      </c>
      <c r="M22" s="502" t="s">
        <v>745</v>
      </c>
      <c r="N22" s="501">
        <v>11.4</v>
      </c>
      <c r="O22" s="471">
        <f>IF(N22&gt;0,1/N22*37.7*68.6,"")</f>
        <v>226.8614035087719</v>
      </c>
      <c r="P22" s="500">
        <v>10.35</v>
      </c>
      <c r="Q22" s="415" t="s">
        <v>1578</v>
      </c>
      <c r="R22" s="415" t="s">
        <v>1582</v>
      </c>
      <c r="S22" s="415" t="s">
        <v>1577</v>
      </c>
      <c r="T22" s="499"/>
      <c r="U22" s="475"/>
      <c r="V22" s="468">
        <f>IF(N22&lt;&gt;0, IF(N22&gt;=P22,ROUNDDOWN(N22/P22*100,0),""),"")</f>
        <v>110</v>
      </c>
    </row>
    <row r="23" spans="1:22" s="461" customFormat="1" ht="45">
      <c r="A23" s="510"/>
      <c r="B23" s="509"/>
      <c r="C23" s="477"/>
      <c r="D23" s="508" t="s">
        <v>1599</v>
      </c>
      <c r="E23" s="502" t="s">
        <v>590</v>
      </c>
      <c r="F23" s="507">
        <v>2.9980000000000002</v>
      </c>
      <c r="G23" s="502">
        <v>430</v>
      </c>
      <c r="H23" s="506">
        <v>96</v>
      </c>
      <c r="I23" s="502" t="s">
        <v>71</v>
      </c>
      <c r="J23" s="505">
        <v>2356</v>
      </c>
      <c r="K23" s="504">
        <v>4521</v>
      </c>
      <c r="L23" s="503">
        <v>2000</v>
      </c>
      <c r="M23" s="502" t="s">
        <v>745</v>
      </c>
      <c r="N23" s="501">
        <v>11.4</v>
      </c>
      <c r="O23" s="471">
        <f>IF(N23&gt;0,1/N23*37.7*68.6,"")</f>
        <v>226.8614035087719</v>
      </c>
      <c r="P23" s="500">
        <v>10.35</v>
      </c>
      <c r="Q23" s="415" t="s">
        <v>1578</v>
      </c>
      <c r="R23" s="415" t="s">
        <v>1582</v>
      </c>
      <c r="S23" s="415" t="s">
        <v>110</v>
      </c>
      <c r="T23" s="499"/>
      <c r="U23" s="475"/>
      <c r="V23" s="468">
        <f>IF(N23&lt;&gt;0, IF(N23&gt;=P23,ROUNDDOWN(N23/P23*100,0),""),"")</f>
        <v>110</v>
      </c>
    </row>
    <row r="24" spans="1:22" s="461" customFormat="1" ht="45">
      <c r="A24" s="510"/>
      <c r="B24" s="509"/>
      <c r="C24" s="477"/>
      <c r="D24" s="508" t="s">
        <v>1598</v>
      </c>
      <c r="E24" s="502" t="s">
        <v>590</v>
      </c>
      <c r="F24" s="507">
        <v>2.9980000000000002</v>
      </c>
      <c r="G24" s="502">
        <v>430</v>
      </c>
      <c r="H24" s="506">
        <v>110</v>
      </c>
      <c r="I24" s="502" t="s">
        <v>598</v>
      </c>
      <c r="J24" s="505">
        <v>2356</v>
      </c>
      <c r="K24" s="504">
        <v>4521</v>
      </c>
      <c r="L24" s="503">
        <v>2000</v>
      </c>
      <c r="M24" s="502" t="s">
        <v>745</v>
      </c>
      <c r="N24" s="501">
        <v>11.4</v>
      </c>
      <c r="O24" s="471">
        <f>IF(N24&gt;0,1/N24*37.7*68.6,"")</f>
        <v>226.8614035087719</v>
      </c>
      <c r="P24" s="500">
        <v>10.35</v>
      </c>
      <c r="Q24" s="415" t="s">
        <v>1578</v>
      </c>
      <c r="R24" s="415" t="s">
        <v>1582</v>
      </c>
      <c r="S24" s="415" t="s">
        <v>1577</v>
      </c>
      <c r="T24" s="499"/>
      <c r="U24" s="475"/>
      <c r="V24" s="468">
        <f>IF(N24&lt;&gt;0, IF(N24&gt;=P24,ROUNDDOWN(N24/P24*100,0),""),"")</f>
        <v>110</v>
      </c>
    </row>
    <row r="25" spans="1:22" s="461" customFormat="1" ht="45">
      <c r="A25" s="510"/>
      <c r="B25" s="509"/>
      <c r="C25" s="477"/>
      <c r="D25" s="508" t="s">
        <v>1598</v>
      </c>
      <c r="E25" s="502" t="s">
        <v>590</v>
      </c>
      <c r="F25" s="507">
        <v>2.9980000000000002</v>
      </c>
      <c r="G25" s="502">
        <v>430</v>
      </c>
      <c r="H25" s="506">
        <v>110</v>
      </c>
      <c r="I25" s="502" t="s">
        <v>71</v>
      </c>
      <c r="J25" s="505">
        <v>2652</v>
      </c>
      <c r="K25" s="504">
        <v>5812</v>
      </c>
      <c r="L25" s="503">
        <v>2995</v>
      </c>
      <c r="M25" s="502" t="s">
        <v>745</v>
      </c>
      <c r="N25" s="501">
        <v>10.6</v>
      </c>
      <c r="O25" s="471">
        <f>IF(N25&gt;0,1/N25*37.7*68.6,"")</f>
        <v>243.98301886792456</v>
      </c>
      <c r="P25" s="500">
        <v>9.51</v>
      </c>
      <c r="Q25" s="415" t="s">
        <v>1578</v>
      </c>
      <c r="R25" s="415" t="s">
        <v>1582</v>
      </c>
      <c r="S25" s="415" t="s">
        <v>1577</v>
      </c>
      <c r="T25" s="499"/>
      <c r="U25" s="475"/>
      <c r="V25" s="468">
        <f>IF(N25&lt;&gt;0, IF(N25&gt;=P25,ROUNDDOWN(N25/P25*100,0),""),"")</f>
        <v>111</v>
      </c>
    </row>
    <row r="26" spans="1:22" s="461" customFormat="1" ht="45">
      <c r="A26" s="510"/>
      <c r="B26" s="509"/>
      <c r="C26" s="477"/>
      <c r="D26" s="508" t="s">
        <v>1597</v>
      </c>
      <c r="E26" s="502" t="s">
        <v>590</v>
      </c>
      <c r="F26" s="507">
        <v>2.9980000000000002</v>
      </c>
      <c r="G26" s="502">
        <v>430</v>
      </c>
      <c r="H26" s="506">
        <v>110</v>
      </c>
      <c r="I26" s="502" t="s">
        <v>71</v>
      </c>
      <c r="J26" s="505">
        <v>2356</v>
      </c>
      <c r="K26" s="504">
        <v>4521</v>
      </c>
      <c r="L26" s="503">
        <v>2000</v>
      </c>
      <c r="M26" s="502" t="s">
        <v>745</v>
      </c>
      <c r="N26" s="501">
        <v>11.4</v>
      </c>
      <c r="O26" s="471">
        <f>IF(N26&gt;0,1/N26*37.7*68.6,"")</f>
        <v>226.8614035087719</v>
      </c>
      <c r="P26" s="500">
        <v>10.35</v>
      </c>
      <c r="Q26" s="415" t="s">
        <v>1578</v>
      </c>
      <c r="R26" s="415" t="s">
        <v>1582</v>
      </c>
      <c r="S26" s="415" t="s">
        <v>110</v>
      </c>
      <c r="T26" s="499"/>
      <c r="U26" s="475"/>
      <c r="V26" s="468">
        <f>IF(N26&lt;&gt;0, IF(N26&gt;=P26,ROUNDDOWN(N26/P26*100,0),""),"")</f>
        <v>110</v>
      </c>
    </row>
    <row r="27" spans="1:22" s="461" customFormat="1" ht="45">
      <c r="A27" s="510"/>
      <c r="B27" s="509"/>
      <c r="C27" s="477"/>
      <c r="D27" s="508" t="s">
        <v>1597</v>
      </c>
      <c r="E27" s="502" t="s">
        <v>590</v>
      </c>
      <c r="F27" s="507">
        <v>2.9980000000000002</v>
      </c>
      <c r="G27" s="502">
        <v>430</v>
      </c>
      <c r="H27" s="506">
        <v>110</v>
      </c>
      <c r="I27" s="502" t="s">
        <v>71</v>
      </c>
      <c r="J27" s="505">
        <v>2652</v>
      </c>
      <c r="K27" s="504">
        <v>5812</v>
      </c>
      <c r="L27" s="503">
        <v>2995</v>
      </c>
      <c r="M27" s="502" t="s">
        <v>745</v>
      </c>
      <c r="N27" s="501">
        <v>10.6</v>
      </c>
      <c r="O27" s="471">
        <f>IF(N27&gt;0,1/N27*37.7*68.6,"")</f>
        <v>243.98301886792456</v>
      </c>
      <c r="P27" s="500">
        <v>9.51</v>
      </c>
      <c r="Q27" s="415" t="s">
        <v>1578</v>
      </c>
      <c r="R27" s="415" t="s">
        <v>1582</v>
      </c>
      <c r="S27" s="415" t="s">
        <v>110</v>
      </c>
      <c r="T27" s="499"/>
      <c r="U27" s="475"/>
      <c r="V27" s="468">
        <f>IF(N27&lt;&gt;0, IF(N27&gt;=P27,ROUNDDOWN(N27/P27*100,0),""),"")</f>
        <v>111</v>
      </c>
    </row>
    <row r="28" spans="1:22" s="461" customFormat="1" ht="45">
      <c r="A28" s="510"/>
      <c r="B28" s="509"/>
      <c r="C28" s="477"/>
      <c r="D28" s="508" t="s">
        <v>1596</v>
      </c>
      <c r="E28" s="502" t="s">
        <v>590</v>
      </c>
      <c r="F28" s="507">
        <v>2.9980000000000002</v>
      </c>
      <c r="G28" s="502">
        <v>430</v>
      </c>
      <c r="H28" s="506">
        <v>96</v>
      </c>
      <c r="I28" s="502" t="s">
        <v>598</v>
      </c>
      <c r="J28" s="505">
        <v>2356</v>
      </c>
      <c r="K28" s="504">
        <v>4521</v>
      </c>
      <c r="L28" s="503">
        <v>2000</v>
      </c>
      <c r="M28" s="502" t="s">
        <v>745</v>
      </c>
      <c r="N28" s="501">
        <v>11.4</v>
      </c>
      <c r="O28" s="471">
        <f>IF(N28&gt;0,1/N28*37.7*68.6,"")</f>
        <v>226.8614035087719</v>
      </c>
      <c r="P28" s="500">
        <v>10.35</v>
      </c>
      <c r="Q28" s="415" t="s">
        <v>1578</v>
      </c>
      <c r="R28" s="415" t="s">
        <v>1582</v>
      </c>
      <c r="S28" s="415" t="s">
        <v>1577</v>
      </c>
      <c r="T28" s="499"/>
      <c r="U28" s="475"/>
      <c r="V28" s="468">
        <f>IF(N28&lt;&gt;0, IF(N28&gt;=P28,ROUNDDOWN(N28/P28*100,0),""),"")</f>
        <v>110</v>
      </c>
    </row>
    <row r="29" spans="1:22" s="461" customFormat="1" ht="45">
      <c r="A29" s="510"/>
      <c r="B29" s="509"/>
      <c r="C29" s="477"/>
      <c r="D29" s="508" t="s">
        <v>1595</v>
      </c>
      <c r="E29" s="502" t="s">
        <v>590</v>
      </c>
      <c r="F29" s="507">
        <v>2.9980000000000002</v>
      </c>
      <c r="G29" s="502">
        <v>430</v>
      </c>
      <c r="H29" s="506">
        <v>96</v>
      </c>
      <c r="I29" s="502" t="s">
        <v>598</v>
      </c>
      <c r="J29" s="505">
        <v>2356</v>
      </c>
      <c r="K29" s="504">
        <v>4521</v>
      </c>
      <c r="L29" s="503">
        <v>2000</v>
      </c>
      <c r="M29" s="502" t="s">
        <v>745</v>
      </c>
      <c r="N29" s="501">
        <v>11.4</v>
      </c>
      <c r="O29" s="471">
        <f>IF(N29&gt;0,1/N29*37.7*68.6,"")</f>
        <v>226.8614035087719</v>
      </c>
      <c r="P29" s="500">
        <v>10.35</v>
      </c>
      <c r="Q29" s="415" t="s">
        <v>1578</v>
      </c>
      <c r="R29" s="415" t="s">
        <v>1582</v>
      </c>
      <c r="S29" s="415" t="s">
        <v>1577</v>
      </c>
      <c r="T29" s="499"/>
      <c r="U29" s="475"/>
      <c r="V29" s="468">
        <f>IF(N29&lt;&gt;0, IF(N29&gt;=P29,ROUNDDOWN(N29/P29*100,0),""),"")</f>
        <v>110</v>
      </c>
    </row>
    <row r="30" spans="1:22" s="461" customFormat="1" ht="45">
      <c r="A30" s="510"/>
      <c r="B30" s="509"/>
      <c r="C30" s="477"/>
      <c r="D30" s="508" t="s">
        <v>1594</v>
      </c>
      <c r="E30" s="502" t="s">
        <v>590</v>
      </c>
      <c r="F30" s="507">
        <v>2.9980000000000002</v>
      </c>
      <c r="G30" s="502">
        <v>430</v>
      </c>
      <c r="H30" s="506">
        <v>110</v>
      </c>
      <c r="I30" s="502" t="s">
        <v>598</v>
      </c>
      <c r="J30" s="505">
        <v>2356</v>
      </c>
      <c r="K30" s="504">
        <v>4521</v>
      </c>
      <c r="L30" s="503">
        <v>2000</v>
      </c>
      <c r="M30" s="502" t="s">
        <v>745</v>
      </c>
      <c r="N30" s="501">
        <v>11.4</v>
      </c>
      <c r="O30" s="471">
        <f>IF(N30&gt;0,1/N30*37.7*68.6,"")</f>
        <v>226.8614035087719</v>
      </c>
      <c r="P30" s="500">
        <v>10.35</v>
      </c>
      <c r="Q30" s="415" t="s">
        <v>1578</v>
      </c>
      <c r="R30" s="415" t="s">
        <v>1582</v>
      </c>
      <c r="S30" s="415" t="s">
        <v>1577</v>
      </c>
      <c r="T30" s="499"/>
      <c r="U30" s="475"/>
      <c r="V30" s="468">
        <f>IF(N30&lt;&gt;0, IF(N30&gt;=P30,ROUNDDOWN(N30/P30*100,0),""),"")</f>
        <v>110</v>
      </c>
    </row>
    <row r="31" spans="1:22" s="461" customFormat="1" ht="45">
      <c r="A31" s="510"/>
      <c r="B31" s="509"/>
      <c r="C31" s="477"/>
      <c r="D31" s="508" t="s">
        <v>1594</v>
      </c>
      <c r="E31" s="502" t="s">
        <v>590</v>
      </c>
      <c r="F31" s="507">
        <v>2.9980000000000002</v>
      </c>
      <c r="G31" s="502">
        <v>430</v>
      </c>
      <c r="H31" s="506">
        <v>110</v>
      </c>
      <c r="I31" s="502" t="s">
        <v>71</v>
      </c>
      <c r="J31" s="505">
        <v>2652</v>
      </c>
      <c r="K31" s="504">
        <v>5812</v>
      </c>
      <c r="L31" s="503">
        <v>2995</v>
      </c>
      <c r="M31" s="502" t="s">
        <v>745</v>
      </c>
      <c r="N31" s="501">
        <v>10.6</v>
      </c>
      <c r="O31" s="471">
        <f>IF(N31&gt;0,1/N31*37.7*68.6,"")</f>
        <v>243.98301886792456</v>
      </c>
      <c r="P31" s="500">
        <v>9.51</v>
      </c>
      <c r="Q31" s="415" t="s">
        <v>1578</v>
      </c>
      <c r="R31" s="415" t="s">
        <v>1582</v>
      </c>
      <c r="S31" s="415" t="s">
        <v>1577</v>
      </c>
      <c r="T31" s="499"/>
      <c r="U31" s="475"/>
      <c r="V31" s="468">
        <f>IF(N31&lt;&gt;0, IF(N31&gt;=P31,ROUNDDOWN(N31/P31*100,0),""),"")</f>
        <v>111</v>
      </c>
    </row>
    <row r="32" spans="1:22" s="461" customFormat="1" ht="45">
      <c r="A32" s="510"/>
      <c r="B32" s="509"/>
      <c r="C32" s="477"/>
      <c r="D32" s="508" t="s">
        <v>1593</v>
      </c>
      <c r="E32" s="502" t="s">
        <v>590</v>
      </c>
      <c r="F32" s="507">
        <v>2.9980000000000002</v>
      </c>
      <c r="G32" s="502">
        <v>430</v>
      </c>
      <c r="H32" s="506">
        <v>110</v>
      </c>
      <c r="I32" s="502" t="s">
        <v>598</v>
      </c>
      <c r="J32" s="505">
        <v>2356</v>
      </c>
      <c r="K32" s="504">
        <v>4521</v>
      </c>
      <c r="L32" s="503">
        <v>2000</v>
      </c>
      <c r="M32" s="502" t="s">
        <v>745</v>
      </c>
      <c r="N32" s="501">
        <v>11.4</v>
      </c>
      <c r="O32" s="471">
        <f>IF(N32&gt;0,1/N32*37.7*68.6,"")</f>
        <v>226.8614035087719</v>
      </c>
      <c r="P32" s="500">
        <v>10.35</v>
      </c>
      <c r="Q32" s="415" t="s">
        <v>1578</v>
      </c>
      <c r="R32" s="415" t="s">
        <v>1582</v>
      </c>
      <c r="S32" s="415" t="s">
        <v>1577</v>
      </c>
      <c r="T32" s="499"/>
      <c r="U32" s="475"/>
      <c r="V32" s="468">
        <f>IF(N32&lt;&gt;0, IF(N32&gt;=P32,ROUNDDOWN(N32/P32*100,0),""),"")</f>
        <v>110</v>
      </c>
    </row>
    <row r="33" spans="1:22" s="461" customFormat="1" ht="45">
      <c r="A33" s="510"/>
      <c r="B33" s="509"/>
      <c r="C33" s="477"/>
      <c r="D33" s="508" t="s">
        <v>1593</v>
      </c>
      <c r="E33" s="502" t="s">
        <v>590</v>
      </c>
      <c r="F33" s="507">
        <v>2.9980000000000002</v>
      </c>
      <c r="G33" s="502">
        <v>430</v>
      </c>
      <c r="H33" s="506">
        <v>110</v>
      </c>
      <c r="I33" s="502" t="s">
        <v>71</v>
      </c>
      <c r="J33" s="505">
        <v>2652</v>
      </c>
      <c r="K33" s="504">
        <v>5812</v>
      </c>
      <c r="L33" s="503">
        <v>2995</v>
      </c>
      <c r="M33" s="502" t="s">
        <v>745</v>
      </c>
      <c r="N33" s="501">
        <v>10.6</v>
      </c>
      <c r="O33" s="471">
        <f>IF(N33&gt;0,1/N33*37.7*68.6,"")</f>
        <v>243.98301886792456</v>
      </c>
      <c r="P33" s="500">
        <v>9.51</v>
      </c>
      <c r="Q33" s="415" t="s">
        <v>1578</v>
      </c>
      <c r="R33" s="415" t="s">
        <v>1582</v>
      </c>
      <c r="S33" s="415" t="s">
        <v>1577</v>
      </c>
      <c r="T33" s="499"/>
      <c r="U33" s="475"/>
      <c r="V33" s="468">
        <f>IF(N33&lt;&gt;0, IF(N33&gt;=P33,ROUNDDOWN(N33/P33*100,0),""),"")</f>
        <v>111</v>
      </c>
    </row>
    <row r="34" spans="1:22" s="461" customFormat="1" ht="45">
      <c r="A34" s="510"/>
      <c r="B34" s="509"/>
      <c r="C34" s="477"/>
      <c r="D34" s="508" t="s">
        <v>1592</v>
      </c>
      <c r="E34" s="502" t="s">
        <v>590</v>
      </c>
      <c r="F34" s="507">
        <v>2.9980000000000002</v>
      </c>
      <c r="G34" s="502">
        <v>430</v>
      </c>
      <c r="H34" s="506">
        <v>96</v>
      </c>
      <c r="I34" s="502" t="s">
        <v>71</v>
      </c>
      <c r="J34" s="505">
        <v>2356</v>
      </c>
      <c r="K34" s="504">
        <v>4521</v>
      </c>
      <c r="L34" s="503">
        <v>2000</v>
      </c>
      <c r="M34" s="502" t="s">
        <v>745</v>
      </c>
      <c r="N34" s="501">
        <v>11.4</v>
      </c>
      <c r="O34" s="471">
        <f>IF(N34&gt;0,1/N34*37.7*68.6,"")</f>
        <v>226.8614035087719</v>
      </c>
      <c r="P34" s="500">
        <v>10.35</v>
      </c>
      <c r="Q34" s="415" t="s">
        <v>1578</v>
      </c>
      <c r="R34" s="415" t="s">
        <v>1582</v>
      </c>
      <c r="S34" s="415" t="s">
        <v>110</v>
      </c>
      <c r="T34" s="499"/>
      <c r="U34" s="475"/>
      <c r="V34" s="468">
        <f>IF(N34&lt;&gt;0, IF(N34&gt;=P34,ROUNDDOWN(N34/P34*100,0),""),"")</f>
        <v>110</v>
      </c>
    </row>
    <row r="35" spans="1:22" s="461" customFormat="1" ht="45">
      <c r="A35" s="510"/>
      <c r="B35" s="509"/>
      <c r="C35" s="477"/>
      <c r="D35" s="508" t="s">
        <v>1591</v>
      </c>
      <c r="E35" s="502" t="s">
        <v>590</v>
      </c>
      <c r="F35" s="507">
        <v>2.9980000000000002</v>
      </c>
      <c r="G35" s="502">
        <v>430</v>
      </c>
      <c r="H35" s="506">
        <v>110</v>
      </c>
      <c r="I35" s="502" t="s">
        <v>71</v>
      </c>
      <c r="J35" s="505">
        <v>2356</v>
      </c>
      <c r="K35" s="504">
        <v>4521</v>
      </c>
      <c r="L35" s="503">
        <v>2000</v>
      </c>
      <c r="M35" s="502" t="s">
        <v>745</v>
      </c>
      <c r="N35" s="501">
        <v>11.4</v>
      </c>
      <c r="O35" s="471">
        <f>IF(N35&gt;0,1/N35*37.7*68.6,"")</f>
        <v>226.8614035087719</v>
      </c>
      <c r="P35" s="500">
        <v>10.35</v>
      </c>
      <c r="Q35" s="415" t="s">
        <v>1578</v>
      </c>
      <c r="R35" s="415" t="s">
        <v>1582</v>
      </c>
      <c r="S35" s="415" t="s">
        <v>110</v>
      </c>
      <c r="T35" s="499"/>
      <c r="U35" s="475"/>
      <c r="V35" s="468">
        <f>IF(N35&lt;&gt;0, IF(N35&gt;=P35,ROUNDDOWN(N35/P35*100,0),""),"")</f>
        <v>110</v>
      </c>
    </row>
    <row r="36" spans="1:22" s="461" customFormat="1" ht="45">
      <c r="A36" s="510"/>
      <c r="B36" s="509"/>
      <c r="C36" s="477"/>
      <c r="D36" s="508" t="s">
        <v>1591</v>
      </c>
      <c r="E36" s="502" t="s">
        <v>590</v>
      </c>
      <c r="F36" s="507">
        <v>2.9980000000000002</v>
      </c>
      <c r="G36" s="502">
        <v>430</v>
      </c>
      <c r="H36" s="506">
        <v>110</v>
      </c>
      <c r="I36" s="502" t="s">
        <v>71</v>
      </c>
      <c r="J36" s="505">
        <v>2652</v>
      </c>
      <c r="K36" s="504">
        <v>5812</v>
      </c>
      <c r="L36" s="503">
        <v>2995</v>
      </c>
      <c r="M36" s="502" t="s">
        <v>745</v>
      </c>
      <c r="N36" s="501">
        <v>10.6</v>
      </c>
      <c r="O36" s="471">
        <f>IF(N36&gt;0,1/N36*37.7*68.6,"")</f>
        <v>243.98301886792456</v>
      </c>
      <c r="P36" s="500">
        <v>9.51</v>
      </c>
      <c r="Q36" s="415" t="s">
        <v>1578</v>
      </c>
      <c r="R36" s="415" t="s">
        <v>1582</v>
      </c>
      <c r="S36" s="415" t="s">
        <v>110</v>
      </c>
      <c r="T36" s="499"/>
      <c r="U36" s="475"/>
      <c r="V36" s="468">
        <f>IF(N36&lt;&gt;0, IF(N36&gt;=P36,ROUNDDOWN(N36/P36*100,0),""),"")</f>
        <v>111</v>
      </c>
    </row>
    <row r="37" spans="1:22" s="461" customFormat="1" ht="45">
      <c r="A37" s="510"/>
      <c r="B37" s="509"/>
      <c r="C37" s="477"/>
      <c r="D37" s="508" t="s">
        <v>1590</v>
      </c>
      <c r="E37" s="502" t="s">
        <v>590</v>
      </c>
      <c r="F37" s="507">
        <v>2.9980000000000002</v>
      </c>
      <c r="G37" s="502">
        <v>430</v>
      </c>
      <c r="H37" s="506">
        <v>110</v>
      </c>
      <c r="I37" s="502" t="s">
        <v>598</v>
      </c>
      <c r="J37" s="505">
        <v>2356</v>
      </c>
      <c r="K37" s="504">
        <v>4521</v>
      </c>
      <c r="L37" s="503">
        <v>2000</v>
      </c>
      <c r="M37" s="502" t="s">
        <v>745</v>
      </c>
      <c r="N37" s="501">
        <v>11</v>
      </c>
      <c r="O37" s="471">
        <f>IF(N37&gt;0,1/N37*37.7*68.6,"")</f>
        <v>235.1109090909091</v>
      </c>
      <c r="P37" s="500">
        <v>10.35</v>
      </c>
      <c r="Q37" s="415" t="s">
        <v>1578</v>
      </c>
      <c r="R37" s="415" t="s">
        <v>1582</v>
      </c>
      <c r="S37" s="415" t="s">
        <v>110</v>
      </c>
      <c r="T37" s="499"/>
      <c r="U37" s="475"/>
      <c r="V37" s="468">
        <f>IF(N37&lt;&gt;0, IF(N37&gt;=P37,ROUNDDOWN(N37/P37*100,0),""),"")</f>
        <v>106</v>
      </c>
    </row>
    <row r="38" spans="1:22" s="461" customFormat="1" ht="45">
      <c r="A38" s="510"/>
      <c r="B38" s="509"/>
      <c r="C38" s="477"/>
      <c r="D38" s="508" t="s">
        <v>1590</v>
      </c>
      <c r="E38" s="502" t="s">
        <v>590</v>
      </c>
      <c r="F38" s="507">
        <v>2.9980000000000002</v>
      </c>
      <c r="G38" s="502">
        <v>430</v>
      </c>
      <c r="H38" s="506">
        <v>110</v>
      </c>
      <c r="I38" s="502" t="s">
        <v>598</v>
      </c>
      <c r="J38" s="505">
        <v>2652</v>
      </c>
      <c r="K38" s="504">
        <v>5812</v>
      </c>
      <c r="L38" s="503">
        <v>2995</v>
      </c>
      <c r="M38" s="502" t="s">
        <v>745</v>
      </c>
      <c r="N38" s="501">
        <v>10</v>
      </c>
      <c r="O38" s="471">
        <f>IF(N38&gt;0,1/N38*37.7*68.6,"")</f>
        <v>258.62200000000001</v>
      </c>
      <c r="P38" s="500">
        <v>9.51</v>
      </c>
      <c r="Q38" s="415" t="s">
        <v>1578</v>
      </c>
      <c r="R38" s="415" t="s">
        <v>1582</v>
      </c>
      <c r="S38" s="415" t="s">
        <v>110</v>
      </c>
      <c r="T38" s="499"/>
      <c r="U38" s="475"/>
      <c r="V38" s="468">
        <f>IF(N38&lt;&gt;0, IF(N38&gt;=P38,ROUNDDOWN(N38/P38*100,0),""),"")</f>
        <v>105</v>
      </c>
    </row>
    <row r="39" spans="1:22" s="461" customFormat="1" ht="45">
      <c r="A39" s="510"/>
      <c r="B39" s="509"/>
      <c r="C39" s="477"/>
      <c r="D39" s="508" t="s">
        <v>1589</v>
      </c>
      <c r="E39" s="502" t="s">
        <v>590</v>
      </c>
      <c r="F39" s="507">
        <v>2.9980000000000002</v>
      </c>
      <c r="G39" s="502">
        <v>430</v>
      </c>
      <c r="H39" s="506">
        <v>110</v>
      </c>
      <c r="I39" s="502" t="s">
        <v>598</v>
      </c>
      <c r="J39" s="505">
        <v>2979</v>
      </c>
      <c r="K39" s="504">
        <v>6893</v>
      </c>
      <c r="L39" s="503">
        <v>3749</v>
      </c>
      <c r="M39" s="502" t="s">
        <v>745</v>
      </c>
      <c r="N39" s="501">
        <v>8.6</v>
      </c>
      <c r="O39" s="471">
        <f>IF(N39&gt;0,1/N39*37.7*68.6,"")</f>
        <v>300.72325581395353</v>
      </c>
      <c r="P39" s="500">
        <v>8.1199999999999992</v>
      </c>
      <c r="Q39" s="415" t="s">
        <v>1578</v>
      </c>
      <c r="R39" s="415" t="s">
        <v>1582</v>
      </c>
      <c r="S39" s="415" t="s">
        <v>1577</v>
      </c>
      <c r="T39" s="499"/>
      <c r="U39" s="475"/>
      <c r="V39" s="468">
        <f>IF(N39&lt;&gt;0, IF(N39&gt;=P39,ROUNDDOWN(N39/P39*100,0),""),"")</f>
        <v>105</v>
      </c>
    </row>
    <row r="40" spans="1:22" s="461" customFormat="1" ht="45">
      <c r="A40" s="510"/>
      <c r="B40" s="509"/>
      <c r="C40" s="477"/>
      <c r="D40" s="508" t="s">
        <v>1588</v>
      </c>
      <c r="E40" s="502" t="s">
        <v>590</v>
      </c>
      <c r="F40" s="507">
        <v>2.9980000000000002</v>
      </c>
      <c r="G40" s="502">
        <v>430</v>
      </c>
      <c r="H40" s="506">
        <v>110</v>
      </c>
      <c r="I40" s="502" t="s">
        <v>598</v>
      </c>
      <c r="J40" s="505">
        <v>2356</v>
      </c>
      <c r="K40" s="504">
        <v>4521</v>
      </c>
      <c r="L40" s="503">
        <v>2000</v>
      </c>
      <c r="M40" s="502" t="s">
        <v>745</v>
      </c>
      <c r="N40" s="501">
        <v>11.4</v>
      </c>
      <c r="O40" s="471">
        <f>IF(N40&gt;0,1/N40*37.7*68.6,"")</f>
        <v>226.8614035087719</v>
      </c>
      <c r="P40" s="500">
        <v>10.35</v>
      </c>
      <c r="Q40" s="415" t="s">
        <v>1578</v>
      </c>
      <c r="R40" s="415" t="s">
        <v>1582</v>
      </c>
      <c r="S40" s="415" t="s">
        <v>1577</v>
      </c>
      <c r="T40" s="499"/>
      <c r="U40" s="475"/>
      <c r="V40" s="468">
        <f>IF(N40&lt;&gt;0, IF(N40&gt;=P40,ROUNDDOWN(N40/P40*100,0),""),"")</f>
        <v>110</v>
      </c>
    </row>
    <row r="41" spans="1:22" s="461" customFormat="1" ht="45">
      <c r="A41" s="510"/>
      <c r="B41" s="509"/>
      <c r="C41" s="477"/>
      <c r="D41" s="508" t="s">
        <v>1588</v>
      </c>
      <c r="E41" s="502" t="s">
        <v>590</v>
      </c>
      <c r="F41" s="507">
        <v>2.9980000000000002</v>
      </c>
      <c r="G41" s="502">
        <v>430</v>
      </c>
      <c r="H41" s="506">
        <v>110</v>
      </c>
      <c r="I41" s="502" t="s">
        <v>71</v>
      </c>
      <c r="J41" s="505">
        <v>2652</v>
      </c>
      <c r="K41" s="504">
        <v>5812</v>
      </c>
      <c r="L41" s="503">
        <v>2995</v>
      </c>
      <c r="M41" s="502" t="s">
        <v>745</v>
      </c>
      <c r="N41" s="501">
        <v>10.6</v>
      </c>
      <c r="O41" s="471">
        <f>IF(N41&gt;0,1/N41*37.7*68.6,"")</f>
        <v>243.98301886792456</v>
      </c>
      <c r="P41" s="500">
        <v>9.51</v>
      </c>
      <c r="Q41" s="415" t="s">
        <v>1578</v>
      </c>
      <c r="R41" s="415" t="s">
        <v>1582</v>
      </c>
      <c r="S41" s="415" t="s">
        <v>1577</v>
      </c>
      <c r="T41" s="499"/>
      <c r="U41" s="475"/>
      <c r="V41" s="468">
        <f>IF(N41&lt;&gt;0, IF(N41&gt;=P41,ROUNDDOWN(N41/P41*100,0),""),"")</f>
        <v>111</v>
      </c>
    </row>
    <row r="42" spans="1:22" s="461" customFormat="1" ht="45">
      <c r="A42" s="510"/>
      <c r="B42" s="509"/>
      <c r="C42" s="477"/>
      <c r="D42" s="508" t="s">
        <v>1581</v>
      </c>
      <c r="E42" s="502" t="s">
        <v>590</v>
      </c>
      <c r="F42" s="507">
        <v>2.9980000000000002</v>
      </c>
      <c r="G42" s="502">
        <v>430</v>
      </c>
      <c r="H42" s="506">
        <v>110</v>
      </c>
      <c r="I42" s="502" t="s">
        <v>598</v>
      </c>
      <c r="J42" s="505">
        <v>2979</v>
      </c>
      <c r="K42" s="504">
        <v>6893</v>
      </c>
      <c r="L42" s="503">
        <v>3749</v>
      </c>
      <c r="M42" s="502" t="s">
        <v>745</v>
      </c>
      <c r="N42" s="501">
        <v>8.6</v>
      </c>
      <c r="O42" s="471">
        <f>IF(N42&gt;0,1/N42*37.7*68.6,"")</f>
        <v>300.72325581395353</v>
      </c>
      <c r="P42" s="500">
        <v>8.1199999999999992</v>
      </c>
      <c r="Q42" s="415" t="s">
        <v>1578</v>
      </c>
      <c r="R42" s="415" t="s">
        <v>1582</v>
      </c>
      <c r="S42" s="415" t="s">
        <v>1577</v>
      </c>
      <c r="T42" s="499"/>
      <c r="U42" s="475"/>
      <c r="V42" s="468">
        <f>IF(N42&lt;&gt;0, IF(N42&gt;=P42,ROUNDDOWN(N42/P42*100,0),""),"")</f>
        <v>105</v>
      </c>
    </row>
    <row r="43" spans="1:22" s="461" customFormat="1" ht="45">
      <c r="A43" s="510"/>
      <c r="B43" s="509"/>
      <c r="C43" s="477"/>
      <c r="D43" s="508" t="s">
        <v>1581</v>
      </c>
      <c r="E43" s="502" t="s">
        <v>590</v>
      </c>
      <c r="F43" s="507">
        <v>2.9980000000000002</v>
      </c>
      <c r="G43" s="502">
        <v>430</v>
      </c>
      <c r="H43" s="506">
        <v>129</v>
      </c>
      <c r="I43" s="502" t="s">
        <v>598</v>
      </c>
      <c r="J43" s="505">
        <v>2652</v>
      </c>
      <c r="K43" s="504">
        <v>5812</v>
      </c>
      <c r="L43" s="503">
        <v>2995</v>
      </c>
      <c r="M43" s="502" t="s">
        <v>745</v>
      </c>
      <c r="N43" s="501">
        <v>10</v>
      </c>
      <c r="O43" s="471">
        <f>IF(N43&gt;0,1/N43*37.7*68.6,"")</f>
        <v>258.62200000000001</v>
      </c>
      <c r="P43" s="500">
        <v>9.51</v>
      </c>
      <c r="Q43" s="415" t="s">
        <v>1578</v>
      </c>
      <c r="R43" s="415" t="s">
        <v>1582</v>
      </c>
      <c r="S43" s="415" t="s">
        <v>1577</v>
      </c>
      <c r="T43" s="499"/>
      <c r="U43" s="475"/>
      <c r="V43" s="468">
        <f>IF(N43&lt;&gt;0, IF(N43&gt;=P43,ROUNDDOWN(N43/P43*100,0),""),"")</f>
        <v>105</v>
      </c>
    </row>
    <row r="44" spans="1:22" s="461" customFormat="1" ht="45">
      <c r="A44" s="510"/>
      <c r="B44" s="509"/>
      <c r="C44" s="477"/>
      <c r="D44" s="508" t="s">
        <v>1581</v>
      </c>
      <c r="E44" s="502" t="s">
        <v>590</v>
      </c>
      <c r="F44" s="507">
        <v>2.9980000000000002</v>
      </c>
      <c r="G44" s="502">
        <v>430</v>
      </c>
      <c r="H44" s="506">
        <v>129</v>
      </c>
      <c r="I44" s="502" t="s">
        <v>71</v>
      </c>
      <c r="J44" s="505">
        <v>2979</v>
      </c>
      <c r="K44" s="504">
        <v>6893</v>
      </c>
      <c r="L44" s="503">
        <v>3749</v>
      </c>
      <c r="M44" s="502" t="s">
        <v>745</v>
      </c>
      <c r="N44" s="501">
        <v>8.6</v>
      </c>
      <c r="O44" s="471">
        <f>IF(N44&gt;0,1/N44*37.7*68.6,"")</f>
        <v>300.72325581395353</v>
      </c>
      <c r="P44" s="500">
        <v>8.1199999999999992</v>
      </c>
      <c r="Q44" s="415" t="s">
        <v>1578</v>
      </c>
      <c r="R44" s="415" t="s">
        <v>1582</v>
      </c>
      <c r="S44" s="415" t="s">
        <v>1577</v>
      </c>
      <c r="T44" s="499"/>
      <c r="U44" s="475"/>
      <c r="V44" s="468">
        <f>IF(N44&lt;&gt;0, IF(N44&gt;=P44,ROUNDDOWN(N44/P44*100,0),""),"")</f>
        <v>105</v>
      </c>
    </row>
    <row r="45" spans="1:22" s="461" customFormat="1" ht="45">
      <c r="A45" s="510"/>
      <c r="B45" s="509"/>
      <c r="C45" s="477"/>
      <c r="D45" s="508" t="s">
        <v>1587</v>
      </c>
      <c r="E45" s="502" t="s">
        <v>590</v>
      </c>
      <c r="F45" s="507">
        <v>2.9980000000000002</v>
      </c>
      <c r="G45" s="502">
        <v>430</v>
      </c>
      <c r="H45" s="506">
        <v>110</v>
      </c>
      <c r="I45" s="502" t="s">
        <v>598</v>
      </c>
      <c r="J45" s="505">
        <v>2356</v>
      </c>
      <c r="K45" s="504">
        <v>4521</v>
      </c>
      <c r="L45" s="503">
        <v>2000</v>
      </c>
      <c r="M45" s="502" t="s">
        <v>745</v>
      </c>
      <c r="N45" s="501">
        <v>11.4</v>
      </c>
      <c r="O45" s="471">
        <f>IF(N45&gt;0,1/N45*37.7*68.6,"")</f>
        <v>226.8614035087719</v>
      </c>
      <c r="P45" s="500">
        <v>10.35</v>
      </c>
      <c r="Q45" s="415" t="s">
        <v>1578</v>
      </c>
      <c r="R45" s="415" t="s">
        <v>1582</v>
      </c>
      <c r="S45" s="415" t="s">
        <v>1577</v>
      </c>
      <c r="T45" s="499"/>
      <c r="U45" s="475"/>
      <c r="V45" s="468">
        <f>IF(N45&lt;&gt;0, IF(N45&gt;=P45,ROUNDDOWN(N45/P45*100,0),""),"")</f>
        <v>110</v>
      </c>
    </row>
    <row r="46" spans="1:22" s="461" customFormat="1" ht="45">
      <c r="A46" s="510"/>
      <c r="B46" s="509"/>
      <c r="C46" s="477"/>
      <c r="D46" s="508" t="s">
        <v>1587</v>
      </c>
      <c r="E46" s="502" t="s">
        <v>590</v>
      </c>
      <c r="F46" s="507">
        <v>2.9980000000000002</v>
      </c>
      <c r="G46" s="502">
        <v>430</v>
      </c>
      <c r="H46" s="506">
        <v>110</v>
      </c>
      <c r="I46" s="502" t="s">
        <v>71</v>
      </c>
      <c r="J46" s="505">
        <v>2652</v>
      </c>
      <c r="K46" s="504">
        <v>5812</v>
      </c>
      <c r="L46" s="503">
        <v>2995</v>
      </c>
      <c r="M46" s="502" t="s">
        <v>745</v>
      </c>
      <c r="N46" s="501">
        <v>10.6</v>
      </c>
      <c r="O46" s="471">
        <f>IF(N46&gt;0,1/N46*37.7*68.6,"")</f>
        <v>243.98301886792456</v>
      </c>
      <c r="P46" s="500">
        <v>9.51</v>
      </c>
      <c r="Q46" s="415" t="s">
        <v>1578</v>
      </c>
      <c r="R46" s="415" t="s">
        <v>1582</v>
      </c>
      <c r="S46" s="415" t="s">
        <v>1577</v>
      </c>
      <c r="T46" s="499"/>
      <c r="U46" s="475"/>
      <c r="V46" s="468">
        <f>IF(N46&lt;&gt;0, IF(N46&gt;=P46,ROUNDDOWN(N46/P46*100,0),""),"")</f>
        <v>111</v>
      </c>
    </row>
    <row r="47" spans="1:22" s="461" customFormat="1" ht="45">
      <c r="A47" s="510"/>
      <c r="B47" s="509"/>
      <c r="C47" s="477"/>
      <c r="D47" s="508" t="s">
        <v>1586</v>
      </c>
      <c r="E47" s="502" t="s">
        <v>590</v>
      </c>
      <c r="F47" s="507">
        <v>2.9980000000000002</v>
      </c>
      <c r="G47" s="502">
        <v>430</v>
      </c>
      <c r="H47" s="506">
        <v>110</v>
      </c>
      <c r="I47" s="502" t="s">
        <v>598</v>
      </c>
      <c r="J47" s="505">
        <v>2979</v>
      </c>
      <c r="K47" s="504">
        <v>6893</v>
      </c>
      <c r="L47" s="503">
        <v>3749</v>
      </c>
      <c r="M47" s="502" t="s">
        <v>745</v>
      </c>
      <c r="N47" s="501">
        <v>8.6</v>
      </c>
      <c r="O47" s="471">
        <f>IF(N47&gt;0,1/N47*37.7*68.6,"")</f>
        <v>300.72325581395353</v>
      </c>
      <c r="P47" s="500">
        <v>8.1199999999999992</v>
      </c>
      <c r="Q47" s="415" t="s">
        <v>1578</v>
      </c>
      <c r="R47" s="415" t="s">
        <v>1582</v>
      </c>
      <c r="S47" s="415" t="s">
        <v>1577</v>
      </c>
      <c r="T47" s="499"/>
      <c r="U47" s="475"/>
      <c r="V47" s="468">
        <f>IF(N47&lt;&gt;0, IF(N47&gt;=P47,ROUNDDOWN(N47/P47*100,0),""),"")</f>
        <v>105</v>
      </c>
    </row>
    <row r="48" spans="1:22" s="461" customFormat="1" ht="45">
      <c r="A48" s="510"/>
      <c r="B48" s="509"/>
      <c r="C48" s="477"/>
      <c r="D48" s="508" t="s">
        <v>1586</v>
      </c>
      <c r="E48" s="502" t="s">
        <v>590</v>
      </c>
      <c r="F48" s="507">
        <v>2.9980000000000002</v>
      </c>
      <c r="G48" s="502">
        <v>430</v>
      </c>
      <c r="H48" s="506">
        <v>129</v>
      </c>
      <c r="I48" s="502" t="s">
        <v>71</v>
      </c>
      <c r="J48" s="505">
        <v>2979</v>
      </c>
      <c r="K48" s="504">
        <v>6893</v>
      </c>
      <c r="L48" s="503">
        <v>3749</v>
      </c>
      <c r="M48" s="502" t="s">
        <v>745</v>
      </c>
      <c r="N48" s="501">
        <v>8.6</v>
      </c>
      <c r="O48" s="471">
        <f>IF(N48&gt;0,1/N48*37.7*68.6,"")</f>
        <v>300.72325581395353</v>
      </c>
      <c r="P48" s="500">
        <v>8.1199999999999992</v>
      </c>
      <c r="Q48" s="415" t="s">
        <v>1578</v>
      </c>
      <c r="R48" s="415" t="s">
        <v>1582</v>
      </c>
      <c r="S48" s="415" t="s">
        <v>1585</v>
      </c>
      <c r="T48" s="499"/>
      <c r="U48" s="475"/>
      <c r="V48" s="468">
        <f>IF(N48&lt;&gt;0, IF(N48&gt;=P48,ROUNDDOWN(N48/P48*100,0),""),"")</f>
        <v>105</v>
      </c>
    </row>
    <row r="49" spans="1:22" s="461" customFormat="1" ht="45">
      <c r="A49" s="510"/>
      <c r="B49" s="509"/>
      <c r="C49" s="477"/>
      <c r="D49" s="508" t="s">
        <v>1580</v>
      </c>
      <c r="E49" s="502" t="s">
        <v>590</v>
      </c>
      <c r="F49" s="507">
        <v>2.9980000000000002</v>
      </c>
      <c r="G49" s="502">
        <v>430</v>
      </c>
      <c r="H49" s="506">
        <v>129</v>
      </c>
      <c r="I49" s="502" t="s">
        <v>71</v>
      </c>
      <c r="J49" s="505">
        <v>2979</v>
      </c>
      <c r="K49" s="504">
        <v>6893</v>
      </c>
      <c r="L49" s="503">
        <v>3749</v>
      </c>
      <c r="M49" s="502" t="s">
        <v>745</v>
      </c>
      <c r="N49" s="501">
        <v>8.6</v>
      </c>
      <c r="O49" s="471">
        <f>IF(N49&gt;0,1/N49*37.7*68.6,"")</f>
        <v>300.72325581395353</v>
      </c>
      <c r="P49" s="500">
        <v>8.1199999999999992</v>
      </c>
      <c r="Q49" s="415" t="s">
        <v>1578</v>
      </c>
      <c r="R49" s="415" t="s">
        <v>1582</v>
      </c>
      <c r="S49" s="415" t="s">
        <v>1577</v>
      </c>
      <c r="T49" s="499"/>
      <c r="U49" s="475"/>
      <c r="V49" s="468">
        <f>IF(N49&lt;&gt;0, IF(N49&gt;=P49,ROUNDDOWN(N49/P49*100,0),""),"")</f>
        <v>105</v>
      </c>
    </row>
    <row r="50" spans="1:22" s="461" customFormat="1" ht="45">
      <c r="A50" s="510"/>
      <c r="B50" s="509"/>
      <c r="C50" s="477"/>
      <c r="D50" s="508" t="s">
        <v>1584</v>
      </c>
      <c r="E50" s="502" t="s">
        <v>590</v>
      </c>
      <c r="F50" s="507">
        <v>2.9980000000000002</v>
      </c>
      <c r="G50" s="502">
        <v>430</v>
      </c>
      <c r="H50" s="506">
        <v>129</v>
      </c>
      <c r="I50" s="502" t="s">
        <v>71</v>
      </c>
      <c r="J50" s="505">
        <v>2979</v>
      </c>
      <c r="K50" s="504">
        <v>6893</v>
      </c>
      <c r="L50" s="503">
        <v>3749</v>
      </c>
      <c r="M50" s="502" t="s">
        <v>745</v>
      </c>
      <c r="N50" s="501">
        <v>8.6</v>
      </c>
      <c r="O50" s="471">
        <f>IF(N50&gt;0,1/N50*37.7*68.6,"")</f>
        <v>300.72325581395353</v>
      </c>
      <c r="P50" s="500">
        <v>8.1199999999999992</v>
      </c>
      <c r="Q50" s="415" t="s">
        <v>1583</v>
      </c>
      <c r="R50" s="415" t="s">
        <v>1582</v>
      </c>
      <c r="S50" s="415" t="s">
        <v>1577</v>
      </c>
      <c r="T50" s="499"/>
      <c r="U50" s="475"/>
      <c r="V50" s="468">
        <f>IF(N50&lt;&gt;0, IF(N50&gt;=P50,ROUNDDOWN(N50/P50*100,0),""),"")</f>
        <v>105</v>
      </c>
    </row>
    <row r="51" spans="1:22" s="461" customFormat="1" ht="45">
      <c r="A51" s="510"/>
      <c r="B51" s="509"/>
      <c r="C51" s="477"/>
      <c r="D51" s="508" t="s">
        <v>1579</v>
      </c>
      <c r="E51" s="502" t="s">
        <v>590</v>
      </c>
      <c r="F51" s="507">
        <v>2.9980000000000002</v>
      </c>
      <c r="G51" s="502">
        <v>430</v>
      </c>
      <c r="H51" s="506">
        <v>129</v>
      </c>
      <c r="I51" s="502" t="s">
        <v>71</v>
      </c>
      <c r="J51" s="505">
        <v>2979</v>
      </c>
      <c r="K51" s="504">
        <v>6893</v>
      </c>
      <c r="L51" s="503">
        <v>3749</v>
      </c>
      <c r="M51" s="502" t="s">
        <v>745</v>
      </c>
      <c r="N51" s="501">
        <v>8.6</v>
      </c>
      <c r="O51" s="471">
        <f>IF(N51&gt;0,1/N51*37.7*68.6,"")</f>
        <v>300.72325581395353</v>
      </c>
      <c r="P51" s="500">
        <v>8.1199999999999992</v>
      </c>
      <c r="Q51" s="415" t="s">
        <v>1578</v>
      </c>
      <c r="R51" s="415" t="s">
        <v>1582</v>
      </c>
      <c r="S51" s="415" t="s">
        <v>1577</v>
      </c>
      <c r="T51" s="499"/>
      <c r="U51" s="475"/>
      <c r="V51" s="468">
        <f>IF(N51&lt;&gt;0, IF(N51&gt;=P51,ROUNDDOWN(N51/P51*100,0),""),"")</f>
        <v>105</v>
      </c>
    </row>
    <row r="52" spans="1:22" s="461" customFormat="1" ht="45">
      <c r="A52" s="510"/>
      <c r="B52" s="509"/>
      <c r="C52" s="477"/>
      <c r="D52" s="508" t="s">
        <v>1581</v>
      </c>
      <c r="E52" s="502" t="s">
        <v>590</v>
      </c>
      <c r="F52" s="507">
        <v>2.9980000000000002</v>
      </c>
      <c r="G52" s="502">
        <v>430</v>
      </c>
      <c r="H52" s="506">
        <v>129</v>
      </c>
      <c r="I52" s="502" t="s">
        <v>70</v>
      </c>
      <c r="J52" s="505">
        <v>2979</v>
      </c>
      <c r="K52" s="504">
        <v>6893</v>
      </c>
      <c r="L52" s="503">
        <v>3749</v>
      </c>
      <c r="M52" s="502" t="s">
        <v>745</v>
      </c>
      <c r="N52" s="501">
        <v>8.6</v>
      </c>
      <c r="O52" s="471">
        <f>IF(N52&gt;0,1/N52*37.7*68.6,"")</f>
        <v>300.72325581395353</v>
      </c>
      <c r="P52" s="500">
        <v>8.1199999999999992</v>
      </c>
      <c r="Q52" s="415" t="s">
        <v>1578</v>
      </c>
      <c r="R52" s="415" t="s">
        <v>587</v>
      </c>
      <c r="S52" s="415" t="s">
        <v>1577</v>
      </c>
      <c r="T52" s="499"/>
      <c r="U52" s="475"/>
      <c r="V52" s="468">
        <f>IF(N52&lt;&gt;0, IF(N52&gt;=P52,ROUNDDOWN(N52/P52*100,0),""),"")</f>
        <v>105</v>
      </c>
    </row>
    <row r="53" spans="1:22" s="461" customFormat="1" ht="45">
      <c r="A53" s="510"/>
      <c r="B53" s="509"/>
      <c r="C53" s="477"/>
      <c r="D53" s="508" t="s">
        <v>1580</v>
      </c>
      <c r="E53" s="502" t="s">
        <v>590</v>
      </c>
      <c r="F53" s="507">
        <v>2.9980000000000002</v>
      </c>
      <c r="G53" s="502">
        <v>430</v>
      </c>
      <c r="H53" s="506">
        <v>129</v>
      </c>
      <c r="I53" s="502" t="s">
        <v>70</v>
      </c>
      <c r="J53" s="505">
        <v>2979</v>
      </c>
      <c r="K53" s="504">
        <v>6893</v>
      </c>
      <c r="L53" s="503">
        <v>3749</v>
      </c>
      <c r="M53" s="502" t="s">
        <v>745</v>
      </c>
      <c r="N53" s="501">
        <v>8.6</v>
      </c>
      <c r="O53" s="471">
        <f>IF(N53&gt;0,1/N53*37.7*68.6,"")</f>
        <v>300.72325581395353</v>
      </c>
      <c r="P53" s="500">
        <v>8.1199999999999992</v>
      </c>
      <c r="Q53" s="415" t="s">
        <v>1578</v>
      </c>
      <c r="R53" s="415" t="s">
        <v>587</v>
      </c>
      <c r="S53" s="415" t="s">
        <v>1577</v>
      </c>
      <c r="T53" s="499"/>
      <c r="U53" s="475"/>
      <c r="V53" s="468">
        <f>IF(N53&lt;&gt;0, IF(N53&gt;=P53,ROUNDDOWN(N53/P53*100,0),""),"")</f>
        <v>105</v>
      </c>
    </row>
    <row r="54" spans="1:22" s="461" customFormat="1" ht="45">
      <c r="A54" s="510"/>
      <c r="B54" s="509"/>
      <c r="C54" s="477"/>
      <c r="D54" s="508" t="s">
        <v>1579</v>
      </c>
      <c r="E54" s="502" t="s">
        <v>590</v>
      </c>
      <c r="F54" s="507">
        <v>2.9980000000000002</v>
      </c>
      <c r="G54" s="502">
        <v>430</v>
      </c>
      <c r="H54" s="506">
        <v>129</v>
      </c>
      <c r="I54" s="502" t="s">
        <v>70</v>
      </c>
      <c r="J54" s="505">
        <v>2979</v>
      </c>
      <c r="K54" s="504">
        <v>6893</v>
      </c>
      <c r="L54" s="503">
        <v>3749</v>
      </c>
      <c r="M54" s="502" t="s">
        <v>745</v>
      </c>
      <c r="N54" s="501">
        <v>8.6</v>
      </c>
      <c r="O54" s="471">
        <f>IF(N54&gt;0,1/N54*37.7*68.6,"")</f>
        <v>300.72325581395353</v>
      </c>
      <c r="P54" s="500">
        <v>8.1199999999999992</v>
      </c>
      <c r="Q54" s="415" t="s">
        <v>1578</v>
      </c>
      <c r="R54" s="415" t="s">
        <v>587</v>
      </c>
      <c r="S54" s="415" t="s">
        <v>1577</v>
      </c>
      <c r="T54" s="499"/>
      <c r="U54" s="475"/>
      <c r="V54" s="468">
        <f>IF(N54&lt;&gt;0, IF(N54&gt;=P54,ROUNDDOWN(N54/P54*100,0),""),"")</f>
        <v>105</v>
      </c>
    </row>
    <row r="55" spans="1:22" s="461" customFormat="1" ht="23.1" customHeight="1">
      <c r="A55" s="488" t="s">
        <v>1576</v>
      </c>
      <c r="B55" s="498" t="s">
        <v>1575</v>
      </c>
      <c r="C55" s="497" t="s">
        <v>1574</v>
      </c>
      <c r="D55" s="422" t="s">
        <v>1573</v>
      </c>
      <c r="E55" s="473" t="s">
        <v>166</v>
      </c>
      <c r="F55" s="416">
        <v>5.1929999999999996</v>
      </c>
      <c r="G55" s="473">
        <v>515</v>
      </c>
      <c r="H55" s="416">
        <v>140</v>
      </c>
      <c r="I55" s="473" t="s">
        <v>71</v>
      </c>
      <c r="J55" s="416">
        <v>2979</v>
      </c>
      <c r="K55" s="415">
        <v>6893</v>
      </c>
      <c r="L55" s="415">
        <v>3749</v>
      </c>
      <c r="M55" s="415" t="s">
        <v>1546</v>
      </c>
      <c r="N55" s="482">
        <v>8.8000000000000007</v>
      </c>
      <c r="O55" s="471">
        <f>IF(N55&gt;0,1/N55*37.7*68.6,"")</f>
        <v>293.88863636363635</v>
      </c>
      <c r="P55" s="489">
        <v>8.1199999999999992</v>
      </c>
      <c r="Q55" s="469" t="s">
        <v>43</v>
      </c>
      <c r="R55" s="415" t="s">
        <v>33</v>
      </c>
      <c r="S55" s="415" t="s">
        <v>34</v>
      </c>
      <c r="T55" s="415"/>
      <c r="U55" s="480"/>
      <c r="V55" s="468">
        <f>IF(N55&lt;&gt;0, IF(N55&gt;=P55,ROUNDDOWN(N55/P55*100,0),""),"")</f>
        <v>108</v>
      </c>
    </row>
    <row r="56" spans="1:22" s="461" customFormat="1" ht="23.1" customHeight="1">
      <c r="A56" s="481"/>
      <c r="B56" s="496"/>
      <c r="C56" s="477"/>
      <c r="D56" s="422" t="s">
        <v>1573</v>
      </c>
      <c r="E56" s="473" t="s">
        <v>166</v>
      </c>
      <c r="F56" s="416">
        <v>5.1929999999999996</v>
      </c>
      <c r="G56" s="473">
        <v>515</v>
      </c>
      <c r="H56" s="416">
        <v>140</v>
      </c>
      <c r="I56" s="473" t="s">
        <v>71</v>
      </c>
      <c r="J56" s="416">
        <v>3543</v>
      </c>
      <c r="K56" s="415">
        <v>7928</v>
      </c>
      <c r="L56" s="415">
        <v>4275</v>
      </c>
      <c r="M56" s="415" t="s">
        <v>1546</v>
      </c>
      <c r="N56" s="482">
        <v>7.7</v>
      </c>
      <c r="O56" s="471">
        <f>IF(N56&gt;0,1/N56*37.7*68.6,"")</f>
        <v>335.87272727272722</v>
      </c>
      <c r="P56" s="489">
        <v>7.24</v>
      </c>
      <c r="Q56" s="469" t="s">
        <v>77</v>
      </c>
      <c r="R56" s="415" t="s">
        <v>33</v>
      </c>
      <c r="S56" s="415" t="s">
        <v>34</v>
      </c>
      <c r="T56" s="415"/>
      <c r="U56" s="480"/>
      <c r="V56" s="468">
        <f>IF(N56&lt;&gt;0, IF(N56&gt;=P56,ROUNDDOWN(N56/P56*100,0),""),"")</f>
        <v>106</v>
      </c>
    </row>
    <row r="57" spans="1:22" s="461" customFormat="1" ht="23.1" customHeight="1">
      <c r="A57" s="481"/>
      <c r="B57" s="496"/>
      <c r="C57" s="477"/>
      <c r="D57" s="422" t="s">
        <v>1572</v>
      </c>
      <c r="E57" s="473" t="s">
        <v>166</v>
      </c>
      <c r="F57" s="416">
        <v>5.1929999999999996</v>
      </c>
      <c r="G57" s="473">
        <v>515</v>
      </c>
      <c r="H57" s="416">
        <v>140</v>
      </c>
      <c r="I57" s="473" t="s">
        <v>71</v>
      </c>
      <c r="J57" s="416">
        <v>2979</v>
      </c>
      <c r="K57" s="415">
        <v>6893</v>
      </c>
      <c r="L57" s="415">
        <v>3749</v>
      </c>
      <c r="M57" s="415" t="s">
        <v>1546</v>
      </c>
      <c r="N57" s="482">
        <v>8.5</v>
      </c>
      <c r="O57" s="471">
        <f>IF(N57&gt;0,1/N57*37.7*68.6,"")</f>
        <v>304.26117647058823</v>
      </c>
      <c r="P57" s="489">
        <v>8.1199999999999992</v>
      </c>
      <c r="Q57" s="469" t="s">
        <v>77</v>
      </c>
      <c r="R57" s="415" t="s">
        <v>33</v>
      </c>
      <c r="S57" s="415" t="s">
        <v>34</v>
      </c>
      <c r="T57" s="415"/>
      <c r="U57" s="480"/>
      <c r="V57" s="468">
        <f>IF(N57&lt;&gt;0, IF(N57&gt;=P57,ROUNDDOWN(N57/P57*100,0),""),"")</f>
        <v>104</v>
      </c>
    </row>
    <row r="58" spans="1:22" s="461" customFormat="1" ht="23.1" customHeight="1">
      <c r="A58" s="481"/>
      <c r="B58" s="496"/>
      <c r="C58" s="477"/>
      <c r="D58" s="422" t="s">
        <v>1571</v>
      </c>
      <c r="E58" s="473" t="s">
        <v>166</v>
      </c>
      <c r="F58" s="416">
        <v>5.1929999999999996</v>
      </c>
      <c r="G58" s="473">
        <v>706</v>
      </c>
      <c r="H58" s="416">
        <v>154</v>
      </c>
      <c r="I58" s="473" t="s">
        <v>71</v>
      </c>
      <c r="J58" s="416">
        <v>3543</v>
      </c>
      <c r="K58" s="415">
        <v>7928</v>
      </c>
      <c r="L58" s="415">
        <v>4275</v>
      </c>
      <c r="M58" s="415" t="s">
        <v>1546</v>
      </c>
      <c r="N58" s="482">
        <v>8.1</v>
      </c>
      <c r="O58" s="471">
        <f>IF(N58&gt;0,1/N58*37.7*68.6,"")</f>
        <v>319.28641975308642</v>
      </c>
      <c r="P58" s="489">
        <v>7.24</v>
      </c>
      <c r="Q58" s="469" t="s">
        <v>43</v>
      </c>
      <c r="R58" s="415" t="s">
        <v>33</v>
      </c>
      <c r="S58" s="415" t="s">
        <v>34</v>
      </c>
      <c r="T58" s="415"/>
      <c r="U58" s="480"/>
      <c r="V58" s="468">
        <f>IF(N58&lt;&gt;0, IF(N58&gt;=P58,ROUNDDOWN(N58/P58*100,0),""),"")</f>
        <v>111</v>
      </c>
    </row>
    <row r="59" spans="1:22" s="461" customFormat="1" ht="23.1" customHeight="1">
      <c r="A59" s="481"/>
      <c r="B59" s="496"/>
      <c r="C59" s="477"/>
      <c r="D59" s="422" t="s">
        <v>1571</v>
      </c>
      <c r="E59" s="473" t="s">
        <v>166</v>
      </c>
      <c r="F59" s="416">
        <v>5.1929999999999996</v>
      </c>
      <c r="G59" s="473">
        <v>765</v>
      </c>
      <c r="H59" s="416">
        <v>177</v>
      </c>
      <c r="I59" s="473" t="s">
        <v>71</v>
      </c>
      <c r="J59" s="416">
        <v>3543</v>
      </c>
      <c r="K59" s="415">
        <v>7928</v>
      </c>
      <c r="L59" s="415">
        <v>4275</v>
      </c>
      <c r="M59" s="415" t="s">
        <v>1546</v>
      </c>
      <c r="N59" s="482">
        <v>8</v>
      </c>
      <c r="O59" s="471">
        <f>IF(N59&gt;0,1/N59*37.7*68.6,"")</f>
        <v>323.27749999999997</v>
      </c>
      <c r="P59" s="489">
        <v>7.24</v>
      </c>
      <c r="Q59" s="469" t="s">
        <v>43</v>
      </c>
      <c r="R59" s="415" t="s">
        <v>33</v>
      </c>
      <c r="S59" s="415" t="s">
        <v>34</v>
      </c>
      <c r="T59" s="415"/>
      <c r="U59" s="480"/>
      <c r="V59" s="468">
        <f>IF(N59&lt;&gt;0, IF(N59&gt;=P59,ROUNDDOWN(N59/P59*100,0),""),"")</f>
        <v>110</v>
      </c>
    </row>
    <row r="60" spans="1:22" s="461" customFormat="1" ht="23.1" customHeight="1">
      <c r="A60" s="481"/>
      <c r="B60" s="496"/>
      <c r="C60" s="477"/>
      <c r="D60" s="422" t="s">
        <v>1570</v>
      </c>
      <c r="E60" s="473" t="s">
        <v>166</v>
      </c>
      <c r="F60" s="416">
        <v>5.1929999999999996</v>
      </c>
      <c r="G60" s="473">
        <v>706</v>
      </c>
      <c r="H60" s="416">
        <v>154</v>
      </c>
      <c r="I60" s="473" t="s">
        <v>71</v>
      </c>
      <c r="J60" s="416">
        <v>3543</v>
      </c>
      <c r="K60" s="415">
        <v>7928</v>
      </c>
      <c r="L60" s="415">
        <v>4275</v>
      </c>
      <c r="M60" s="415" t="s">
        <v>1546</v>
      </c>
      <c r="N60" s="482">
        <v>8.1</v>
      </c>
      <c r="O60" s="471">
        <f>IF(N60&gt;0,1/N60*37.7*68.6,"")</f>
        <v>319.28641975308642</v>
      </c>
      <c r="P60" s="489">
        <v>7.24</v>
      </c>
      <c r="Q60" s="469" t="s">
        <v>43</v>
      </c>
      <c r="R60" s="415" t="s">
        <v>33</v>
      </c>
      <c r="S60" s="415" t="s">
        <v>34</v>
      </c>
      <c r="T60" s="415"/>
      <c r="U60" s="480"/>
      <c r="V60" s="468">
        <f>IF(N60&lt;&gt;0, IF(N60&gt;=P60,ROUNDDOWN(N60/P60*100,0),""),"")</f>
        <v>111</v>
      </c>
    </row>
    <row r="61" spans="1:22" s="461" customFormat="1" ht="23.1" customHeight="1">
      <c r="A61" s="481"/>
      <c r="B61" s="496"/>
      <c r="C61" s="477"/>
      <c r="D61" s="422" t="s">
        <v>1570</v>
      </c>
      <c r="E61" s="473" t="s">
        <v>166</v>
      </c>
      <c r="F61" s="416">
        <v>5.1929999999999996</v>
      </c>
      <c r="G61" s="473">
        <v>765</v>
      </c>
      <c r="H61" s="416">
        <v>177</v>
      </c>
      <c r="I61" s="473" t="s">
        <v>71</v>
      </c>
      <c r="J61" s="416">
        <v>3543</v>
      </c>
      <c r="K61" s="415">
        <v>7928</v>
      </c>
      <c r="L61" s="415">
        <v>4275</v>
      </c>
      <c r="M61" s="415" t="s">
        <v>1546</v>
      </c>
      <c r="N61" s="482">
        <v>8</v>
      </c>
      <c r="O61" s="471">
        <f>IF(N61&gt;0,1/N61*37.7*68.6,"")</f>
        <v>323.27749999999997</v>
      </c>
      <c r="P61" s="489">
        <v>7.24</v>
      </c>
      <c r="Q61" s="469" t="s">
        <v>43</v>
      </c>
      <c r="R61" s="415" t="s">
        <v>33</v>
      </c>
      <c r="S61" s="415" t="s">
        <v>34</v>
      </c>
      <c r="T61" s="415"/>
      <c r="U61" s="480"/>
      <c r="V61" s="468">
        <f>IF(N61&lt;&gt;0, IF(N61&gt;=P61,ROUNDDOWN(N61/P61*100,0),""),"")</f>
        <v>110</v>
      </c>
    </row>
    <row r="62" spans="1:22" s="461" customFormat="1" ht="23.1" customHeight="1">
      <c r="A62" s="481"/>
      <c r="B62" s="496"/>
      <c r="C62" s="477"/>
      <c r="D62" s="422" t="s">
        <v>1569</v>
      </c>
      <c r="E62" s="473" t="s">
        <v>166</v>
      </c>
      <c r="F62" s="416">
        <v>5.1929999999999996</v>
      </c>
      <c r="G62" s="473">
        <v>706</v>
      </c>
      <c r="H62" s="416">
        <v>154</v>
      </c>
      <c r="I62" s="473" t="s">
        <v>71</v>
      </c>
      <c r="J62" s="416">
        <v>3543</v>
      </c>
      <c r="K62" s="415">
        <v>7928</v>
      </c>
      <c r="L62" s="415">
        <v>4275</v>
      </c>
      <c r="M62" s="415" t="s">
        <v>1555</v>
      </c>
      <c r="N62" s="482">
        <v>8.1</v>
      </c>
      <c r="O62" s="471">
        <f>IF(N62&gt;0,1/N62*37.7*68.6,"")</f>
        <v>319.28641975308642</v>
      </c>
      <c r="P62" s="489">
        <v>7.24</v>
      </c>
      <c r="Q62" s="469" t="s">
        <v>43</v>
      </c>
      <c r="R62" s="415" t="s">
        <v>33</v>
      </c>
      <c r="S62" s="415" t="s">
        <v>34</v>
      </c>
      <c r="T62" s="415"/>
      <c r="U62" s="480"/>
      <c r="V62" s="468">
        <f>IF(N62&lt;&gt;0, IF(N62&gt;=P62,ROUNDDOWN(N62/P62*100,0),""),"")</f>
        <v>111</v>
      </c>
    </row>
    <row r="63" spans="1:22" s="461" customFormat="1" ht="23.1" customHeight="1">
      <c r="A63" s="481"/>
      <c r="B63" s="496"/>
      <c r="C63" s="485"/>
      <c r="D63" s="422" t="s">
        <v>1569</v>
      </c>
      <c r="E63" s="473" t="s">
        <v>166</v>
      </c>
      <c r="F63" s="416">
        <v>5.1929999999999996</v>
      </c>
      <c r="G63" s="473">
        <v>765</v>
      </c>
      <c r="H63" s="416">
        <v>177</v>
      </c>
      <c r="I63" s="473" t="s">
        <v>71</v>
      </c>
      <c r="J63" s="416">
        <v>3543</v>
      </c>
      <c r="K63" s="415">
        <v>7928</v>
      </c>
      <c r="L63" s="415">
        <v>4275</v>
      </c>
      <c r="M63" s="415" t="s">
        <v>1555</v>
      </c>
      <c r="N63" s="482">
        <v>8</v>
      </c>
      <c r="O63" s="471">
        <f>IF(N63&gt;0,1/N63*37.7*68.6,"")</f>
        <v>323.27749999999997</v>
      </c>
      <c r="P63" s="489">
        <v>7.24</v>
      </c>
      <c r="Q63" s="469" t="s">
        <v>43</v>
      </c>
      <c r="R63" s="415" t="s">
        <v>33</v>
      </c>
      <c r="S63" s="415" t="s">
        <v>34</v>
      </c>
      <c r="T63" s="415"/>
      <c r="U63" s="480"/>
      <c r="V63" s="468">
        <f>IF(N63&lt;&gt;0, IF(N63&gt;=P63,ROUNDDOWN(N63/P63*100,0),""),"")</f>
        <v>110</v>
      </c>
    </row>
    <row r="64" spans="1:22" s="461" customFormat="1" ht="23.1" customHeight="1">
      <c r="A64" s="481"/>
      <c r="B64" s="496"/>
      <c r="C64" s="477"/>
      <c r="D64" s="422" t="s">
        <v>1568</v>
      </c>
      <c r="E64" s="473" t="s">
        <v>182</v>
      </c>
      <c r="F64" s="416">
        <v>5.1929999999999996</v>
      </c>
      <c r="G64" s="473">
        <v>706</v>
      </c>
      <c r="H64" s="416">
        <v>154</v>
      </c>
      <c r="I64" s="473" t="s">
        <v>30</v>
      </c>
      <c r="J64" s="416">
        <v>3543</v>
      </c>
      <c r="K64" s="415">
        <v>7928</v>
      </c>
      <c r="L64" s="415">
        <v>4275</v>
      </c>
      <c r="M64" s="415" t="s">
        <v>1546</v>
      </c>
      <c r="N64" s="482">
        <v>8.1</v>
      </c>
      <c r="O64" s="471">
        <f>IF(N64&gt;0,1/N64*37.7*68.6,"")</f>
        <v>319.28641975308642</v>
      </c>
      <c r="P64" s="489">
        <v>7.24</v>
      </c>
      <c r="Q64" s="469" t="s">
        <v>43</v>
      </c>
      <c r="R64" s="415" t="s">
        <v>33</v>
      </c>
      <c r="S64" s="415" t="s">
        <v>110</v>
      </c>
      <c r="T64" s="415"/>
      <c r="U64" s="480"/>
      <c r="V64" s="468">
        <f>IF(N64&lt;&gt;0, IF(N64&gt;=P64,ROUNDDOWN(N64/P64*100,0),""),"")</f>
        <v>111</v>
      </c>
    </row>
    <row r="65" spans="1:22" s="461" customFormat="1" ht="23.1" customHeight="1">
      <c r="A65" s="481"/>
      <c r="B65" s="496"/>
      <c r="C65" s="477"/>
      <c r="D65" s="422" t="s">
        <v>1567</v>
      </c>
      <c r="E65" s="473" t="s">
        <v>166</v>
      </c>
      <c r="F65" s="416">
        <v>5.1929999999999996</v>
      </c>
      <c r="G65" s="473">
        <v>515</v>
      </c>
      <c r="H65" s="416">
        <v>140</v>
      </c>
      <c r="I65" s="473" t="s">
        <v>71</v>
      </c>
      <c r="J65" s="416">
        <v>3543</v>
      </c>
      <c r="K65" s="415">
        <v>7928</v>
      </c>
      <c r="L65" s="415">
        <v>4275</v>
      </c>
      <c r="M65" s="415" t="s">
        <v>1546</v>
      </c>
      <c r="N65" s="482">
        <v>8</v>
      </c>
      <c r="O65" s="471">
        <f>IF(N65&gt;0,1/N65*37.7*68.6,"")</f>
        <v>323.27749999999997</v>
      </c>
      <c r="P65" s="489">
        <v>7.24</v>
      </c>
      <c r="Q65" s="469" t="s">
        <v>43</v>
      </c>
      <c r="R65" s="415" t="s">
        <v>189</v>
      </c>
      <c r="S65" s="415" t="s">
        <v>34</v>
      </c>
      <c r="T65" s="415"/>
      <c r="U65" s="480"/>
      <c r="V65" s="468">
        <f>IF(N65&lt;&gt;0, IF(N65&gt;=P65,ROUNDDOWN(N65/P65*100,0),""),"")</f>
        <v>110</v>
      </c>
    </row>
    <row r="66" spans="1:22" s="461" customFormat="1" ht="23.1" customHeight="1">
      <c r="A66" s="481"/>
      <c r="B66" s="496"/>
      <c r="C66" s="477"/>
      <c r="D66" s="422" t="s">
        <v>1566</v>
      </c>
      <c r="E66" s="473" t="s">
        <v>166</v>
      </c>
      <c r="F66" s="416">
        <v>5.1929999999999996</v>
      </c>
      <c r="G66" s="473">
        <v>706</v>
      </c>
      <c r="H66" s="416">
        <v>154</v>
      </c>
      <c r="I66" s="473" t="s">
        <v>71</v>
      </c>
      <c r="J66" s="416">
        <v>3543</v>
      </c>
      <c r="K66" s="415">
        <v>7928</v>
      </c>
      <c r="L66" s="415">
        <v>4275</v>
      </c>
      <c r="M66" s="415" t="s">
        <v>1546</v>
      </c>
      <c r="N66" s="482">
        <v>7.8</v>
      </c>
      <c r="O66" s="471">
        <f>IF(N66&gt;0,1/N66*37.7*68.6,"")</f>
        <v>331.56666666666666</v>
      </c>
      <c r="P66" s="489">
        <v>7.24</v>
      </c>
      <c r="Q66" s="469" t="s">
        <v>77</v>
      </c>
      <c r="R66" s="415" t="s">
        <v>33</v>
      </c>
      <c r="S66" s="415" t="s">
        <v>34</v>
      </c>
      <c r="T66" s="415"/>
      <c r="U66" s="480"/>
      <c r="V66" s="468">
        <f>IF(N66&lt;&gt;0, IF(N66&gt;=P66,ROUNDDOWN(N66/P66*100,0),""),"")</f>
        <v>107</v>
      </c>
    </row>
    <row r="67" spans="1:22" s="461" customFormat="1" ht="23.1" customHeight="1">
      <c r="A67" s="481"/>
      <c r="B67" s="496"/>
      <c r="C67" s="477"/>
      <c r="D67" s="422" t="s">
        <v>1566</v>
      </c>
      <c r="E67" s="473" t="s">
        <v>166</v>
      </c>
      <c r="F67" s="416">
        <v>5.1929999999999996</v>
      </c>
      <c r="G67" s="473">
        <v>765</v>
      </c>
      <c r="H67" s="416">
        <v>177</v>
      </c>
      <c r="I67" s="473" t="s">
        <v>71</v>
      </c>
      <c r="J67" s="416">
        <v>3543</v>
      </c>
      <c r="K67" s="415">
        <v>7928</v>
      </c>
      <c r="L67" s="415">
        <v>4275</v>
      </c>
      <c r="M67" s="415" t="s">
        <v>1546</v>
      </c>
      <c r="N67" s="482">
        <v>7.7</v>
      </c>
      <c r="O67" s="471">
        <f>IF(N67&gt;0,1/N67*37.7*68.6,"")</f>
        <v>335.87272727272722</v>
      </c>
      <c r="P67" s="489">
        <v>7.24</v>
      </c>
      <c r="Q67" s="469" t="s">
        <v>77</v>
      </c>
      <c r="R67" s="415" t="s">
        <v>33</v>
      </c>
      <c r="S67" s="415" t="s">
        <v>34</v>
      </c>
      <c r="T67" s="415"/>
      <c r="U67" s="480"/>
      <c r="V67" s="468">
        <f>IF(N67&lt;&gt;0, IF(N67&gt;=P67,ROUNDDOWN(N67/P67*100,0),""),"")</f>
        <v>106</v>
      </c>
    </row>
    <row r="68" spans="1:22" s="461" customFormat="1" ht="23.1" customHeight="1">
      <c r="A68" s="481"/>
      <c r="B68" s="496"/>
      <c r="C68" s="477"/>
      <c r="D68" s="422" t="s">
        <v>1565</v>
      </c>
      <c r="E68" s="473" t="s">
        <v>166</v>
      </c>
      <c r="F68" s="416">
        <v>5.1929999999999996</v>
      </c>
      <c r="G68" s="473">
        <v>706</v>
      </c>
      <c r="H68" s="416">
        <v>154</v>
      </c>
      <c r="I68" s="473" t="s">
        <v>71</v>
      </c>
      <c r="J68" s="416">
        <v>3543</v>
      </c>
      <c r="K68" s="415">
        <v>7928</v>
      </c>
      <c r="L68" s="415">
        <v>4275</v>
      </c>
      <c r="M68" s="415" t="s">
        <v>1546</v>
      </c>
      <c r="N68" s="482">
        <v>7.8</v>
      </c>
      <c r="O68" s="471">
        <f>IF(N68&gt;0,1/N68*37.7*68.6,"")</f>
        <v>331.56666666666666</v>
      </c>
      <c r="P68" s="489">
        <v>7.24</v>
      </c>
      <c r="Q68" s="469" t="s">
        <v>77</v>
      </c>
      <c r="R68" s="415" t="s">
        <v>33</v>
      </c>
      <c r="S68" s="415" t="s">
        <v>34</v>
      </c>
      <c r="T68" s="415"/>
      <c r="U68" s="480"/>
      <c r="V68" s="468">
        <f>IF(N68&lt;&gt;0, IF(N68&gt;=P68,ROUNDDOWN(N68/P68*100,0),""),"")</f>
        <v>107</v>
      </c>
    </row>
    <row r="69" spans="1:22" s="461" customFormat="1" ht="23.1" customHeight="1">
      <c r="A69" s="481"/>
      <c r="B69" s="496"/>
      <c r="C69" s="477"/>
      <c r="D69" s="422" t="s">
        <v>1565</v>
      </c>
      <c r="E69" s="473" t="s">
        <v>166</v>
      </c>
      <c r="F69" s="416">
        <v>5.1929999999999996</v>
      </c>
      <c r="G69" s="473">
        <v>765</v>
      </c>
      <c r="H69" s="416">
        <v>177</v>
      </c>
      <c r="I69" s="473" t="s">
        <v>71</v>
      </c>
      <c r="J69" s="416">
        <v>3543</v>
      </c>
      <c r="K69" s="415">
        <v>7928</v>
      </c>
      <c r="L69" s="415">
        <v>4275</v>
      </c>
      <c r="M69" s="415" t="s">
        <v>1546</v>
      </c>
      <c r="N69" s="482">
        <v>7.7</v>
      </c>
      <c r="O69" s="471">
        <f>IF(N69&gt;0,1/N69*37.7*68.6,"")</f>
        <v>335.87272727272722</v>
      </c>
      <c r="P69" s="489">
        <v>7.24</v>
      </c>
      <c r="Q69" s="469" t="s">
        <v>77</v>
      </c>
      <c r="R69" s="415" t="s">
        <v>33</v>
      </c>
      <c r="S69" s="415" t="s">
        <v>34</v>
      </c>
      <c r="T69" s="415"/>
      <c r="U69" s="480"/>
      <c r="V69" s="468">
        <f>IF(N69&lt;&gt;0, IF(N69&gt;=P69,ROUNDDOWN(N69/P69*100,0),""),"")</f>
        <v>106</v>
      </c>
    </row>
    <row r="70" spans="1:22" s="461" customFormat="1" ht="23.1" customHeight="1">
      <c r="A70" s="481"/>
      <c r="B70" s="496"/>
      <c r="C70" s="477"/>
      <c r="D70" s="422" t="s">
        <v>1564</v>
      </c>
      <c r="E70" s="473" t="s">
        <v>166</v>
      </c>
      <c r="F70" s="416">
        <v>5.1929999999999996</v>
      </c>
      <c r="G70" s="473">
        <v>706</v>
      </c>
      <c r="H70" s="416">
        <v>154</v>
      </c>
      <c r="I70" s="473" t="s">
        <v>71</v>
      </c>
      <c r="J70" s="416">
        <v>3543</v>
      </c>
      <c r="K70" s="415">
        <v>7928</v>
      </c>
      <c r="L70" s="415">
        <v>4275</v>
      </c>
      <c r="M70" s="415" t="s">
        <v>1555</v>
      </c>
      <c r="N70" s="482">
        <v>7.8</v>
      </c>
      <c r="O70" s="471">
        <f>IF(N70&gt;0,1/N70*37.7*68.6,"")</f>
        <v>331.56666666666666</v>
      </c>
      <c r="P70" s="489">
        <v>7.24</v>
      </c>
      <c r="Q70" s="469" t="s">
        <v>63</v>
      </c>
      <c r="R70" s="415" t="s">
        <v>33</v>
      </c>
      <c r="S70" s="415" t="s">
        <v>34</v>
      </c>
      <c r="T70" s="415"/>
      <c r="U70" s="480"/>
      <c r="V70" s="468">
        <f>IF(N70&lt;&gt;0, IF(N70&gt;=P70,ROUNDDOWN(N70/P70*100,0),""),"")</f>
        <v>107</v>
      </c>
    </row>
    <row r="71" spans="1:22" s="461" customFormat="1" ht="23.1" customHeight="1">
      <c r="A71" s="481"/>
      <c r="B71" s="496"/>
      <c r="C71" s="477"/>
      <c r="D71" s="422" t="s">
        <v>1564</v>
      </c>
      <c r="E71" s="473" t="s">
        <v>166</v>
      </c>
      <c r="F71" s="416">
        <v>5.1929999999999996</v>
      </c>
      <c r="G71" s="473">
        <v>765</v>
      </c>
      <c r="H71" s="416">
        <v>177</v>
      </c>
      <c r="I71" s="473" t="s">
        <v>71</v>
      </c>
      <c r="J71" s="416">
        <v>3543</v>
      </c>
      <c r="K71" s="415">
        <v>7928</v>
      </c>
      <c r="L71" s="415">
        <v>4275</v>
      </c>
      <c r="M71" s="415" t="s">
        <v>1555</v>
      </c>
      <c r="N71" s="482">
        <v>7.7</v>
      </c>
      <c r="O71" s="471">
        <f>IF(N71&gt;0,1/N71*37.7*68.6,"")</f>
        <v>335.87272727272722</v>
      </c>
      <c r="P71" s="489">
        <v>7.24</v>
      </c>
      <c r="Q71" s="469" t="s">
        <v>63</v>
      </c>
      <c r="R71" s="415" t="s">
        <v>33</v>
      </c>
      <c r="S71" s="415" t="s">
        <v>34</v>
      </c>
      <c r="T71" s="415"/>
      <c r="U71" s="480"/>
      <c r="V71" s="468">
        <f>IF(N71&lt;&gt;0, IF(N71&gt;=P71,ROUNDDOWN(N71/P71*100,0),""),"")</f>
        <v>106</v>
      </c>
    </row>
    <row r="72" spans="1:22" s="461" customFormat="1" ht="23.1" customHeight="1">
      <c r="A72" s="481"/>
      <c r="B72" s="496"/>
      <c r="C72" s="477"/>
      <c r="D72" s="422" t="s">
        <v>1563</v>
      </c>
      <c r="E72" s="473" t="s">
        <v>182</v>
      </c>
      <c r="F72" s="416">
        <v>5.1929999999999996</v>
      </c>
      <c r="G72" s="473">
        <v>706</v>
      </c>
      <c r="H72" s="416">
        <v>154</v>
      </c>
      <c r="I72" s="473" t="s">
        <v>30</v>
      </c>
      <c r="J72" s="416">
        <v>3543</v>
      </c>
      <c r="K72" s="415">
        <v>7928</v>
      </c>
      <c r="L72" s="415">
        <v>4275</v>
      </c>
      <c r="M72" s="415" t="s">
        <v>1546</v>
      </c>
      <c r="N72" s="482">
        <v>7.8</v>
      </c>
      <c r="O72" s="471">
        <f>IF(N72&gt;0,1/N72*37.7*68.6,"")</f>
        <v>331.56666666666666</v>
      </c>
      <c r="P72" s="489">
        <v>7.24</v>
      </c>
      <c r="Q72" s="469" t="s">
        <v>77</v>
      </c>
      <c r="R72" s="415" t="s">
        <v>33</v>
      </c>
      <c r="S72" s="415" t="s">
        <v>110</v>
      </c>
      <c r="T72" s="415"/>
      <c r="U72" s="480"/>
      <c r="V72" s="468">
        <f>IF(N72&lt;&gt;0, IF(N72&gt;=P72,ROUNDDOWN(N72/P72*100,0),""),"")</f>
        <v>107</v>
      </c>
    </row>
    <row r="73" spans="1:22" s="461" customFormat="1" ht="23.1" customHeight="1">
      <c r="A73" s="481"/>
      <c r="B73" s="496"/>
      <c r="C73" s="477"/>
      <c r="D73" s="422" t="s">
        <v>1562</v>
      </c>
      <c r="E73" s="473" t="s">
        <v>166</v>
      </c>
      <c r="F73" s="416">
        <v>5.1929999999999996</v>
      </c>
      <c r="G73" s="473">
        <v>706</v>
      </c>
      <c r="H73" s="416">
        <v>154</v>
      </c>
      <c r="I73" s="473" t="s">
        <v>71</v>
      </c>
      <c r="J73" s="416">
        <v>3659</v>
      </c>
      <c r="K73" s="415">
        <v>9558</v>
      </c>
      <c r="L73" s="415">
        <v>5789</v>
      </c>
      <c r="M73" s="415" t="s">
        <v>1546</v>
      </c>
      <c r="N73" s="482">
        <v>7.4</v>
      </c>
      <c r="O73" s="471">
        <f>IF(N73&gt;0,1/N73*37.7*68.6,"")</f>
        <v>349.48918918918912</v>
      </c>
      <c r="P73" s="489">
        <v>6.52</v>
      </c>
      <c r="Q73" s="469" t="s">
        <v>43</v>
      </c>
      <c r="R73" s="415" t="s">
        <v>33</v>
      </c>
      <c r="S73" s="415" t="s">
        <v>34</v>
      </c>
      <c r="T73" s="415"/>
      <c r="U73" s="480"/>
      <c r="V73" s="468">
        <f>IF(N73&lt;&gt;0, IF(N73&gt;=P73,ROUNDDOWN(N73/P73*100,0),""),"")</f>
        <v>113</v>
      </c>
    </row>
    <row r="74" spans="1:22" s="461" customFormat="1" ht="23.1" customHeight="1">
      <c r="A74" s="481"/>
      <c r="B74" s="496"/>
      <c r="C74" s="477"/>
      <c r="D74" s="422" t="s">
        <v>1562</v>
      </c>
      <c r="E74" s="473" t="s">
        <v>166</v>
      </c>
      <c r="F74" s="416">
        <v>5.1929999999999996</v>
      </c>
      <c r="G74" s="473">
        <v>706</v>
      </c>
      <c r="H74" s="416">
        <v>154</v>
      </c>
      <c r="I74" s="473" t="s">
        <v>71</v>
      </c>
      <c r="J74" s="416">
        <v>4048</v>
      </c>
      <c r="K74" s="415">
        <v>11641</v>
      </c>
      <c r="L74" s="415">
        <v>7483</v>
      </c>
      <c r="M74" s="415" t="s">
        <v>1546</v>
      </c>
      <c r="N74" s="482">
        <v>6.7</v>
      </c>
      <c r="O74" s="471">
        <f>IF(N74&gt;0,1/N74*37.7*68.6,"")</f>
        <v>386.00298507462679</v>
      </c>
      <c r="P74" s="489">
        <v>6</v>
      </c>
      <c r="Q74" s="469" t="s">
        <v>43</v>
      </c>
      <c r="R74" s="415" t="s">
        <v>33</v>
      </c>
      <c r="S74" s="415" t="s">
        <v>34</v>
      </c>
      <c r="T74" s="415"/>
      <c r="U74" s="480"/>
      <c r="V74" s="468">
        <f>IF(N74&lt;&gt;0, IF(N74&gt;=P74,ROUNDDOWN(N74/P74*100,0),""),"")</f>
        <v>111</v>
      </c>
    </row>
    <row r="75" spans="1:22" s="461" customFormat="1" ht="23.1" customHeight="1">
      <c r="A75" s="481"/>
      <c r="B75" s="496"/>
      <c r="C75" s="477"/>
      <c r="D75" s="422" t="s">
        <v>1562</v>
      </c>
      <c r="E75" s="473" t="s">
        <v>166</v>
      </c>
      <c r="F75" s="416">
        <v>5.1929999999999996</v>
      </c>
      <c r="G75" s="473">
        <v>765</v>
      </c>
      <c r="H75" s="416">
        <v>177</v>
      </c>
      <c r="I75" s="473" t="s">
        <v>71</v>
      </c>
      <c r="J75" s="416">
        <v>4048</v>
      </c>
      <c r="K75" s="415">
        <v>11641</v>
      </c>
      <c r="L75" s="415">
        <v>7483</v>
      </c>
      <c r="M75" s="415" t="s">
        <v>1546</v>
      </c>
      <c r="N75" s="482">
        <v>6.7</v>
      </c>
      <c r="O75" s="471">
        <f>IF(N75&gt;0,1/N75*37.7*68.6,"")</f>
        <v>386.00298507462679</v>
      </c>
      <c r="P75" s="489">
        <v>6</v>
      </c>
      <c r="Q75" s="469" t="s">
        <v>43</v>
      </c>
      <c r="R75" s="415" t="s">
        <v>33</v>
      </c>
      <c r="S75" s="415" t="s">
        <v>34</v>
      </c>
      <c r="T75" s="415"/>
      <c r="U75" s="480"/>
      <c r="V75" s="468">
        <f>IF(N75&lt;&gt;0, IF(N75&gt;=P75,ROUNDDOWN(N75/P75*100,0),""),"")</f>
        <v>111</v>
      </c>
    </row>
    <row r="76" spans="1:22" s="461" customFormat="1" ht="23.1" customHeight="1">
      <c r="A76" s="481"/>
      <c r="B76" s="496"/>
      <c r="C76" s="477"/>
      <c r="D76" s="422" t="s">
        <v>1561</v>
      </c>
      <c r="E76" s="473" t="s">
        <v>166</v>
      </c>
      <c r="F76" s="416">
        <v>5.1929999999999996</v>
      </c>
      <c r="G76" s="473">
        <v>706</v>
      </c>
      <c r="H76" s="416">
        <v>154</v>
      </c>
      <c r="I76" s="473" t="s">
        <v>71</v>
      </c>
      <c r="J76" s="416">
        <v>3659</v>
      </c>
      <c r="K76" s="415">
        <v>9558</v>
      </c>
      <c r="L76" s="415">
        <v>5789</v>
      </c>
      <c r="M76" s="415" t="s">
        <v>1546</v>
      </c>
      <c r="N76" s="482">
        <v>7.1</v>
      </c>
      <c r="O76" s="471">
        <f>IF(N76&gt;0,1/N76*37.7*68.6,"")</f>
        <v>364.25633802816901</v>
      </c>
      <c r="P76" s="489">
        <v>6.52</v>
      </c>
      <c r="Q76" s="469" t="s">
        <v>77</v>
      </c>
      <c r="R76" s="415" t="s">
        <v>33</v>
      </c>
      <c r="S76" s="415" t="s">
        <v>34</v>
      </c>
      <c r="T76" s="415"/>
      <c r="U76" s="480"/>
      <c r="V76" s="468">
        <f>IF(N76&lt;&gt;0, IF(N76&gt;=P76,ROUNDDOWN(N76/P76*100,0),""),"")</f>
        <v>108</v>
      </c>
    </row>
    <row r="77" spans="1:22" s="461" customFormat="1" ht="23.1" customHeight="1">
      <c r="A77" s="481"/>
      <c r="B77" s="496"/>
      <c r="C77" s="477"/>
      <c r="D77" s="422" t="s">
        <v>1561</v>
      </c>
      <c r="E77" s="473" t="s">
        <v>166</v>
      </c>
      <c r="F77" s="416">
        <v>5.1929999999999996</v>
      </c>
      <c r="G77" s="473">
        <v>706</v>
      </c>
      <c r="H77" s="416">
        <v>154</v>
      </c>
      <c r="I77" s="473" t="s">
        <v>71</v>
      </c>
      <c r="J77" s="416">
        <v>4048</v>
      </c>
      <c r="K77" s="415">
        <v>11641</v>
      </c>
      <c r="L77" s="415">
        <v>7483</v>
      </c>
      <c r="M77" s="415" t="s">
        <v>1546</v>
      </c>
      <c r="N77" s="482">
        <v>6.5</v>
      </c>
      <c r="O77" s="471">
        <f>IF(N77&gt;0,1/N77*37.7*68.6,"")</f>
        <v>397.88</v>
      </c>
      <c r="P77" s="489">
        <v>6</v>
      </c>
      <c r="Q77" s="469" t="s">
        <v>77</v>
      </c>
      <c r="R77" s="415" t="s">
        <v>33</v>
      </c>
      <c r="S77" s="415" t="s">
        <v>34</v>
      </c>
      <c r="T77" s="415"/>
      <c r="U77" s="480"/>
      <c r="V77" s="468">
        <f>IF(N77&lt;&gt;0, IF(N77&gt;=P77,ROUNDDOWN(N77/P77*100,0),""),"")</f>
        <v>108</v>
      </c>
    </row>
    <row r="78" spans="1:22" s="461" customFormat="1" ht="23.1" customHeight="1">
      <c r="A78" s="481"/>
      <c r="B78" s="496"/>
      <c r="C78" s="477"/>
      <c r="D78" s="422" t="s">
        <v>1561</v>
      </c>
      <c r="E78" s="473" t="s">
        <v>166</v>
      </c>
      <c r="F78" s="416">
        <v>5.1929999999999996</v>
      </c>
      <c r="G78" s="473">
        <v>765</v>
      </c>
      <c r="H78" s="416">
        <v>177</v>
      </c>
      <c r="I78" s="473" t="s">
        <v>71</v>
      </c>
      <c r="J78" s="416">
        <v>4048</v>
      </c>
      <c r="K78" s="415">
        <v>11641</v>
      </c>
      <c r="L78" s="415">
        <v>7483</v>
      </c>
      <c r="M78" s="415" t="s">
        <v>1546</v>
      </c>
      <c r="N78" s="482">
        <v>6.5</v>
      </c>
      <c r="O78" s="471">
        <f>IF(N78&gt;0,1/N78*37.7*68.6,"")</f>
        <v>397.88</v>
      </c>
      <c r="P78" s="489">
        <v>6</v>
      </c>
      <c r="Q78" s="469" t="s">
        <v>77</v>
      </c>
      <c r="R78" s="415" t="s">
        <v>33</v>
      </c>
      <c r="S78" s="415" t="s">
        <v>34</v>
      </c>
      <c r="T78" s="415"/>
      <c r="U78" s="480"/>
      <c r="V78" s="468">
        <f>IF(N78&lt;&gt;0, IF(N78&gt;=P78,ROUNDDOWN(N78/P78*100,0),""),"")</f>
        <v>108</v>
      </c>
    </row>
    <row r="79" spans="1:22" s="461" customFormat="1" ht="23.1" customHeight="1">
      <c r="A79" s="481"/>
      <c r="B79" s="460"/>
      <c r="C79" s="477"/>
      <c r="D79" s="422" t="s">
        <v>1560</v>
      </c>
      <c r="E79" s="473" t="s">
        <v>166</v>
      </c>
      <c r="F79" s="416">
        <v>5.1929999999999996</v>
      </c>
      <c r="G79" s="473">
        <v>706</v>
      </c>
      <c r="H79" s="416">
        <v>154</v>
      </c>
      <c r="I79" s="473" t="s">
        <v>71</v>
      </c>
      <c r="J79" s="416">
        <v>4048</v>
      </c>
      <c r="K79" s="415">
        <v>11641</v>
      </c>
      <c r="L79" s="415">
        <v>7483</v>
      </c>
      <c r="M79" s="415" t="s">
        <v>1546</v>
      </c>
      <c r="N79" s="482">
        <v>6.7</v>
      </c>
      <c r="O79" s="471">
        <f>IF(N79&gt;0,1/N79*37.7*68.6,"")</f>
        <v>386.00298507462679</v>
      </c>
      <c r="P79" s="489">
        <v>6</v>
      </c>
      <c r="Q79" s="469" t="s">
        <v>43</v>
      </c>
      <c r="R79" s="415" t="s">
        <v>33</v>
      </c>
      <c r="S79" s="415" t="s">
        <v>34</v>
      </c>
      <c r="T79" s="415"/>
      <c r="U79" s="480"/>
      <c r="V79" s="468">
        <f>IF(N79&lt;&gt;0, IF(N79&gt;=P79,ROUNDDOWN(N79/P79*100,0),""),"")</f>
        <v>111</v>
      </c>
    </row>
    <row r="80" spans="1:22" s="461" customFormat="1" ht="23.1" customHeight="1">
      <c r="A80" s="481"/>
      <c r="B80" s="460"/>
      <c r="C80" s="477"/>
      <c r="D80" s="422" t="s">
        <v>1560</v>
      </c>
      <c r="E80" s="473" t="s">
        <v>166</v>
      </c>
      <c r="F80" s="416">
        <v>5.1929999999999996</v>
      </c>
      <c r="G80" s="473">
        <v>765</v>
      </c>
      <c r="H80" s="416">
        <v>177</v>
      </c>
      <c r="I80" s="473" t="s">
        <v>71</v>
      </c>
      <c r="J80" s="416">
        <v>4048</v>
      </c>
      <c r="K80" s="415">
        <v>11641</v>
      </c>
      <c r="L80" s="415">
        <v>7483</v>
      </c>
      <c r="M80" s="415" t="s">
        <v>1546</v>
      </c>
      <c r="N80" s="482">
        <v>6.7</v>
      </c>
      <c r="O80" s="471">
        <f>IF(N80&gt;0,1/N80*37.7*68.6,"")</f>
        <v>386.00298507462679</v>
      </c>
      <c r="P80" s="489">
        <v>6</v>
      </c>
      <c r="Q80" s="469" t="s">
        <v>43</v>
      </c>
      <c r="R80" s="415" t="s">
        <v>33</v>
      </c>
      <c r="S80" s="415" t="s">
        <v>34</v>
      </c>
      <c r="T80" s="415"/>
      <c r="U80" s="480"/>
      <c r="V80" s="468">
        <f>IF(N80&lt;&gt;0, IF(N80&gt;=P80,ROUNDDOWN(N80/P80*100,0),""),"")</f>
        <v>111</v>
      </c>
    </row>
    <row r="81" spans="1:22" s="461" customFormat="1" ht="23.1" customHeight="1">
      <c r="A81" s="481"/>
      <c r="B81" s="460"/>
      <c r="C81" s="477"/>
      <c r="D81" s="422" t="s">
        <v>1559</v>
      </c>
      <c r="E81" s="473" t="s">
        <v>166</v>
      </c>
      <c r="F81" s="416">
        <v>5.1929999999999996</v>
      </c>
      <c r="G81" s="473">
        <v>706</v>
      </c>
      <c r="H81" s="416">
        <v>154</v>
      </c>
      <c r="I81" s="473" t="s">
        <v>71</v>
      </c>
      <c r="J81" s="416">
        <v>4048</v>
      </c>
      <c r="K81" s="415">
        <v>11641</v>
      </c>
      <c r="L81" s="415">
        <v>7483</v>
      </c>
      <c r="M81" s="415" t="s">
        <v>1555</v>
      </c>
      <c r="N81" s="482">
        <v>6.7</v>
      </c>
      <c r="O81" s="471">
        <f>IF(N81&gt;0,1/N81*37.7*68.6,"")</f>
        <v>386.00298507462679</v>
      </c>
      <c r="P81" s="489">
        <v>6</v>
      </c>
      <c r="Q81" s="469" t="s">
        <v>43</v>
      </c>
      <c r="R81" s="415" t="s">
        <v>33</v>
      </c>
      <c r="S81" s="415" t="s">
        <v>34</v>
      </c>
      <c r="T81" s="415"/>
      <c r="U81" s="480"/>
      <c r="V81" s="468">
        <f>IF(N81&lt;&gt;0, IF(N81&gt;=P81,ROUNDDOWN(N81/P81*100,0),""),"")</f>
        <v>111</v>
      </c>
    </row>
    <row r="82" spans="1:22" s="461" customFormat="1" ht="23.1" customHeight="1">
      <c r="A82" s="481"/>
      <c r="B82" s="460"/>
      <c r="C82" s="477"/>
      <c r="D82" s="422" t="s">
        <v>1559</v>
      </c>
      <c r="E82" s="473" t="s">
        <v>166</v>
      </c>
      <c r="F82" s="416">
        <v>5.1929999999999996</v>
      </c>
      <c r="G82" s="473">
        <v>765</v>
      </c>
      <c r="H82" s="416">
        <v>177</v>
      </c>
      <c r="I82" s="473" t="s">
        <v>71</v>
      </c>
      <c r="J82" s="416">
        <v>4048</v>
      </c>
      <c r="K82" s="415">
        <v>11641</v>
      </c>
      <c r="L82" s="415">
        <v>7483</v>
      </c>
      <c r="M82" s="415" t="s">
        <v>1555</v>
      </c>
      <c r="N82" s="482">
        <v>6.7</v>
      </c>
      <c r="O82" s="471">
        <f>IF(N82&gt;0,1/N82*37.7*68.6,"")</f>
        <v>386.00298507462679</v>
      </c>
      <c r="P82" s="489">
        <v>6</v>
      </c>
      <c r="Q82" s="469" t="s">
        <v>43</v>
      </c>
      <c r="R82" s="415" t="s">
        <v>33</v>
      </c>
      <c r="S82" s="415" t="s">
        <v>34</v>
      </c>
      <c r="T82" s="415"/>
      <c r="U82" s="480"/>
      <c r="V82" s="468">
        <f>IF(N82&lt;&gt;0, IF(N82&gt;=P82,ROUNDDOWN(N82/P82*100,0),""),"")</f>
        <v>111</v>
      </c>
    </row>
    <row r="83" spans="1:22" s="461" customFormat="1" ht="23.1" customHeight="1">
      <c r="A83" s="481"/>
      <c r="B83" s="460"/>
      <c r="C83" s="477"/>
      <c r="D83" s="422" t="s">
        <v>1558</v>
      </c>
      <c r="E83" s="473" t="s">
        <v>182</v>
      </c>
      <c r="F83" s="416">
        <v>5.1929999999999996</v>
      </c>
      <c r="G83" s="473">
        <v>706</v>
      </c>
      <c r="H83" s="416">
        <v>154</v>
      </c>
      <c r="I83" s="473" t="s">
        <v>30</v>
      </c>
      <c r="J83" s="416">
        <v>4048</v>
      </c>
      <c r="K83" s="415">
        <v>11641</v>
      </c>
      <c r="L83" s="415">
        <v>7483</v>
      </c>
      <c r="M83" s="415" t="s">
        <v>1546</v>
      </c>
      <c r="N83" s="482">
        <v>6.7</v>
      </c>
      <c r="O83" s="471">
        <f>IF(N83&gt;0,1/N83*37.7*68.6,"")</f>
        <v>386.00298507462679</v>
      </c>
      <c r="P83" s="489">
        <v>6</v>
      </c>
      <c r="Q83" s="469" t="s">
        <v>43</v>
      </c>
      <c r="R83" s="415" t="s">
        <v>33</v>
      </c>
      <c r="S83" s="415" t="s">
        <v>110</v>
      </c>
      <c r="T83" s="415"/>
      <c r="U83" s="480"/>
      <c r="V83" s="468">
        <f>IF(N83&lt;&gt;0, IF(N83&gt;=P83,ROUNDDOWN(N83/P83*100,0),""),"")</f>
        <v>111</v>
      </c>
    </row>
    <row r="84" spans="1:22" s="461" customFormat="1" ht="23.1" customHeight="1">
      <c r="A84" s="481"/>
      <c r="B84" s="460"/>
      <c r="C84" s="477"/>
      <c r="D84" s="422" t="s">
        <v>1557</v>
      </c>
      <c r="E84" s="473" t="s">
        <v>166</v>
      </c>
      <c r="F84" s="416">
        <v>5.1929999999999996</v>
      </c>
      <c r="G84" s="473">
        <v>706</v>
      </c>
      <c r="H84" s="416">
        <v>154</v>
      </c>
      <c r="I84" s="473" t="s">
        <v>71</v>
      </c>
      <c r="J84" s="416">
        <v>4048</v>
      </c>
      <c r="K84" s="415">
        <v>11641</v>
      </c>
      <c r="L84" s="415">
        <v>7483</v>
      </c>
      <c r="M84" s="415" t="s">
        <v>1546</v>
      </c>
      <c r="N84" s="482">
        <v>6.5</v>
      </c>
      <c r="O84" s="471">
        <f>IF(N84&gt;0,1/N84*37.7*68.6,"")</f>
        <v>397.88</v>
      </c>
      <c r="P84" s="489">
        <v>6</v>
      </c>
      <c r="Q84" s="469" t="s">
        <v>77</v>
      </c>
      <c r="R84" s="415" t="s">
        <v>33</v>
      </c>
      <c r="S84" s="415" t="s">
        <v>34</v>
      </c>
      <c r="T84" s="415"/>
      <c r="U84" s="480"/>
      <c r="V84" s="468">
        <f>IF(N84&lt;&gt;0, IF(N84&gt;=P84,ROUNDDOWN(N84/P84*100,0),""),"")</f>
        <v>108</v>
      </c>
    </row>
    <row r="85" spans="1:22" s="461" customFormat="1" ht="23.1" customHeight="1">
      <c r="A85" s="481"/>
      <c r="B85" s="460"/>
      <c r="C85" s="477"/>
      <c r="D85" s="422" t="s">
        <v>1557</v>
      </c>
      <c r="E85" s="473" t="s">
        <v>166</v>
      </c>
      <c r="F85" s="416">
        <v>5.1929999999999996</v>
      </c>
      <c r="G85" s="473">
        <v>765</v>
      </c>
      <c r="H85" s="416">
        <v>177</v>
      </c>
      <c r="I85" s="473" t="s">
        <v>71</v>
      </c>
      <c r="J85" s="416">
        <v>4048</v>
      </c>
      <c r="K85" s="415">
        <v>11641</v>
      </c>
      <c r="L85" s="415">
        <v>7483</v>
      </c>
      <c r="M85" s="415" t="s">
        <v>1546</v>
      </c>
      <c r="N85" s="482">
        <v>6.5</v>
      </c>
      <c r="O85" s="471">
        <f>IF(N85&gt;0,1/N85*37.7*68.6,"")</f>
        <v>397.88</v>
      </c>
      <c r="P85" s="489">
        <v>6</v>
      </c>
      <c r="Q85" s="469" t="s">
        <v>77</v>
      </c>
      <c r="R85" s="415" t="s">
        <v>33</v>
      </c>
      <c r="S85" s="415" t="s">
        <v>34</v>
      </c>
      <c r="T85" s="415"/>
      <c r="U85" s="480"/>
      <c r="V85" s="468">
        <f>IF(N85&lt;&gt;0, IF(N85&gt;=P85,ROUNDDOWN(N85/P85*100,0),""),"")</f>
        <v>108</v>
      </c>
    </row>
    <row r="86" spans="1:22" s="461" customFormat="1" ht="23.1" customHeight="1">
      <c r="A86" s="481"/>
      <c r="B86" s="460"/>
      <c r="C86" s="477"/>
      <c r="D86" s="422" t="s">
        <v>1556</v>
      </c>
      <c r="E86" s="473" t="s">
        <v>166</v>
      </c>
      <c r="F86" s="416">
        <v>5.1929999999999996</v>
      </c>
      <c r="G86" s="473">
        <v>706</v>
      </c>
      <c r="H86" s="416">
        <v>154</v>
      </c>
      <c r="I86" s="473" t="s">
        <v>71</v>
      </c>
      <c r="J86" s="416">
        <v>4048</v>
      </c>
      <c r="K86" s="415">
        <v>11641</v>
      </c>
      <c r="L86" s="415">
        <v>7483</v>
      </c>
      <c r="M86" s="415" t="s">
        <v>1555</v>
      </c>
      <c r="N86" s="482">
        <v>6.5</v>
      </c>
      <c r="O86" s="471">
        <f>IF(N86&gt;0,1/N86*37.7*68.6,"")</f>
        <v>397.88</v>
      </c>
      <c r="P86" s="489">
        <v>6</v>
      </c>
      <c r="Q86" s="469" t="s">
        <v>63</v>
      </c>
      <c r="R86" s="415" t="s">
        <v>33</v>
      </c>
      <c r="S86" s="415" t="s">
        <v>34</v>
      </c>
      <c r="T86" s="415"/>
      <c r="U86" s="480"/>
      <c r="V86" s="468">
        <f>IF(N86&lt;&gt;0, IF(N86&gt;=P86,ROUNDDOWN(N86/P86*100,0),""),"")</f>
        <v>108</v>
      </c>
    </row>
    <row r="87" spans="1:22" s="461" customFormat="1" ht="23.1" customHeight="1">
      <c r="A87" s="481"/>
      <c r="B87" s="460"/>
      <c r="C87" s="477"/>
      <c r="D87" s="422" t="s">
        <v>1556</v>
      </c>
      <c r="E87" s="473" t="s">
        <v>166</v>
      </c>
      <c r="F87" s="416">
        <v>5.1929999999999996</v>
      </c>
      <c r="G87" s="473">
        <v>765</v>
      </c>
      <c r="H87" s="416">
        <v>177</v>
      </c>
      <c r="I87" s="473" t="s">
        <v>71</v>
      </c>
      <c r="J87" s="416">
        <v>4048</v>
      </c>
      <c r="K87" s="415">
        <v>11641</v>
      </c>
      <c r="L87" s="415">
        <v>7483</v>
      </c>
      <c r="M87" s="415" t="s">
        <v>1555</v>
      </c>
      <c r="N87" s="482">
        <v>6.5</v>
      </c>
      <c r="O87" s="471">
        <f>IF(N87&gt;0,1/N87*37.7*68.6,"")</f>
        <v>397.88</v>
      </c>
      <c r="P87" s="489">
        <v>6</v>
      </c>
      <c r="Q87" s="469" t="s">
        <v>63</v>
      </c>
      <c r="R87" s="415" t="s">
        <v>33</v>
      </c>
      <c r="S87" s="415" t="s">
        <v>34</v>
      </c>
      <c r="T87" s="415"/>
      <c r="U87" s="480"/>
      <c r="V87" s="468">
        <f>IF(N87&lt;&gt;0, IF(N87&gt;=P87,ROUNDDOWN(N87/P87*100,0),""),"")</f>
        <v>108</v>
      </c>
    </row>
    <row r="88" spans="1:22" s="461" customFormat="1" ht="23.1" customHeight="1">
      <c r="A88" s="481"/>
      <c r="B88" s="460"/>
      <c r="C88" s="477"/>
      <c r="D88" s="422" t="s">
        <v>1554</v>
      </c>
      <c r="E88" s="473" t="s">
        <v>182</v>
      </c>
      <c r="F88" s="416">
        <v>5.1929999999999996</v>
      </c>
      <c r="G88" s="473">
        <v>706</v>
      </c>
      <c r="H88" s="416">
        <v>154</v>
      </c>
      <c r="I88" s="473" t="s">
        <v>30</v>
      </c>
      <c r="J88" s="416">
        <v>4048</v>
      </c>
      <c r="K88" s="415">
        <v>11641</v>
      </c>
      <c r="L88" s="415">
        <v>7483</v>
      </c>
      <c r="M88" s="415" t="s">
        <v>1546</v>
      </c>
      <c r="N88" s="482">
        <v>6.5</v>
      </c>
      <c r="O88" s="471">
        <f>IF(N88&gt;0,1/N88*37.7*68.6,"")</f>
        <v>397.88</v>
      </c>
      <c r="P88" s="489">
        <v>6</v>
      </c>
      <c r="Q88" s="469" t="s">
        <v>77</v>
      </c>
      <c r="R88" s="415" t="s">
        <v>33</v>
      </c>
      <c r="S88" s="415" t="s">
        <v>110</v>
      </c>
      <c r="T88" s="415"/>
      <c r="U88" s="480"/>
      <c r="V88" s="468">
        <f>IF(N88&lt;&gt;0, IF(N88&gt;=P88,ROUNDDOWN(N88/P88*100,0),""),"")</f>
        <v>108</v>
      </c>
    </row>
    <row r="89" spans="1:22" s="461" customFormat="1" ht="23.1" customHeight="1">
      <c r="A89" s="481"/>
      <c r="B89" s="460"/>
      <c r="C89" s="477"/>
      <c r="D89" s="422" t="s">
        <v>1553</v>
      </c>
      <c r="E89" s="473" t="s">
        <v>166</v>
      </c>
      <c r="F89" s="416">
        <v>5.1929999999999996</v>
      </c>
      <c r="G89" s="473">
        <v>765</v>
      </c>
      <c r="H89" s="416">
        <v>177</v>
      </c>
      <c r="I89" s="473" t="s">
        <v>71</v>
      </c>
      <c r="J89" s="416">
        <v>4516</v>
      </c>
      <c r="K89" s="415">
        <v>12618</v>
      </c>
      <c r="L89" s="415">
        <v>7992</v>
      </c>
      <c r="M89" s="415" t="s">
        <v>1546</v>
      </c>
      <c r="N89" s="482">
        <v>6.3</v>
      </c>
      <c r="O89" s="471">
        <f>IF(N89&gt;0,1/N89*37.7*68.6,"")</f>
        <v>410.51111111111106</v>
      </c>
      <c r="P89" s="489">
        <v>5.69</v>
      </c>
      <c r="Q89" s="469" t="s">
        <v>43</v>
      </c>
      <c r="R89" s="415" t="s">
        <v>33</v>
      </c>
      <c r="S89" s="415" t="s">
        <v>34</v>
      </c>
      <c r="T89" s="415"/>
      <c r="U89" s="480"/>
      <c r="V89" s="468">
        <f>IF(N89&lt;&gt;0, IF(N89&gt;=P89,ROUNDDOWN(N89/P89*100,0),""),"")</f>
        <v>110</v>
      </c>
    </row>
    <row r="90" spans="1:22" s="461" customFormat="1" ht="23.1" customHeight="1">
      <c r="A90" s="481"/>
      <c r="B90" s="460"/>
      <c r="C90" s="477"/>
      <c r="D90" s="422" t="s">
        <v>1552</v>
      </c>
      <c r="E90" s="473" t="s">
        <v>166</v>
      </c>
      <c r="F90" s="416">
        <v>5.1929999999999996</v>
      </c>
      <c r="G90" s="473">
        <v>765</v>
      </c>
      <c r="H90" s="416">
        <v>177</v>
      </c>
      <c r="I90" s="473" t="s">
        <v>71</v>
      </c>
      <c r="J90" s="416">
        <v>4516</v>
      </c>
      <c r="K90" s="415">
        <v>12618</v>
      </c>
      <c r="L90" s="415">
        <v>7992</v>
      </c>
      <c r="M90" s="415" t="s">
        <v>1546</v>
      </c>
      <c r="N90" s="482">
        <v>6.3</v>
      </c>
      <c r="O90" s="471">
        <f>IF(N90&gt;0,1/N90*37.7*68.6,"")</f>
        <v>410.51111111111106</v>
      </c>
      <c r="P90" s="489">
        <v>5.69</v>
      </c>
      <c r="Q90" s="469" t="s">
        <v>43</v>
      </c>
      <c r="R90" s="415" t="s">
        <v>33</v>
      </c>
      <c r="S90" s="415" t="s">
        <v>34</v>
      </c>
      <c r="T90" s="415"/>
      <c r="U90" s="480"/>
      <c r="V90" s="468">
        <f>IF(N90&lt;&gt;0, IF(N90&gt;=P90,ROUNDDOWN(N90/P90*100,0),""),"")</f>
        <v>110</v>
      </c>
    </row>
    <row r="91" spans="1:22" s="461" customFormat="1" ht="23.1" customHeight="1">
      <c r="A91" s="481"/>
      <c r="B91" s="460"/>
      <c r="C91" s="477"/>
      <c r="D91" s="422" t="s">
        <v>1551</v>
      </c>
      <c r="E91" s="473" t="s">
        <v>166</v>
      </c>
      <c r="F91" s="416">
        <v>5.1929999999999996</v>
      </c>
      <c r="G91" s="473">
        <v>765</v>
      </c>
      <c r="H91" s="416">
        <v>177</v>
      </c>
      <c r="I91" s="473" t="s">
        <v>71</v>
      </c>
      <c r="J91" s="416">
        <v>4516</v>
      </c>
      <c r="K91" s="415">
        <v>12618</v>
      </c>
      <c r="L91" s="415">
        <v>7992</v>
      </c>
      <c r="M91" s="415" t="s">
        <v>1546</v>
      </c>
      <c r="N91" s="482">
        <v>6.3</v>
      </c>
      <c r="O91" s="471">
        <f>IF(N91&gt;0,1/N91*37.7*68.6,"")</f>
        <v>410.51111111111106</v>
      </c>
      <c r="P91" s="489">
        <v>5.69</v>
      </c>
      <c r="Q91" s="469" t="s">
        <v>43</v>
      </c>
      <c r="R91" s="415" t="s">
        <v>33</v>
      </c>
      <c r="S91" s="415" t="s">
        <v>110</v>
      </c>
      <c r="T91" s="415"/>
      <c r="U91" s="480"/>
      <c r="V91" s="468">
        <f>IF(N91&lt;&gt;0, IF(N91&gt;=P91,ROUNDDOWN(N91/P91*100,0),""),"")</f>
        <v>110</v>
      </c>
    </row>
    <row r="92" spans="1:22" s="461" customFormat="1" ht="23.1" customHeight="1">
      <c r="A92" s="481"/>
      <c r="B92" s="460"/>
      <c r="C92" s="477"/>
      <c r="D92" s="422" t="s">
        <v>1550</v>
      </c>
      <c r="E92" s="473" t="s">
        <v>166</v>
      </c>
      <c r="F92" s="416">
        <v>5.1929999999999996</v>
      </c>
      <c r="G92" s="473">
        <v>765</v>
      </c>
      <c r="H92" s="416">
        <v>177</v>
      </c>
      <c r="I92" s="473" t="s">
        <v>71</v>
      </c>
      <c r="J92" s="416">
        <v>4516</v>
      </c>
      <c r="K92" s="415">
        <v>12618</v>
      </c>
      <c r="L92" s="415">
        <v>7992</v>
      </c>
      <c r="M92" s="415" t="s">
        <v>1546</v>
      </c>
      <c r="N92" s="482">
        <v>6.1</v>
      </c>
      <c r="O92" s="471">
        <f>IF(N92&gt;0,1/N92*37.7*68.6,"")</f>
        <v>423.97049180327872</v>
      </c>
      <c r="P92" s="489">
        <v>5.69</v>
      </c>
      <c r="Q92" s="469" t="s">
        <v>77</v>
      </c>
      <c r="R92" s="415" t="s">
        <v>33</v>
      </c>
      <c r="S92" s="415" t="s">
        <v>34</v>
      </c>
      <c r="T92" s="415"/>
      <c r="U92" s="480"/>
      <c r="V92" s="468">
        <f>IF(N92&lt;&gt;0, IF(N92&gt;=P92,ROUNDDOWN(N92/P92*100,0),""),"")</f>
        <v>107</v>
      </c>
    </row>
    <row r="93" spans="1:22" s="461" customFormat="1" ht="23.1" customHeight="1">
      <c r="A93" s="481"/>
      <c r="B93" s="460"/>
      <c r="C93" s="477"/>
      <c r="D93" s="422" t="s">
        <v>1549</v>
      </c>
      <c r="E93" s="473" t="s">
        <v>166</v>
      </c>
      <c r="F93" s="416">
        <v>5.1929999999999996</v>
      </c>
      <c r="G93" s="473">
        <v>765</v>
      </c>
      <c r="H93" s="416">
        <v>177</v>
      </c>
      <c r="I93" s="473" t="s">
        <v>71</v>
      </c>
      <c r="J93" s="416">
        <v>4516</v>
      </c>
      <c r="K93" s="415">
        <v>12618</v>
      </c>
      <c r="L93" s="415">
        <v>7992</v>
      </c>
      <c r="M93" s="415" t="s">
        <v>1546</v>
      </c>
      <c r="N93" s="482">
        <v>6.1</v>
      </c>
      <c r="O93" s="471">
        <f>IF(N93&gt;0,1/N93*37.7*68.6,"")</f>
        <v>423.97049180327872</v>
      </c>
      <c r="P93" s="489">
        <v>5.69</v>
      </c>
      <c r="Q93" s="469" t="s">
        <v>77</v>
      </c>
      <c r="R93" s="415" t="s">
        <v>33</v>
      </c>
      <c r="S93" s="415" t="s">
        <v>34</v>
      </c>
      <c r="T93" s="415"/>
      <c r="U93" s="480"/>
      <c r="V93" s="468">
        <f>IF(N93&lt;&gt;0, IF(N93&gt;=P93,ROUNDDOWN(N93/P93*100,0),""),"")</f>
        <v>107</v>
      </c>
    </row>
    <row r="94" spans="1:22" s="461" customFormat="1" ht="23.1" customHeight="1">
      <c r="A94" s="481"/>
      <c r="B94" s="460"/>
      <c r="C94" s="477"/>
      <c r="D94" s="422" t="s">
        <v>1548</v>
      </c>
      <c r="E94" s="473" t="s">
        <v>166</v>
      </c>
      <c r="F94" s="416">
        <v>5.1929999999999996</v>
      </c>
      <c r="G94" s="473">
        <v>765</v>
      </c>
      <c r="H94" s="416">
        <v>177</v>
      </c>
      <c r="I94" s="473" t="s">
        <v>71</v>
      </c>
      <c r="J94" s="416">
        <v>4516</v>
      </c>
      <c r="K94" s="415">
        <v>12618</v>
      </c>
      <c r="L94" s="415">
        <v>7992</v>
      </c>
      <c r="M94" s="415" t="s">
        <v>1546</v>
      </c>
      <c r="N94" s="482">
        <v>6.1</v>
      </c>
      <c r="O94" s="471">
        <f>IF(N94&gt;0,1/N94*37.7*68.6,"")</f>
        <v>423.97049180327872</v>
      </c>
      <c r="P94" s="489">
        <v>5.69</v>
      </c>
      <c r="Q94" s="469" t="s">
        <v>77</v>
      </c>
      <c r="R94" s="415" t="s">
        <v>33</v>
      </c>
      <c r="S94" s="415" t="s">
        <v>110</v>
      </c>
      <c r="T94" s="415"/>
      <c r="U94" s="480"/>
      <c r="V94" s="468">
        <f>IF(N94&lt;&gt;0, IF(N94&gt;=P94,ROUNDDOWN(N94/P94*100,0),""),"")</f>
        <v>107</v>
      </c>
    </row>
    <row r="95" spans="1:22" s="461" customFormat="1" ht="23.1" customHeight="1">
      <c r="A95" s="481"/>
      <c r="B95" s="460"/>
      <c r="C95" s="477"/>
      <c r="D95" s="422" t="s">
        <v>1547</v>
      </c>
      <c r="E95" s="473" t="s">
        <v>166</v>
      </c>
      <c r="F95" s="416">
        <v>5.1929999999999996</v>
      </c>
      <c r="G95" s="473">
        <v>765</v>
      </c>
      <c r="H95" s="416">
        <v>177</v>
      </c>
      <c r="I95" s="473" t="s">
        <v>71</v>
      </c>
      <c r="J95" s="416">
        <v>5533</v>
      </c>
      <c r="K95" s="415">
        <v>14543</v>
      </c>
      <c r="L95" s="415">
        <v>8900</v>
      </c>
      <c r="M95" s="415" t="s">
        <v>1546</v>
      </c>
      <c r="N95" s="482">
        <v>5.4</v>
      </c>
      <c r="O95" s="471">
        <f>IF(N95&gt;0,1/N95*37.7*68.6,"")</f>
        <v>478.92962962962963</v>
      </c>
      <c r="P95" s="489">
        <v>4.97</v>
      </c>
      <c r="Q95" s="469" t="s">
        <v>43</v>
      </c>
      <c r="R95" s="415" t="s">
        <v>33</v>
      </c>
      <c r="S95" s="415" t="s">
        <v>34</v>
      </c>
      <c r="T95" s="415"/>
      <c r="U95" s="480"/>
      <c r="V95" s="468">
        <f>IF(N95&lt;&gt;0, IF(N95&gt;=P95,ROUNDDOWN(N95/P95*100,0),""),"")</f>
        <v>108</v>
      </c>
    </row>
    <row r="96" spans="1:22" s="461" customFormat="1" ht="23.1" customHeight="1">
      <c r="A96" s="481"/>
      <c r="B96" s="460"/>
      <c r="C96" s="477"/>
      <c r="D96" s="422" t="s">
        <v>1547</v>
      </c>
      <c r="E96" s="473" t="s">
        <v>166</v>
      </c>
      <c r="F96" s="416">
        <v>5.1929999999999996</v>
      </c>
      <c r="G96" s="473">
        <v>765</v>
      </c>
      <c r="H96" s="416">
        <v>177</v>
      </c>
      <c r="I96" s="473" t="s">
        <v>71</v>
      </c>
      <c r="J96" s="416">
        <v>5533</v>
      </c>
      <c r="K96" s="415">
        <v>14543</v>
      </c>
      <c r="L96" s="415">
        <v>8900</v>
      </c>
      <c r="M96" s="415" t="s">
        <v>1546</v>
      </c>
      <c r="N96" s="491">
        <v>5.3</v>
      </c>
      <c r="O96" s="490">
        <f>IF(N96&gt;0,1/N96*37.7*68.6,"")</f>
        <v>487.96603773584911</v>
      </c>
      <c r="P96" s="489">
        <v>4.97</v>
      </c>
      <c r="Q96" s="469" t="s">
        <v>77</v>
      </c>
      <c r="R96" s="415" t="s">
        <v>33</v>
      </c>
      <c r="S96" s="415" t="s">
        <v>117</v>
      </c>
      <c r="T96" s="415"/>
      <c r="U96" s="480"/>
      <c r="V96" s="468">
        <f>IF(N96&lt;&gt;0, IF(N96&gt;=P96,ROUNDDOWN(N96/P96*100,0),""),"")</f>
        <v>106</v>
      </c>
    </row>
    <row r="97" spans="1:22" s="461" customFormat="1" ht="23.1" customHeight="1">
      <c r="A97" s="481"/>
      <c r="B97" s="460"/>
      <c r="C97" s="477"/>
      <c r="D97" s="422" t="s">
        <v>1545</v>
      </c>
      <c r="E97" s="473" t="s">
        <v>233</v>
      </c>
      <c r="F97" s="495" t="s">
        <v>234</v>
      </c>
      <c r="G97" s="473">
        <v>1177</v>
      </c>
      <c r="H97" s="416">
        <v>228</v>
      </c>
      <c r="I97" s="473" t="s">
        <v>235</v>
      </c>
      <c r="J97" s="416">
        <v>8688</v>
      </c>
      <c r="K97" s="415">
        <v>19887</v>
      </c>
      <c r="L97" s="415">
        <v>11089</v>
      </c>
      <c r="M97" s="415" t="s">
        <v>1546</v>
      </c>
      <c r="N97" s="482">
        <v>4.25</v>
      </c>
      <c r="O97" s="490">
        <f>IF(N97&gt;0,1/N97*37.7*68.6,"")</f>
        <v>608.52235294117645</v>
      </c>
      <c r="P97" s="489">
        <v>4.1500000000000004</v>
      </c>
      <c r="Q97" s="469" t="s">
        <v>43</v>
      </c>
      <c r="R97" s="415" t="s">
        <v>33</v>
      </c>
      <c r="S97" s="415" t="s">
        <v>448</v>
      </c>
      <c r="T97" s="415"/>
      <c r="U97" s="480"/>
      <c r="V97" s="468">
        <f>IF(N97&lt;&gt;0, IF(N97&gt;=P97,ROUNDDOWN(N97/P97*100,0),""),"")</f>
        <v>102</v>
      </c>
    </row>
    <row r="98" spans="1:22" s="461" customFormat="1" ht="23.1" customHeight="1">
      <c r="A98" s="481"/>
      <c r="B98" s="460"/>
      <c r="C98" s="477"/>
      <c r="D98" s="422" t="s">
        <v>1545</v>
      </c>
      <c r="E98" s="473" t="s">
        <v>237</v>
      </c>
      <c r="F98" s="495" t="s">
        <v>234</v>
      </c>
      <c r="G98" s="473">
        <v>1177</v>
      </c>
      <c r="H98" s="416">
        <v>228</v>
      </c>
      <c r="I98" s="473" t="s">
        <v>235</v>
      </c>
      <c r="J98" s="416">
        <v>8688</v>
      </c>
      <c r="K98" s="415">
        <v>19887</v>
      </c>
      <c r="L98" s="415">
        <v>11089</v>
      </c>
      <c r="M98" s="415" t="s">
        <v>1546</v>
      </c>
      <c r="N98" s="482">
        <v>4.1500000000000004</v>
      </c>
      <c r="O98" s="471">
        <f>IF(N98&gt;0,1/N98*37.7*68.6,"")</f>
        <v>623.1855421686746</v>
      </c>
      <c r="P98" s="489">
        <v>4.1500000000000004</v>
      </c>
      <c r="Q98" s="469" t="s">
        <v>63</v>
      </c>
      <c r="R98" s="415" t="s">
        <v>33</v>
      </c>
      <c r="S98" s="415" t="s">
        <v>448</v>
      </c>
      <c r="T98" s="415"/>
      <c r="U98" s="480"/>
      <c r="V98" s="468">
        <f>IF(N98&lt;&gt;0, IF(N98&gt;=P98,ROUNDDOWN(N98/P98*100,0),""),"")</f>
        <v>100</v>
      </c>
    </row>
    <row r="99" spans="1:22" s="461" customFormat="1" ht="23.1" customHeight="1">
      <c r="A99" s="481"/>
      <c r="B99" s="460"/>
      <c r="C99" s="477"/>
      <c r="D99" s="422" t="s">
        <v>1545</v>
      </c>
      <c r="E99" s="473" t="s">
        <v>237</v>
      </c>
      <c r="F99" s="495" t="s">
        <v>234</v>
      </c>
      <c r="G99" s="473">
        <v>1177</v>
      </c>
      <c r="H99" s="416">
        <v>228</v>
      </c>
      <c r="I99" s="473" t="s">
        <v>235</v>
      </c>
      <c r="J99" s="416">
        <v>8765</v>
      </c>
      <c r="K99" s="415">
        <v>24405</v>
      </c>
      <c r="L99" s="415">
        <v>15530</v>
      </c>
      <c r="M99" s="415" t="s">
        <v>1544</v>
      </c>
      <c r="N99" s="482">
        <v>4.0999999999999996</v>
      </c>
      <c r="O99" s="471">
        <f>IF(N99&gt;0,1/N99*37.7*68.6,"")</f>
        <v>630.78536585365862</v>
      </c>
      <c r="P99" s="489">
        <v>4.04</v>
      </c>
      <c r="Q99" s="469" t="s">
        <v>43</v>
      </c>
      <c r="R99" s="415" t="s">
        <v>33</v>
      </c>
      <c r="S99" s="415" t="s">
        <v>448</v>
      </c>
      <c r="T99" s="415"/>
      <c r="U99" s="480"/>
      <c r="V99" s="468">
        <f>IF(N99&lt;&gt;0, IF(N99&gt;=P99,ROUNDDOWN(N99/P99*100,0),""),"")</f>
        <v>101</v>
      </c>
    </row>
    <row r="100" spans="1:22" s="461" customFormat="1" ht="23.1" customHeight="1">
      <c r="A100" s="481"/>
      <c r="B100" s="460"/>
      <c r="C100" s="477"/>
      <c r="D100" s="422" t="s">
        <v>1545</v>
      </c>
      <c r="E100" s="473" t="s">
        <v>237</v>
      </c>
      <c r="F100" s="495" t="s">
        <v>234</v>
      </c>
      <c r="G100" s="473">
        <v>1177</v>
      </c>
      <c r="H100" s="416">
        <v>228</v>
      </c>
      <c r="I100" s="473" t="s">
        <v>235</v>
      </c>
      <c r="J100" s="416">
        <v>8765</v>
      </c>
      <c r="K100" s="415">
        <v>24405</v>
      </c>
      <c r="L100" s="415">
        <v>15530</v>
      </c>
      <c r="M100" s="415" t="s">
        <v>1544</v>
      </c>
      <c r="N100" s="482">
        <v>4.05</v>
      </c>
      <c r="O100" s="471">
        <f>IF(N100&gt;0,1/N100*37.7*68.6,"")</f>
        <v>638.57283950617284</v>
      </c>
      <c r="P100" s="489">
        <v>4.04</v>
      </c>
      <c r="Q100" s="469" t="s">
        <v>63</v>
      </c>
      <c r="R100" s="415" t="s">
        <v>33</v>
      </c>
      <c r="S100" s="415" t="s">
        <v>448</v>
      </c>
      <c r="T100" s="415"/>
      <c r="U100" s="480"/>
      <c r="V100" s="468">
        <f>IF(N100&lt;&gt;0, IF(N100&gt;=P100,ROUNDDOWN(N100/P100*100,0),""),"")</f>
        <v>100</v>
      </c>
    </row>
    <row r="101" spans="1:22" s="461" customFormat="1" ht="23.1" customHeight="1">
      <c r="A101" s="481"/>
      <c r="B101" s="460"/>
      <c r="C101" s="477"/>
      <c r="D101" s="494" t="s">
        <v>1543</v>
      </c>
      <c r="E101" s="493" t="s">
        <v>166</v>
      </c>
      <c r="F101" s="492">
        <v>5.1929999999999996</v>
      </c>
      <c r="G101" s="493">
        <v>765</v>
      </c>
      <c r="H101" s="492">
        <v>177</v>
      </c>
      <c r="I101" s="493" t="s">
        <v>235</v>
      </c>
      <c r="J101" s="492">
        <v>8688</v>
      </c>
      <c r="K101" s="486">
        <v>19887</v>
      </c>
      <c r="L101" s="486">
        <v>11089</v>
      </c>
      <c r="M101" s="415" t="s">
        <v>1542</v>
      </c>
      <c r="N101" s="491">
        <v>4.1500000000000004</v>
      </c>
      <c r="O101" s="490">
        <f>IF(N101&gt;0,1/N101*37.7*68.6,"")</f>
        <v>623.1855421686746</v>
      </c>
      <c r="P101" s="489">
        <v>4.1500000000000004</v>
      </c>
      <c r="Q101" s="469" t="s">
        <v>63</v>
      </c>
      <c r="R101" s="415" t="s">
        <v>33</v>
      </c>
      <c r="S101" s="415" t="s">
        <v>274</v>
      </c>
      <c r="T101" s="415"/>
      <c r="U101" s="480"/>
      <c r="V101" s="468">
        <f>IF(N101&lt;&gt;0, IF(N101&gt;=P101,ROUNDDOWN(N101/P101*100,0),""),"")</f>
        <v>100</v>
      </c>
    </row>
    <row r="102" spans="1:22" s="461" customFormat="1" ht="23.1" customHeight="1">
      <c r="A102" s="488" t="s">
        <v>1541</v>
      </c>
      <c r="B102" s="487"/>
      <c r="C102" s="486" t="s">
        <v>424</v>
      </c>
      <c r="D102" s="422" t="s">
        <v>1540</v>
      </c>
      <c r="E102" s="473" t="s">
        <v>1539</v>
      </c>
      <c r="F102" s="416">
        <v>7.6970000000000001</v>
      </c>
      <c r="G102" s="416">
        <v>1428</v>
      </c>
      <c r="H102" s="416">
        <v>263</v>
      </c>
      <c r="I102" s="473" t="s">
        <v>431</v>
      </c>
      <c r="J102" s="416">
        <v>8688</v>
      </c>
      <c r="K102" s="415">
        <v>19887</v>
      </c>
      <c r="L102" s="415">
        <v>11089</v>
      </c>
      <c r="M102" s="415" t="s">
        <v>1454</v>
      </c>
      <c r="N102" s="472">
        <v>4.4000000000000004</v>
      </c>
      <c r="O102" s="471">
        <f>IF(N102&gt;0,1/N102*37.7*68.6,"")</f>
        <v>587.7772727272727</v>
      </c>
      <c r="P102" s="470">
        <v>4.1500000000000004</v>
      </c>
      <c r="Q102" s="469" t="s">
        <v>435</v>
      </c>
      <c r="R102" s="415" t="s">
        <v>427</v>
      </c>
      <c r="S102" s="415" t="s">
        <v>448</v>
      </c>
      <c r="T102" s="415" t="s">
        <v>1452</v>
      </c>
      <c r="U102" s="414" t="s">
        <v>1452</v>
      </c>
      <c r="V102" s="468">
        <f>IF(N102&lt;&gt;0, IF(N102&gt;=P102,ROUNDDOWN(N102/P102*100,0),""),"")</f>
        <v>106</v>
      </c>
    </row>
    <row r="103" spans="1:22" s="461" customFormat="1" ht="23.1" customHeight="1">
      <c r="A103" s="479"/>
      <c r="B103" s="478"/>
      <c r="C103" s="485"/>
      <c r="D103" s="422" t="s">
        <v>1538</v>
      </c>
      <c r="E103" s="473" t="s">
        <v>1534</v>
      </c>
      <c r="F103" s="416">
        <v>7.6970000000000001</v>
      </c>
      <c r="G103" s="416">
        <v>1428</v>
      </c>
      <c r="H103" s="416">
        <v>263</v>
      </c>
      <c r="I103" s="473" t="s">
        <v>431</v>
      </c>
      <c r="J103" s="416">
        <v>8765</v>
      </c>
      <c r="K103" s="415">
        <v>24405</v>
      </c>
      <c r="L103" s="415">
        <v>15530</v>
      </c>
      <c r="M103" s="415" t="s">
        <v>1454</v>
      </c>
      <c r="N103" s="472">
        <v>4.25</v>
      </c>
      <c r="O103" s="471">
        <f>IF(N103&gt;0,1/N103*37.7*68.6,"")</f>
        <v>608.52235294117645</v>
      </c>
      <c r="P103" s="470">
        <v>4.04</v>
      </c>
      <c r="Q103" s="469" t="s">
        <v>435</v>
      </c>
      <c r="R103" s="415" t="s">
        <v>427</v>
      </c>
      <c r="S103" s="415" t="s">
        <v>454</v>
      </c>
      <c r="T103" s="415" t="s">
        <v>1452</v>
      </c>
      <c r="U103" s="414" t="s">
        <v>1452</v>
      </c>
      <c r="V103" s="468">
        <f>IF(N103&lt;&gt;0, IF(N103&gt;=P103,ROUNDDOWN(N103/P103*100,0),""),"")</f>
        <v>105</v>
      </c>
    </row>
    <row r="104" spans="1:22" s="461" customFormat="1" ht="23.1" customHeight="1">
      <c r="A104" s="479"/>
      <c r="B104" s="478"/>
      <c r="C104" s="485"/>
      <c r="D104" s="422" t="s">
        <v>1537</v>
      </c>
      <c r="E104" s="473" t="s">
        <v>1534</v>
      </c>
      <c r="F104" s="416">
        <v>7.6970000000000001</v>
      </c>
      <c r="G104" s="416">
        <v>1428</v>
      </c>
      <c r="H104" s="416">
        <v>263</v>
      </c>
      <c r="I104" s="473" t="s">
        <v>431</v>
      </c>
      <c r="J104" s="416">
        <v>8765</v>
      </c>
      <c r="K104" s="415">
        <v>24405</v>
      </c>
      <c r="L104" s="415">
        <v>15530</v>
      </c>
      <c r="M104" s="415" t="s">
        <v>1454</v>
      </c>
      <c r="N104" s="472">
        <v>4.25</v>
      </c>
      <c r="O104" s="471">
        <f>IF(N104&gt;0,1/N104*37.7*68.6,"")</f>
        <v>608.52235294117645</v>
      </c>
      <c r="P104" s="470">
        <v>4.04</v>
      </c>
      <c r="Q104" s="469" t="s">
        <v>435</v>
      </c>
      <c r="R104" s="415" t="s">
        <v>427</v>
      </c>
      <c r="S104" s="415" t="s">
        <v>1480</v>
      </c>
      <c r="T104" s="415" t="s">
        <v>1452</v>
      </c>
      <c r="U104" s="414" t="s">
        <v>1452</v>
      </c>
      <c r="V104" s="468">
        <f>IF(N104&lt;&gt;0, IF(N104&gt;=P104,ROUNDDOWN(N104/P104*100,0),""),"")</f>
        <v>105</v>
      </c>
    </row>
    <row r="105" spans="1:22" s="461" customFormat="1" ht="23.1" customHeight="1">
      <c r="A105" s="479"/>
      <c r="B105" s="478"/>
      <c r="C105" s="485"/>
      <c r="D105" s="422" t="s">
        <v>1536</v>
      </c>
      <c r="E105" s="473" t="s">
        <v>1534</v>
      </c>
      <c r="F105" s="416">
        <v>7.6970000000000001</v>
      </c>
      <c r="G105" s="416">
        <v>1428</v>
      </c>
      <c r="H105" s="416">
        <v>263</v>
      </c>
      <c r="I105" s="473" t="s">
        <v>431</v>
      </c>
      <c r="J105" s="416">
        <v>8765</v>
      </c>
      <c r="K105" s="415">
        <v>24405</v>
      </c>
      <c r="L105" s="415">
        <v>15530</v>
      </c>
      <c r="M105" s="415" t="s">
        <v>1454</v>
      </c>
      <c r="N105" s="472">
        <v>4.25</v>
      </c>
      <c r="O105" s="471">
        <f>IF(N105&gt;0,1/N105*37.7*68.6,"")</f>
        <v>608.52235294117645</v>
      </c>
      <c r="P105" s="470">
        <v>4.04</v>
      </c>
      <c r="Q105" s="469" t="s">
        <v>435</v>
      </c>
      <c r="R105" s="415" t="s">
        <v>427</v>
      </c>
      <c r="S105" s="415" t="s">
        <v>1480</v>
      </c>
      <c r="T105" s="415" t="s">
        <v>1452</v>
      </c>
      <c r="U105" s="414" t="s">
        <v>1452</v>
      </c>
      <c r="V105" s="468">
        <f>IF(N105&lt;&gt;0, IF(N105&gt;=P105,ROUNDDOWN(N105/P105*100,0),""),"")</f>
        <v>105</v>
      </c>
    </row>
    <row r="106" spans="1:22" s="461" customFormat="1" ht="23.1" customHeight="1">
      <c r="A106" s="479"/>
      <c r="B106" s="478"/>
      <c r="C106" s="485"/>
      <c r="D106" s="422" t="s">
        <v>1535</v>
      </c>
      <c r="E106" s="473" t="s">
        <v>1534</v>
      </c>
      <c r="F106" s="416">
        <v>7.6970000000000001</v>
      </c>
      <c r="G106" s="416">
        <v>1428</v>
      </c>
      <c r="H106" s="416">
        <v>263</v>
      </c>
      <c r="I106" s="473" t="s">
        <v>431</v>
      </c>
      <c r="J106" s="416">
        <v>8765</v>
      </c>
      <c r="K106" s="415">
        <v>24405</v>
      </c>
      <c r="L106" s="415">
        <v>15530</v>
      </c>
      <c r="M106" s="415" t="s">
        <v>1454</v>
      </c>
      <c r="N106" s="472">
        <v>4.25</v>
      </c>
      <c r="O106" s="471">
        <f>IF(N106&gt;0,1/N106*37.7*68.6,"")</f>
        <v>608.52235294117645</v>
      </c>
      <c r="P106" s="470">
        <v>4.04</v>
      </c>
      <c r="Q106" s="469" t="s">
        <v>435</v>
      </c>
      <c r="R106" s="415" t="s">
        <v>427</v>
      </c>
      <c r="S106" s="415" t="s">
        <v>1533</v>
      </c>
      <c r="T106" s="415" t="s">
        <v>1452</v>
      </c>
      <c r="U106" s="414" t="s">
        <v>1452</v>
      </c>
      <c r="V106" s="468">
        <f>IF(N106&lt;&gt;0, IF(N106&gt;=P106,ROUNDDOWN(N106/P106*100,0),""),"")</f>
        <v>105</v>
      </c>
    </row>
    <row r="107" spans="1:22" s="461" customFormat="1" ht="23.1" customHeight="1">
      <c r="A107" s="437"/>
      <c r="B107" s="484"/>
      <c r="C107" s="477"/>
      <c r="D107" s="422" t="s">
        <v>1532</v>
      </c>
      <c r="E107" s="473" t="s">
        <v>426</v>
      </c>
      <c r="F107" s="416">
        <v>10.836</v>
      </c>
      <c r="G107" s="473">
        <v>1750</v>
      </c>
      <c r="H107" s="416">
        <v>265</v>
      </c>
      <c r="I107" s="473" t="s">
        <v>261</v>
      </c>
      <c r="J107" s="416">
        <v>8688</v>
      </c>
      <c r="K107" s="415">
        <v>19887</v>
      </c>
      <c r="L107" s="415">
        <v>11089</v>
      </c>
      <c r="M107" s="415" t="s">
        <v>1454</v>
      </c>
      <c r="N107" s="472">
        <v>4.57</v>
      </c>
      <c r="O107" s="471">
        <f>IF(N107&gt;0,1/N107*37.7*68.6,"")</f>
        <v>565.91247264770232</v>
      </c>
      <c r="P107" s="470">
        <v>4.1500000000000004</v>
      </c>
      <c r="Q107" s="469" t="s">
        <v>432</v>
      </c>
      <c r="R107" s="415" t="s">
        <v>427</v>
      </c>
      <c r="S107" s="415" t="s">
        <v>1480</v>
      </c>
      <c r="T107" s="415" t="s">
        <v>1452</v>
      </c>
      <c r="U107" s="480" t="s">
        <v>1452</v>
      </c>
      <c r="V107" s="468">
        <f>IF(N107&lt;&gt;0, IF(N107&gt;=P107,ROUNDDOWN(N107/P107*100,0),""),"")</f>
        <v>110</v>
      </c>
    </row>
    <row r="108" spans="1:22" s="461" customFormat="1" ht="23.1" customHeight="1">
      <c r="A108" s="437"/>
      <c r="B108" s="484"/>
      <c r="C108" s="477"/>
      <c r="D108" s="422" t="s">
        <v>1531</v>
      </c>
      <c r="E108" s="473" t="s">
        <v>426</v>
      </c>
      <c r="F108" s="416">
        <v>10.836</v>
      </c>
      <c r="G108" s="473">
        <v>1750</v>
      </c>
      <c r="H108" s="416">
        <v>265</v>
      </c>
      <c r="I108" s="473" t="s">
        <v>261</v>
      </c>
      <c r="J108" s="416">
        <v>8688</v>
      </c>
      <c r="K108" s="415">
        <v>19887</v>
      </c>
      <c r="L108" s="415">
        <v>11089</v>
      </c>
      <c r="M108" s="415" t="s">
        <v>1454</v>
      </c>
      <c r="N108" s="472">
        <v>4.4000000000000004</v>
      </c>
      <c r="O108" s="471">
        <f>IF(N108&gt;0,1/N108*37.7*68.6,"")</f>
        <v>587.7772727272727</v>
      </c>
      <c r="P108" s="470">
        <v>4.1500000000000004</v>
      </c>
      <c r="Q108" s="469" t="s">
        <v>435</v>
      </c>
      <c r="R108" s="415" t="s">
        <v>427</v>
      </c>
      <c r="S108" s="415" t="s">
        <v>1480</v>
      </c>
      <c r="T108" s="415" t="s">
        <v>1452</v>
      </c>
      <c r="U108" s="480" t="s">
        <v>1452</v>
      </c>
      <c r="V108" s="468">
        <f>IF(N108&lt;&gt;0, IF(N108&gt;=P108,ROUNDDOWN(N108/P108*100,0),""),"")</f>
        <v>106</v>
      </c>
    </row>
    <row r="109" spans="1:22" s="461" customFormat="1" ht="23.1" customHeight="1">
      <c r="A109" s="483"/>
      <c r="B109" s="410"/>
      <c r="C109" s="477"/>
      <c r="D109" s="422" t="s">
        <v>1529</v>
      </c>
      <c r="E109" s="473" t="s">
        <v>426</v>
      </c>
      <c r="F109" s="416">
        <v>10.836</v>
      </c>
      <c r="G109" s="473">
        <v>1750</v>
      </c>
      <c r="H109" s="416">
        <v>265</v>
      </c>
      <c r="I109" s="473" t="s">
        <v>243</v>
      </c>
      <c r="J109" s="416">
        <v>8688</v>
      </c>
      <c r="K109" s="415">
        <v>19887</v>
      </c>
      <c r="L109" s="415">
        <v>11089</v>
      </c>
      <c r="M109" s="415" t="s">
        <v>1454</v>
      </c>
      <c r="N109" s="472">
        <v>4.57</v>
      </c>
      <c r="O109" s="471">
        <f>IF(N109&gt;0,1/N109*37.7*68.6,"")</f>
        <v>565.91247264770232</v>
      </c>
      <c r="P109" s="470">
        <v>4.1500000000000004</v>
      </c>
      <c r="Q109" s="469" t="s">
        <v>432</v>
      </c>
      <c r="R109" s="415" t="s">
        <v>427</v>
      </c>
      <c r="S109" s="415" t="s">
        <v>448</v>
      </c>
      <c r="T109" s="415" t="s">
        <v>1452</v>
      </c>
      <c r="U109" s="480" t="s">
        <v>1452</v>
      </c>
      <c r="V109" s="468">
        <f>IF(N109&lt;&gt;0, IF(N109&gt;=P109,ROUNDDOWN(N109/P109*100,0),""),"")</f>
        <v>110</v>
      </c>
    </row>
    <row r="110" spans="1:22" s="461" customFormat="1" ht="23.1" customHeight="1">
      <c r="A110" s="483"/>
      <c r="B110" s="410"/>
      <c r="C110" s="477"/>
      <c r="D110" s="422" t="s">
        <v>1528</v>
      </c>
      <c r="E110" s="473" t="s">
        <v>426</v>
      </c>
      <c r="F110" s="416">
        <v>10.836</v>
      </c>
      <c r="G110" s="473">
        <v>1750</v>
      </c>
      <c r="H110" s="416">
        <v>265</v>
      </c>
      <c r="I110" s="473" t="s">
        <v>243</v>
      </c>
      <c r="J110" s="416">
        <v>8688</v>
      </c>
      <c r="K110" s="415">
        <v>19887</v>
      </c>
      <c r="L110" s="415">
        <v>11089</v>
      </c>
      <c r="M110" s="415" t="s">
        <v>1454</v>
      </c>
      <c r="N110" s="472">
        <v>4.4000000000000004</v>
      </c>
      <c r="O110" s="471">
        <f>IF(N110&gt;0,1/N110*37.7*68.6,"")</f>
        <v>587.7772727272727</v>
      </c>
      <c r="P110" s="470">
        <v>4.1500000000000004</v>
      </c>
      <c r="Q110" s="469" t="s">
        <v>435</v>
      </c>
      <c r="R110" s="415" t="s">
        <v>427</v>
      </c>
      <c r="S110" s="415" t="s">
        <v>448</v>
      </c>
      <c r="T110" s="415" t="s">
        <v>1452</v>
      </c>
      <c r="U110" s="480" t="s">
        <v>1452</v>
      </c>
      <c r="V110" s="468">
        <f>IF(N110&lt;&gt;0, IF(N110&gt;=P110,ROUNDDOWN(N110/P110*100,0),""),"")</f>
        <v>106</v>
      </c>
    </row>
    <row r="111" spans="1:22" s="461" customFormat="1" ht="23.1" customHeight="1">
      <c r="A111" s="483"/>
      <c r="B111" s="410"/>
      <c r="C111" s="477"/>
      <c r="D111" s="422" t="s">
        <v>1527</v>
      </c>
      <c r="E111" s="473" t="s">
        <v>426</v>
      </c>
      <c r="F111" s="416">
        <v>10.836</v>
      </c>
      <c r="G111" s="473">
        <v>2000</v>
      </c>
      <c r="H111" s="416">
        <v>272</v>
      </c>
      <c r="I111" s="473" t="s">
        <v>431</v>
      </c>
      <c r="J111" s="416">
        <v>8688</v>
      </c>
      <c r="K111" s="415">
        <v>19887</v>
      </c>
      <c r="L111" s="415">
        <v>11089</v>
      </c>
      <c r="M111" s="415" t="s">
        <v>1454</v>
      </c>
      <c r="N111" s="472">
        <v>4.7699999999999996</v>
      </c>
      <c r="O111" s="471">
        <f>IF(N111&gt;0,1/N111*37.7*68.6,"")</f>
        <v>542.18448637316567</v>
      </c>
      <c r="P111" s="470">
        <v>4.1500000000000004</v>
      </c>
      <c r="Q111" s="469" t="s">
        <v>432</v>
      </c>
      <c r="R111" s="415" t="s">
        <v>427</v>
      </c>
      <c r="S111" s="415" t="s">
        <v>448</v>
      </c>
      <c r="T111" s="415" t="s">
        <v>1452</v>
      </c>
      <c r="U111" s="480" t="s">
        <v>1452</v>
      </c>
      <c r="V111" s="468">
        <f>IF(N111&lt;&gt;0, IF(N111&gt;=P111,ROUNDDOWN(N111/P111*100,0),""),"")</f>
        <v>114</v>
      </c>
    </row>
    <row r="112" spans="1:22" s="461" customFormat="1" ht="23.1" customHeight="1">
      <c r="A112" s="481"/>
      <c r="B112" s="410"/>
      <c r="C112" s="477"/>
      <c r="D112" s="422" t="s">
        <v>1527</v>
      </c>
      <c r="E112" s="473" t="s">
        <v>426</v>
      </c>
      <c r="F112" s="416">
        <v>10.836</v>
      </c>
      <c r="G112" s="473">
        <v>2000</v>
      </c>
      <c r="H112" s="416">
        <v>272</v>
      </c>
      <c r="I112" s="473" t="s">
        <v>431</v>
      </c>
      <c r="J112" s="416">
        <v>8688</v>
      </c>
      <c r="K112" s="415">
        <v>19887</v>
      </c>
      <c r="L112" s="415">
        <v>11089</v>
      </c>
      <c r="M112" s="415" t="s">
        <v>1454</v>
      </c>
      <c r="N112" s="482">
        <v>4.57</v>
      </c>
      <c r="O112" s="471">
        <f>IF(N112&gt;0,1/N112*37.7*68.6,"")</f>
        <v>565.91247264770232</v>
      </c>
      <c r="P112" s="470">
        <v>4.1500000000000004</v>
      </c>
      <c r="Q112" s="469" t="s">
        <v>435</v>
      </c>
      <c r="R112" s="415" t="s">
        <v>427</v>
      </c>
      <c r="S112" s="415" t="s">
        <v>448</v>
      </c>
      <c r="T112" s="415" t="s">
        <v>1452</v>
      </c>
      <c r="U112" s="480" t="s">
        <v>1452</v>
      </c>
      <c r="V112" s="468">
        <f>IF(N112&lt;&gt;0, IF(N112&gt;=P112,ROUNDDOWN(N112/P112*100,0),""),"")</f>
        <v>110</v>
      </c>
    </row>
    <row r="113" spans="1:22" s="461" customFormat="1" ht="23.1" customHeight="1">
      <c r="A113" s="481"/>
      <c r="B113" s="410"/>
      <c r="C113" s="477"/>
      <c r="D113" s="422" t="s">
        <v>1530</v>
      </c>
      <c r="E113" s="473" t="s">
        <v>426</v>
      </c>
      <c r="F113" s="416">
        <v>10.836</v>
      </c>
      <c r="G113" s="473">
        <v>2000</v>
      </c>
      <c r="H113" s="416">
        <v>272</v>
      </c>
      <c r="I113" s="473" t="s">
        <v>431</v>
      </c>
      <c r="J113" s="416">
        <v>8688</v>
      </c>
      <c r="K113" s="415">
        <v>19887</v>
      </c>
      <c r="L113" s="415">
        <v>11089</v>
      </c>
      <c r="M113" s="415" t="s">
        <v>1454</v>
      </c>
      <c r="N113" s="472">
        <v>4.7699999999999996</v>
      </c>
      <c r="O113" s="471">
        <f>IF(N113&gt;0,1/N113*37.7*68.6,"")</f>
        <v>542.18448637316567</v>
      </c>
      <c r="P113" s="470">
        <v>4.1500000000000004</v>
      </c>
      <c r="Q113" s="469" t="s">
        <v>432</v>
      </c>
      <c r="R113" s="415" t="s">
        <v>427</v>
      </c>
      <c r="S113" s="415" t="s">
        <v>1480</v>
      </c>
      <c r="T113" s="415" t="s">
        <v>1452</v>
      </c>
      <c r="U113" s="480" t="s">
        <v>1452</v>
      </c>
      <c r="V113" s="468">
        <f>IF(N113&lt;&gt;0, IF(N113&gt;=P113,ROUNDDOWN(N113/P113*100,0),""),"")</f>
        <v>114</v>
      </c>
    </row>
    <row r="114" spans="1:22" s="461" customFormat="1" ht="23.1" customHeight="1">
      <c r="A114" s="481"/>
      <c r="B114" s="410"/>
      <c r="C114" s="477"/>
      <c r="D114" s="422" t="s">
        <v>1532</v>
      </c>
      <c r="E114" s="473" t="s">
        <v>426</v>
      </c>
      <c r="F114" s="416">
        <v>10.836</v>
      </c>
      <c r="G114" s="473">
        <v>2000</v>
      </c>
      <c r="H114" s="416">
        <v>272</v>
      </c>
      <c r="I114" s="473" t="s">
        <v>445</v>
      </c>
      <c r="J114" s="416">
        <v>8688</v>
      </c>
      <c r="K114" s="415">
        <v>19887</v>
      </c>
      <c r="L114" s="415">
        <v>11089</v>
      </c>
      <c r="M114" s="415" t="s">
        <v>1454</v>
      </c>
      <c r="N114" s="482">
        <v>4.57</v>
      </c>
      <c r="O114" s="471">
        <f>IF(N114&gt;0,1/N114*37.7*68.6,"")</f>
        <v>565.91247264770232</v>
      </c>
      <c r="P114" s="470">
        <v>4.1500000000000004</v>
      </c>
      <c r="Q114" s="469" t="s">
        <v>435</v>
      </c>
      <c r="R114" s="415" t="s">
        <v>427</v>
      </c>
      <c r="S114" s="415" t="s">
        <v>1480</v>
      </c>
      <c r="T114" s="415" t="s">
        <v>1452</v>
      </c>
      <c r="U114" s="480" t="s">
        <v>1452</v>
      </c>
      <c r="V114" s="468">
        <f>IF(N114&lt;&gt;0, IF(N114&gt;=P114,ROUNDDOWN(N114/P114*100,0),""),"")</f>
        <v>110</v>
      </c>
    </row>
    <row r="115" spans="1:22" s="461" customFormat="1" ht="23.1" customHeight="1">
      <c r="A115" s="481"/>
      <c r="B115" s="410"/>
      <c r="C115" s="477"/>
      <c r="D115" s="422" t="s">
        <v>1532</v>
      </c>
      <c r="E115" s="473" t="s">
        <v>426</v>
      </c>
      <c r="F115" s="416">
        <v>10.836</v>
      </c>
      <c r="G115" s="473">
        <v>1750</v>
      </c>
      <c r="H115" s="416">
        <v>287</v>
      </c>
      <c r="I115" s="473" t="s">
        <v>243</v>
      </c>
      <c r="J115" s="416">
        <v>8688</v>
      </c>
      <c r="K115" s="415">
        <v>19887</v>
      </c>
      <c r="L115" s="415">
        <v>11089</v>
      </c>
      <c r="M115" s="415" t="s">
        <v>1454</v>
      </c>
      <c r="N115" s="482">
        <v>4.57</v>
      </c>
      <c r="O115" s="471">
        <f>IF(N115&gt;0,1/N115*37.7*68.6,"")</f>
        <v>565.91247264770232</v>
      </c>
      <c r="P115" s="470">
        <v>4.1500000000000004</v>
      </c>
      <c r="Q115" s="469" t="s">
        <v>432</v>
      </c>
      <c r="R115" s="415" t="s">
        <v>427</v>
      </c>
      <c r="S115" s="415" t="s">
        <v>1480</v>
      </c>
      <c r="T115" s="415" t="s">
        <v>1452</v>
      </c>
      <c r="U115" s="480" t="s">
        <v>1452</v>
      </c>
      <c r="V115" s="468">
        <f>IF(N115&lt;&gt;0, IF(N115&gt;=P115,ROUNDDOWN(N115/P115*100,0),""),"")</f>
        <v>110</v>
      </c>
    </row>
    <row r="116" spans="1:22" s="461" customFormat="1" ht="23.1" customHeight="1">
      <c r="A116" s="481"/>
      <c r="B116" s="410"/>
      <c r="C116" s="477"/>
      <c r="D116" s="422" t="s">
        <v>1531</v>
      </c>
      <c r="E116" s="473" t="s">
        <v>426</v>
      </c>
      <c r="F116" s="416">
        <v>10.836</v>
      </c>
      <c r="G116" s="473">
        <v>1750</v>
      </c>
      <c r="H116" s="416">
        <v>287</v>
      </c>
      <c r="I116" s="473" t="s">
        <v>261</v>
      </c>
      <c r="J116" s="416">
        <v>8688</v>
      </c>
      <c r="K116" s="415">
        <v>19887</v>
      </c>
      <c r="L116" s="415">
        <v>11089</v>
      </c>
      <c r="M116" s="415" t="s">
        <v>1454</v>
      </c>
      <c r="N116" s="472">
        <v>4.4000000000000004</v>
      </c>
      <c r="O116" s="471">
        <f>IF(N116&gt;0,1/N116*37.7*68.6,"")</f>
        <v>587.7772727272727</v>
      </c>
      <c r="P116" s="470">
        <v>4.1500000000000004</v>
      </c>
      <c r="Q116" s="469" t="s">
        <v>434</v>
      </c>
      <c r="R116" s="415" t="s">
        <v>433</v>
      </c>
      <c r="S116" s="415" t="s">
        <v>1480</v>
      </c>
      <c r="T116" s="415" t="s">
        <v>1452</v>
      </c>
      <c r="U116" s="480" t="s">
        <v>1452</v>
      </c>
      <c r="V116" s="468">
        <f>IF(N116&lt;&gt;0, IF(N116&gt;=P116,ROUNDDOWN(N116/P116*100,0),""),"")</f>
        <v>106</v>
      </c>
    </row>
    <row r="117" spans="1:22" s="461" customFormat="1" ht="23.1" customHeight="1">
      <c r="A117" s="481"/>
      <c r="B117" s="410"/>
      <c r="C117" s="477"/>
      <c r="D117" s="422" t="s">
        <v>1529</v>
      </c>
      <c r="E117" s="473" t="s">
        <v>426</v>
      </c>
      <c r="F117" s="416">
        <v>10.836</v>
      </c>
      <c r="G117" s="473">
        <v>1750</v>
      </c>
      <c r="H117" s="416">
        <v>287</v>
      </c>
      <c r="I117" s="473" t="s">
        <v>243</v>
      </c>
      <c r="J117" s="416">
        <v>8688</v>
      </c>
      <c r="K117" s="415">
        <v>19887</v>
      </c>
      <c r="L117" s="415">
        <v>11089</v>
      </c>
      <c r="M117" s="415" t="s">
        <v>1454</v>
      </c>
      <c r="N117" s="482">
        <v>4.57</v>
      </c>
      <c r="O117" s="471">
        <f>IF(N117&gt;0,1/N117*37.7*68.6,"")</f>
        <v>565.91247264770232</v>
      </c>
      <c r="P117" s="470">
        <v>4.1500000000000004</v>
      </c>
      <c r="Q117" s="469" t="s">
        <v>432</v>
      </c>
      <c r="R117" s="415" t="s">
        <v>427</v>
      </c>
      <c r="S117" s="415" t="s">
        <v>448</v>
      </c>
      <c r="T117" s="415" t="s">
        <v>1452</v>
      </c>
      <c r="U117" s="480" t="s">
        <v>1452</v>
      </c>
      <c r="V117" s="468">
        <f>IF(N117&lt;&gt;0, IF(N117&gt;=P117,ROUNDDOWN(N117/P117*100,0),""),"")</f>
        <v>110</v>
      </c>
    </row>
    <row r="118" spans="1:22" s="461" customFormat="1" ht="23.1" customHeight="1">
      <c r="A118" s="481"/>
      <c r="B118" s="410"/>
      <c r="C118" s="477"/>
      <c r="D118" s="422" t="s">
        <v>1528</v>
      </c>
      <c r="E118" s="473" t="s">
        <v>426</v>
      </c>
      <c r="F118" s="416">
        <v>10.836</v>
      </c>
      <c r="G118" s="473">
        <v>1750</v>
      </c>
      <c r="H118" s="416">
        <v>287</v>
      </c>
      <c r="I118" s="473" t="s">
        <v>243</v>
      </c>
      <c r="J118" s="416">
        <v>8688</v>
      </c>
      <c r="K118" s="415">
        <v>19887</v>
      </c>
      <c r="L118" s="415">
        <v>11089</v>
      </c>
      <c r="M118" s="415" t="s">
        <v>1454</v>
      </c>
      <c r="N118" s="472">
        <v>4.4000000000000004</v>
      </c>
      <c r="O118" s="471">
        <f>IF(N118&gt;0,1/N118*37.7*68.6,"")</f>
        <v>587.7772727272727</v>
      </c>
      <c r="P118" s="470">
        <v>4.1500000000000004</v>
      </c>
      <c r="Q118" s="469" t="s">
        <v>435</v>
      </c>
      <c r="R118" s="415" t="s">
        <v>427</v>
      </c>
      <c r="S118" s="415" t="s">
        <v>448</v>
      </c>
      <c r="T118" s="415" t="s">
        <v>1452</v>
      </c>
      <c r="U118" s="480" t="s">
        <v>1452</v>
      </c>
      <c r="V118" s="468">
        <f>IF(N118&lt;&gt;0, IF(N118&gt;=P118,ROUNDDOWN(N118/P118*100,0),""),"")</f>
        <v>106</v>
      </c>
    </row>
    <row r="119" spans="1:22" s="461" customFormat="1" ht="23.1" customHeight="1">
      <c r="A119" s="481"/>
      <c r="B119" s="410"/>
      <c r="C119" s="477"/>
      <c r="D119" s="422" t="s">
        <v>1527</v>
      </c>
      <c r="E119" s="473" t="s">
        <v>426</v>
      </c>
      <c r="F119" s="416">
        <v>10.836</v>
      </c>
      <c r="G119" s="473">
        <v>2000</v>
      </c>
      <c r="H119" s="416">
        <v>294</v>
      </c>
      <c r="I119" s="473" t="s">
        <v>431</v>
      </c>
      <c r="J119" s="416">
        <v>8688</v>
      </c>
      <c r="K119" s="415">
        <v>19887</v>
      </c>
      <c r="L119" s="415">
        <v>11089</v>
      </c>
      <c r="M119" s="415" t="s">
        <v>1454</v>
      </c>
      <c r="N119" s="472">
        <v>4.7699999999999996</v>
      </c>
      <c r="O119" s="471">
        <f>IF(N119&gt;0,1/N119*37.7*68.6,"")</f>
        <v>542.18448637316567</v>
      </c>
      <c r="P119" s="470">
        <v>4.1500000000000004</v>
      </c>
      <c r="Q119" s="469" t="s">
        <v>432</v>
      </c>
      <c r="R119" s="415" t="s">
        <v>427</v>
      </c>
      <c r="S119" s="415" t="s">
        <v>448</v>
      </c>
      <c r="T119" s="415" t="s">
        <v>1452</v>
      </c>
      <c r="U119" s="480" t="s">
        <v>1452</v>
      </c>
      <c r="V119" s="468">
        <f>IF(N119&lt;&gt;0, IF(N119&gt;=P119,ROUNDDOWN(N119/P119*100,0),""),"")</f>
        <v>114</v>
      </c>
    </row>
    <row r="120" spans="1:22" s="461" customFormat="1" ht="23.1" customHeight="1">
      <c r="A120" s="481"/>
      <c r="B120" s="410"/>
      <c r="C120" s="477"/>
      <c r="D120" s="422" t="s">
        <v>1529</v>
      </c>
      <c r="E120" s="473" t="s">
        <v>426</v>
      </c>
      <c r="F120" s="416">
        <v>10.836</v>
      </c>
      <c r="G120" s="473">
        <v>2000</v>
      </c>
      <c r="H120" s="416">
        <v>294</v>
      </c>
      <c r="I120" s="473" t="s">
        <v>431</v>
      </c>
      <c r="J120" s="416">
        <v>8688</v>
      </c>
      <c r="K120" s="415">
        <v>19887</v>
      </c>
      <c r="L120" s="415">
        <v>11089</v>
      </c>
      <c r="M120" s="415" t="s">
        <v>1454</v>
      </c>
      <c r="N120" s="482">
        <v>4.57</v>
      </c>
      <c r="O120" s="471">
        <f>IF(N120&gt;0,1/N120*37.7*68.6,"")</f>
        <v>565.91247264770232</v>
      </c>
      <c r="P120" s="470">
        <v>4.1500000000000004</v>
      </c>
      <c r="Q120" s="469" t="s">
        <v>434</v>
      </c>
      <c r="R120" s="415" t="s">
        <v>433</v>
      </c>
      <c r="S120" s="415" t="s">
        <v>448</v>
      </c>
      <c r="T120" s="415" t="s">
        <v>1452</v>
      </c>
      <c r="U120" s="480" t="s">
        <v>1452</v>
      </c>
      <c r="V120" s="468">
        <f>IF(N120&lt;&gt;0, IF(N120&gt;=P120,ROUNDDOWN(N120/P120*100,0),""),"")</f>
        <v>110</v>
      </c>
    </row>
    <row r="121" spans="1:22" s="461" customFormat="1" ht="23.1" customHeight="1">
      <c r="A121" s="481"/>
      <c r="B121" s="410"/>
      <c r="C121" s="477"/>
      <c r="D121" s="422" t="s">
        <v>1530</v>
      </c>
      <c r="E121" s="473" t="s">
        <v>426</v>
      </c>
      <c r="F121" s="416">
        <v>10.836</v>
      </c>
      <c r="G121" s="473">
        <v>2000</v>
      </c>
      <c r="H121" s="416">
        <v>294</v>
      </c>
      <c r="I121" s="473" t="s">
        <v>431</v>
      </c>
      <c r="J121" s="416">
        <v>8688</v>
      </c>
      <c r="K121" s="415">
        <v>19887</v>
      </c>
      <c r="L121" s="415">
        <v>11089</v>
      </c>
      <c r="M121" s="415" t="s">
        <v>1454</v>
      </c>
      <c r="N121" s="472">
        <v>4.7699999999999996</v>
      </c>
      <c r="O121" s="471">
        <f>IF(N121&gt;0,1/N121*37.7*68.6,"")</f>
        <v>542.18448637316567</v>
      </c>
      <c r="P121" s="470">
        <v>4.1500000000000004</v>
      </c>
      <c r="Q121" s="469" t="s">
        <v>432</v>
      </c>
      <c r="R121" s="415" t="s">
        <v>427</v>
      </c>
      <c r="S121" s="415" t="s">
        <v>1480</v>
      </c>
      <c r="T121" s="415" t="s">
        <v>1452</v>
      </c>
      <c r="U121" s="480" t="s">
        <v>1452</v>
      </c>
      <c r="V121" s="468">
        <f>IF(N121&lt;&gt;0, IF(N121&gt;=P121,ROUNDDOWN(N121/P121*100,0),""),"")</f>
        <v>114</v>
      </c>
    </row>
    <row r="122" spans="1:22" s="461" customFormat="1" ht="23.1" customHeight="1">
      <c r="A122" s="481"/>
      <c r="B122" s="410"/>
      <c r="C122" s="477"/>
      <c r="D122" s="422" t="s">
        <v>1530</v>
      </c>
      <c r="E122" s="473" t="s">
        <v>426</v>
      </c>
      <c r="F122" s="416">
        <v>10.836</v>
      </c>
      <c r="G122" s="473">
        <v>2000</v>
      </c>
      <c r="H122" s="416">
        <v>294</v>
      </c>
      <c r="I122" s="473" t="s">
        <v>431</v>
      </c>
      <c r="J122" s="416">
        <v>8688</v>
      </c>
      <c r="K122" s="415">
        <v>19887</v>
      </c>
      <c r="L122" s="415">
        <v>11089</v>
      </c>
      <c r="M122" s="415" t="s">
        <v>1454</v>
      </c>
      <c r="N122" s="482">
        <v>4.57</v>
      </c>
      <c r="O122" s="471">
        <f>IF(N122&gt;0,1/N122*37.7*68.6,"")</f>
        <v>565.91247264770232</v>
      </c>
      <c r="P122" s="470">
        <v>4.1500000000000004</v>
      </c>
      <c r="Q122" s="469" t="s">
        <v>434</v>
      </c>
      <c r="R122" s="415" t="s">
        <v>433</v>
      </c>
      <c r="S122" s="415" t="s">
        <v>1480</v>
      </c>
      <c r="T122" s="415" t="s">
        <v>1452</v>
      </c>
      <c r="U122" s="480" t="s">
        <v>1452</v>
      </c>
      <c r="V122" s="468">
        <f>IF(N122&lt;&gt;0, IF(N122&gt;=P122,ROUNDDOWN(N122/P122*100,0),""),"")</f>
        <v>110</v>
      </c>
    </row>
    <row r="123" spans="1:22" s="461" customFormat="1" ht="23.1" customHeight="1">
      <c r="A123" s="481"/>
      <c r="B123" s="410"/>
      <c r="C123" s="477"/>
      <c r="D123" s="422" t="s">
        <v>1529</v>
      </c>
      <c r="E123" s="473" t="s">
        <v>426</v>
      </c>
      <c r="F123" s="416">
        <v>10.836</v>
      </c>
      <c r="G123" s="473">
        <v>1900</v>
      </c>
      <c r="H123" s="416">
        <v>309</v>
      </c>
      <c r="I123" s="473" t="s">
        <v>246</v>
      </c>
      <c r="J123" s="416">
        <v>8688</v>
      </c>
      <c r="K123" s="415">
        <v>19887</v>
      </c>
      <c r="L123" s="415">
        <v>11089</v>
      </c>
      <c r="M123" s="415" t="s">
        <v>1454</v>
      </c>
      <c r="N123" s="482">
        <v>4.57</v>
      </c>
      <c r="O123" s="471">
        <f>IF(N123&gt;0,1/N123*37.7*68.6,"")</f>
        <v>565.91247264770232</v>
      </c>
      <c r="P123" s="470">
        <v>4.1500000000000004</v>
      </c>
      <c r="Q123" s="469" t="s">
        <v>432</v>
      </c>
      <c r="R123" s="415" t="s">
        <v>427</v>
      </c>
      <c r="S123" s="415" t="s">
        <v>448</v>
      </c>
      <c r="T123" s="415" t="s">
        <v>1452</v>
      </c>
      <c r="U123" s="480" t="s">
        <v>1452</v>
      </c>
      <c r="V123" s="468">
        <f>IF(N123&lt;&gt;0, IF(N123&gt;=P123,ROUNDDOWN(N123/P123*100,0),""),"")</f>
        <v>110</v>
      </c>
    </row>
    <row r="124" spans="1:22" s="461" customFormat="1" ht="23.1" customHeight="1">
      <c r="A124" s="481"/>
      <c r="B124" s="410"/>
      <c r="C124" s="477"/>
      <c r="D124" s="422" t="s">
        <v>1528</v>
      </c>
      <c r="E124" s="473" t="s">
        <v>426</v>
      </c>
      <c r="F124" s="416">
        <v>10.836</v>
      </c>
      <c r="G124" s="473">
        <v>1900</v>
      </c>
      <c r="H124" s="416">
        <v>309</v>
      </c>
      <c r="I124" s="473" t="s">
        <v>440</v>
      </c>
      <c r="J124" s="416">
        <v>8688</v>
      </c>
      <c r="K124" s="415">
        <v>19887</v>
      </c>
      <c r="L124" s="415">
        <v>11089</v>
      </c>
      <c r="M124" s="415" t="s">
        <v>1454</v>
      </c>
      <c r="N124" s="472">
        <v>4.4000000000000004</v>
      </c>
      <c r="O124" s="471">
        <f>IF(N124&gt;0,1/N124*37.7*68.6,"")</f>
        <v>587.7772727272727</v>
      </c>
      <c r="P124" s="470">
        <v>4.1500000000000004</v>
      </c>
      <c r="Q124" s="469" t="s">
        <v>434</v>
      </c>
      <c r="R124" s="415" t="s">
        <v>433</v>
      </c>
      <c r="S124" s="415" t="s">
        <v>448</v>
      </c>
      <c r="T124" s="415" t="s">
        <v>1452</v>
      </c>
      <c r="U124" s="480" t="s">
        <v>1452</v>
      </c>
      <c r="V124" s="468">
        <f>IF(N124&lt;&gt;0, IF(N124&gt;=P124,ROUNDDOWN(N124/P124*100,0),""),"")</f>
        <v>106</v>
      </c>
    </row>
    <row r="125" spans="1:22" s="461" customFormat="1" ht="23.1" customHeight="1">
      <c r="A125" s="481"/>
      <c r="B125" s="410"/>
      <c r="C125" s="477"/>
      <c r="D125" s="422" t="s">
        <v>1527</v>
      </c>
      <c r="E125" s="473" t="s">
        <v>426</v>
      </c>
      <c r="F125" s="416">
        <v>10.836</v>
      </c>
      <c r="G125" s="473">
        <v>2000</v>
      </c>
      <c r="H125" s="416">
        <v>316</v>
      </c>
      <c r="I125" s="473" t="s">
        <v>431</v>
      </c>
      <c r="J125" s="416">
        <v>8688</v>
      </c>
      <c r="K125" s="415">
        <v>19887</v>
      </c>
      <c r="L125" s="415">
        <v>11089</v>
      </c>
      <c r="M125" s="415" t="s">
        <v>1454</v>
      </c>
      <c r="N125" s="472">
        <v>4.7699999999999996</v>
      </c>
      <c r="O125" s="471">
        <f>IF(N125&gt;0,1/N125*37.7*68.6,"")</f>
        <v>542.18448637316567</v>
      </c>
      <c r="P125" s="470">
        <v>4.1500000000000004</v>
      </c>
      <c r="Q125" s="469" t="s">
        <v>432</v>
      </c>
      <c r="R125" s="415" t="s">
        <v>427</v>
      </c>
      <c r="S125" s="415" t="s">
        <v>448</v>
      </c>
      <c r="T125" s="415" t="s">
        <v>1452</v>
      </c>
      <c r="U125" s="480" t="s">
        <v>1452</v>
      </c>
      <c r="V125" s="468">
        <f>IF(N125&lt;&gt;0, IF(N125&gt;=P125,ROUNDDOWN(N125/P125*100,0),""),"")</f>
        <v>114</v>
      </c>
    </row>
    <row r="126" spans="1:22" s="461" customFormat="1" ht="23.1" customHeight="1">
      <c r="A126" s="481"/>
      <c r="B126" s="410"/>
      <c r="C126" s="477"/>
      <c r="D126" s="422" t="s">
        <v>1527</v>
      </c>
      <c r="E126" s="473" t="s">
        <v>426</v>
      </c>
      <c r="F126" s="416">
        <v>10.836</v>
      </c>
      <c r="G126" s="473">
        <v>2000</v>
      </c>
      <c r="H126" s="416">
        <v>316</v>
      </c>
      <c r="I126" s="473" t="s">
        <v>431</v>
      </c>
      <c r="J126" s="416">
        <v>8688</v>
      </c>
      <c r="K126" s="415">
        <v>19887</v>
      </c>
      <c r="L126" s="415">
        <v>11089</v>
      </c>
      <c r="M126" s="415" t="s">
        <v>1454</v>
      </c>
      <c r="N126" s="482">
        <v>4.57</v>
      </c>
      <c r="O126" s="471">
        <f>IF(N126&gt;0,1/N126*37.7*68.6,"")</f>
        <v>565.91247264770232</v>
      </c>
      <c r="P126" s="470">
        <v>4.1500000000000004</v>
      </c>
      <c r="Q126" s="469" t="s">
        <v>434</v>
      </c>
      <c r="R126" s="415" t="s">
        <v>433</v>
      </c>
      <c r="S126" s="415" t="s">
        <v>448</v>
      </c>
      <c r="T126" s="415" t="s">
        <v>1452</v>
      </c>
      <c r="U126" s="480" t="s">
        <v>1452</v>
      </c>
      <c r="V126" s="468">
        <f>IF(N126&lt;&gt;0, IF(N126&gt;=P126,ROUNDDOWN(N126/P126*100,0),""),"")</f>
        <v>110</v>
      </c>
    </row>
    <row r="127" spans="1:22" s="461" customFormat="1" ht="23.1" customHeight="1">
      <c r="A127" s="481"/>
      <c r="B127" s="410"/>
      <c r="C127" s="477"/>
      <c r="D127" s="422" t="s">
        <v>1514</v>
      </c>
      <c r="E127" s="473" t="s">
        <v>426</v>
      </c>
      <c r="F127" s="416">
        <v>10.836</v>
      </c>
      <c r="G127" s="473">
        <v>1750</v>
      </c>
      <c r="H127" s="416">
        <v>265</v>
      </c>
      <c r="I127" s="473" t="s">
        <v>243</v>
      </c>
      <c r="J127" s="416">
        <v>8765</v>
      </c>
      <c r="K127" s="415">
        <v>24405</v>
      </c>
      <c r="L127" s="415">
        <v>15530</v>
      </c>
      <c r="M127" s="415" t="s">
        <v>1454</v>
      </c>
      <c r="N127" s="472">
        <v>4.3499999999999996</v>
      </c>
      <c r="O127" s="471">
        <f>IF(N127&gt;0,1/N127*37.7*68.6,"")</f>
        <v>594.53333333333342</v>
      </c>
      <c r="P127" s="470">
        <v>4.04</v>
      </c>
      <c r="Q127" s="469" t="s">
        <v>432</v>
      </c>
      <c r="R127" s="415" t="s">
        <v>427</v>
      </c>
      <c r="S127" s="415" t="s">
        <v>1480</v>
      </c>
      <c r="T127" s="415" t="s">
        <v>1452</v>
      </c>
      <c r="U127" s="480" t="s">
        <v>1452</v>
      </c>
      <c r="V127" s="468">
        <f>IF(N127&lt;&gt;0, IF(N127&gt;=P127,ROUNDDOWN(N127/P127*100,0),""),"")</f>
        <v>107</v>
      </c>
    </row>
    <row r="128" spans="1:22" s="461" customFormat="1" ht="23.1" customHeight="1">
      <c r="A128" s="481"/>
      <c r="B128" s="410"/>
      <c r="C128" s="477"/>
      <c r="D128" s="422" t="s">
        <v>1514</v>
      </c>
      <c r="E128" s="473" t="s">
        <v>426</v>
      </c>
      <c r="F128" s="416">
        <v>10.836</v>
      </c>
      <c r="G128" s="473">
        <v>1750</v>
      </c>
      <c r="H128" s="416">
        <v>265</v>
      </c>
      <c r="I128" s="473" t="s">
        <v>243</v>
      </c>
      <c r="J128" s="416">
        <v>8765</v>
      </c>
      <c r="K128" s="415">
        <v>24405</v>
      </c>
      <c r="L128" s="415">
        <v>15530</v>
      </c>
      <c r="M128" s="415" t="s">
        <v>1454</v>
      </c>
      <c r="N128" s="482">
        <v>4.25</v>
      </c>
      <c r="O128" s="471">
        <f>IF(N128&gt;0,1/N128*37.7*68.6,"")</f>
        <v>608.52235294117645</v>
      </c>
      <c r="P128" s="470">
        <v>4.04</v>
      </c>
      <c r="Q128" s="469" t="s">
        <v>435</v>
      </c>
      <c r="R128" s="415" t="s">
        <v>427</v>
      </c>
      <c r="S128" s="415" t="s">
        <v>1480</v>
      </c>
      <c r="T128" s="415" t="s">
        <v>1452</v>
      </c>
      <c r="U128" s="480" t="s">
        <v>1452</v>
      </c>
      <c r="V128" s="468">
        <f>IF(N128&lt;&gt;0, IF(N128&gt;=P128,ROUNDDOWN(N128/P128*100,0),""),"")</f>
        <v>105</v>
      </c>
    </row>
    <row r="129" spans="1:22" s="461" customFormat="1" ht="23.1" customHeight="1">
      <c r="A129" s="481"/>
      <c r="B129" s="410"/>
      <c r="C129" s="477"/>
      <c r="D129" s="422" t="s">
        <v>1526</v>
      </c>
      <c r="E129" s="473" t="s">
        <v>426</v>
      </c>
      <c r="F129" s="416">
        <v>10.836</v>
      </c>
      <c r="G129" s="473">
        <v>1750</v>
      </c>
      <c r="H129" s="416">
        <v>265</v>
      </c>
      <c r="I129" s="473" t="s">
        <v>243</v>
      </c>
      <c r="J129" s="416">
        <v>8765</v>
      </c>
      <c r="K129" s="415">
        <v>24405</v>
      </c>
      <c r="L129" s="415">
        <v>15530</v>
      </c>
      <c r="M129" s="415" t="s">
        <v>1454</v>
      </c>
      <c r="N129" s="482">
        <v>4.3499999999999996</v>
      </c>
      <c r="O129" s="471">
        <f>IF(N129&gt;0,1/N129*37.7*68.6,"")</f>
        <v>594.53333333333342</v>
      </c>
      <c r="P129" s="470">
        <v>4.04</v>
      </c>
      <c r="Q129" s="469" t="s">
        <v>432</v>
      </c>
      <c r="R129" s="415" t="s">
        <v>427</v>
      </c>
      <c r="S129" s="415" t="s">
        <v>1480</v>
      </c>
      <c r="T129" s="415" t="s">
        <v>1452</v>
      </c>
      <c r="U129" s="480" t="s">
        <v>1452</v>
      </c>
      <c r="V129" s="468">
        <f>IF(N129&lt;&gt;0, IF(N129&gt;=P129,ROUNDDOWN(N129/P129*100,0),""),"")</f>
        <v>107</v>
      </c>
    </row>
    <row r="130" spans="1:22" s="461" customFormat="1" ht="23.1" customHeight="1">
      <c r="A130" s="481"/>
      <c r="B130" s="410"/>
      <c r="C130" s="477"/>
      <c r="D130" s="422" t="s">
        <v>1513</v>
      </c>
      <c r="E130" s="473" t="s">
        <v>426</v>
      </c>
      <c r="F130" s="416">
        <v>10.836</v>
      </c>
      <c r="G130" s="473">
        <v>1750</v>
      </c>
      <c r="H130" s="416">
        <v>265</v>
      </c>
      <c r="I130" s="473" t="s">
        <v>243</v>
      </c>
      <c r="J130" s="416">
        <v>8765</v>
      </c>
      <c r="K130" s="415">
        <v>24405</v>
      </c>
      <c r="L130" s="415">
        <v>15530</v>
      </c>
      <c r="M130" s="415" t="s">
        <v>1454</v>
      </c>
      <c r="N130" s="482">
        <v>4.25</v>
      </c>
      <c r="O130" s="471">
        <f>IF(N130&gt;0,1/N130*37.7*68.6,"")</f>
        <v>608.52235294117645</v>
      </c>
      <c r="P130" s="470">
        <v>4.04</v>
      </c>
      <c r="Q130" s="469" t="s">
        <v>435</v>
      </c>
      <c r="R130" s="415" t="s">
        <v>427</v>
      </c>
      <c r="S130" s="415" t="s">
        <v>1480</v>
      </c>
      <c r="T130" s="415" t="s">
        <v>1452</v>
      </c>
      <c r="U130" s="480" t="s">
        <v>1452</v>
      </c>
      <c r="V130" s="468">
        <f>IF(N130&lt;&gt;0, IF(N130&gt;=P130,ROUNDDOWN(N130/P130*100,0),""),"")</f>
        <v>105</v>
      </c>
    </row>
    <row r="131" spans="1:22" s="461" customFormat="1" ht="23.1" customHeight="1">
      <c r="A131" s="481"/>
      <c r="B131" s="410"/>
      <c r="C131" s="477"/>
      <c r="D131" s="422" t="s">
        <v>1494</v>
      </c>
      <c r="E131" s="473" t="s">
        <v>426</v>
      </c>
      <c r="F131" s="416">
        <v>10.836</v>
      </c>
      <c r="G131" s="473">
        <v>1750</v>
      </c>
      <c r="H131" s="416">
        <v>265</v>
      </c>
      <c r="I131" s="473" t="s">
        <v>243</v>
      </c>
      <c r="J131" s="416">
        <v>8765</v>
      </c>
      <c r="K131" s="415">
        <v>24405</v>
      </c>
      <c r="L131" s="415">
        <v>15530</v>
      </c>
      <c r="M131" s="415" t="s">
        <v>1454</v>
      </c>
      <c r="N131" s="482">
        <v>4.3499999999999996</v>
      </c>
      <c r="O131" s="471">
        <f>IF(N131&gt;0,1/N131*37.7*68.6,"")</f>
        <v>594.53333333333342</v>
      </c>
      <c r="P131" s="470">
        <v>4.04</v>
      </c>
      <c r="Q131" s="469" t="s">
        <v>432</v>
      </c>
      <c r="R131" s="415" t="s">
        <v>427</v>
      </c>
      <c r="S131" s="415" t="s">
        <v>1480</v>
      </c>
      <c r="T131" s="415" t="s">
        <v>1452</v>
      </c>
      <c r="U131" s="480" t="s">
        <v>1452</v>
      </c>
      <c r="V131" s="468">
        <f>IF(N131&lt;&gt;0, IF(N131&gt;=P131,ROUNDDOWN(N131/P131*100,0),""),"")</f>
        <v>107</v>
      </c>
    </row>
    <row r="132" spans="1:22" s="461" customFormat="1" ht="23.1" customHeight="1">
      <c r="A132" s="481"/>
      <c r="B132" s="410"/>
      <c r="C132" s="477"/>
      <c r="D132" s="422" t="s">
        <v>1512</v>
      </c>
      <c r="E132" s="473" t="s">
        <v>426</v>
      </c>
      <c r="F132" s="416">
        <v>10.836</v>
      </c>
      <c r="G132" s="473">
        <v>1750</v>
      </c>
      <c r="H132" s="416">
        <v>265</v>
      </c>
      <c r="I132" s="473" t="s">
        <v>243</v>
      </c>
      <c r="J132" s="416">
        <v>8765</v>
      </c>
      <c r="K132" s="415">
        <v>24405</v>
      </c>
      <c r="L132" s="415">
        <v>15530</v>
      </c>
      <c r="M132" s="415" t="s">
        <v>1454</v>
      </c>
      <c r="N132" s="482">
        <v>4.25</v>
      </c>
      <c r="O132" s="471">
        <f>IF(N132&gt;0,1/N132*37.7*68.6,"")</f>
        <v>608.52235294117645</v>
      </c>
      <c r="P132" s="470">
        <v>4.04</v>
      </c>
      <c r="Q132" s="469" t="s">
        <v>435</v>
      </c>
      <c r="R132" s="415" t="s">
        <v>427</v>
      </c>
      <c r="S132" s="415" t="s">
        <v>1480</v>
      </c>
      <c r="T132" s="415" t="s">
        <v>1452</v>
      </c>
      <c r="U132" s="480" t="s">
        <v>1452</v>
      </c>
      <c r="V132" s="468">
        <f>IF(N132&lt;&gt;0, IF(N132&gt;=P132,ROUNDDOWN(N132/P132*100,0),""),"")</f>
        <v>105</v>
      </c>
    </row>
    <row r="133" spans="1:22" s="461" customFormat="1" ht="23.1" customHeight="1">
      <c r="A133" s="481"/>
      <c r="B133" s="410"/>
      <c r="C133" s="477"/>
      <c r="D133" s="422" t="s">
        <v>1525</v>
      </c>
      <c r="E133" s="473" t="s">
        <v>426</v>
      </c>
      <c r="F133" s="416">
        <v>10.836</v>
      </c>
      <c r="G133" s="473">
        <v>1750</v>
      </c>
      <c r="H133" s="416">
        <v>265</v>
      </c>
      <c r="I133" s="473" t="s">
        <v>243</v>
      </c>
      <c r="J133" s="416">
        <v>8765</v>
      </c>
      <c r="K133" s="415">
        <v>24405</v>
      </c>
      <c r="L133" s="415">
        <v>15530</v>
      </c>
      <c r="M133" s="415" t="s">
        <v>1454</v>
      </c>
      <c r="N133" s="482">
        <v>4.3499999999999996</v>
      </c>
      <c r="O133" s="471">
        <f>IF(N133&gt;0,1/N133*37.7*68.6,"")</f>
        <v>594.53333333333342</v>
      </c>
      <c r="P133" s="470">
        <v>4.04</v>
      </c>
      <c r="Q133" s="469" t="s">
        <v>432</v>
      </c>
      <c r="R133" s="415" t="s">
        <v>427</v>
      </c>
      <c r="S133" s="415" t="s">
        <v>1480</v>
      </c>
      <c r="T133" s="415" t="s">
        <v>1452</v>
      </c>
      <c r="U133" s="480" t="s">
        <v>1452</v>
      </c>
      <c r="V133" s="468">
        <f>IF(N133&lt;&gt;0, IF(N133&gt;=P133,ROUNDDOWN(N133/P133*100,0),""),"")</f>
        <v>107</v>
      </c>
    </row>
    <row r="134" spans="1:22" s="461" customFormat="1" ht="23.1" customHeight="1">
      <c r="A134" s="481"/>
      <c r="B134" s="410"/>
      <c r="C134" s="477"/>
      <c r="D134" s="422" t="s">
        <v>1493</v>
      </c>
      <c r="E134" s="473" t="s">
        <v>426</v>
      </c>
      <c r="F134" s="416">
        <v>10.836</v>
      </c>
      <c r="G134" s="473">
        <v>1750</v>
      </c>
      <c r="H134" s="416">
        <v>265</v>
      </c>
      <c r="I134" s="473" t="s">
        <v>243</v>
      </c>
      <c r="J134" s="416">
        <v>8765</v>
      </c>
      <c r="K134" s="415">
        <v>24405</v>
      </c>
      <c r="L134" s="415">
        <v>15530</v>
      </c>
      <c r="M134" s="415" t="s">
        <v>1454</v>
      </c>
      <c r="N134" s="482">
        <v>4.25</v>
      </c>
      <c r="O134" s="471">
        <f>IF(N134&gt;0,1/N134*37.7*68.6,"")</f>
        <v>608.52235294117645</v>
      </c>
      <c r="P134" s="470">
        <v>4.04</v>
      </c>
      <c r="Q134" s="469" t="s">
        <v>435</v>
      </c>
      <c r="R134" s="415" t="s">
        <v>427</v>
      </c>
      <c r="S134" s="415" t="s">
        <v>1480</v>
      </c>
      <c r="T134" s="415" t="s">
        <v>1452</v>
      </c>
      <c r="U134" s="480" t="s">
        <v>1452</v>
      </c>
      <c r="V134" s="468">
        <f>IF(N134&lt;&gt;0, IF(N134&gt;=P134,ROUNDDOWN(N134/P134*100,0),""),"")</f>
        <v>105</v>
      </c>
    </row>
    <row r="135" spans="1:22" s="461" customFormat="1" ht="23.1" customHeight="1">
      <c r="A135" s="481"/>
      <c r="B135" s="410"/>
      <c r="C135" s="477"/>
      <c r="D135" s="422" t="s">
        <v>1524</v>
      </c>
      <c r="E135" s="473" t="s">
        <v>426</v>
      </c>
      <c r="F135" s="416">
        <v>10.836</v>
      </c>
      <c r="G135" s="473">
        <v>1750</v>
      </c>
      <c r="H135" s="416">
        <v>265</v>
      </c>
      <c r="I135" s="473" t="s">
        <v>243</v>
      </c>
      <c r="J135" s="416">
        <v>8765</v>
      </c>
      <c r="K135" s="415">
        <v>24405</v>
      </c>
      <c r="L135" s="415">
        <v>15530</v>
      </c>
      <c r="M135" s="415" t="s">
        <v>1454</v>
      </c>
      <c r="N135" s="482">
        <v>4.3499999999999996</v>
      </c>
      <c r="O135" s="471">
        <f>IF(N135&gt;0,1/N135*37.7*68.6,"")</f>
        <v>594.53333333333342</v>
      </c>
      <c r="P135" s="470">
        <v>4.04</v>
      </c>
      <c r="Q135" s="469" t="s">
        <v>432</v>
      </c>
      <c r="R135" s="415" t="s">
        <v>427</v>
      </c>
      <c r="S135" s="415" t="s">
        <v>1480</v>
      </c>
      <c r="T135" s="415" t="s">
        <v>1452</v>
      </c>
      <c r="U135" s="480" t="s">
        <v>1452</v>
      </c>
      <c r="V135" s="468">
        <f>IF(N135&lt;&gt;0, IF(N135&gt;=P135,ROUNDDOWN(N135/P135*100,0),""),"")</f>
        <v>107</v>
      </c>
    </row>
    <row r="136" spans="1:22" s="461" customFormat="1" ht="23.1" customHeight="1">
      <c r="A136" s="481"/>
      <c r="B136" s="410"/>
      <c r="C136" s="477"/>
      <c r="D136" s="422" t="s">
        <v>1492</v>
      </c>
      <c r="E136" s="473" t="s">
        <v>426</v>
      </c>
      <c r="F136" s="416">
        <v>10.836</v>
      </c>
      <c r="G136" s="473">
        <v>1750</v>
      </c>
      <c r="H136" s="416">
        <v>265</v>
      </c>
      <c r="I136" s="473" t="s">
        <v>243</v>
      </c>
      <c r="J136" s="416">
        <v>8765</v>
      </c>
      <c r="K136" s="415">
        <v>24405</v>
      </c>
      <c r="L136" s="415">
        <v>15530</v>
      </c>
      <c r="M136" s="415" t="s">
        <v>1454</v>
      </c>
      <c r="N136" s="482">
        <v>4.25</v>
      </c>
      <c r="O136" s="471">
        <f>IF(N136&gt;0,1/N136*37.7*68.6,"")</f>
        <v>608.52235294117645</v>
      </c>
      <c r="P136" s="470">
        <v>4.04</v>
      </c>
      <c r="Q136" s="469" t="s">
        <v>435</v>
      </c>
      <c r="R136" s="415" t="s">
        <v>427</v>
      </c>
      <c r="S136" s="415" t="s">
        <v>1480</v>
      </c>
      <c r="T136" s="415" t="s">
        <v>1452</v>
      </c>
      <c r="U136" s="480" t="s">
        <v>1452</v>
      </c>
      <c r="V136" s="468">
        <f>IF(N136&lt;&gt;0, IF(N136&gt;=P136,ROUNDDOWN(N136/P136*100,0),""),"")</f>
        <v>105</v>
      </c>
    </row>
    <row r="137" spans="1:22" s="461" customFormat="1" ht="23.1" customHeight="1">
      <c r="A137" s="481"/>
      <c r="B137" s="410"/>
      <c r="C137" s="477"/>
      <c r="D137" s="422" t="s">
        <v>1491</v>
      </c>
      <c r="E137" s="473" t="s">
        <v>426</v>
      </c>
      <c r="F137" s="416">
        <v>10.836</v>
      </c>
      <c r="G137" s="473">
        <v>1750</v>
      </c>
      <c r="H137" s="416">
        <v>265</v>
      </c>
      <c r="I137" s="473" t="s">
        <v>261</v>
      </c>
      <c r="J137" s="416">
        <v>8765</v>
      </c>
      <c r="K137" s="415">
        <v>24405</v>
      </c>
      <c r="L137" s="415">
        <v>15530</v>
      </c>
      <c r="M137" s="415" t="s">
        <v>1454</v>
      </c>
      <c r="N137" s="482">
        <v>4.3499999999999996</v>
      </c>
      <c r="O137" s="471">
        <f>IF(N137&gt;0,1/N137*37.7*68.6,"")</f>
        <v>594.53333333333342</v>
      </c>
      <c r="P137" s="470">
        <v>4.04</v>
      </c>
      <c r="Q137" s="469" t="s">
        <v>432</v>
      </c>
      <c r="R137" s="415" t="s">
        <v>433</v>
      </c>
      <c r="S137" s="415" t="s">
        <v>448</v>
      </c>
      <c r="T137" s="415" t="s">
        <v>1452</v>
      </c>
      <c r="U137" s="480" t="s">
        <v>1452</v>
      </c>
      <c r="V137" s="468">
        <f>IF(N137&lt;&gt;0, IF(N137&gt;=P137,ROUNDDOWN(N137/P137*100,0),""),"")</f>
        <v>107</v>
      </c>
    </row>
    <row r="138" spans="1:22" s="461" customFormat="1" ht="23.1" customHeight="1">
      <c r="A138" s="481"/>
      <c r="B138" s="410"/>
      <c r="C138" s="477"/>
      <c r="D138" s="422" t="s">
        <v>1491</v>
      </c>
      <c r="E138" s="473" t="s">
        <v>426</v>
      </c>
      <c r="F138" s="416">
        <v>10.836</v>
      </c>
      <c r="G138" s="473">
        <v>1750</v>
      </c>
      <c r="H138" s="416">
        <v>265</v>
      </c>
      <c r="I138" s="473" t="s">
        <v>261</v>
      </c>
      <c r="J138" s="416">
        <v>8765</v>
      </c>
      <c r="K138" s="415">
        <v>24405</v>
      </c>
      <c r="L138" s="415">
        <v>15530</v>
      </c>
      <c r="M138" s="415" t="s">
        <v>1454</v>
      </c>
      <c r="N138" s="482">
        <v>4.25</v>
      </c>
      <c r="O138" s="471">
        <f>IF(N138&gt;0,1/N138*37.7*68.6,"")</f>
        <v>608.52235294117645</v>
      </c>
      <c r="P138" s="470">
        <v>4.04</v>
      </c>
      <c r="Q138" s="469" t="s">
        <v>434</v>
      </c>
      <c r="R138" s="415" t="s">
        <v>433</v>
      </c>
      <c r="S138" s="415" t="s">
        <v>448</v>
      </c>
      <c r="T138" s="415" t="s">
        <v>1452</v>
      </c>
      <c r="U138" s="480" t="s">
        <v>1452</v>
      </c>
      <c r="V138" s="468">
        <f>IF(N138&lt;&gt;0, IF(N138&gt;=P138,ROUNDDOWN(N138/P138*100,0),""),"")</f>
        <v>105</v>
      </c>
    </row>
    <row r="139" spans="1:22" s="461" customFormat="1" ht="23.1" customHeight="1">
      <c r="A139" s="481"/>
      <c r="B139" s="410"/>
      <c r="C139" s="477"/>
      <c r="D139" s="422" t="s">
        <v>1523</v>
      </c>
      <c r="E139" s="473" t="s">
        <v>426</v>
      </c>
      <c r="F139" s="416">
        <v>10.836</v>
      </c>
      <c r="G139" s="473">
        <v>1750</v>
      </c>
      <c r="H139" s="416">
        <v>265</v>
      </c>
      <c r="I139" s="473" t="s">
        <v>243</v>
      </c>
      <c r="J139" s="416">
        <v>8765</v>
      </c>
      <c r="K139" s="415">
        <v>24405</v>
      </c>
      <c r="L139" s="415">
        <v>15530</v>
      </c>
      <c r="M139" s="415" t="s">
        <v>1454</v>
      </c>
      <c r="N139" s="482">
        <v>4.3499999999999996</v>
      </c>
      <c r="O139" s="471">
        <f>IF(N139&gt;0,1/N139*37.7*68.6,"")</f>
        <v>594.53333333333342</v>
      </c>
      <c r="P139" s="470">
        <v>4.04</v>
      </c>
      <c r="Q139" s="469" t="s">
        <v>432</v>
      </c>
      <c r="R139" s="415" t="s">
        <v>427</v>
      </c>
      <c r="S139" s="415" t="s">
        <v>448</v>
      </c>
      <c r="T139" s="415" t="s">
        <v>1452</v>
      </c>
      <c r="U139" s="480" t="s">
        <v>1452</v>
      </c>
      <c r="V139" s="468">
        <f>IF(N139&lt;&gt;0, IF(N139&gt;=P139,ROUNDDOWN(N139/P139*100,0),""),"")</f>
        <v>107</v>
      </c>
    </row>
    <row r="140" spans="1:22" s="461" customFormat="1" ht="23.1" customHeight="1">
      <c r="A140" s="481"/>
      <c r="B140" s="410"/>
      <c r="C140" s="477"/>
      <c r="D140" s="422" t="s">
        <v>1476</v>
      </c>
      <c r="E140" s="473" t="s">
        <v>426</v>
      </c>
      <c r="F140" s="416">
        <v>10.836</v>
      </c>
      <c r="G140" s="473">
        <v>1750</v>
      </c>
      <c r="H140" s="416">
        <v>265</v>
      </c>
      <c r="I140" s="473" t="s">
        <v>243</v>
      </c>
      <c r="J140" s="416">
        <v>8765</v>
      </c>
      <c r="K140" s="415">
        <v>24405</v>
      </c>
      <c r="L140" s="415">
        <v>15530</v>
      </c>
      <c r="M140" s="415" t="s">
        <v>1454</v>
      </c>
      <c r="N140" s="482">
        <v>4.25</v>
      </c>
      <c r="O140" s="471">
        <f>IF(N140&gt;0,1/N140*37.7*68.6,"")</f>
        <v>608.52235294117645</v>
      </c>
      <c r="P140" s="470">
        <v>4.04</v>
      </c>
      <c r="Q140" s="469" t="s">
        <v>435</v>
      </c>
      <c r="R140" s="415" t="s">
        <v>427</v>
      </c>
      <c r="S140" s="415" t="s">
        <v>448</v>
      </c>
      <c r="T140" s="415" t="s">
        <v>1452</v>
      </c>
      <c r="U140" s="480" t="s">
        <v>1452</v>
      </c>
      <c r="V140" s="468">
        <f>IF(N140&lt;&gt;0, IF(N140&gt;=P140,ROUNDDOWN(N140/P140*100,0),""),"")</f>
        <v>105</v>
      </c>
    </row>
    <row r="141" spans="1:22" s="461" customFormat="1" ht="23.1" customHeight="1">
      <c r="A141" s="481"/>
      <c r="B141" s="410"/>
      <c r="C141" s="477"/>
      <c r="D141" s="422" t="s">
        <v>1475</v>
      </c>
      <c r="E141" s="473" t="s">
        <v>426</v>
      </c>
      <c r="F141" s="416">
        <v>10.836</v>
      </c>
      <c r="G141" s="473">
        <v>1750</v>
      </c>
      <c r="H141" s="416">
        <v>265</v>
      </c>
      <c r="I141" s="473" t="s">
        <v>243</v>
      </c>
      <c r="J141" s="416">
        <v>8765</v>
      </c>
      <c r="K141" s="415">
        <v>24405</v>
      </c>
      <c r="L141" s="415">
        <v>15530</v>
      </c>
      <c r="M141" s="415" t="s">
        <v>1454</v>
      </c>
      <c r="N141" s="482">
        <v>4.3499999999999996</v>
      </c>
      <c r="O141" s="471">
        <f>IF(N141&gt;0,1/N141*37.7*68.6,"")</f>
        <v>594.53333333333342</v>
      </c>
      <c r="P141" s="470">
        <v>4.04</v>
      </c>
      <c r="Q141" s="469" t="s">
        <v>432</v>
      </c>
      <c r="R141" s="415" t="s">
        <v>427</v>
      </c>
      <c r="S141" s="415" t="s">
        <v>448</v>
      </c>
      <c r="T141" s="415" t="s">
        <v>1452</v>
      </c>
      <c r="U141" s="480" t="s">
        <v>1452</v>
      </c>
      <c r="V141" s="468">
        <f>IF(N141&lt;&gt;0, IF(N141&gt;=P141,ROUNDDOWN(N141/P141*100,0),""),"")</f>
        <v>107</v>
      </c>
    </row>
    <row r="142" spans="1:22" s="461" customFormat="1" ht="23.1" customHeight="1">
      <c r="A142" s="481"/>
      <c r="B142" s="410"/>
      <c r="C142" s="477"/>
      <c r="D142" s="422" t="s">
        <v>1475</v>
      </c>
      <c r="E142" s="473" t="s">
        <v>426</v>
      </c>
      <c r="F142" s="416">
        <v>10.836</v>
      </c>
      <c r="G142" s="473">
        <v>1750</v>
      </c>
      <c r="H142" s="416">
        <v>265</v>
      </c>
      <c r="I142" s="473" t="s">
        <v>243</v>
      </c>
      <c r="J142" s="416">
        <v>8765</v>
      </c>
      <c r="K142" s="415">
        <v>24405</v>
      </c>
      <c r="L142" s="415">
        <v>15530</v>
      </c>
      <c r="M142" s="415" t="s">
        <v>1454</v>
      </c>
      <c r="N142" s="482">
        <v>4.25</v>
      </c>
      <c r="O142" s="471">
        <f>IF(N142&gt;0,1/N142*37.7*68.6,"")</f>
        <v>608.52235294117645</v>
      </c>
      <c r="P142" s="470">
        <v>4.04</v>
      </c>
      <c r="Q142" s="469" t="s">
        <v>435</v>
      </c>
      <c r="R142" s="415" t="s">
        <v>427</v>
      </c>
      <c r="S142" s="415" t="s">
        <v>448</v>
      </c>
      <c r="T142" s="415" t="s">
        <v>1452</v>
      </c>
      <c r="U142" s="480" t="s">
        <v>1452</v>
      </c>
      <c r="V142" s="468">
        <f>IF(N142&lt;&gt;0, IF(N142&gt;=P142,ROUNDDOWN(N142/P142*100,0),""),"")</f>
        <v>105</v>
      </c>
    </row>
    <row r="143" spans="1:22" s="461" customFormat="1" ht="23.1" customHeight="1">
      <c r="A143" s="481"/>
      <c r="B143" s="410"/>
      <c r="C143" s="477"/>
      <c r="D143" s="422" t="s">
        <v>1522</v>
      </c>
      <c r="E143" s="473" t="s">
        <v>426</v>
      </c>
      <c r="F143" s="416">
        <v>10.836</v>
      </c>
      <c r="G143" s="473">
        <v>1750</v>
      </c>
      <c r="H143" s="416">
        <v>265</v>
      </c>
      <c r="I143" s="473" t="s">
        <v>243</v>
      </c>
      <c r="J143" s="416">
        <v>8765</v>
      </c>
      <c r="K143" s="415">
        <v>24405</v>
      </c>
      <c r="L143" s="415">
        <v>15530</v>
      </c>
      <c r="M143" s="415" t="s">
        <v>1454</v>
      </c>
      <c r="N143" s="482">
        <v>4.3499999999999996</v>
      </c>
      <c r="O143" s="471">
        <f>IF(N143&gt;0,1/N143*37.7*68.6,"")</f>
        <v>594.53333333333342</v>
      </c>
      <c r="P143" s="470">
        <v>4.04</v>
      </c>
      <c r="Q143" s="469" t="s">
        <v>432</v>
      </c>
      <c r="R143" s="415" t="s">
        <v>427</v>
      </c>
      <c r="S143" s="415" t="s">
        <v>448</v>
      </c>
      <c r="T143" s="415" t="s">
        <v>1452</v>
      </c>
      <c r="U143" s="480" t="s">
        <v>1452</v>
      </c>
      <c r="V143" s="468">
        <f>IF(N143&lt;&gt;0, IF(N143&gt;=P143,ROUNDDOWN(N143/P143*100,0),""),"")</f>
        <v>107</v>
      </c>
    </row>
    <row r="144" spans="1:22" s="461" customFormat="1" ht="23.1" customHeight="1">
      <c r="A144" s="481"/>
      <c r="B144" s="410"/>
      <c r="C144" s="477"/>
      <c r="D144" s="422" t="s">
        <v>1511</v>
      </c>
      <c r="E144" s="473" t="s">
        <v>426</v>
      </c>
      <c r="F144" s="416">
        <v>10.836</v>
      </c>
      <c r="G144" s="473">
        <v>1750</v>
      </c>
      <c r="H144" s="416">
        <v>265</v>
      </c>
      <c r="I144" s="473" t="s">
        <v>243</v>
      </c>
      <c r="J144" s="416">
        <v>8765</v>
      </c>
      <c r="K144" s="415">
        <v>24405</v>
      </c>
      <c r="L144" s="415">
        <v>15530</v>
      </c>
      <c r="M144" s="415" t="s">
        <v>1454</v>
      </c>
      <c r="N144" s="482">
        <v>4.25</v>
      </c>
      <c r="O144" s="471">
        <f>IF(N144&gt;0,1/N144*37.7*68.6,"")</f>
        <v>608.52235294117645</v>
      </c>
      <c r="P144" s="470">
        <v>4.04</v>
      </c>
      <c r="Q144" s="469" t="s">
        <v>435</v>
      </c>
      <c r="R144" s="415" t="s">
        <v>427</v>
      </c>
      <c r="S144" s="415" t="s">
        <v>448</v>
      </c>
      <c r="T144" s="415" t="s">
        <v>1452</v>
      </c>
      <c r="U144" s="480" t="s">
        <v>1452</v>
      </c>
      <c r="V144" s="468">
        <f>IF(N144&lt;&gt;0, IF(N144&gt;=P144,ROUNDDOWN(N144/P144*100,0),""),"")</f>
        <v>105</v>
      </c>
    </row>
    <row r="145" spans="1:22" s="461" customFormat="1" ht="23.1" customHeight="1">
      <c r="A145" s="481"/>
      <c r="B145" s="410"/>
      <c r="C145" s="477"/>
      <c r="D145" s="422" t="s">
        <v>1521</v>
      </c>
      <c r="E145" s="473" t="s">
        <v>426</v>
      </c>
      <c r="F145" s="416">
        <v>10.836</v>
      </c>
      <c r="G145" s="473">
        <v>1750</v>
      </c>
      <c r="H145" s="416">
        <v>265</v>
      </c>
      <c r="I145" s="473" t="s">
        <v>243</v>
      </c>
      <c r="J145" s="416">
        <v>8765</v>
      </c>
      <c r="K145" s="415">
        <v>24405</v>
      </c>
      <c r="L145" s="415">
        <v>15530</v>
      </c>
      <c r="M145" s="415" t="s">
        <v>1454</v>
      </c>
      <c r="N145" s="482">
        <v>4.3499999999999996</v>
      </c>
      <c r="O145" s="471">
        <f>IF(N145&gt;0,1/N145*37.7*68.6,"")</f>
        <v>594.53333333333342</v>
      </c>
      <c r="P145" s="470">
        <v>4.04</v>
      </c>
      <c r="Q145" s="469" t="s">
        <v>432</v>
      </c>
      <c r="R145" s="415" t="s">
        <v>427</v>
      </c>
      <c r="S145" s="415" t="s">
        <v>448</v>
      </c>
      <c r="T145" s="415" t="s">
        <v>1452</v>
      </c>
      <c r="U145" s="480" t="s">
        <v>1452</v>
      </c>
      <c r="V145" s="468">
        <f>IF(N145&lt;&gt;0, IF(N145&gt;=P145,ROUNDDOWN(N145/P145*100,0),""),"")</f>
        <v>107</v>
      </c>
    </row>
    <row r="146" spans="1:22" s="461" customFormat="1" ht="23.1" customHeight="1">
      <c r="A146" s="481"/>
      <c r="B146" s="410"/>
      <c r="C146" s="477"/>
      <c r="D146" s="422" t="s">
        <v>1510</v>
      </c>
      <c r="E146" s="473" t="s">
        <v>426</v>
      </c>
      <c r="F146" s="416">
        <v>10.836</v>
      </c>
      <c r="G146" s="473">
        <v>1750</v>
      </c>
      <c r="H146" s="416">
        <v>265</v>
      </c>
      <c r="I146" s="473" t="s">
        <v>243</v>
      </c>
      <c r="J146" s="416">
        <v>8765</v>
      </c>
      <c r="K146" s="415">
        <v>24405</v>
      </c>
      <c r="L146" s="415">
        <v>15530</v>
      </c>
      <c r="M146" s="415" t="s">
        <v>1454</v>
      </c>
      <c r="N146" s="482">
        <v>4.25</v>
      </c>
      <c r="O146" s="471">
        <f>IF(N146&gt;0,1/N146*37.7*68.6,"")</f>
        <v>608.52235294117645</v>
      </c>
      <c r="P146" s="470">
        <v>4.04</v>
      </c>
      <c r="Q146" s="469" t="s">
        <v>435</v>
      </c>
      <c r="R146" s="415" t="s">
        <v>427</v>
      </c>
      <c r="S146" s="415" t="s">
        <v>448</v>
      </c>
      <c r="T146" s="415" t="s">
        <v>1452</v>
      </c>
      <c r="U146" s="480" t="s">
        <v>1452</v>
      </c>
      <c r="V146" s="468">
        <f>IF(N146&lt;&gt;0, IF(N146&gt;=P146,ROUNDDOWN(N146/P146*100,0),""),"")</f>
        <v>105</v>
      </c>
    </row>
    <row r="147" spans="1:22" s="461" customFormat="1" ht="23.1" customHeight="1">
      <c r="A147" s="481"/>
      <c r="B147" s="410"/>
      <c r="C147" s="477"/>
      <c r="D147" s="422" t="s">
        <v>1520</v>
      </c>
      <c r="E147" s="473" t="s">
        <v>426</v>
      </c>
      <c r="F147" s="416">
        <v>10.836</v>
      </c>
      <c r="G147" s="473">
        <v>1750</v>
      </c>
      <c r="H147" s="416">
        <v>265</v>
      </c>
      <c r="I147" s="473" t="s">
        <v>243</v>
      </c>
      <c r="J147" s="416">
        <v>8765</v>
      </c>
      <c r="K147" s="415">
        <v>24405</v>
      </c>
      <c r="L147" s="415">
        <v>15530</v>
      </c>
      <c r="M147" s="415" t="s">
        <v>1454</v>
      </c>
      <c r="N147" s="482">
        <v>4.3499999999999996</v>
      </c>
      <c r="O147" s="471">
        <f>IF(N147&gt;0,1/N147*37.7*68.6,"")</f>
        <v>594.53333333333342</v>
      </c>
      <c r="P147" s="470">
        <v>4.04</v>
      </c>
      <c r="Q147" s="469" t="s">
        <v>432</v>
      </c>
      <c r="R147" s="415" t="s">
        <v>427</v>
      </c>
      <c r="S147" s="415" t="s">
        <v>454</v>
      </c>
      <c r="T147" s="415" t="s">
        <v>1452</v>
      </c>
      <c r="U147" s="480" t="s">
        <v>1452</v>
      </c>
      <c r="V147" s="468">
        <f>IF(N147&lt;&gt;0, IF(N147&gt;=P147,ROUNDDOWN(N147/P147*100,0),""),"")</f>
        <v>107</v>
      </c>
    </row>
    <row r="148" spans="1:22" s="461" customFormat="1" ht="23.1" customHeight="1">
      <c r="A148" s="481"/>
      <c r="B148" s="410"/>
      <c r="C148" s="477"/>
      <c r="D148" s="422" t="s">
        <v>1509</v>
      </c>
      <c r="E148" s="473" t="s">
        <v>426</v>
      </c>
      <c r="F148" s="416">
        <v>10.836</v>
      </c>
      <c r="G148" s="473">
        <v>1750</v>
      </c>
      <c r="H148" s="416">
        <v>265</v>
      </c>
      <c r="I148" s="473" t="s">
        <v>243</v>
      </c>
      <c r="J148" s="416">
        <v>8765</v>
      </c>
      <c r="K148" s="415">
        <v>24405</v>
      </c>
      <c r="L148" s="415">
        <v>15530</v>
      </c>
      <c r="M148" s="415" t="s">
        <v>1454</v>
      </c>
      <c r="N148" s="482">
        <v>4.25</v>
      </c>
      <c r="O148" s="471">
        <f>IF(N148&gt;0,1/N148*37.7*68.6,"")</f>
        <v>608.52235294117645</v>
      </c>
      <c r="P148" s="470">
        <v>4.04</v>
      </c>
      <c r="Q148" s="469" t="s">
        <v>435</v>
      </c>
      <c r="R148" s="415" t="s">
        <v>427</v>
      </c>
      <c r="S148" s="415" t="s">
        <v>454</v>
      </c>
      <c r="T148" s="415" t="s">
        <v>1452</v>
      </c>
      <c r="U148" s="480" t="s">
        <v>1452</v>
      </c>
      <c r="V148" s="468">
        <f>IF(N148&lt;&gt;0, IF(N148&gt;=P148,ROUNDDOWN(N148/P148*100,0),""),"")</f>
        <v>105</v>
      </c>
    </row>
    <row r="149" spans="1:22" s="461" customFormat="1" ht="23.1" customHeight="1">
      <c r="A149" s="481"/>
      <c r="B149" s="410"/>
      <c r="C149" s="477"/>
      <c r="D149" s="422" t="s">
        <v>1519</v>
      </c>
      <c r="E149" s="473" t="s">
        <v>426</v>
      </c>
      <c r="F149" s="416">
        <v>10.836</v>
      </c>
      <c r="G149" s="473">
        <v>1750</v>
      </c>
      <c r="H149" s="416">
        <v>265</v>
      </c>
      <c r="I149" s="473" t="s">
        <v>243</v>
      </c>
      <c r="J149" s="416">
        <v>8765</v>
      </c>
      <c r="K149" s="415">
        <v>24405</v>
      </c>
      <c r="L149" s="415">
        <v>15530</v>
      </c>
      <c r="M149" s="415" t="s">
        <v>1454</v>
      </c>
      <c r="N149" s="482">
        <v>4.3499999999999996</v>
      </c>
      <c r="O149" s="471">
        <f>IF(N149&gt;0,1/N149*37.7*68.6,"")</f>
        <v>594.53333333333342</v>
      </c>
      <c r="P149" s="470">
        <v>4.04</v>
      </c>
      <c r="Q149" s="469" t="s">
        <v>432</v>
      </c>
      <c r="R149" s="415" t="s">
        <v>427</v>
      </c>
      <c r="S149" s="415" t="s">
        <v>454</v>
      </c>
      <c r="T149" s="415" t="s">
        <v>1452</v>
      </c>
      <c r="U149" s="480" t="s">
        <v>1452</v>
      </c>
      <c r="V149" s="468">
        <f>IF(N149&lt;&gt;0, IF(N149&gt;=P149,ROUNDDOWN(N149/P149*100,0),""),"")</f>
        <v>107</v>
      </c>
    </row>
    <row r="150" spans="1:22" s="461" customFormat="1" ht="23.1" customHeight="1">
      <c r="A150" s="481"/>
      <c r="B150" s="410"/>
      <c r="C150" s="477"/>
      <c r="D150" s="422" t="s">
        <v>1508</v>
      </c>
      <c r="E150" s="473" t="s">
        <v>426</v>
      </c>
      <c r="F150" s="416">
        <v>10.836</v>
      </c>
      <c r="G150" s="473">
        <v>1750</v>
      </c>
      <c r="H150" s="416">
        <v>265</v>
      </c>
      <c r="I150" s="473" t="s">
        <v>243</v>
      </c>
      <c r="J150" s="416">
        <v>8765</v>
      </c>
      <c r="K150" s="415">
        <v>24405</v>
      </c>
      <c r="L150" s="415">
        <v>15530</v>
      </c>
      <c r="M150" s="415" t="s">
        <v>1454</v>
      </c>
      <c r="N150" s="482">
        <v>4.25</v>
      </c>
      <c r="O150" s="471">
        <f>IF(N150&gt;0,1/N150*37.7*68.6,"")</f>
        <v>608.52235294117645</v>
      </c>
      <c r="P150" s="470">
        <v>4.04</v>
      </c>
      <c r="Q150" s="469" t="s">
        <v>435</v>
      </c>
      <c r="R150" s="415" t="s">
        <v>427</v>
      </c>
      <c r="S150" s="415" t="s">
        <v>454</v>
      </c>
      <c r="T150" s="415" t="s">
        <v>1452</v>
      </c>
      <c r="U150" s="480" t="s">
        <v>1452</v>
      </c>
      <c r="V150" s="468">
        <f>IF(N150&lt;&gt;0, IF(N150&gt;=P150,ROUNDDOWN(N150/P150*100,0),""),"")</f>
        <v>105</v>
      </c>
    </row>
    <row r="151" spans="1:22" s="461" customFormat="1" ht="23.1" customHeight="1">
      <c r="A151" s="481"/>
      <c r="B151" s="410"/>
      <c r="C151" s="477"/>
      <c r="D151" s="422" t="s">
        <v>1518</v>
      </c>
      <c r="E151" s="473" t="s">
        <v>426</v>
      </c>
      <c r="F151" s="416">
        <v>10.836</v>
      </c>
      <c r="G151" s="473">
        <v>1750</v>
      </c>
      <c r="H151" s="416">
        <v>265</v>
      </c>
      <c r="I151" s="473" t="s">
        <v>243</v>
      </c>
      <c r="J151" s="416">
        <v>8765</v>
      </c>
      <c r="K151" s="415">
        <v>24405</v>
      </c>
      <c r="L151" s="415">
        <v>15530</v>
      </c>
      <c r="M151" s="415" t="s">
        <v>1454</v>
      </c>
      <c r="N151" s="482">
        <v>4.3499999999999996</v>
      </c>
      <c r="O151" s="471">
        <f>IF(N151&gt;0,1/N151*37.7*68.6,"")</f>
        <v>594.53333333333342</v>
      </c>
      <c r="P151" s="470">
        <v>4.04</v>
      </c>
      <c r="Q151" s="469" t="s">
        <v>432</v>
      </c>
      <c r="R151" s="415" t="s">
        <v>427</v>
      </c>
      <c r="S151" s="415" t="s">
        <v>454</v>
      </c>
      <c r="T151" s="415" t="s">
        <v>1452</v>
      </c>
      <c r="U151" s="480" t="s">
        <v>1452</v>
      </c>
      <c r="V151" s="468">
        <f>IF(N151&lt;&gt;0, IF(N151&gt;=P151,ROUNDDOWN(N151/P151*100,0),""),"")</f>
        <v>107</v>
      </c>
    </row>
    <row r="152" spans="1:22" s="461" customFormat="1" ht="23.1" customHeight="1">
      <c r="A152" s="481"/>
      <c r="B152" s="410"/>
      <c r="C152" s="477"/>
      <c r="D152" s="422" t="s">
        <v>1507</v>
      </c>
      <c r="E152" s="473" t="s">
        <v>426</v>
      </c>
      <c r="F152" s="416">
        <v>10.836</v>
      </c>
      <c r="G152" s="473">
        <v>1750</v>
      </c>
      <c r="H152" s="416">
        <v>265</v>
      </c>
      <c r="I152" s="473" t="s">
        <v>243</v>
      </c>
      <c r="J152" s="416">
        <v>8765</v>
      </c>
      <c r="K152" s="415">
        <v>24405</v>
      </c>
      <c r="L152" s="415">
        <v>15530</v>
      </c>
      <c r="M152" s="415" t="s">
        <v>1454</v>
      </c>
      <c r="N152" s="482">
        <v>4.25</v>
      </c>
      <c r="O152" s="471">
        <f>IF(N152&gt;0,1/N152*37.7*68.6,"")</f>
        <v>608.52235294117645</v>
      </c>
      <c r="P152" s="470">
        <v>4.04</v>
      </c>
      <c r="Q152" s="469" t="s">
        <v>435</v>
      </c>
      <c r="R152" s="415" t="s">
        <v>427</v>
      </c>
      <c r="S152" s="415" t="s">
        <v>454</v>
      </c>
      <c r="T152" s="415" t="s">
        <v>1452</v>
      </c>
      <c r="U152" s="480" t="s">
        <v>1452</v>
      </c>
      <c r="V152" s="468">
        <f>IF(N152&lt;&gt;0, IF(N152&gt;=P152,ROUNDDOWN(N152/P152*100,0),""),"")</f>
        <v>105</v>
      </c>
    </row>
    <row r="153" spans="1:22" s="461" customFormat="1" ht="23.1" customHeight="1">
      <c r="A153" s="481"/>
      <c r="B153" s="410"/>
      <c r="C153" s="477"/>
      <c r="D153" s="422" t="s">
        <v>1517</v>
      </c>
      <c r="E153" s="473" t="s">
        <v>426</v>
      </c>
      <c r="F153" s="416">
        <v>10.836</v>
      </c>
      <c r="G153" s="473">
        <v>1750</v>
      </c>
      <c r="H153" s="416">
        <v>265</v>
      </c>
      <c r="I153" s="473" t="s">
        <v>243</v>
      </c>
      <c r="J153" s="416">
        <v>8765</v>
      </c>
      <c r="K153" s="415">
        <v>24405</v>
      </c>
      <c r="L153" s="415">
        <v>15530</v>
      </c>
      <c r="M153" s="415" t="s">
        <v>1454</v>
      </c>
      <c r="N153" s="482">
        <v>4.3499999999999996</v>
      </c>
      <c r="O153" s="471">
        <f>IF(N153&gt;0,1/N153*37.7*68.6,"")</f>
        <v>594.53333333333342</v>
      </c>
      <c r="P153" s="470">
        <v>4.04</v>
      </c>
      <c r="Q153" s="469" t="s">
        <v>432</v>
      </c>
      <c r="R153" s="415" t="s">
        <v>427</v>
      </c>
      <c r="S153" s="415" t="s">
        <v>454</v>
      </c>
      <c r="T153" s="415" t="s">
        <v>1452</v>
      </c>
      <c r="U153" s="480" t="s">
        <v>1452</v>
      </c>
      <c r="V153" s="468">
        <f>IF(N153&lt;&gt;0, IF(N153&gt;=P153,ROUNDDOWN(N153/P153*100,0),""),"")</f>
        <v>107</v>
      </c>
    </row>
    <row r="154" spans="1:22" s="461" customFormat="1" ht="23.1" customHeight="1">
      <c r="A154" s="481"/>
      <c r="B154" s="410"/>
      <c r="C154" s="477"/>
      <c r="D154" s="422" t="s">
        <v>1506</v>
      </c>
      <c r="E154" s="473" t="s">
        <v>426</v>
      </c>
      <c r="F154" s="416">
        <v>10.836</v>
      </c>
      <c r="G154" s="473">
        <v>1750</v>
      </c>
      <c r="H154" s="416">
        <v>265</v>
      </c>
      <c r="I154" s="473" t="s">
        <v>243</v>
      </c>
      <c r="J154" s="416">
        <v>8765</v>
      </c>
      <c r="K154" s="415">
        <v>24405</v>
      </c>
      <c r="L154" s="415">
        <v>15530</v>
      </c>
      <c r="M154" s="415" t="s">
        <v>1454</v>
      </c>
      <c r="N154" s="482">
        <v>4.25</v>
      </c>
      <c r="O154" s="471">
        <f>IF(N154&gt;0,1/N154*37.7*68.6,"")</f>
        <v>608.52235294117645</v>
      </c>
      <c r="P154" s="470">
        <v>4.04</v>
      </c>
      <c r="Q154" s="469" t="s">
        <v>435</v>
      </c>
      <c r="R154" s="415" t="s">
        <v>427</v>
      </c>
      <c r="S154" s="415" t="s">
        <v>454</v>
      </c>
      <c r="T154" s="415" t="s">
        <v>1452</v>
      </c>
      <c r="U154" s="480" t="s">
        <v>1452</v>
      </c>
      <c r="V154" s="468">
        <f>IF(N154&lt;&gt;0, IF(N154&gt;=P154,ROUNDDOWN(N154/P154*100,0),""),"")</f>
        <v>105</v>
      </c>
    </row>
    <row r="155" spans="1:22" s="461" customFormat="1" ht="23.1" customHeight="1">
      <c r="A155" s="481"/>
      <c r="B155" s="410"/>
      <c r="C155" s="477"/>
      <c r="D155" s="422" t="s">
        <v>1505</v>
      </c>
      <c r="E155" s="473" t="s">
        <v>426</v>
      </c>
      <c r="F155" s="416">
        <v>10.836</v>
      </c>
      <c r="G155" s="473">
        <v>1750</v>
      </c>
      <c r="H155" s="416">
        <v>265</v>
      </c>
      <c r="I155" s="473" t="s">
        <v>243</v>
      </c>
      <c r="J155" s="416">
        <v>8765</v>
      </c>
      <c r="K155" s="415">
        <v>24405</v>
      </c>
      <c r="L155" s="415">
        <v>15530</v>
      </c>
      <c r="M155" s="415" t="s">
        <v>1454</v>
      </c>
      <c r="N155" s="482">
        <v>4.3499999999999996</v>
      </c>
      <c r="O155" s="471">
        <f>IF(N155&gt;0,1/N155*37.7*68.6,"")</f>
        <v>594.53333333333342</v>
      </c>
      <c r="P155" s="470">
        <v>4.04</v>
      </c>
      <c r="Q155" s="469" t="s">
        <v>432</v>
      </c>
      <c r="R155" s="415" t="s">
        <v>427</v>
      </c>
      <c r="S155" s="415" t="s">
        <v>454</v>
      </c>
      <c r="T155" s="415" t="s">
        <v>1452</v>
      </c>
      <c r="U155" s="480" t="s">
        <v>1452</v>
      </c>
      <c r="V155" s="468">
        <f>IF(N155&lt;&gt;0, IF(N155&gt;=P155,ROUNDDOWN(N155/P155*100,0),""),"")</f>
        <v>107</v>
      </c>
    </row>
    <row r="156" spans="1:22" s="461" customFormat="1" ht="23.1" customHeight="1">
      <c r="A156" s="481"/>
      <c r="B156" s="410"/>
      <c r="C156" s="477"/>
      <c r="D156" s="422" t="s">
        <v>1490</v>
      </c>
      <c r="E156" s="473" t="s">
        <v>426</v>
      </c>
      <c r="F156" s="416">
        <v>10.836</v>
      </c>
      <c r="G156" s="473">
        <v>1750</v>
      </c>
      <c r="H156" s="416">
        <v>265</v>
      </c>
      <c r="I156" s="473" t="s">
        <v>243</v>
      </c>
      <c r="J156" s="416">
        <v>8765</v>
      </c>
      <c r="K156" s="415">
        <v>24405</v>
      </c>
      <c r="L156" s="415">
        <v>15530</v>
      </c>
      <c r="M156" s="415" t="s">
        <v>1454</v>
      </c>
      <c r="N156" s="482">
        <v>4.25</v>
      </c>
      <c r="O156" s="471">
        <f>IF(N156&gt;0,1/N156*37.7*68.6,"")</f>
        <v>608.52235294117645</v>
      </c>
      <c r="P156" s="470">
        <v>4.04</v>
      </c>
      <c r="Q156" s="469" t="s">
        <v>435</v>
      </c>
      <c r="R156" s="415" t="s">
        <v>427</v>
      </c>
      <c r="S156" s="415" t="s">
        <v>454</v>
      </c>
      <c r="T156" s="415" t="s">
        <v>1452</v>
      </c>
      <c r="U156" s="480" t="s">
        <v>1452</v>
      </c>
      <c r="V156" s="468">
        <f>IF(N156&lt;&gt;0, IF(N156&gt;=P156,ROUNDDOWN(N156/P156*100,0),""),"")</f>
        <v>105</v>
      </c>
    </row>
    <row r="157" spans="1:22" s="461" customFormat="1" ht="23.1" customHeight="1">
      <c r="A157" s="481"/>
      <c r="B157" s="410"/>
      <c r="C157" s="477"/>
      <c r="D157" s="422" t="s">
        <v>1489</v>
      </c>
      <c r="E157" s="473" t="s">
        <v>426</v>
      </c>
      <c r="F157" s="416">
        <v>10.836</v>
      </c>
      <c r="G157" s="473">
        <v>1750</v>
      </c>
      <c r="H157" s="416">
        <v>265</v>
      </c>
      <c r="I157" s="473" t="s">
        <v>243</v>
      </c>
      <c r="J157" s="416">
        <v>8765</v>
      </c>
      <c r="K157" s="415">
        <v>24405</v>
      </c>
      <c r="L157" s="415">
        <v>15530</v>
      </c>
      <c r="M157" s="415" t="s">
        <v>1454</v>
      </c>
      <c r="N157" s="482">
        <v>4.3499999999999996</v>
      </c>
      <c r="O157" s="471">
        <f>IF(N157&gt;0,1/N157*37.7*68.6,"")</f>
        <v>594.53333333333342</v>
      </c>
      <c r="P157" s="470">
        <v>4.04</v>
      </c>
      <c r="Q157" s="469" t="s">
        <v>432</v>
      </c>
      <c r="R157" s="415" t="s">
        <v>427</v>
      </c>
      <c r="S157" s="415" t="s">
        <v>454</v>
      </c>
      <c r="T157" s="415" t="s">
        <v>1452</v>
      </c>
      <c r="U157" s="480" t="s">
        <v>1452</v>
      </c>
      <c r="V157" s="468">
        <f>IF(N157&lt;&gt;0, IF(N157&gt;=P157,ROUNDDOWN(N157/P157*100,0),""),"")</f>
        <v>107</v>
      </c>
    </row>
    <row r="158" spans="1:22" s="461" customFormat="1" ht="23.1" customHeight="1">
      <c r="A158" s="481"/>
      <c r="B158" s="410"/>
      <c r="C158" s="477"/>
      <c r="D158" s="422" t="s">
        <v>1489</v>
      </c>
      <c r="E158" s="473" t="s">
        <v>426</v>
      </c>
      <c r="F158" s="416">
        <v>10.836</v>
      </c>
      <c r="G158" s="473">
        <v>1750</v>
      </c>
      <c r="H158" s="416">
        <v>265</v>
      </c>
      <c r="I158" s="473" t="s">
        <v>243</v>
      </c>
      <c r="J158" s="416">
        <v>8765</v>
      </c>
      <c r="K158" s="415">
        <v>24405</v>
      </c>
      <c r="L158" s="415">
        <v>15530</v>
      </c>
      <c r="M158" s="415" t="s">
        <v>1454</v>
      </c>
      <c r="N158" s="482">
        <v>4.25</v>
      </c>
      <c r="O158" s="471">
        <f>IF(N158&gt;0,1/N158*37.7*68.6,"")</f>
        <v>608.52235294117645</v>
      </c>
      <c r="P158" s="470">
        <v>4.04</v>
      </c>
      <c r="Q158" s="469" t="s">
        <v>435</v>
      </c>
      <c r="R158" s="415" t="s">
        <v>427</v>
      </c>
      <c r="S158" s="415" t="s">
        <v>454</v>
      </c>
      <c r="T158" s="415" t="s">
        <v>1452</v>
      </c>
      <c r="U158" s="480" t="s">
        <v>1452</v>
      </c>
      <c r="V158" s="468">
        <f>IF(N158&lt;&gt;0, IF(N158&gt;=P158,ROUNDDOWN(N158/P158*100,0),""),"")</f>
        <v>105</v>
      </c>
    </row>
    <row r="159" spans="1:22" s="461" customFormat="1" ht="23.1" customHeight="1">
      <c r="A159" s="481"/>
      <c r="B159" s="410"/>
      <c r="C159" s="477"/>
      <c r="D159" s="422" t="s">
        <v>1488</v>
      </c>
      <c r="E159" s="473" t="s">
        <v>426</v>
      </c>
      <c r="F159" s="416">
        <v>10.836</v>
      </c>
      <c r="G159" s="473">
        <v>1750</v>
      </c>
      <c r="H159" s="416">
        <v>265</v>
      </c>
      <c r="I159" s="473" t="s">
        <v>243</v>
      </c>
      <c r="J159" s="416">
        <v>8765</v>
      </c>
      <c r="K159" s="415">
        <v>24405</v>
      </c>
      <c r="L159" s="415">
        <v>15530</v>
      </c>
      <c r="M159" s="415" t="s">
        <v>1454</v>
      </c>
      <c r="N159" s="482">
        <v>4.3499999999999996</v>
      </c>
      <c r="O159" s="471">
        <f>IF(N159&gt;0,1/N159*37.7*68.6,"")</f>
        <v>594.53333333333342</v>
      </c>
      <c r="P159" s="470">
        <v>4.04</v>
      </c>
      <c r="Q159" s="469" t="s">
        <v>432</v>
      </c>
      <c r="R159" s="415" t="s">
        <v>427</v>
      </c>
      <c r="S159" s="415" t="s">
        <v>454</v>
      </c>
      <c r="T159" s="415" t="s">
        <v>1452</v>
      </c>
      <c r="U159" s="480" t="s">
        <v>1452</v>
      </c>
      <c r="V159" s="468">
        <f>IF(N159&lt;&gt;0, IF(N159&gt;=P159,ROUNDDOWN(N159/P159*100,0),""),"")</f>
        <v>107</v>
      </c>
    </row>
    <row r="160" spans="1:22" s="461" customFormat="1" ht="23.1" customHeight="1">
      <c r="A160" s="481"/>
      <c r="B160" s="410"/>
      <c r="C160" s="477"/>
      <c r="D160" s="422" t="s">
        <v>1488</v>
      </c>
      <c r="E160" s="473" t="s">
        <v>426</v>
      </c>
      <c r="F160" s="416">
        <v>10.836</v>
      </c>
      <c r="G160" s="473">
        <v>1750</v>
      </c>
      <c r="H160" s="416">
        <v>265</v>
      </c>
      <c r="I160" s="473" t="s">
        <v>243</v>
      </c>
      <c r="J160" s="416">
        <v>8765</v>
      </c>
      <c r="K160" s="415">
        <v>24405</v>
      </c>
      <c r="L160" s="415">
        <v>15530</v>
      </c>
      <c r="M160" s="415" t="s">
        <v>1454</v>
      </c>
      <c r="N160" s="482">
        <v>4.25</v>
      </c>
      <c r="O160" s="471">
        <f>IF(N160&gt;0,1/N160*37.7*68.6,"")</f>
        <v>608.52235294117645</v>
      </c>
      <c r="P160" s="470">
        <v>4.04</v>
      </c>
      <c r="Q160" s="469" t="s">
        <v>435</v>
      </c>
      <c r="R160" s="415" t="s">
        <v>427</v>
      </c>
      <c r="S160" s="415" t="s">
        <v>454</v>
      </c>
      <c r="T160" s="415" t="s">
        <v>1452</v>
      </c>
      <c r="U160" s="480" t="s">
        <v>1452</v>
      </c>
      <c r="V160" s="468">
        <f>IF(N160&lt;&gt;0, IF(N160&gt;=P160,ROUNDDOWN(N160/P160*100,0),""),"")</f>
        <v>105</v>
      </c>
    </row>
    <row r="161" spans="1:22" s="461" customFormat="1" ht="23.1" customHeight="1">
      <c r="A161" s="481"/>
      <c r="B161" s="410"/>
      <c r="C161" s="477"/>
      <c r="D161" s="422" t="s">
        <v>1487</v>
      </c>
      <c r="E161" s="473" t="s">
        <v>426</v>
      </c>
      <c r="F161" s="416">
        <v>10.836</v>
      </c>
      <c r="G161" s="473">
        <v>2000</v>
      </c>
      <c r="H161" s="416">
        <v>272</v>
      </c>
      <c r="I161" s="473" t="s">
        <v>431</v>
      </c>
      <c r="J161" s="416">
        <v>8765</v>
      </c>
      <c r="K161" s="415">
        <v>24405</v>
      </c>
      <c r="L161" s="415">
        <v>15530</v>
      </c>
      <c r="M161" s="415" t="s">
        <v>1454</v>
      </c>
      <c r="N161" s="482">
        <v>4.57</v>
      </c>
      <c r="O161" s="471">
        <f>IF(N161&gt;0,1/N161*37.7*68.6,"")</f>
        <v>565.91247264770232</v>
      </c>
      <c r="P161" s="470">
        <v>4.04</v>
      </c>
      <c r="Q161" s="469" t="s">
        <v>432</v>
      </c>
      <c r="R161" s="415" t="s">
        <v>433</v>
      </c>
      <c r="S161" s="415" t="s">
        <v>448</v>
      </c>
      <c r="T161" s="415" t="s">
        <v>1452</v>
      </c>
      <c r="U161" s="480" t="s">
        <v>1452</v>
      </c>
      <c r="V161" s="468">
        <f>IF(N161&lt;&gt;0, IF(N161&gt;=P161,ROUNDDOWN(N161/P161*100,0),""),"")</f>
        <v>113</v>
      </c>
    </row>
    <row r="162" spans="1:22" s="461" customFormat="1" ht="23.1" customHeight="1">
      <c r="A162" s="481"/>
      <c r="B162" s="410"/>
      <c r="C162" s="477"/>
      <c r="D162" s="422" t="s">
        <v>1487</v>
      </c>
      <c r="E162" s="473" t="s">
        <v>426</v>
      </c>
      <c r="F162" s="416">
        <v>10.836</v>
      </c>
      <c r="G162" s="473">
        <v>2000</v>
      </c>
      <c r="H162" s="416">
        <v>272</v>
      </c>
      <c r="I162" s="473" t="s">
        <v>431</v>
      </c>
      <c r="J162" s="416">
        <v>8765</v>
      </c>
      <c r="K162" s="415">
        <v>24405</v>
      </c>
      <c r="L162" s="415">
        <v>15530</v>
      </c>
      <c r="M162" s="415" t="s">
        <v>1454</v>
      </c>
      <c r="N162" s="482">
        <v>4.45</v>
      </c>
      <c r="O162" s="471">
        <f>IF(N162&gt;0,1/N162*37.7*68.6,"")</f>
        <v>581.1730337078651</v>
      </c>
      <c r="P162" s="470">
        <v>4.04</v>
      </c>
      <c r="Q162" s="469" t="s">
        <v>434</v>
      </c>
      <c r="R162" s="415" t="s">
        <v>433</v>
      </c>
      <c r="S162" s="415" t="s">
        <v>448</v>
      </c>
      <c r="T162" s="415" t="s">
        <v>1452</v>
      </c>
      <c r="U162" s="480" t="s">
        <v>1452</v>
      </c>
      <c r="V162" s="468">
        <f>IF(N162&lt;&gt;0, IF(N162&gt;=P162,ROUNDDOWN(N162/P162*100,0),""),"")</f>
        <v>110</v>
      </c>
    </row>
    <row r="163" spans="1:22" s="461" customFormat="1" ht="23.1" customHeight="1">
      <c r="A163" s="481"/>
      <c r="B163" s="410"/>
      <c r="C163" s="477"/>
      <c r="D163" s="422" t="s">
        <v>1486</v>
      </c>
      <c r="E163" s="473" t="s">
        <v>426</v>
      </c>
      <c r="F163" s="416">
        <v>10.836</v>
      </c>
      <c r="G163" s="473">
        <v>2000</v>
      </c>
      <c r="H163" s="416">
        <v>272</v>
      </c>
      <c r="I163" s="473" t="s">
        <v>431</v>
      </c>
      <c r="J163" s="416">
        <v>8765</v>
      </c>
      <c r="K163" s="415">
        <v>24405</v>
      </c>
      <c r="L163" s="415">
        <v>15530</v>
      </c>
      <c r="M163" s="415" t="s">
        <v>1454</v>
      </c>
      <c r="N163" s="482">
        <v>4.57</v>
      </c>
      <c r="O163" s="471">
        <f>IF(N163&gt;0,1/N163*37.7*68.6,"")</f>
        <v>565.91247264770232</v>
      </c>
      <c r="P163" s="470">
        <v>4.04</v>
      </c>
      <c r="Q163" s="469" t="s">
        <v>432</v>
      </c>
      <c r="R163" s="415" t="s">
        <v>427</v>
      </c>
      <c r="S163" s="415" t="s">
        <v>448</v>
      </c>
      <c r="T163" s="415" t="s">
        <v>1452</v>
      </c>
      <c r="U163" s="480" t="s">
        <v>1452</v>
      </c>
      <c r="V163" s="468">
        <f>IF(N163&lt;&gt;0, IF(N163&gt;=P163,ROUNDDOWN(N163/P163*100,0),""),"")</f>
        <v>113</v>
      </c>
    </row>
    <row r="164" spans="1:22" s="461" customFormat="1" ht="23.1" customHeight="1">
      <c r="A164" s="481"/>
      <c r="B164" s="410"/>
      <c r="C164" s="477"/>
      <c r="D164" s="422" t="s">
        <v>1486</v>
      </c>
      <c r="E164" s="473" t="s">
        <v>426</v>
      </c>
      <c r="F164" s="416">
        <v>10.836</v>
      </c>
      <c r="G164" s="473">
        <v>2000</v>
      </c>
      <c r="H164" s="416">
        <v>272</v>
      </c>
      <c r="I164" s="473" t="s">
        <v>431</v>
      </c>
      <c r="J164" s="416">
        <v>8765</v>
      </c>
      <c r="K164" s="415">
        <v>24405</v>
      </c>
      <c r="L164" s="415">
        <v>15530</v>
      </c>
      <c r="M164" s="415" t="s">
        <v>1454</v>
      </c>
      <c r="N164" s="482">
        <v>4.45</v>
      </c>
      <c r="O164" s="471">
        <f>IF(N164&gt;0,1/N164*37.7*68.6,"")</f>
        <v>581.1730337078651</v>
      </c>
      <c r="P164" s="470">
        <v>4.04</v>
      </c>
      <c r="Q164" s="469" t="s">
        <v>435</v>
      </c>
      <c r="R164" s="415" t="s">
        <v>427</v>
      </c>
      <c r="S164" s="415" t="s">
        <v>448</v>
      </c>
      <c r="T164" s="415" t="s">
        <v>1452</v>
      </c>
      <c r="U164" s="480" t="s">
        <v>1452</v>
      </c>
      <c r="V164" s="468">
        <f>IF(N164&lt;&gt;0, IF(N164&gt;=P164,ROUNDDOWN(N164/P164*100,0),""),"")</f>
        <v>110</v>
      </c>
    </row>
    <row r="165" spans="1:22" s="461" customFormat="1" ht="23.1" customHeight="1">
      <c r="A165" s="481"/>
      <c r="B165" s="410"/>
      <c r="C165" s="477"/>
      <c r="D165" s="422" t="s">
        <v>1485</v>
      </c>
      <c r="E165" s="473" t="s">
        <v>426</v>
      </c>
      <c r="F165" s="416">
        <v>10.836</v>
      </c>
      <c r="G165" s="473">
        <v>2000</v>
      </c>
      <c r="H165" s="416">
        <v>272</v>
      </c>
      <c r="I165" s="473" t="s">
        <v>431</v>
      </c>
      <c r="J165" s="416">
        <v>8765</v>
      </c>
      <c r="K165" s="415">
        <v>24405</v>
      </c>
      <c r="L165" s="415">
        <v>15530</v>
      </c>
      <c r="M165" s="415" t="s">
        <v>1454</v>
      </c>
      <c r="N165" s="482">
        <v>4.57</v>
      </c>
      <c r="O165" s="471">
        <f>IF(N165&gt;0,1/N165*37.7*68.6,"")</f>
        <v>565.91247264770232</v>
      </c>
      <c r="P165" s="470">
        <v>4.04</v>
      </c>
      <c r="Q165" s="469" t="s">
        <v>432</v>
      </c>
      <c r="R165" s="415" t="s">
        <v>427</v>
      </c>
      <c r="S165" s="415" t="s">
        <v>448</v>
      </c>
      <c r="T165" s="415" t="s">
        <v>1452</v>
      </c>
      <c r="U165" s="480" t="s">
        <v>1452</v>
      </c>
      <c r="V165" s="468">
        <f>IF(N165&lt;&gt;0, IF(N165&gt;=P165,ROUNDDOWN(N165/P165*100,0),""),"")</f>
        <v>113</v>
      </c>
    </row>
    <row r="166" spans="1:22" s="461" customFormat="1" ht="23.1" customHeight="1">
      <c r="A166" s="481"/>
      <c r="B166" s="410"/>
      <c r="C166" s="477"/>
      <c r="D166" s="422" t="s">
        <v>1485</v>
      </c>
      <c r="E166" s="473" t="s">
        <v>426</v>
      </c>
      <c r="F166" s="416">
        <v>10.836</v>
      </c>
      <c r="G166" s="473">
        <v>2000</v>
      </c>
      <c r="H166" s="416">
        <v>272</v>
      </c>
      <c r="I166" s="473" t="s">
        <v>431</v>
      </c>
      <c r="J166" s="416">
        <v>8765</v>
      </c>
      <c r="K166" s="415">
        <v>24405</v>
      </c>
      <c r="L166" s="415">
        <v>15530</v>
      </c>
      <c r="M166" s="415" t="s">
        <v>1454</v>
      </c>
      <c r="N166" s="482">
        <v>4.45</v>
      </c>
      <c r="O166" s="471">
        <f>IF(N166&gt;0,1/N166*37.7*68.6,"")</f>
        <v>581.1730337078651</v>
      </c>
      <c r="P166" s="470">
        <v>4.04</v>
      </c>
      <c r="Q166" s="469" t="s">
        <v>435</v>
      </c>
      <c r="R166" s="415" t="s">
        <v>427</v>
      </c>
      <c r="S166" s="415" t="s">
        <v>448</v>
      </c>
      <c r="T166" s="415" t="s">
        <v>1452</v>
      </c>
      <c r="U166" s="480" t="s">
        <v>1452</v>
      </c>
      <c r="V166" s="468">
        <f>IF(N166&lt;&gt;0, IF(N166&gt;=P166,ROUNDDOWN(N166/P166*100,0),""),"")</f>
        <v>110</v>
      </c>
    </row>
    <row r="167" spans="1:22" s="461" customFormat="1" ht="23.1" customHeight="1">
      <c r="A167" s="481"/>
      <c r="B167" s="410"/>
      <c r="C167" s="477"/>
      <c r="D167" s="422" t="s">
        <v>1516</v>
      </c>
      <c r="E167" s="473" t="s">
        <v>426</v>
      </c>
      <c r="F167" s="416">
        <v>10.836</v>
      </c>
      <c r="G167" s="473">
        <v>2000</v>
      </c>
      <c r="H167" s="416">
        <v>272</v>
      </c>
      <c r="I167" s="473" t="s">
        <v>431</v>
      </c>
      <c r="J167" s="416">
        <v>8765</v>
      </c>
      <c r="K167" s="415">
        <v>24405</v>
      </c>
      <c r="L167" s="415">
        <v>15530</v>
      </c>
      <c r="M167" s="415" t="s">
        <v>1454</v>
      </c>
      <c r="N167" s="482">
        <v>4.57</v>
      </c>
      <c r="O167" s="471">
        <f>IF(N167&gt;0,1/N167*37.7*68.6,"")</f>
        <v>565.91247264770232</v>
      </c>
      <c r="P167" s="470">
        <v>4.04</v>
      </c>
      <c r="Q167" s="469" t="s">
        <v>432</v>
      </c>
      <c r="R167" s="415" t="s">
        <v>427</v>
      </c>
      <c r="S167" s="415" t="s">
        <v>1480</v>
      </c>
      <c r="T167" s="415" t="s">
        <v>1452</v>
      </c>
      <c r="U167" s="480" t="s">
        <v>1452</v>
      </c>
      <c r="V167" s="468">
        <f>IF(N167&lt;&gt;0, IF(N167&gt;=P167,ROUNDDOWN(N167/P167*100,0),""),"")</f>
        <v>113</v>
      </c>
    </row>
    <row r="168" spans="1:22" s="461" customFormat="1" ht="23.1" customHeight="1">
      <c r="A168" s="481"/>
      <c r="B168" s="410"/>
      <c r="C168" s="477"/>
      <c r="D168" s="422" t="s">
        <v>1516</v>
      </c>
      <c r="E168" s="473" t="s">
        <v>426</v>
      </c>
      <c r="F168" s="416">
        <v>10.836</v>
      </c>
      <c r="G168" s="473">
        <v>2000</v>
      </c>
      <c r="H168" s="416">
        <v>272</v>
      </c>
      <c r="I168" s="473" t="s">
        <v>431</v>
      </c>
      <c r="J168" s="416">
        <v>8765</v>
      </c>
      <c r="K168" s="415">
        <v>24405</v>
      </c>
      <c r="L168" s="415">
        <v>15530</v>
      </c>
      <c r="M168" s="415" t="s">
        <v>1454</v>
      </c>
      <c r="N168" s="482">
        <v>4.45</v>
      </c>
      <c r="O168" s="471">
        <f>IF(N168&gt;0,1/N168*37.7*68.6,"")</f>
        <v>581.1730337078651</v>
      </c>
      <c r="P168" s="470">
        <v>4.04</v>
      </c>
      <c r="Q168" s="469" t="s">
        <v>435</v>
      </c>
      <c r="R168" s="415" t="s">
        <v>427</v>
      </c>
      <c r="S168" s="415" t="s">
        <v>1480</v>
      </c>
      <c r="T168" s="415" t="s">
        <v>1452</v>
      </c>
      <c r="U168" s="480" t="s">
        <v>1452</v>
      </c>
      <c r="V168" s="468">
        <f>IF(N168&lt;&gt;0, IF(N168&gt;=P168,ROUNDDOWN(N168/P168*100,0),""),"")</f>
        <v>110</v>
      </c>
    </row>
    <row r="169" spans="1:22" s="461" customFormat="1" ht="23.1" customHeight="1">
      <c r="A169" s="481"/>
      <c r="B169" s="410"/>
      <c r="C169" s="477"/>
      <c r="D169" s="422" t="s">
        <v>1502</v>
      </c>
      <c r="E169" s="473" t="s">
        <v>426</v>
      </c>
      <c r="F169" s="416">
        <v>10.836</v>
      </c>
      <c r="G169" s="473">
        <v>2000</v>
      </c>
      <c r="H169" s="416">
        <v>272</v>
      </c>
      <c r="I169" s="473" t="s">
        <v>431</v>
      </c>
      <c r="J169" s="416">
        <v>8765</v>
      </c>
      <c r="K169" s="415">
        <v>24405</v>
      </c>
      <c r="L169" s="415">
        <v>15530</v>
      </c>
      <c r="M169" s="415" t="s">
        <v>1454</v>
      </c>
      <c r="N169" s="482">
        <v>4.57</v>
      </c>
      <c r="O169" s="471">
        <f>IF(N169&gt;0,1/N169*37.7*68.6,"")</f>
        <v>565.91247264770232</v>
      </c>
      <c r="P169" s="470">
        <v>4.04</v>
      </c>
      <c r="Q169" s="469" t="s">
        <v>432</v>
      </c>
      <c r="R169" s="415" t="s">
        <v>427</v>
      </c>
      <c r="S169" s="415" t="s">
        <v>1480</v>
      </c>
      <c r="T169" s="415" t="s">
        <v>1452</v>
      </c>
      <c r="U169" s="480" t="s">
        <v>1452</v>
      </c>
      <c r="V169" s="468">
        <f>IF(N169&lt;&gt;0, IF(N169&gt;=P169,ROUNDDOWN(N169/P169*100,0),""),"")</f>
        <v>113</v>
      </c>
    </row>
    <row r="170" spans="1:22" s="461" customFormat="1" ht="23.1" customHeight="1">
      <c r="A170" s="481"/>
      <c r="B170" s="410"/>
      <c r="C170" s="477"/>
      <c r="D170" s="422" t="s">
        <v>1502</v>
      </c>
      <c r="E170" s="473" t="s">
        <v>426</v>
      </c>
      <c r="F170" s="416">
        <v>10.836</v>
      </c>
      <c r="G170" s="473">
        <v>2000</v>
      </c>
      <c r="H170" s="416">
        <v>272</v>
      </c>
      <c r="I170" s="473" t="s">
        <v>431</v>
      </c>
      <c r="J170" s="416">
        <v>8765</v>
      </c>
      <c r="K170" s="415">
        <v>24405</v>
      </c>
      <c r="L170" s="415">
        <v>15530</v>
      </c>
      <c r="M170" s="415" t="s">
        <v>1454</v>
      </c>
      <c r="N170" s="482">
        <v>4.45</v>
      </c>
      <c r="O170" s="471">
        <f>IF(N170&gt;0,1/N170*37.7*68.6,"")</f>
        <v>581.1730337078651</v>
      </c>
      <c r="P170" s="470">
        <v>4.04</v>
      </c>
      <c r="Q170" s="469" t="s">
        <v>435</v>
      </c>
      <c r="R170" s="415" t="s">
        <v>427</v>
      </c>
      <c r="S170" s="415" t="s">
        <v>1480</v>
      </c>
      <c r="T170" s="415" t="s">
        <v>1452</v>
      </c>
      <c r="U170" s="480" t="s">
        <v>1452</v>
      </c>
      <c r="V170" s="468">
        <f>IF(N170&lt;&gt;0, IF(N170&gt;=P170,ROUNDDOWN(N170/P170*100,0),""),"")</f>
        <v>110</v>
      </c>
    </row>
    <row r="171" spans="1:22" s="461" customFormat="1" ht="23.1" customHeight="1">
      <c r="A171" s="481"/>
      <c r="B171" s="410"/>
      <c r="C171" s="477"/>
      <c r="D171" s="422" t="s">
        <v>1483</v>
      </c>
      <c r="E171" s="473" t="s">
        <v>426</v>
      </c>
      <c r="F171" s="416">
        <v>10.836</v>
      </c>
      <c r="G171" s="473">
        <v>2000</v>
      </c>
      <c r="H171" s="416">
        <v>272</v>
      </c>
      <c r="I171" s="473" t="s">
        <v>431</v>
      </c>
      <c r="J171" s="416">
        <v>8765</v>
      </c>
      <c r="K171" s="415">
        <v>24405</v>
      </c>
      <c r="L171" s="415">
        <v>15530</v>
      </c>
      <c r="M171" s="415" t="s">
        <v>1454</v>
      </c>
      <c r="N171" s="482">
        <v>4.57</v>
      </c>
      <c r="O171" s="471">
        <f>IF(N171&gt;0,1/N171*37.7*68.6,"")</f>
        <v>565.91247264770232</v>
      </c>
      <c r="P171" s="470">
        <v>4.04</v>
      </c>
      <c r="Q171" s="469" t="s">
        <v>432</v>
      </c>
      <c r="R171" s="415" t="s">
        <v>427</v>
      </c>
      <c r="S171" s="415" t="s">
        <v>1480</v>
      </c>
      <c r="T171" s="415" t="s">
        <v>1452</v>
      </c>
      <c r="U171" s="480" t="s">
        <v>1452</v>
      </c>
      <c r="V171" s="468">
        <f>IF(N171&lt;&gt;0, IF(N171&gt;=P171,ROUNDDOWN(N171/P171*100,0),""),"")</f>
        <v>113</v>
      </c>
    </row>
    <row r="172" spans="1:22" s="461" customFormat="1" ht="23.1" customHeight="1">
      <c r="A172" s="481"/>
      <c r="B172" s="410"/>
      <c r="C172" s="477"/>
      <c r="D172" s="422" t="s">
        <v>1501</v>
      </c>
      <c r="E172" s="473" t="s">
        <v>426</v>
      </c>
      <c r="F172" s="416">
        <v>10.836</v>
      </c>
      <c r="G172" s="473">
        <v>2000</v>
      </c>
      <c r="H172" s="416">
        <v>272</v>
      </c>
      <c r="I172" s="473" t="s">
        <v>431</v>
      </c>
      <c r="J172" s="416">
        <v>8765</v>
      </c>
      <c r="K172" s="415">
        <v>24405</v>
      </c>
      <c r="L172" s="415">
        <v>15530</v>
      </c>
      <c r="M172" s="415" t="s">
        <v>1454</v>
      </c>
      <c r="N172" s="482">
        <v>4.45</v>
      </c>
      <c r="O172" s="471">
        <f>IF(N172&gt;0,1/N172*37.7*68.6,"")</f>
        <v>581.1730337078651</v>
      </c>
      <c r="P172" s="470">
        <v>4.04</v>
      </c>
      <c r="Q172" s="469" t="s">
        <v>435</v>
      </c>
      <c r="R172" s="415" t="s">
        <v>427</v>
      </c>
      <c r="S172" s="415" t="s">
        <v>1480</v>
      </c>
      <c r="T172" s="415" t="s">
        <v>1452</v>
      </c>
      <c r="U172" s="480" t="s">
        <v>1452</v>
      </c>
      <c r="V172" s="468">
        <f>IF(N172&lt;&gt;0, IF(N172&gt;=P172,ROUNDDOWN(N172/P172*100,0),""),"")</f>
        <v>110</v>
      </c>
    </row>
    <row r="173" spans="1:22" s="461" customFormat="1" ht="23.1" customHeight="1">
      <c r="A173" s="481"/>
      <c r="B173" s="410"/>
      <c r="C173" s="477"/>
      <c r="D173" s="422" t="s">
        <v>1482</v>
      </c>
      <c r="E173" s="473" t="s">
        <v>426</v>
      </c>
      <c r="F173" s="416">
        <v>10.836</v>
      </c>
      <c r="G173" s="473">
        <v>2000</v>
      </c>
      <c r="H173" s="416">
        <v>272</v>
      </c>
      <c r="I173" s="473" t="s">
        <v>431</v>
      </c>
      <c r="J173" s="416">
        <v>8765</v>
      </c>
      <c r="K173" s="415">
        <v>24405</v>
      </c>
      <c r="L173" s="415">
        <v>15530</v>
      </c>
      <c r="M173" s="415" t="s">
        <v>1454</v>
      </c>
      <c r="N173" s="482">
        <v>4.57</v>
      </c>
      <c r="O173" s="471">
        <f>IF(N173&gt;0,1/N173*37.7*68.6,"")</f>
        <v>565.91247264770232</v>
      </c>
      <c r="P173" s="470">
        <v>4.04</v>
      </c>
      <c r="Q173" s="469" t="s">
        <v>432</v>
      </c>
      <c r="R173" s="415" t="s">
        <v>427</v>
      </c>
      <c r="S173" s="415" t="s">
        <v>1480</v>
      </c>
      <c r="T173" s="415" t="s">
        <v>1452</v>
      </c>
      <c r="U173" s="480" t="s">
        <v>1452</v>
      </c>
      <c r="V173" s="468">
        <f>IF(N173&lt;&gt;0, IF(N173&gt;=P173,ROUNDDOWN(N173/P173*100,0),""),"")</f>
        <v>113</v>
      </c>
    </row>
    <row r="174" spans="1:22" s="461" customFormat="1" ht="23.1" customHeight="1">
      <c r="A174" s="481"/>
      <c r="B174" s="410"/>
      <c r="C174" s="477"/>
      <c r="D174" s="422" t="s">
        <v>1482</v>
      </c>
      <c r="E174" s="473" t="s">
        <v>426</v>
      </c>
      <c r="F174" s="416">
        <v>10.836</v>
      </c>
      <c r="G174" s="473">
        <v>2000</v>
      </c>
      <c r="H174" s="416">
        <v>272</v>
      </c>
      <c r="I174" s="473" t="s">
        <v>431</v>
      </c>
      <c r="J174" s="416">
        <v>8765</v>
      </c>
      <c r="K174" s="415">
        <v>24405</v>
      </c>
      <c r="L174" s="415">
        <v>15530</v>
      </c>
      <c r="M174" s="415" t="s">
        <v>1454</v>
      </c>
      <c r="N174" s="482">
        <v>4.45</v>
      </c>
      <c r="O174" s="471">
        <f>IF(N174&gt;0,1/N174*37.7*68.6,"")</f>
        <v>581.1730337078651</v>
      </c>
      <c r="P174" s="470">
        <v>4.04</v>
      </c>
      <c r="Q174" s="469" t="s">
        <v>435</v>
      </c>
      <c r="R174" s="415" t="s">
        <v>427</v>
      </c>
      <c r="S174" s="415" t="s">
        <v>1480</v>
      </c>
      <c r="T174" s="415" t="s">
        <v>1452</v>
      </c>
      <c r="U174" s="480" t="s">
        <v>1452</v>
      </c>
      <c r="V174" s="468">
        <f>IF(N174&lt;&gt;0, IF(N174&gt;=P174,ROUNDDOWN(N174/P174*100,0),""),"")</f>
        <v>110</v>
      </c>
    </row>
    <row r="175" spans="1:22" s="461" customFormat="1" ht="23.1" customHeight="1">
      <c r="A175" s="481"/>
      <c r="B175" s="410"/>
      <c r="C175" s="477"/>
      <c r="D175" s="422" t="s">
        <v>1481</v>
      </c>
      <c r="E175" s="473" t="s">
        <v>426</v>
      </c>
      <c r="F175" s="416">
        <v>10.836</v>
      </c>
      <c r="G175" s="473">
        <v>2000</v>
      </c>
      <c r="H175" s="416">
        <v>272</v>
      </c>
      <c r="I175" s="473" t="s">
        <v>431</v>
      </c>
      <c r="J175" s="416">
        <v>8765</v>
      </c>
      <c r="K175" s="415">
        <v>24405</v>
      </c>
      <c r="L175" s="415">
        <v>15530</v>
      </c>
      <c r="M175" s="415" t="s">
        <v>1454</v>
      </c>
      <c r="N175" s="482">
        <v>4.57</v>
      </c>
      <c r="O175" s="471">
        <f>IF(N175&gt;0,1/N175*37.7*68.6,"")</f>
        <v>565.91247264770232</v>
      </c>
      <c r="P175" s="470">
        <v>4.04</v>
      </c>
      <c r="Q175" s="469" t="s">
        <v>432</v>
      </c>
      <c r="R175" s="415" t="s">
        <v>427</v>
      </c>
      <c r="S175" s="415" t="s">
        <v>1480</v>
      </c>
      <c r="T175" s="415" t="s">
        <v>1452</v>
      </c>
      <c r="U175" s="480" t="s">
        <v>1452</v>
      </c>
      <c r="V175" s="468">
        <f>IF(N175&lt;&gt;0, IF(N175&gt;=P175,ROUNDDOWN(N175/P175*100,0),""),"")</f>
        <v>113</v>
      </c>
    </row>
    <row r="176" spans="1:22" s="461" customFormat="1" ht="23.1" customHeight="1">
      <c r="A176" s="481"/>
      <c r="B176" s="410"/>
      <c r="C176" s="477"/>
      <c r="D176" s="422" t="s">
        <v>1481</v>
      </c>
      <c r="E176" s="473" t="s">
        <v>426</v>
      </c>
      <c r="F176" s="416">
        <v>10.836</v>
      </c>
      <c r="G176" s="473">
        <v>2000</v>
      </c>
      <c r="H176" s="416">
        <v>272</v>
      </c>
      <c r="I176" s="473" t="s">
        <v>431</v>
      </c>
      <c r="J176" s="416">
        <v>8765</v>
      </c>
      <c r="K176" s="415">
        <v>24405</v>
      </c>
      <c r="L176" s="415">
        <v>15530</v>
      </c>
      <c r="M176" s="415" t="s">
        <v>1454</v>
      </c>
      <c r="N176" s="482">
        <v>4.45</v>
      </c>
      <c r="O176" s="471">
        <f>IF(N176&gt;0,1/N176*37.7*68.6,"")</f>
        <v>581.1730337078651</v>
      </c>
      <c r="P176" s="470">
        <v>4.04</v>
      </c>
      <c r="Q176" s="469" t="s">
        <v>435</v>
      </c>
      <c r="R176" s="415" t="s">
        <v>427</v>
      </c>
      <c r="S176" s="415" t="s">
        <v>1480</v>
      </c>
      <c r="T176" s="415" t="s">
        <v>1452</v>
      </c>
      <c r="U176" s="480" t="s">
        <v>1452</v>
      </c>
      <c r="V176" s="468">
        <f>IF(N176&lt;&gt;0, IF(N176&gt;=P176,ROUNDDOWN(N176/P176*100,0),""),"")</f>
        <v>110</v>
      </c>
    </row>
    <row r="177" spans="1:22" s="461" customFormat="1" ht="23.1" customHeight="1">
      <c r="A177" s="481"/>
      <c r="B177" s="410"/>
      <c r="C177" s="477"/>
      <c r="D177" s="422" t="s">
        <v>1500</v>
      </c>
      <c r="E177" s="473" t="s">
        <v>426</v>
      </c>
      <c r="F177" s="416">
        <v>10.836</v>
      </c>
      <c r="G177" s="473">
        <v>2000</v>
      </c>
      <c r="H177" s="416">
        <v>272</v>
      </c>
      <c r="I177" s="473" t="s">
        <v>431</v>
      </c>
      <c r="J177" s="416">
        <v>8765</v>
      </c>
      <c r="K177" s="415">
        <v>24405</v>
      </c>
      <c r="L177" s="415">
        <v>15530</v>
      </c>
      <c r="M177" s="415" t="s">
        <v>1454</v>
      </c>
      <c r="N177" s="482">
        <v>4.57</v>
      </c>
      <c r="O177" s="471">
        <f>IF(N177&gt;0,1/N177*37.7*68.6,"")</f>
        <v>565.91247264770232</v>
      </c>
      <c r="P177" s="470">
        <v>4.04</v>
      </c>
      <c r="Q177" s="469" t="s">
        <v>432</v>
      </c>
      <c r="R177" s="415" t="s">
        <v>427</v>
      </c>
      <c r="S177" s="415" t="s">
        <v>448</v>
      </c>
      <c r="T177" s="415" t="s">
        <v>1452</v>
      </c>
      <c r="U177" s="480" t="s">
        <v>1452</v>
      </c>
      <c r="V177" s="468">
        <f>IF(N177&lt;&gt;0, IF(N177&gt;=P177,ROUNDDOWN(N177/P177*100,0),""),"")</f>
        <v>113</v>
      </c>
    </row>
    <row r="178" spans="1:22" s="461" customFormat="1" ht="23.1" customHeight="1">
      <c r="A178" s="481"/>
      <c r="B178" s="410"/>
      <c r="C178" s="477"/>
      <c r="D178" s="422" t="s">
        <v>1500</v>
      </c>
      <c r="E178" s="473" t="s">
        <v>426</v>
      </c>
      <c r="F178" s="416">
        <v>10.836</v>
      </c>
      <c r="G178" s="473">
        <v>2000</v>
      </c>
      <c r="H178" s="416">
        <v>272</v>
      </c>
      <c r="I178" s="473" t="s">
        <v>431</v>
      </c>
      <c r="J178" s="416">
        <v>8765</v>
      </c>
      <c r="K178" s="415">
        <v>24405</v>
      </c>
      <c r="L178" s="415">
        <v>15530</v>
      </c>
      <c r="M178" s="415" t="s">
        <v>1454</v>
      </c>
      <c r="N178" s="482">
        <v>4.45</v>
      </c>
      <c r="O178" s="471">
        <f>IF(N178&gt;0,1/N178*37.7*68.6,"")</f>
        <v>581.1730337078651</v>
      </c>
      <c r="P178" s="470">
        <v>4.04</v>
      </c>
      <c r="Q178" s="469" t="s">
        <v>435</v>
      </c>
      <c r="R178" s="415" t="s">
        <v>427</v>
      </c>
      <c r="S178" s="415" t="s">
        <v>448</v>
      </c>
      <c r="T178" s="415" t="s">
        <v>1452</v>
      </c>
      <c r="U178" s="480" t="s">
        <v>1452</v>
      </c>
      <c r="V178" s="468">
        <f>IF(N178&lt;&gt;0, IF(N178&gt;=P178,ROUNDDOWN(N178/P178*100,0),""),"")</f>
        <v>110</v>
      </c>
    </row>
    <row r="179" spans="1:22" s="461" customFormat="1" ht="23.1" customHeight="1">
      <c r="A179" s="481"/>
      <c r="B179" s="410"/>
      <c r="C179" s="477"/>
      <c r="D179" s="422" t="s">
        <v>1499</v>
      </c>
      <c r="E179" s="473" t="s">
        <v>426</v>
      </c>
      <c r="F179" s="416">
        <v>10.836</v>
      </c>
      <c r="G179" s="473">
        <v>2000</v>
      </c>
      <c r="H179" s="416">
        <v>272</v>
      </c>
      <c r="I179" s="473" t="s">
        <v>431</v>
      </c>
      <c r="J179" s="416">
        <v>8765</v>
      </c>
      <c r="K179" s="415">
        <v>24405</v>
      </c>
      <c r="L179" s="415">
        <v>15530</v>
      </c>
      <c r="M179" s="415" t="s">
        <v>1454</v>
      </c>
      <c r="N179" s="482">
        <v>4.57</v>
      </c>
      <c r="O179" s="471">
        <f>IF(N179&gt;0,1/N179*37.7*68.6,"")</f>
        <v>565.91247264770232</v>
      </c>
      <c r="P179" s="470">
        <v>4.04</v>
      </c>
      <c r="Q179" s="469" t="s">
        <v>432</v>
      </c>
      <c r="R179" s="415" t="s">
        <v>427</v>
      </c>
      <c r="S179" s="415" t="s">
        <v>448</v>
      </c>
      <c r="T179" s="415" t="s">
        <v>1452</v>
      </c>
      <c r="U179" s="480" t="s">
        <v>1452</v>
      </c>
      <c r="V179" s="468">
        <f>IF(N179&lt;&gt;0, IF(N179&gt;=P179,ROUNDDOWN(N179/P179*100,0),""),"")</f>
        <v>113</v>
      </c>
    </row>
    <row r="180" spans="1:22" s="461" customFormat="1" ht="23.1" customHeight="1">
      <c r="A180" s="481"/>
      <c r="B180" s="410"/>
      <c r="C180" s="477"/>
      <c r="D180" s="422" t="s">
        <v>1499</v>
      </c>
      <c r="E180" s="473" t="s">
        <v>426</v>
      </c>
      <c r="F180" s="416">
        <v>10.836</v>
      </c>
      <c r="G180" s="473">
        <v>2000</v>
      </c>
      <c r="H180" s="416">
        <v>272</v>
      </c>
      <c r="I180" s="473" t="s">
        <v>431</v>
      </c>
      <c r="J180" s="416">
        <v>8765</v>
      </c>
      <c r="K180" s="415">
        <v>24405</v>
      </c>
      <c r="L180" s="415">
        <v>15530</v>
      </c>
      <c r="M180" s="415" t="s">
        <v>1454</v>
      </c>
      <c r="N180" s="482">
        <v>4.45</v>
      </c>
      <c r="O180" s="471">
        <f>IF(N180&gt;0,1/N180*37.7*68.6,"")</f>
        <v>581.1730337078651</v>
      </c>
      <c r="P180" s="470">
        <v>4.04</v>
      </c>
      <c r="Q180" s="469" t="s">
        <v>435</v>
      </c>
      <c r="R180" s="415" t="s">
        <v>427</v>
      </c>
      <c r="S180" s="415" t="s">
        <v>448</v>
      </c>
      <c r="T180" s="415" t="s">
        <v>1452</v>
      </c>
      <c r="U180" s="480" t="s">
        <v>1452</v>
      </c>
      <c r="V180" s="468">
        <f>IF(N180&lt;&gt;0, IF(N180&gt;=P180,ROUNDDOWN(N180/P180*100,0),""),"")</f>
        <v>110</v>
      </c>
    </row>
    <row r="181" spans="1:22" s="461" customFormat="1" ht="23.1" customHeight="1">
      <c r="A181" s="481"/>
      <c r="B181" s="410"/>
      <c r="C181" s="477"/>
      <c r="D181" s="422" t="s">
        <v>1498</v>
      </c>
      <c r="E181" s="473" t="s">
        <v>426</v>
      </c>
      <c r="F181" s="416">
        <v>10.836</v>
      </c>
      <c r="G181" s="473">
        <v>2000</v>
      </c>
      <c r="H181" s="416">
        <v>272</v>
      </c>
      <c r="I181" s="473" t="s">
        <v>431</v>
      </c>
      <c r="J181" s="416">
        <v>8765</v>
      </c>
      <c r="K181" s="415">
        <v>24405</v>
      </c>
      <c r="L181" s="415">
        <v>15530</v>
      </c>
      <c r="M181" s="415" t="s">
        <v>1454</v>
      </c>
      <c r="N181" s="482">
        <v>4.57</v>
      </c>
      <c r="O181" s="471">
        <f>IF(N181&gt;0,1/N181*37.7*68.6,"")</f>
        <v>565.91247264770232</v>
      </c>
      <c r="P181" s="470">
        <v>4.04</v>
      </c>
      <c r="Q181" s="469" t="s">
        <v>432</v>
      </c>
      <c r="R181" s="415" t="s">
        <v>427</v>
      </c>
      <c r="S181" s="415" t="s">
        <v>454</v>
      </c>
      <c r="T181" s="415" t="s">
        <v>1452</v>
      </c>
      <c r="U181" s="480" t="s">
        <v>1452</v>
      </c>
      <c r="V181" s="468">
        <f>IF(N181&lt;&gt;0, IF(N181&gt;=P181,ROUNDDOWN(N181/P181*100,0),""),"")</f>
        <v>113</v>
      </c>
    </row>
    <row r="182" spans="1:22" s="461" customFormat="1" ht="23.1" customHeight="1">
      <c r="A182" s="481"/>
      <c r="B182" s="410"/>
      <c r="C182" s="477"/>
      <c r="D182" s="422" t="s">
        <v>1498</v>
      </c>
      <c r="E182" s="473" t="s">
        <v>426</v>
      </c>
      <c r="F182" s="416">
        <v>10.836</v>
      </c>
      <c r="G182" s="473">
        <v>2000</v>
      </c>
      <c r="H182" s="416">
        <v>272</v>
      </c>
      <c r="I182" s="473" t="s">
        <v>431</v>
      </c>
      <c r="J182" s="416">
        <v>8765</v>
      </c>
      <c r="K182" s="415">
        <v>24405</v>
      </c>
      <c r="L182" s="415">
        <v>15530</v>
      </c>
      <c r="M182" s="415" t="s">
        <v>1454</v>
      </c>
      <c r="N182" s="482">
        <v>4.45</v>
      </c>
      <c r="O182" s="471">
        <f>IF(N182&gt;0,1/N182*37.7*68.6,"")</f>
        <v>581.1730337078651</v>
      </c>
      <c r="P182" s="470">
        <v>4.04</v>
      </c>
      <c r="Q182" s="469" t="s">
        <v>435</v>
      </c>
      <c r="R182" s="415" t="s">
        <v>427</v>
      </c>
      <c r="S182" s="415" t="s">
        <v>454</v>
      </c>
      <c r="T182" s="415" t="s">
        <v>1452</v>
      </c>
      <c r="U182" s="480" t="s">
        <v>1452</v>
      </c>
      <c r="V182" s="468">
        <f>IF(N182&lt;&gt;0, IF(N182&gt;=P182,ROUNDDOWN(N182/P182*100,0),""),"")</f>
        <v>110</v>
      </c>
    </row>
    <row r="183" spans="1:22" s="461" customFormat="1" ht="23.1" customHeight="1">
      <c r="A183" s="481"/>
      <c r="B183" s="410"/>
      <c r="C183" s="477"/>
      <c r="D183" s="422" t="s">
        <v>1497</v>
      </c>
      <c r="E183" s="473" t="s">
        <v>426</v>
      </c>
      <c r="F183" s="416">
        <v>10.836</v>
      </c>
      <c r="G183" s="473">
        <v>2000</v>
      </c>
      <c r="H183" s="416">
        <v>272</v>
      </c>
      <c r="I183" s="473" t="s">
        <v>431</v>
      </c>
      <c r="J183" s="416">
        <v>8765</v>
      </c>
      <c r="K183" s="415">
        <v>24405</v>
      </c>
      <c r="L183" s="415">
        <v>15530</v>
      </c>
      <c r="M183" s="415" t="s">
        <v>1454</v>
      </c>
      <c r="N183" s="482">
        <v>4.57</v>
      </c>
      <c r="O183" s="471">
        <f>IF(N183&gt;0,1/N183*37.7*68.6,"")</f>
        <v>565.91247264770232</v>
      </c>
      <c r="P183" s="470">
        <v>4.04</v>
      </c>
      <c r="Q183" s="469" t="s">
        <v>432</v>
      </c>
      <c r="R183" s="415" t="s">
        <v>427</v>
      </c>
      <c r="S183" s="415" t="s">
        <v>454</v>
      </c>
      <c r="T183" s="415" t="s">
        <v>1452</v>
      </c>
      <c r="U183" s="480" t="s">
        <v>1452</v>
      </c>
      <c r="V183" s="468">
        <f>IF(N183&lt;&gt;0, IF(N183&gt;=P183,ROUNDDOWN(N183/P183*100,0),""),"")</f>
        <v>113</v>
      </c>
    </row>
    <row r="184" spans="1:22" s="461" customFormat="1" ht="23.1" customHeight="1">
      <c r="A184" s="481"/>
      <c r="B184" s="410"/>
      <c r="C184" s="477"/>
      <c r="D184" s="422" t="s">
        <v>1497</v>
      </c>
      <c r="E184" s="473" t="s">
        <v>426</v>
      </c>
      <c r="F184" s="416">
        <v>10.836</v>
      </c>
      <c r="G184" s="473">
        <v>2000</v>
      </c>
      <c r="H184" s="416">
        <v>272</v>
      </c>
      <c r="I184" s="473" t="s">
        <v>431</v>
      </c>
      <c r="J184" s="416">
        <v>8765</v>
      </c>
      <c r="K184" s="415">
        <v>24405</v>
      </c>
      <c r="L184" s="415">
        <v>15530</v>
      </c>
      <c r="M184" s="415" t="s">
        <v>1454</v>
      </c>
      <c r="N184" s="482">
        <v>4.45</v>
      </c>
      <c r="O184" s="471">
        <f>IF(N184&gt;0,1/N184*37.7*68.6,"")</f>
        <v>581.1730337078651</v>
      </c>
      <c r="P184" s="470">
        <v>4.04</v>
      </c>
      <c r="Q184" s="469" t="s">
        <v>435</v>
      </c>
      <c r="R184" s="415" t="s">
        <v>427</v>
      </c>
      <c r="S184" s="415" t="s">
        <v>454</v>
      </c>
      <c r="T184" s="415" t="s">
        <v>1452</v>
      </c>
      <c r="U184" s="480" t="s">
        <v>1452</v>
      </c>
      <c r="V184" s="468">
        <f>IF(N184&lt;&gt;0, IF(N184&gt;=P184,ROUNDDOWN(N184/P184*100,0),""),"")</f>
        <v>110</v>
      </c>
    </row>
    <row r="185" spans="1:22" s="461" customFormat="1" ht="23.1" customHeight="1">
      <c r="A185" s="481"/>
      <c r="B185" s="410"/>
      <c r="C185" s="477"/>
      <c r="D185" s="422" t="s">
        <v>1496</v>
      </c>
      <c r="E185" s="473" t="s">
        <v>426</v>
      </c>
      <c r="F185" s="416">
        <v>10.836</v>
      </c>
      <c r="G185" s="473">
        <v>2000</v>
      </c>
      <c r="H185" s="416">
        <v>272</v>
      </c>
      <c r="I185" s="473" t="s">
        <v>431</v>
      </c>
      <c r="J185" s="416">
        <v>8765</v>
      </c>
      <c r="K185" s="415">
        <v>24405</v>
      </c>
      <c r="L185" s="415">
        <v>15530</v>
      </c>
      <c r="M185" s="415" t="s">
        <v>1454</v>
      </c>
      <c r="N185" s="482">
        <v>4.57</v>
      </c>
      <c r="O185" s="471">
        <f>IF(N185&gt;0,1/N185*37.7*68.6,"")</f>
        <v>565.91247264770232</v>
      </c>
      <c r="P185" s="470">
        <v>4.04</v>
      </c>
      <c r="Q185" s="469" t="s">
        <v>432</v>
      </c>
      <c r="R185" s="415" t="s">
        <v>427</v>
      </c>
      <c r="S185" s="415" t="s">
        <v>454</v>
      </c>
      <c r="T185" s="415" t="s">
        <v>1452</v>
      </c>
      <c r="U185" s="480" t="s">
        <v>1452</v>
      </c>
      <c r="V185" s="468">
        <f>IF(N185&lt;&gt;0, IF(N185&gt;=P185,ROUNDDOWN(N185/P185*100,0),""),"")</f>
        <v>113</v>
      </c>
    </row>
    <row r="186" spans="1:22" s="461" customFormat="1" ht="23.1" customHeight="1">
      <c r="A186" s="481"/>
      <c r="B186" s="410"/>
      <c r="C186" s="477"/>
      <c r="D186" s="422" t="s">
        <v>1496</v>
      </c>
      <c r="E186" s="473" t="s">
        <v>426</v>
      </c>
      <c r="F186" s="416">
        <v>10.836</v>
      </c>
      <c r="G186" s="473">
        <v>2000</v>
      </c>
      <c r="H186" s="416">
        <v>272</v>
      </c>
      <c r="I186" s="473" t="s">
        <v>431</v>
      </c>
      <c r="J186" s="416">
        <v>8765</v>
      </c>
      <c r="K186" s="415">
        <v>24405</v>
      </c>
      <c r="L186" s="415">
        <v>15530</v>
      </c>
      <c r="M186" s="415" t="s">
        <v>1454</v>
      </c>
      <c r="N186" s="482">
        <v>4.45</v>
      </c>
      <c r="O186" s="471">
        <f>IF(N186&gt;0,1/N186*37.7*68.6,"")</f>
        <v>581.1730337078651</v>
      </c>
      <c r="P186" s="470">
        <v>4.04</v>
      </c>
      <c r="Q186" s="469" t="s">
        <v>435</v>
      </c>
      <c r="R186" s="415" t="s">
        <v>427</v>
      </c>
      <c r="S186" s="415" t="s">
        <v>454</v>
      </c>
      <c r="T186" s="415" t="s">
        <v>1452</v>
      </c>
      <c r="U186" s="480" t="s">
        <v>1452</v>
      </c>
      <c r="V186" s="468">
        <f>IF(N186&lt;&gt;0, IF(N186&gt;=P186,ROUNDDOWN(N186/P186*100,0),""),"")</f>
        <v>110</v>
      </c>
    </row>
    <row r="187" spans="1:22" s="461" customFormat="1" ht="23.1" customHeight="1">
      <c r="A187" s="481"/>
      <c r="B187" s="410"/>
      <c r="C187" s="477"/>
      <c r="D187" s="422" t="s">
        <v>1495</v>
      </c>
      <c r="E187" s="473" t="s">
        <v>426</v>
      </c>
      <c r="F187" s="416">
        <v>10.836</v>
      </c>
      <c r="G187" s="473">
        <v>2000</v>
      </c>
      <c r="H187" s="416">
        <v>272</v>
      </c>
      <c r="I187" s="473" t="s">
        <v>431</v>
      </c>
      <c r="J187" s="416">
        <v>8765</v>
      </c>
      <c r="K187" s="415">
        <v>24405</v>
      </c>
      <c r="L187" s="415">
        <v>15530</v>
      </c>
      <c r="M187" s="415" t="s">
        <v>1454</v>
      </c>
      <c r="N187" s="482">
        <v>4.57</v>
      </c>
      <c r="O187" s="471">
        <f>IF(N187&gt;0,1/N187*37.7*68.6,"")</f>
        <v>565.91247264770232</v>
      </c>
      <c r="P187" s="470">
        <v>4.04</v>
      </c>
      <c r="Q187" s="469" t="s">
        <v>432</v>
      </c>
      <c r="R187" s="415" t="s">
        <v>427</v>
      </c>
      <c r="S187" s="415" t="s">
        <v>454</v>
      </c>
      <c r="T187" s="415" t="s">
        <v>1452</v>
      </c>
      <c r="U187" s="480" t="s">
        <v>1452</v>
      </c>
      <c r="V187" s="468">
        <f>IF(N187&lt;&gt;0, IF(N187&gt;=P187,ROUNDDOWN(N187/P187*100,0),""),"")</f>
        <v>113</v>
      </c>
    </row>
    <row r="188" spans="1:22" s="461" customFormat="1" ht="23.1" customHeight="1">
      <c r="A188" s="481"/>
      <c r="B188" s="410"/>
      <c r="C188" s="477"/>
      <c r="D188" s="422" t="s">
        <v>1495</v>
      </c>
      <c r="E188" s="473" t="s">
        <v>426</v>
      </c>
      <c r="F188" s="416">
        <v>10.836</v>
      </c>
      <c r="G188" s="473">
        <v>2000</v>
      </c>
      <c r="H188" s="416">
        <v>272</v>
      </c>
      <c r="I188" s="473" t="s">
        <v>431</v>
      </c>
      <c r="J188" s="416">
        <v>8765</v>
      </c>
      <c r="K188" s="415">
        <v>24405</v>
      </c>
      <c r="L188" s="415">
        <v>15530</v>
      </c>
      <c r="M188" s="415" t="s">
        <v>1454</v>
      </c>
      <c r="N188" s="482">
        <v>4.45</v>
      </c>
      <c r="O188" s="471">
        <f>IF(N188&gt;0,1/N188*37.7*68.6,"")</f>
        <v>581.1730337078651</v>
      </c>
      <c r="P188" s="470">
        <v>4.04</v>
      </c>
      <c r="Q188" s="469" t="s">
        <v>435</v>
      </c>
      <c r="R188" s="415" t="s">
        <v>427</v>
      </c>
      <c r="S188" s="415" t="s">
        <v>454</v>
      </c>
      <c r="T188" s="415" t="s">
        <v>1452</v>
      </c>
      <c r="U188" s="480" t="s">
        <v>1452</v>
      </c>
      <c r="V188" s="468">
        <f>IF(N188&lt;&gt;0, IF(N188&gt;=P188,ROUNDDOWN(N188/P188*100,0),""),"")</f>
        <v>110</v>
      </c>
    </row>
    <row r="189" spans="1:22" s="461" customFormat="1" ht="23.1" customHeight="1">
      <c r="A189" s="481"/>
      <c r="B189" s="410"/>
      <c r="C189" s="477"/>
      <c r="D189" s="422" t="s">
        <v>1484</v>
      </c>
      <c r="E189" s="473" t="s">
        <v>426</v>
      </c>
      <c r="F189" s="416">
        <v>10.836</v>
      </c>
      <c r="G189" s="473">
        <v>2000</v>
      </c>
      <c r="H189" s="416">
        <v>272</v>
      </c>
      <c r="I189" s="473" t="s">
        <v>431</v>
      </c>
      <c r="J189" s="416">
        <v>8765</v>
      </c>
      <c r="K189" s="415">
        <v>24405</v>
      </c>
      <c r="L189" s="415">
        <v>15530</v>
      </c>
      <c r="M189" s="415" t="s">
        <v>1454</v>
      </c>
      <c r="N189" s="482">
        <v>4.57</v>
      </c>
      <c r="O189" s="471">
        <f>IF(N189&gt;0,1/N189*37.7*68.6,"")</f>
        <v>565.91247264770232</v>
      </c>
      <c r="P189" s="470">
        <v>4.04</v>
      </c>
      <c r="Q189" s="469" t="s">
        <v>432</v>
      </c>
      <c r="R189" s="415" t="s">
        <v>427</v>
      </c>
      <c r="S189" s="415" t="s">
        <v>454</v>
      </c>
      <c r="T189" s="415" t="s">
        <v>1452</v>
      </c>
      <c r="U189" s="480" t="s">
        <v>1452</v>
      </c>
      <c r="V189" s="468">
        <f>IF(N189&lt;&gt;0, IF(N189&gt;=P189,ROUNDDOWN(N189/P189*100,0),""),"")</f>
        <v>113</v>
      </c>
    </row>
    <row r="190" spans="1:22" s="461" customFormat="1" ht="23.1" customHeight="1">
      <c r="A190" s="481"/>
      <c r="B190" s="410"/>
      <c r="C190" s="477"/>
      <c r="D190" s="422" t="s">
        <v>1484</v>
      </c>
      <c r="E190" s="473" t="s">
        <v>426</v>
      </c>
      <c r="F190" s="416">
        <v>10.836</v>
      </c>
      <c r="G190" s="473">
        <v>2000</v>
      </c>
      <c r="H190" s="416">
        <v>272</v>
      </c>
      <c r="I190" s="473" t="s">
        <v>431</v>
      </c>
      <c r="J190" s="416">
        <v>8765</v>
      </c>
      <c r="K190" s="415">
        <v>24405</v>
      </c>
      <c r="L190" s="415">
        <v>15530</v>
      </c>
      <c r="M190" s="415" t="s">
        <v>1454</v>
      </c>
      <c r="N190" s="482">
        <v>4.45</v>
      </c>
      <c r="O190" s="471">
        <f>IF(N190&gt;0,1/N190*37.7*68.6,"")</f>
        <v>581.1730337078651</v>
      </c>
      <c r="P190" s="470">
        <v>4.04</v>
      </c>
      <c r="Q190" s="469" t="s">
        <v>435</v>
      </c>
      <c r="R190" s="415" t="s">
        <v>427</v>
      </c>
      <c r="S190" s="415" t="s">
        <v>454</v>
      </c>
      <c r="T190" s="415" t="s">
        <v>1452</v>
      </c>
      <c r="U190" s="480" t="s">
        <v>1452</v>
      </c>
      <c r="V190" s="468">
        <f>IF(N190&lt;&gt;0, IF(N190&gt;=P190,ROUNDDOWN(N190/P190*100,0),""),"")</f>
        <v>110</v>
      </c>
    </row>
    <row r="191" spans="1:22" s="461" customFormat="1" ht="23.1" customHeight="1">
      <c r="A191" s="481"/>
      <c r="B191" s="410"/>
      <c r="C191" s="477"/>
      <c r="D191" s="422" t="s">
        <v>1479</v>
      </c>
      <c r="E191" s="473" t="s">
        <v>426</v>
      </c>
      <c r="F191" s="416">
        <v>10.836</v>
      </c>
      <c r="G191" s="473">
        <v>2000</v>
      </c>
      <c r="H191" s="416">
        <v>272</v>
      </c>
      <c r="I191" s="473" t="s">
        <v>431</v>
      </c>
      <c r="J191" s="416">
        <v>8765</v>
      </c>
      <c r="K191" s="415">
        <v>24405</v>
      </c>
      <c r="L191" s="415">
        <v>15530</v>
      </c>
      <c r="M191" s="415" t="s">
        <v>1454</v>
      </c>
      <c r="N191" s="482">
        <v>4.57</v>
      </c>
      <c r="O191" s="471">
        <f>IF(N191&gt;0,1/N191*37.7*68.6,"")</f>
        <v>565.91247264770232</v>
      </c>
      <c r="P191" s="470">
        <v>4.04</v>
      </c>
      <c r="Q191" s="469" t="s">
        <v>432</v>
      </c>
      <c r="R191" s="415" t="s">
        <v>427</v>
      </c>
      <c r="S191" s="415" t="s">
        <v>454</v>
      </c>
      <c r="T191" s="415" t="s">
        <v>1452</v>
      </c>
      <c r="U191" s="480" t="s">
        <v>1452</v>
      </c>
      <c r="V191" s="468">
        <f>IF(N191&lt;&gt;0, IF(N191&gt;=P191,ROUNDDOWN(N191/P191*100,0),""),"")</f>
        <v>113</v>
      </c>
    </row>
    <row r="192" spans="1:22" s="461" customFormat="1" ht="23.1" customHeight="1">
      <c r="A192" s="481"/>
      <c r="B192" s="410"/>
      <c r="C192" s="477"/>
      <c r="D192" s="422" t="s">
        <v>1479</v>
      </c>
      <c r="E192" s="473" t="s">
        <v>426</v>
      </c>
      <c r="F192" s="416">
        <v>10.836</v>
      </c>
      <c r="G192" s="473">
        <v>2000</v>
      </c>
      <c r="H192" s="416">
        <v>272</v>
      </c>
      <c r="I192" s="473" t="s">
        <v>431</v>
      </c>
      <c r="J192" s="416">
        <v>8765</v>
      </c>
      <c r="K192" s="415">
        <v>24405</v>
      </c>
      <c r="L192" s="415">
        <v>15530</v>
      </c>
      <c r="M192" s="415" t="s">
        <v>1454</v>
      </c>
      <c r="N192" s="482">
        <v>4.45</v>
      </c>
      <c r="O192" s="471">
        <f>IF(N192&gt;0,1/N192*37.7*68.6,"")</f>
        <v>581.1730337078651</v>
      </c>
      <c r="P192" s="470">
        <v>4.04</v>
      </c>
      <c r="Q192" s="469" t="s">
        <v>435</v>
      </c>
      <c r="R192" s="415" t="s">
        <v>427</v>
      </c>
      <c r="S192" s="415" t="s">
        <v>454</v>
      </c>
      <c r="T192" s="415" t="s">
        <v>1452</v>
      </c>
      <c r="U192" s="480" t="s">
        <v>1452</v>
      </c>
      <c r="V192" s="468">
        <f>IF(N192&lt;&gt;0, IF(N192&gt;=P192,ROUNDDOWN(N192/P192*100,0),""),"")</f>
        <v>110</v>
      </c>
    </row>
    <row r="193" spans="1:22" s="461" customFormat="1" ht="23.1" customHeight="1">
      <c r="A193" s="481"/>
      <c r="B193" s="410"/>
      <c r="C193" s="477"/>
      <c r="D193" s="422" t="s">
        <v>1478</v>
      </c>
      <c r="E193" s="473" t="s">
        <v>426</v>
      </c>
      <c r="F193" s="416">
        <v>10.836</v>
      </c>
      <c r="G193" s="473">
        <v>2000</v>
      </c>
      <c r="H193" s="416">
        <v>272</v>
      </c>
      <c r="I193" s="473" t="s">
        <v>431</v>
      </c>
      <c r="J193" s="416">
        <v>8765</v>
      </c>
      <c r="K193" s="415">
        <v>24405</v>
      </c>
      <c r="L193" s="415">
        <v>15530</v>
      </c>
      <c r="M193" s="415" t="s">
        <v>1454</v>
      </c>
      <c r="N193" s="482">
        <v>4.57</v>
      </c>
      <c r="O193" s="471">
        <f>IF(N193&gt;0,1/N193*37.7*68.6,"")</f>
        <v>565.91247264770232</v>
      </c>
      <c r="P193" s="470">
        <v>4.04</v>
      </c>
      <c r="Q193" s="469" t="s">
        <v>432</v>
      </c>
      <c r="R193" s="415" t="s">
        <v>427</v>
      </c>
      <c r="S193" s="415" t="s">
        <v>454</v>
      </c>
      <c r="T193" s="415" t="s">
        <v>1452</v>
      </c>
      <c r="U193" s="480" t="s">
        <v>1452</v>
      </c>
      <c r="V193" s="468">
        <f>IF(N193&lt;&gt;0, IF(N193&gt;=P193,ROUNDDOWN(N193/P193*100,0),""),"")</f>
        <v>113</v>
      </c>
    </row>
    <row r="194" spans="1:22" s="461" customFormat="1" ht="23.1" customHeight="1">
      <c r="A194" s="481"/>
      <c r="B194" s="410"/>
      <c r="C194" s="477"/>
      <c r="D194" s="422" t="s">
        <v>1478</v>
      </c>
      <c r="E194" s="473" t="s">
        <v>426</v>
      </c>
      <c r="F194" s="416">
        <v>10.836</v>
      </c>
      <c r="G194" s="473">
        <v>2000</v>
      </c>
      <c r="H194" s="416">
        <v>272</v>
      </c>
      <c r="I194" s="473" t="s">
        <v>431</v>
      </c>
      <c r="J194" s="416">
        <v>8765</v>
      </c>
      <c r="K194" s="415">
        <v>24405</v>
      </c>
      <c r="L194" s="415">
        <v>15530</v>
      </c>
      <c r="M194" s="415" t="s">
        <v>1454</v>
      </c>
      <c r="N194" s="482">
        <v>4.45</v>
      </c>
      <c r="O194" s="471">
        <f>IF(N194&gt;0,1/N194*37.7*68.6,"")</f>
        <v>581.1730337078651</v>
      </c>
      <c r="P194" s="470">
        <v>4.04</v>
      </c>
      <c r="Q194" s="469" t="s">
        <v>435</v>
      </c>
      <c r="R194" s="415" t="s">
        <v>427</v>
      </c>
      <c r="S194" s="415" t="s">
        <v>454</v>
      </c>
      <c r="T194" s="415" t="s">
        <v>1452</v>
      </c>
      <c r="U194" s="480" t="s">
        <v>1452</v>
      </c>
      <c r="V194" s="468">
        <f>IF(N194&lt;&gt;0, IF(N194&gt;=P194,ROUNDDOWN(N194/P194*100,0),""),"")</f>
        <v>110</v>
      </c>
    </row>
    <row r="195" spans="1:22" s="461" customFormat="1" ht="23.1" customHeight="1">
      <c r="A195" s="481"/>
      <c r="B195" s="410"/>
      <c r="C195" s="477"/>
      <c r="D195" s="422" t="s">
        <v>1515</v>
      </c>
      <c r="E195" s="473" t="s">
        <v>426</v>
      </c>
      <c r="F195" s="416">
        <v>10.836</v>
      </c>
      <c r="G195" s="473">
        <v>1750</v>
      </c>
      <c r="H195" s="416">
        <v>287</v>
      </c>
      <c r="I195" s="473" t="s">
        <v>243</v>
      </c>
      <c r="J195" s="416">
        <v>8765</v>
      </c>
      <c r="K195" s="415">
        <v>24405</v>
      </c>
      <c r="L195" s="415">
        <v>15530</v>
      </c>
      <c r="M195" s="415" t="s">
        <v>1454</v>
      </c>
      <c r="N195" s="482">
        <v>4.4000000000000004</v>
      </c>
      <c r="O195" s="471">
        <f>IF(N195&gt;0,1/N195*37.7*68.6,"")</f>
        <v>587.7772727272727</v>
      </c>
      <c r="P195" s="470">
        <v>4.04</v>
      </c>
      <c r="Q195" s="469" t="s">
        <v>432</v>
      </c>
      <c r="R195" s="415" t="s">
        <v>427</v>
      </c>
      <c r="S195" s="415" t="s">
        <v>1480</v>
      </c>
      <c r="T195" s="415" t="s">
        <v>1452</v>
      </c>
      <c r="U195" s="480" t="s">
        <v>1452</v>
      </c>
      <c r="V195" s="468">
        <f>IF(N195&lt;&gt;0, IF(N195&gt;=P195,ROUNDDOWN(N195/P195*100,0),""),"")</f>
        <v>108</v>
      </c>
    </row>
    <row r="196" spans="1:22" s="461" customFormat="1" ht="23.1" customHeight="1">
      <c r="A196" s="481"/>
      <c r="B196" s="410"/>
      <c r="C196" s="477"/>
      <c r="D196" s="422" t="s">
        <v>1514</v>
      </c>
      <c r="E196" s="473" t="s">
        <v>426</v>
      </c>
      <c r="F196" s="416">
        <v>10.836</v>
      </c>
      <c r="G196" s="473">
        <v>1750</v>
      </c>
      <c r="H196" s="416">
        <v>287</v>
      </c>
      <c r="I196" s="473" t="s">
        <v>261</v>
      </c>
      <c r="J196" s="416">
        <v>8765</v>
      </c>
      <c r="K196" s="415">
        <v>24405</v>
      </c>
      <c r="L196" s="415">
        <v>15530</v>
      </c>
      <c r="M196" s="415" t="s">
        <v>1454</v>
      </c>
      <c r="N196" s="472">
        <v>4.3</v>
      </c>
      <c r="O196" s="471">
        <f>IF(N196&gt;0,1/N196*37.7*68.6,"")</f>
        <v>601.44651162790706</v>
      </c>
      <c r="P196" s="470">
        <v>4.04</v>
      </c>
      <c r="Q196" s="469" t="s">
        <v>435</v>
      </c>
      <c r="R196" s="415" t="s">
        <v>427</v>
      </c>
      <c r="S196" s="415" t="s">
        <v>1480</v>
      </c>
      <c r="T196" s="415" t="s">
        <v>1452</v>
      </c>
      <c r="U196" s="480" t="s">
        <v>1452</v>
      </c>
      <c r="V196" s="468">
        <f>IF(N196&lt;&gt;0, IF(N196&gt;=P196,ROUNDDOWN(N196/P196*100,0),""),"")</f>
        <v>106</v>
      </c>
    </row>
    <row r="197" spans="1:22" s="461" customFormat="1" ht="23.1" customHeight="1">
      <c r="A197" s="481"/>
      <c r="B197" s="410"/>
      <c r="C197" s="477"/>
      <c r="D197" s="422" t="s">
        <v>1513</v>
      </c>
      <c r="E197" s="473" t="s">
        <v>426</v>
      </c>
      <c r="F197" s="416">
        <v>10.836</v>
      </c>
      <c r="G197" s="473">
        <v>1750</v>
      </c>
      <c r="H197" s="416">
        <v>287</v>
      </c>
      <c r="I197" s="473" t="s">
        <v>261</v>
      </c>
      <c r="J197" s="416">
        <v>8765</v>
      </c>
      <c r="K197" s="415">
        <v>24405</v>
      </c>
      <c r="L197" s="415">
        <v>15530</v>
      </c>
      <c r="M197" s="415" t="s">
        <v>1454</v>
      </c>
      <c r="N197" s="482">
        <v>4.4000000000000004</v>
      </c>
      <c r="O197" s="471">
        <f>IF(N197&gt;0,1/N197*37.7*68.6,"")</f>
        <v>587.7772727272727</v>
      </c>
      <c r="P197" s="470">
        <v>4.04</v>
      </c>
      <c r="Q197" s="469" t="s">
        <v>432</v>
      </c>
      <c r="R197" s="415" t="s">
        <v>427</v>
      </c>
      <c r="S197" s="415" t="s">
        <v>1480</v>
      </c>
      <c r="T197" s="415" t="s">
        <v>1452</v>
      </c>
      <c r="U197" s="480" t="s">
        <v>1452</v>
      </c>
      <c r="V197" s="468">
        <f>IF(N197&lt;&gt;0, IF(N197&gt;=P197,ROUNDDOWN(N197/P197*100,0),""),"")</f>
        <v>108</v>
      </c>
    </row>
    <row r="198" spans="1:22" s="461" customFormat="1" ht="23.1" customHeight="1">
      <c r="A198" s="481"/>
      <c r="B198" s="410"/>
      <c r="C198" s="477"/>
      <c r="D198" s="422" t="s">
        <v>1513</v>
      </c>
      <c r="E198" s="473" t="s">
        <v>426</v>
      </c>
      <c r="F198" s="416">
        <v>10.836</v>
      </c>
      <c r="G198" s="473">
        <v>1750</v>
      </c>
      <c r="H198" s="416">
        <v>287</v>
      </c>
      <c r="I198" s="473" t="s">
        <v>261</v>
      </c>
      <c r="J198" s="416">
        <v>8765</v>
      </c>
      <c r="K198" s="415">
        <v>24405</v>
      </c>
      <c r="L198" s="415">
        <v>15530</v>
      </c>
      <c r="M198" s="415" t="s">
        <v>1454</v>
      </c>
      <c r="N198" s="472">
        <v>4.3</v>
      </c>
      <c r="O198" s="471">
        <f>IF(N198&gt;0,1/N198*37.7*68.6,"")</f>
        <v>601.44651162790706</v>
      </c>
      <c r="P198" s="470">
        <v>4.04</v>
      </c>
      <c r="Q198" s="469" t="s">
        <v>435</v>
      </c>
      <c r="R198" s="415" t="s">
        <v>427</v>
      </c>
      <c r="S198" s="415" t="s">
        <v>1480</v>
      </c>
      <c r="T198" s="415" t="s">
        <v>1452</v>
      </c>
      <c r="U198" s="480" t="s">
        <v>1452</v>
      </c>
      <c r="V198" s="468">
        <f>IF(N198&lt;&gt;0, IF(N198&gt;=P198,ROUNDDOWN(N198/P198*100,0),""),"")</f>
        <v>106</v>
      </c>
    </row>
    <row r="199" spans="1:22" s="461" customFormat="1" ht="23.1" customHeight="1">
      <c r="A199" s="481"/>
      <c r="B199" s="410"/>
      <c r="C199" s="477"/>
      <c r="D199" s="422" t="s">
        <v>1512</v>
      </c>
      <c r="E199" s="473" t="s">
        <v>426</v>
      </c>
      <c r="F199" s="416">
        <v>10.836</v>
      </c>
      <c r="G199" s="473">
        <v>1750</v>
      </c>
      <c r="H199" s="416">
        <v>287</v>
      </c>
      <c r="I199" s="473" t="s">
        <v>261</v>
      </c>
      <c r="J199" s="416">
        <v>8765</v>
      </c>
      <c r="K199" s="415">
        <v>24405</v>
      </c>
      <c r="L199" s="415">
        <v>15530</v>
      </c>
      <c r="M199" s="415" t="s">
        <v>1454</v>
      </c>
      <c r="N199" s="482">
        <v>4.4000000000000004</v>
      </c>
      <c r="O199" s="471">
        <f>IF(N199&gt;0,1/N199*37.7*68.6,"")</f>
        <v>587.7772727272727</v>
      </c>
      <c r="P199" s="470">
        <v>4.04</v>
      </c>
      <c r="Q199" s="469" t="s">
        <v>432</v>
      </c>
      <c r="R199" s="415" t="s">
        <v>427</v>
      </c>
      <c r="S199" s="415" t="s">
        <v>1480</v>
      </c>
      <c r="T199" s="415" t="s">
        <v>1452</v>
      </c>
      <c r="U199" s="480" t="s">
        <v>1452</v>
      </c>
      <c r="V199" s="468">
        <f>IF(N199&lt;&gt;0, IF(N199&gt;=P199,ROUNDDOWN(N199/P199*100,0),""),"")</f>
        <v>108</v>
      </c>
    </row>
    <row r="200" spans="1:22" s="461" customFormat="1" ht="23.1" customHeight="1">
      <c r="A200" s="481"/>
      <c r="B200" s="410"/>
      <c r="C200" s="477"/>
      <c r="D200" s="422" t="s">
        <v>1512</v>
      </c>
      <c r="E200" s="473" t="s">
        <v>426</v>
      </c>
      <c r="F200" s="416">
        <v>10.836</v>
      </c>
      <c r="G200" s="473">
        <v>1750</v>
      </c>
      <c r="H200" s="416">
        <v>287</v>
      </c>
      <c r="I200" s="473" t="s">
        <v>261</v>
      </c>
      <c r="J200" s="416">
        <v>8765</v>
      </c>
      <c r="K200" s="415">
        <v>24405</v>
      </c>
      <c r="L200" s="415">
        <v>15530</v>
      </c>
      <c r="M200" s="415" t="s">
        <v>1454</v>
      </c>
      <c r="N200" s="472">
        <v>4.3</v>
      </c>
      <c r="O200" s="471">
        <f>IF(N200&gt;0,1/N200*37.7*68.6,"")</f>
        <v>601.44651162790706</v>
      </c>
      <c r="P200" s="470">
        <v>4.04</v>
      </c>
      <c r="Q200" s="469" t="s">
        <v>435</v>
      </c>
      <c r="R200" s="415" t="s">
        <v>427</v>
      </c>
      <c r="S200" s="415" t="s">
        <v>1480</v>
      </c>
      <c r="T200" s="415" t="s">
        <v>1452</v>
      </c>
      <c r="U200" s="480" t="s">
        <v>1452</v>
      </c>
      <c r="V200" s="468">
        <f>IF(N200&lt;&gt;0, IF(N200&gt;=P200,ROUNDDOWN(N200/P200*100,0),""),"")</f>
        <v>106</v>
      </c>
    </row>
    <row r="201" spans="1:22" s="461" customFormat="1" ht="23.1" customHeight="1">
      <c r="A201" s="481"/>
      <c r="B201" s="410"/>
      <c r="C201" s="477"/>
      <c r="D201" s="422" t="s">
        <v>1493</v>
      </c>
      <c r="E201" s="473" t="s">
        <v>426</v>
      </c>
      <c r="F201" s="416">
        <v>10.836</v>
      </c>
      <c r="G201" s="473">
        <v>1750</v>
      </c>
      <c r="H201" s="416">
        <v>287</v>
      </c>
      <c r="I201" s="473" t="s">
        <v>261</v>
      </c>
      <c r="J201" s="416">
        <v>8765</v>
      </c>
      <c r="K201" s="415">
        <v>24405</v>
      </c>
      <c r="L201" s="415">
        <v>15530</v>
      </c>
      <c r="M201" s="415" t="s">
        <v>1454</v>
      </c>
      <c r="N201" s="482">
        <v>4.4000000000000004</v>
      </c>
      <c r="O201" s="471">
        <f>IF(N201&gt;0,1/N201*37.7*68.6,"")</f>
        <v>587.7772727272727</v>
      </c>
      <c r="P201" s="470">
        <v>4.04</v>
      </c>
      <c r="Q201" s="469" t="s">
        <v>432</v>
      </c>
      <c r="R201" s="415" t="s">
        <v>427</v>
      </c>
      <c r="S201" s="415" t="s">
        <v>1480</v>
      </c>
      <c r="T201" s="415" t="s">
        <v>1452</v>
      </c>
      <c r="U201" s="480" t="s">
        <v>1452</v>
      </c>
      <c r="V201" s="468">
        <f>IF(N201&lt;&gt;0, IF(N201&gt;=P201,ROUNDDOWN(N201/P201*100,0),""),"")</f>
        <v>108</v>
      </c>
    </row>
    <row r="202" spans="1:22" s="461" customFormat="1" ht="23.1" customHeight="1">
      <c r="A202" s="481"/>
      <c r="B202" s="410"/>
      <c r="C202" s="477"/>
      <c r="D202" s="422" t="s">
        <v>1493</v>
      </c>
      <c r="E202" s="473" t="s">
        <v>426</v>
      </c>
      <c r="F202" s="416">
        <v>10.836</v>
      </c>
      <c r="G202" s="473">
        <v>1750</v>
      </c>
      <c r="H202" s="416">
        <v>287</v>
      </c>
      <c r="I202" s="473" t="s">
        <v>261</v>
      </c>
      <c r="J202" s="416">
        <v>8765</v>
      </c>
      <c r="K202" s="415">
        <v>24405</v>
      </c>
      <c r="L202" s="415">
        <v>15530</v>
      </c>
      <c r="M202" s="415" t="s">
        <v>1454</v>
      </c>
      <c r="N202" s="472">
        <v>4.3</v>
      </c>
      <c r="O202" s="471">
        <f>IF(N202&gt;0,1/N202*37.7*68.6,"")</f>
        <v>601.44651162790706</v>
      </c>
      <c r="P202" s="470">
        <v>4.04</v>
      </c>
      <c r="Q202" s="469" t="s">
        <v>435</v>
      </c>
      <c r="R202" s="415" t="s">
        <v>427</v>
      </c>
      <c r="S202" s="415" t="s">
        <v>1480</v>
      </c>
      <c r="T202" s="415" t="s">
        <v>1452</v>
      </c>
      <c r="U202" s="480" t="s">
        <v>1452</v>
      </c>
      <c r="V202" s="468">
        <f>IF(N202&lt;&gt;0, IF(N202&gt;=P202,ROUNDDOWN(N202/P202*100,0),""),"")</f>
        <v>106</v>
      </c>
    </row>
    <row r="203" spans="1:22" s="461" customFormat="1" ht="23.1" customHeight="1">
      <c r="A203" s="481"/>
      <c r="B203" s="410"/>
      <c r="C203" s="477"/>
      <c r="D203" s="422" t="s">
        <v>1492</v>
      </c>
      <c r="E203" s="473" t="s">
        <v>426</v>
      </c>
      <c r="F203" s="416">
        <v>10.836</v>
      </c>
      <c r="G203" s="473">
        <v>1750</v>
      </c>
      <c r="H203" s="416">
        <v>287</v>
      </c>
      <c r="I203" s="473" t="s">
        <v>261</v>
      </c>
      <c r="J203" s="416">
        <v>8765</v>
      </c>
      <c r="K203" s="415">
        <v>24405</v>
      </c>
      <c r="L203" s="415">
        <v>15530</v>
      </c>
      <c r="M203" s="415" t="s">
        <v>1454</v>
      </c>
      <c r="N203" s="482">
        <v>4.4000000000000004</v>
      </c>
      <c r="O203" s="471">
        <f>IF(N203&gt;0,1/N203*37.7*68.6,"")</f>
        <v>587.7772727272727</v>
      </c>
      <c r="P203" s="470">
        <v>4.04</v>
      </c>
      <c r="Q203" s="469" t="s">
        <v>432</v>
      </c>
      <c r="R203" s="415" t="s">
        <v>427</v>
      </c>
      <c r="S203" s="415" t="s">
        <v>1480</v>
      </c>
      <c r="T203" s="415" t="s">
        <v>1452</v>
      </c>
      <c r="U203" s="480" t="s">
        <v>1452</v>
      </c>
      <c r="V203" s="468">
        <f>IF(N203&lt;&gt;0, IF(N203&gt;=P203,ROUNDDOWN(N203/P203*100,0),""),"")</f>
        <v>108</v>
      </c>
    </row>
    <row r="204" spans="1:22" s="461" customFormat="1" ht="23.1" customHeight="1">
      <c r="A204" s="481"/>
      <c r="B204" s="410"/>
      <c r="C204" s="477"/>
      <c r="D204" s="422" t="s">
        <v>1492</v>
      </c>
      <c r="E204" s="473" t="s">
        <v>426</v>
      </c>
      <c r="F204" s="416">
        <v>10.836</v>
      </c>
      <c r="G204" s="473">
        <v>1750</v>
      </c>
      <c r="H204" s="416">
        <v>287</v>
      </c>
      <c r="I204" s="473" t="s">
        <v>261</v>
      </c>
      <c r="J204" s="416">
        <v>8765</v>
      </c>
      <c r="K204" s="415">
        <v>24405</v>
      </c>
      <c r="L204" s="415">
        <v>15530</v>
      </c>
      <c r="M204" s="415" t="s">
        <v>1454</v>
      </c>
      <c r="N204" s="472">
        <v>4.3</v>
      </c>
      <c r="O204" s="471">
        <f>IF(N204&gt;0,1/N204*37.7*68.6,"")</f>
        <v>601.44651162790706</v>
      </c>
      <c r="P204" s="470">
        <v>4.04</v>
      </c>
      <c r="Q204" s="469" t="s">
        <v>435</v>
      </c>
      <c r="R204" s="415" t="s">
        <v>427</v>
      </c>
      <c r="S204" s="415" t="s">
        <v>1480</v>
      </c>
      <c r="T204" s="415" t="s">
        <v>1452</v>
      </c>
      <c r="U204" s="480" t="s">
        <v>1452</v>
      </c>
      <c r="V204" s="468">
        <f>IF(N204&lt;&gt;0, IF(N204&gt;=P204,ROUNDDOWN(N204/P204*100,0),""),"")</f>
        <v>106</v>
      </c>
    </row>
    <row r="205" spans="1:22" s="461" customFormat="1" ht="23.1" customHeight="1">
      <c r="A205" s="481"/>
      <c r="B205" s="410"/>
      <c r="C205" s="477"/>
      <c r="D205" s="422" t="s">
        <v>1477</v>
      </c>
      <c r="E205" s="473" t="s">
        <v>426</v>
      </c>
      <c r="F205" s="416">
        <v>10.836</v>
      </c>
      <c r="G205" s="473">
        <v>1750</v>
      </c>
      <c r="H205" s="416">
        <v>287</v>
      </c>
      <c r="I205" s="473" t="s">
        <v>261</v>
      </c>
      <c r="J205" s="416">
        <v>8765</v>
      </c>
      <c r="K205" s="415">
        <v>24405</v>
      </c>
      <c r="L205" s="415">
        <v>15530</v>
      </c>
      <c r="M205" s="415" t="s">
        <v>1454</v>
      </c>
      <c r="N205" s="482">
        <v>4.4000000000000004</v>
      </c>
      <c r="O205" s="471">
        <f>IF(N205&gt;0,1/N205*37.7*68.6,"")</f>
        <v>587.7772727272727</v>
      </c>
      <c r="P205" s="470">
        <v>4.04</v>
      </c>
      <c r="Q205" s="469" t="s">
        <v>432</v>
      </c>
      <c r="R205" s="415" t="s">
        <v>427</v>
      </c>
      <c r="S205" s="415" t="s">
        <v>448</v>
      </c>
      <c r="T205" s="415" t="s">
        <v>1452</v>
      </c>
      <c r="U205" s="480" t="s">
        <v>1452</v>
      </c>
      <c r="V205" s="468">
        <f>IF(N205&lt;&gt;0, IF(N205&gt;=P205,ROUNDDOWN(N205/P205*100,0),""),"")</f>
        <v>108</v>
      </c>
    </row>
    <row r="206" spans="1:22" s="461" customFormat="1" ht="23.1" customHeight="1">
      <c r="A206" s="481"/>
      <c r="B206" s="410"/>
      <c r="C206" s="477"/>
      <c r="D206" s="422" t="s">
        <v>1477</v>
      </c>
      <c r="E206" s="473" t="s">
        <v>426</v>
      </c>
      <c r="F206" s="416">
        <v>10.836</v>
      </c>
      <c r="G206" s="473">
        <v>1750</v>
      </c>
      <c r="H206" s="416">
        <v>287</v>
      </c>
      <c r="I206" s="473" t="s">
        <v>261</v>
      </c>
      <c r="J206" s="416">
        <v>8765</v>
      </c>
      <c r="K206" s="415">
        <v>24405</v>
      </c>
      <c r="L206" s="415">
        <v>15530</v>
      </c>
      <c r="M206" s="415" t="s">
        <v>1454</v>
      </c>
      <c r="N206" s="472">
        <v>4.3</v>
      </c>
      <c r="O206" s="471">
        <f>IF(N206&gt;0,1/N206*37.7*68.6,"")</f>
        <v>601.44651162790706</v>
      </c>
      <c r="P206" s="470">
        <v>4.04</v>
      </c>
      <c r="Q206" s="469" t="s">
        <v>435</v>
      </c>
      <c r="R206" s="415" t="s">
        <v>427</v>
      </c>
      <c r="S206" s="415" t="s">
        <v>448</v>
      </c>
      <c r="T206" s="415" t="s">
        <v>1452</v>
      </c>
      <c r="U206" s="480" t="s">
        <v>1452</v>
      </c>
      <c r="V206" s="468">
        <f>IF(N206&lt;&gt;0, IF(N206&gt;=P206,ROUNDDOWN(N206/P206*100,0),""),"")</f>
        <v>106</v>
      </c>
    </row>
    <row r="207" spans="1:22" s="461" customFormat="1" ht="23.1" customHeight="1">
      <c r="A207" s="481"/>
      <c r="B207" s="410"/>
      <c r="C207" s="477"/>
      <c r="D207" s="422" t="s">
        <v>1476</v>
      </c>
      <c r="E207" s="473" t="s">
        <v>426</v>
      </c>
      <c r="F207" s="416">
        <v>10.836</v>
      </c>
      <c r="G207" s="473">
        <v>1750</v>
      </c>
      <c r="H207" s="416">
        <v>287</v>
      </c>
      <c r="I207" s="473" t="s">
        <v>243</v>
      </c>
      <c r="J207" s="416">
        <v>8765</v>
      </c>
      <c r="K207" s="415">
        <v>24405</v>
      </c>
      <c r="L207" s="415">
        <v>15530</v>
      </c>
      <c r="M207" s="415" t="s">
        <v>1454</v>
      </c>
      <c r="N207" s="482">
        <v>4.4000000000000004</v>
      </c>
      <c r="O207" s="471">
        <f>IF(N207&gt;0,1/N207*37.7*68.6,"")</f>
        <v>587.7772727272727</v>
      </c>
      <c r="P207" s="470">
        <v>4.04</v>
      </c>
      <c r="Q207" s="469" t="s">
        <v>432</v>
      </c>
      <c r="R207" s="415" t="s">
        <v>427</v>
      </c>
      <c r="S207" s="415" t="s">
        <v>448</v>
      </c>
      <c r="T207" s="415" t="s">
        <v>1452</v>
      </c>
      <c r="U207" s="480" t="s">
        <v>1452</v>
      </c>
      <c r="V207" s="468">
        <f>IF(N207&lt;&gt;0, IF(N207&gt;=P207,ROUNDDOWN(N207/P207*100,0),""),"")</f>
        <v>108</v>
      </c>
    </row>
    <row r="208" spans="1:22" s="461" customFormat="1" ht="23.1" customHeight="1">
      <c r="A208" s="481"/>
      <c r="B208" s="410"/>
      <c r="C208" s="477"/>
      <c r="D208" s="422" t="s">
        <v>1476</v>
      </c>
      <c r="E208" s="473" t="s">
        <v>426</v>
      </c>
      <c r="F208" s="416">
        <v>10.836</v>
      </c>
      <c r="G208" s="473">
        <v>1750</v>
      </c>
      <c r="H208" s="416">
        <v>287</v>
      </c>
      <c r="I208" s="473" t="s">
        <v>243</v>
      </c>
      <c r="J208" s="416">
        <v>8765</v>
      </c>
      <c r="K208" s="415">
        <v>24405</v>
      </c>
      <c r="L208" s="415">
        <v>15530</v>
      </c>
      <c r="M208" s="415" t="s">
        <v>1454</v>
      </c>
      <c r="N208" s="472">
        <v>4.3</v>
      </c>
      <c r="O208" s="471">
        <f>IF(N208&gt;0,1/N208*37.7*68.6,"")</f>
        <v>601.44651162790706</v>
      </c>
      <c r="P208" s="470">
        <v>4.04</v>
      </c>
      <c r="Q208" s="469" t="s">
        <v>435</v>
      </c>
      <c r="R208" s="415" t="s">
        <v>427</v>
      </c>
      <c r="S208" s="415" t="s">
        <v>448</v>
      </c>
      <c r="T208" s="415" t="s">
        <v>1452</v>
      </c>
      <c r="U208" s="480" t="s">
        <v>1452</v>
      </c>
      <c r="V208" s="468">
        <f>IF(N208&lt;&gt;0, IF(N208&gt;=P208,ROUNDDOWN(N208/P208*100,0),""),"")</f>
        <v>106</v>
      </c>
    </row>
    <row r="209" spans="1:22" s="461" customFormat="1" ht="23.1" customHeight="1">
      <c r="A209" s="481"/>
      <c r="B209" s="410"/>
      <c r="C209" s="477"/>
      <c r="D209" s="422" t="s">
        <v>1475</v>
      </c>
      <c r="E209" s="473" t="s">
        <v>426</v>
      </c>
      <c r="F209" s="416">
        <v>10.836</v>
      </c>
      <c r="G209" s="473">
        <v>1750</v>
      </c>
      <c r="H209" s="416">
        <v>287</v>
      </c>
      <c r="I209" s="473" t="s">
        <v>243</v>
      </c>
      <c r="J209" s="416">
        <v>8765</v>
      </c>
      <c r="K209" s="415">
        <v>24405</v>
      </c>
      <c r="L209" s="415">
        <v>15530</v>
      </c>
      <c r="M209" s="415" t="s">
        <v>1454</v>
      </c>
      <c r="N209" s="482">
        <v>4.4000000000000004</v>
      </c>
      <c r="O209" s="471">
        <f>IF(N209&gt;0,1/N209*37.7*68.6,"")</f>
        <v>587.7772727272727</v>
      </c>
      <c r="P209" s="470">
        <v>4.04</v>
      </c>
      <c r="Q209" s="469" t="s">
        <v>432</v>
      </c>
      <c r="R209" s="415" t="s">
        <v>427</v>
      </c>
      <c r="S209" s="415" t="s">
        <v>448</v>
      </c>
      <c r="T209" s="415" t="s">
        <v>1452</v>
      </c>
      <c r="U209" s="480" t="s">
        <v>1452</v>
      </c>
      <c r="V209" s="468">
        <f>IF(N209&lt;&gt;0, IF(N209&gt;=P209,ROUNDDOWN(N209/P209*100,0),""),"")</f>
        <v>108</v>
      </c>
    </row>
    <row r="210" spans="1:22" s="461" customFormat="1" ht="23.1" customHeight="1">
      <c r="A210" s="481"/>
      <c r="B210" s="410"/>
      <c r="C210" s="477"/>
      <c r="D210" s="422" t="s">
        <v>1475</v>
      </c>
      <c r="E210" s="473" t="s">
        <v>426</v>
      </c>
      <c r="F210" s="416">
        <v>10.836</v>
      </c>
      <c r="G210" s="473">
        <v>1750</v>
      </c>
      <c r="H210" s="416">
        <v>287</v>
      </c>
      <c r="I210" s="473" t="s">
        <v>243</v>
      </c>
      <c r="J210" s="416">
        <v>8765</v>
      </c>
      <c r="K210" s="415">
        <v>24405</v>
      </c>
      <c r="L210" s="415">
        <v>15530</v>
      </c>
      <c r="M210" s="415" t="s">
        <v>1454</v>
      </c>
      <c r="N210" s="472">
        <v>4.3</v>
      </c>
      <c r="O210" s="471">
        <f>IF(N210&gt;0,1/N210*37.7*68.6,"")</f>
        <v>601.44651162790706</v>
      </c>
      <c r="P210" s="470">
        <v>4.04</v>
      </c>
      <c r="Q210" s="469" t="s">
        <v>435</v>
      </c>
      <c r="R210" s="415" t="s">
        <v>427</v>
      </c>
      <c r="S210" s="415" t="s">
        <v>448</v>
      </c>
      <c r="T210" s="415" t="s">
        <v>1452</v>
      </c>
      <c r="U210" s="480" t="s">
        <v>1452</v>
      </c>
      <c r="V210" s="468">
        <f>IF(N210&lt;&gt;0, IF(N210&gt;=P210,ROUNDDOWN(N210/P210*100,0),""),"")</f>
        <v>106</v>
      </c>
    </row>
    <row r="211" spans="1:22" s="461" customFormat="1" ht="23.1" customHeight="1">
      <c r="A211" s="481"/>
      <c r="B211" s="410"/>
      <c r="C211" s="477"/>
      <c r="D211" s="422" t="s">
        <v>1511</v>
      </c>
      <c r="E211" s="473" t="s">
        <v>426</v>
      </c>
      <c r="F211" s="416">
        <v>10.836</v>
      </c>
      <c r="G211" s="473">
        <v>1750</v>
      </c>
      <c r="H211" s="416">
        <v>287</v>
      </c>
      <c r="I211" s="473" t="s">
        <v>243</v>
      </c>
      <c r="J211" s="416">
        <v>8765</v>
      </c>
      <c r="K211" s="415">
        <v>24405</v>
      </c>
      <c r="L211" s="415">
        <v>15530</v>
      </c>
      <c r="M211" s="415" t="s">
        <v>1454</v>
      </c>
      <c r="N211" s="482">
        <v>4.4000000000000004</v>
      </c>
      <c r="O211" s="471">
        <f>IF(N211&gt;0,1/N211*37.7*68.6,"")</f>
        <v>587.7772727272727</v>
      </c>
      <c r="P211" s="470">
        <v>4.04</v>
      </c>
      <c r="Q211" s="469" t="s">
        <v>432</v>
      </c>
      <c r="R211" s="415" t="s">
        <v>427</v>
      </c>
      <c r="S211" s="415" t="s">
        <v>448</v>
      </c>
      <c r="T211" s="415" t="s">
        <v>1452</v>
      </c>
      <c r="U211" s="480" t="s">
        <v>1452</v>
      </c>
      <c r="V211" s="468">
        <f>IF(N211&lt;&gt;0, IF(N211&gt;=P211,ROUNDDOWN(N211/P211*100,0),""),"")</f>
        <v>108</v>
      </c>
    </row>
    <row r="212" spans="1:22" s="461" customFormat="1" ht="23.1" customHeight="1">
      <c r="A212" s="481"/>
      <c r="B212" s="410"/>
      <c r="C212" s="477"/>
      <c r="D212" s="422" t="s">
        <v>1511</v>
      </c>
      <c r="E212" s="473" t="s">
        <v>426</v>
      </c>
      <c r="F212" s="416">
        <v>10.836</v>
      </c>
      <c r="G212" s="473">
        <v>1750</v>
      </c>
      <c r="H212" s="416">
        <v>287</v>
      </c>
      <c r="I212" s="473" t="s">
        <v>243</v>
      </c>
      <c r="J212" s="416">
        <v>8765</v>
      </c>
      <c r="K212" s="415">
        <v>24405</v>
      </c>
      <c r="L212" s="415">
        <v>15530</v>
      </c>
      <c r="M212" s="415" t="s">
        <v>1454</v>
      </c>
      <c r="N212" s="472">
        <v>4.3</v>
      </c>
      <c r="O212" s="471">
        <f>IF(N212&gt;0,1/N212*37.7*68.6,"")</f>
        <v>601.44651162790706</v>
      </c>
      <c r="P212" s="470">
        <v>4.04</v>
      </c>
      <c r="Q212" s="469" t="s">
        <v>435</v>
      </c>
      <c r="R212" s="415" t="s">
        <v>427</v>
      </c>
      <c r="S212" s="415" t="s">
        <v>448</v>
      </c>
      <c r="T212" s="415" t="s">
        <v>1452</v>
      </c>
      <c r="U212" s="480" t="s">
        <v>1452</v>
      </c>
      <c r="V212" s="468">
        <f>IF(N212&lt;&gt;0, IF(N212&gt;=P212,ROUNDDOWN(N212/P212*100,0),""),"")</f>
        <v>106</v>
      </c>
    </row>
    <row r="213" spans="1:22" s="461" customFormat="1" ht="23.1" customHeight="1">
      <c r="A213" s="481"/>
      <c r="B213" s="410"/>
      <c r="C213" s="477"/>
      <c r="D213" s="422" t="s">
        <v>1510</v>
      </c>
      <c r="E213" s="473" t="s">
        <v>426</v>
      </c>
      <c r="F213" s="416">
        <v>10.836</v>
      </c>
      <c r="G213" s="473">
        <v>1750</v>
      </c>
      <c r="H213" s="416">
        <v>287</v>
      </c>
      <c r="I213" s="473" t="s">
        <v>243</v>
      </c>
      <c r="J213" s="416">
        <v>8765</v>
      </c>
      <c r="K213" s="415">
        <v>24405</v>
      </c>
      <c r="L213" s="415">
        <v>15530</v>
      </c>
      <c r="M213" s="415" t="s">
        <v>1454</v>
      </c>
      <c r="N213" s="482">
        <v>4.4000000000000004</v>
      </c>
      <c r="O213" s="471">
        <f>IF(N213&gt;0,1/N213*37.7*68.6,"")</f>
        <v>587.7772727272727</v>
      </c>
      <c r="P213" s="470">
        <v>4.04</v>
      </c>
      <c r="Q213" s="469" t="s">
        <v>432</v>
      </c>
      <c r="R213" s="415" t="s">
        <v>427</v>
      </c>
      <c r="S213" s="415" t="s">
        <v>448</v>
      </c>
      <c r="T213" s="415" t="s">
        <v>1452</v>
      </c>
      <c r="U213" s="480" t="s">
        <v>1452</v>
      </c>
      <c r="V213" s="468">
        <f>IF(N213&lt;&gt;0, IF(N213&gt;=P213,ROUNDDOWN(N213/P213*100,0),""),"")</f>
        <v>108</v>
      </c>
    </row>
    <row r="214" spans="1:22" s="461" customFormat="1" ht="23.1" customHeight="1">
      <c r="A214" s="481"/>
      <c r="B214" s="410"/>
      <c r="C214" s="477"/>
      <c r="D214" s="422" t="s">
        <v>1510</v>
      </c>
      <c r="E214" s="473" t="s">
        <v>426</v>
      </c>
      <c r="F214" s="416">
        <v>10.836</v>
      </c>
      <c r="G214" s="473">
        <v>1750</v>
      </c>
      <c r="H214" s="416">
        <v>287</v>
      </c>
      <c r="I214" s="473" t="s">
        <v>243</v>
      </c>
      <c r="J214" s="416">
        <v>8765</v>
      </c>
      <c r="K214" s="415">
        <v>24405</v>
      </c>
      <c r="L214" s="415">
        <v>15530</v>
      </c>
      <c r="M214" s="415" t="s">
        <v>1454</v>
      </c>
      <c r="N214" s="472">
        <v>4.3</v>
      </c>
      <c r="O214" s="471">
        <f>IF(N214&gt;0,1/N214*37.7*68.6,"")</f>
        <v>601.44651162790706</v>
      </c>
      <c r="P214" s="470">
        <v>4.04</v>
      </c>
      <c r="Q214" s="469" t="s">
        <v>435</v>
      </c>
      <c r="R214" s="415" t="s">
        <v>427</v>
      </c>
      <c r="S214" s="415" t="s">
        <v>448</v>
      </c>
      <c r="T214" s="415" t="s">
        <v>1452</v>
      </c>
      <c r="U214" s="480" t="s">
        <v>1452</v>
      </c>
      <c r="V214" s="468">
        <f>IF(N214&lt;&gt;0, IF(N214&gt;=P214,ROUNDDOWN(N214/P214*100,0),""),"")</f>
        <v>106</v>
      </c>
    </row>
    <row r="215" spans="1:22" s="461" customFormat="1" ht="23.1" customHeight="1">
      <c r="A215" s="481"/>
      <c r="B215" s="410"/>
      <c r="C215" s="477"/>
      <c r="D215" s="422" t="s">
        <v>1509</v>
      </c>
      <c r="E215" s="473" t="s">
        <v>426</v>
      </c>
      <c r="F215" s="416">
        <v>10.836</v>
      </c>
      <c r="G215" s="473">
        <v>1750</v>
      </c>
      <c r="H215" s="416">
        <v>287</v>
      </c>
      <c r="I215" s="473" t="s">
        <v>243</v>
      </c>
      <c r="J215" s="416">
        <v>8765</v>
      </c>
      <c r="K215" s="415">
        <v>24405</v>
      </c>
      <c r="L215" s="415">
        <v>15530</v>
      </c>
      <c r="M215" s="415" t="s">
        <v>1454</v>
      </c>
      <c r="N215" s="482">
        <v>4.4000000000000004</v>
      </c>
      <c r="O215" s="471">
        <f>IF(N215&gt;0,1/N215*37.7*68.6,"")</f>
        <v>587.7772727272727</v>
      </c>
      <c r="P215" s="470">
        <v>4.04</v>
      </c>
      <c r="Q215" s="469" t="s">
        <v>432</v>
      </c>
      <c r="R215" s="415" t="s">
        <v>427</v>
      </c>
      <c r="S215" s="415" t="s">
        <v>454</v>
      </c>
      <c r="T215" s="415" t="s">
        <v>1452</v>
      </c>
      <c r="U215" s="480" t="s">
        <v>1452</v>
      </c>
      <c r="V215" s="468">
        <f>IF(N215&lt;&gt;0, IF(N215&gt;=P215,ROUNDDOWN(N215/P215*100,0),""),"")</f>
        <v>108</v>
      </c>
    </row>
    <row r="216" spans="1:22" s="461" customFormat="1" ht="23.1" customHeight="1">
      <c r="A216" s="481"/>
      <c r="B216" s="410"/>
      <c r="C216" s="477"/>
      <c r="D216" s="422" t="s">
        <v>1509</v>
      </c>
      <c r="E216" s="473" t="s">
        <v>426</v>
      </c>
      <c r="F216" s="416">
        <v>10.836</v>
      </c>
      <c r="G216" s="473">
        <v>1750</v>
      </c>
      <c r="H216" s="416">
        <v>287</v>
      </c>
      <c r="I216" s="473" t="s">
        <v>243</v>
      </c>
      <c r="J216" s="416">
        <v>8765</v>
      </c>
      <c r="K216" s="415">
        <v>24405</v>
      </c>
      <c r="L216" s="415">
        <v>15530</v>
      </c>
      <c r="M216" s="415" t="s">
        <v>1454</v>
      </c>
      <c r="N216" s="472">
        <v>4.3</v>
      </c>
      <c r="O216" s="471">
        <f>IF(N216&gt;0,1/N216*37.7*68.6,"")</f>
        <v>601.44651162790706</v>
      </c>
      <c r="P216" s="470">
        <v>4.04</v>
      </c>
      <c r="Q216" s="469" t="s">
        <v>435</v>
      </c>
      <c r="R216" s="415" t="s">
        <v>427</v>
      </c>
      <c r="S216" s="415" t="s">
        <v>454</v>
      </c>
      <c r="T216" s="415" t="s">
        <v>1452</v>
      </c>
      <c r="U216" s="480" t="s">
        <v>1452</v>
      </c>
      <c r="V216" s="468">
        <f>IF(N216&lt;&gt;0, IF(N216&gt;=P216,ROUNDDOWN(N216/P216*100,0),""),"")</f>
        <v>106</v>
      </c>
    </row>
    <row r="217" spans="1:22" s="461" customFormat="1" ht="23.1" customHeight="1">
      <c r="A217" s="481"/>
      <c r="B217" s="410"/>
      <c r="C217" s="477"/>
      <c r="D217" s="422" t="s">
        <v>1508</v>
      </c>
      <c r="E217" s="473" t="s">
        <v>426</v>
      </c>
      <c r="F217" s="416">
        <v>10.836</v>
      </c>
      <c r="G217" s="473">
        <v>1750</v>
      </c>
      <c r="H217" s="416">
        <v>287</v>
      </c>
      <c r="I217" s="473" t="s">
        <v>243</v>
      </c>
      <c r="J217" s="416">
        <v>8765</v>
      </c>
      <c r="K217" s="415">
        <v>24405</v>
      </c>
      <c r="L217" s="415">
        <v>15530</v>
      </c>
      <c r="M217" s="415" t="s">
        <v>1454</v>
      </c>
      <c r="N217" s="482">
        <v>4.4000000000000004</v>
      </c>
      <c r="O217" s="471">
        <f>IF(N217&gt;0,1/N217*37.7*68.6,"")</f>
        <v>587.7772727272727</v>
      </c>
      <c r="P217" s="470">
        <v>4.04</v>
      </c>
      <c r="Q217" s="469" t="s">
        <v>432</v>
      </c>
      <c r="R217" s="415" t="s">
        <v>427</v>
      </c>
      <c r="S217" s="415" t="s">
        <v>454</v>
      </c>
      <c r="T217" s="415" t="s">
        <v>1452</v>
      </c>
      <c r="U217" s="480" t="s">
        <v>1452</v>
      </c>
      <c r="V217" s="468">
        <f>IF(N217&lt;&gt;0, IF(N217&gt;=P217,ROUNDDOWN(N217/P217*100,0),""),"")</f>
        <v>108</v>
      </c>
    </row>
    <row r="218" spans="1:22" s="461" customFormat="1" ht="23.1" customHeight="1">
      <c r="A218" s="481"/>
      <c r="B218" s="410"/>
      <c r="C218" s="477"/>
      <c r="D218" s="422" t="s">
        <v>1508</v>
      </c>
      <c r="E218" s="473" t="s">
        <v>426</v>
      </c>
      <c r="F218" s="416">
        <v>10.836</v>
      </c>
      <c r="G218" s="473">
        <v>1750</v>
      </c>
      <c r="H218" s="416">
        <v>287</v>
      </c>
      <c r="I218" s="473" t="s">
        <v>243</v>
      </c>
      <c r="J218" s="416">
        <v>8765</v>
      </c>
      <c r="K218" s="415">
        <v>24405</v>
      </c>
      <c r="L218" s="415">
        <v>15530</v>
      </c>
      <c r="M218" s="415" t="s">
        <v>1454</v>
      </c>
      <c r="N218" s="472">
        <v>4.3</v>
      </c>
      <c r="O218" s="471">
        <f>IF(N218&gt;0,1/N218*37.7*68.6,"")</f>
        <v>601.44651162790706</v>
      </c>
      <c r="P218" s="470">
        <v>4.04</v>
      </c>
      <c r="Q218" s="469" t="s">
        <v>435</v>
      </c>
      <c r="R218" s="415" t="s">
        <v>427</v>
      </c>
      <c r="S218" s="415" t="s">
        <v>454</v>
      </c>
      <c r="T218" s="415" t="s">
        <v>1452</v>
      </c>
      <c r="U218" s="480" t="s">
        <v>1452</v>
      </c>
      <c r="V218" s="468">
        <f>IF(N218&lt;&gt;0, IF(N218&gt;=P218,ROUNDDOWN(N218/P218*100,0),""),"")</f>
        <v>106</v>
      </c>
    </row>
    <row r="219" spans="1:22" s="461" customFormat="1" ht="23.1" customHeight="1">
      <c r="A219" s="481"/>
      <c r="B219" s="410"/>
      <c r="C219" s="477"/>
      <c r="D219" s="422" t="s">
        <v>1507</v>
      </c>
      <c r="E219" s="473" t="s">
        <v>426</v>
      </c>
      <c r="F219" s="416">
        <v>10.836</v>
      </c>
      <c r="G219" s="473">
        <v>1750</v>
      </c>
      <c r="H219" s="416">
        <v>287</v>
      </c>
      <c r="I219" s="473" t="s">
        <v>243</v>
      </c>
      <c r="J219" s="416">
        <v>8765</v>
      </c>
      <c r="K219" s="415">
        <v>24405</v>
      </c>
      <c r="L219" s="415">
        <v>15530</v>
      </c>
      <c r="M219" s="415" t="s">
        <v>1454</v>
      </c>
      <c r="N219" s="482">
        <v>4.4000000000000004</v>
      </c>
      <c r="O219" s="471">
        <f>IF(N219&gt;0,1/N219*37.7*68.6,"")</f>
        <v>587.7772727272727</v>
      </c>
      <c r="P219" s="470">
        <v>4.04</v>
      </c>
      <c r="Q219" s="469" t="s">
        <v>432</v>
      </c>
      <c r="R219" s="415" t="s">
        <v>427</v>
      </c>
      <c r="S219" s="415" t="s">
        <v>454</v>
      </c>
      <c r="T219" s="415" t="s">
        <v>1452</v>
      </c>
      <c r="U219" s="480" t="s">
        <v>1452</v>
      </c>
      <c r="V219" s="468">
        <f>IF(N219&lt;&gt;0, IF(N219&gt;=P219,ROUNDDOWN(N219/P219*100,0),""),"")</f>
        <v>108</v>
      </c>
    </row>
    <row r="220" spans="1:22" s="461" customFormat="1" ht="23.1" customHeight="1">
      <c r="A220" s="481"/>
      <c r="B220" s="410"/>
      <c r="C220" s="477"/>
      <c r="D220" s="422" t="s">
        <v>1507</v>
      </c>
      <c r="E220" s="473" t="s">
        <v>426</v>
      </c>
      <c r="F220" s="416">
        <v>10.836</v>
      </c>
      <c r="G220" s="473">
        <v>1750</v>
      </c>
      <c r="H220" s="416">
        <v>287</v>
      </c>
      <c r="I220" s="473" t="s">
        <v>243</v>
      </c>
      <c r="J220" s="416">
        <v>8765</v>
      </c>
      <c r="K220" s="415">
        <v>24405</v>
      </c>
      <c r="L220" s="415">
        <v>15530</v>
      </c>
      <c r="M220" s="415" t="s">
        <v>1454</v>
      </c>
      <c r="N220" s="472">
        <v>4.3</v>
      </c>
      <c r="O220" s="471">
        <f>IF(N220&gt;0,1/N220*37.7*68.6,"")</f>
        <v>601.44651162790706</v>
      </c>
      <c r="P220" s="470">
        <v>4.04</v>
      </c>
      <c r="Q220" s="469" t="s">
        <v>435</v>
      </c>
      <c r="R220" s="415" t="s">
        <v>427</v>
      </c>
      <c r="S220" s="415" t="s">
        <v>454</v>
      </c>
      <c r="T220" s="415" t="s">
        <v>1452</v>
      </c>
      <c r="U220" s="480" t="s">
        <v>1452</v>
      </c>
      <c r="V220" s="468">
        <f>IF(N220&lt;&gt;0, IF(N220&gt;=P220,ROUNDDOWN(N220/P220*100,0),""),"")</f>
        <v>106</v>
      </c>
    </row>
    <row r="221" spans="1:22" s="461" customFormat="1" ht="23.1" customHeight="1">
      <c r="A221" s="481"/>
      <c r="B221" s="410"/>
      <c r="C221" s="477"/>
      <c r="D221" s="422" t="s">
        <v>1506</v>
      </c>
      <c r="E221" s="473" t="s">
        <v>426</v>
      </c>
      <c r="F221" s="416">
        <v>10.836</v>
      </c>
      <c r="G221" s="473">
        <v>1750</v>
      </c>
      <c r="H221" s="416">
        <v>287</v>
      </c>
      <c r="I221" s="473" t="s">
        <v>243</v>
      </c>
      <c r="J221" s="416">
        <v>8765</v>
      </c>
      <c r="K221" s="415">
        <v>24405</v>
      </c>
      <c r="L221" s="415">
        <v>15530</v>
      </c>
      <c r="M221" s="415" t="s">
        <v>1454</v>
      </c>
      <c r="N221" s="482">
        <v>4.4000000000000004</v>
      </c>
      <c r="O221" s="471">
        <f>IF(N221&gt;0,1/N221*37.7*68.6,"")</f>
        <v>587.7772727272727</v>
      </c>
      <c r="P221" s="470">
        <v>4.04</v>
      </c>
      <c r="Q221" s="469" t="s">
        <v>432</v>
      </c>
      <c r="R221" s="415" t="s">
        <v>427</v>
      </c>
      <c r="S221" s="415" t="s">
        <v>454</v>
      </c>
      <c r="T221" s="415" t="s">
        <v>1452</v>
      </c>
      <c r="U221" s="480" t="s">
        <v>1452</v>
      </c>
      <c r="V221" s="468">
        <f>IF(N221&lt;&gt;0, IF(N221&gt;=P221,ROUNDDOWN(N221/P221*100,0),""),"")</f>
        <v>108</v>
      </c>
    </row>
    <row r="222" spans="1:22" s="461" customFormat="1" ht="23.1" customHeight="1">
      <c r="A222" s="481"/>
      <c r="B222" s="410"/>
      <c r="C222" s="477"/>
      <c r="D222" s="422" t="s">
        <v>1506</v>
      </c>
      <c r="E222" s="473" t="s">
        <v>426</v>
      </c>
      <c r="F222" s="416">
        <v>10.836</v>
      </c>
      <c r="G222" s="473">
        <v>1750</v>
      </c>
      <c r="H222" s="416">
        <v>287</v>
      </c>
      <c r="I222" s="473" t="s">
        <v>243</v>
      </c>
      <c r="J222" s="416">
        <v>8765</v>
      </c>
      <c r="K222" s="415">
        <v>24405</v>
      </c>
      <c r="L222" s="415">
        <v>15530</v>
      </c>
      <c r="M222" s="415" t="s">
        <v>1454</v>
      </c>
      <c r="N222" s="472">
        <v>4.3</v>
      </c>
      <c r="O222" s="471">
        <f>IF(N222&gt;0,1/N222*37.7*68.6,"")</f>
        <v>601.44651162790706</v>
      </c>
      <c r="P222" s="470">
        <v>4.04</v>
      </c>
      <c r="Q222" s="469" t="s">
        <v>435</v>
      </c>
      <c r="R222" s="415" t="s">
        <v>427</v>
      </c>
      <c r="S222" s="415" t="s">
        <v>454</v>
      </c>
      <c r="T222" s="415" t="s">
        <v>1452</v>
      </c>
      <c r="U222" s="480" t="s">
        <v>1452</v>
      </c>
      <c r="V222" s="468">
        <f>IF(N222&lt;&gt;0, IF(N222&gt;=P222,ROUNDDOWN(N222/P222*100,0),""),"")</f>
        <v>106</v>
      </c>
    </row>
    <row r="223" spans="1:22" s="461" customFormat="1" ht="23.1" customHeight="1">
      <c r="A223" s="481"/>
      <c r="B223" s="410"/>
      <c r="C223" s="477"/>
      <c r="D223" s="422" t="s">
        <v>1505</v>
      </c>
      <c r="E223" s="473" t="s">
        <v>426</v>
      </c>
      <c r="F223" s="416">
        <v>10.836</v>
      </c>
      <c r="G223" s="473">
        <v>1750</v>
      </c>
      <c r="H223" s="416">
        <v>287</v>
      </c>
      <c r="I223" s="473" t="s">
        <v>243</v>
      </c>
      <c r="J223" s="416">
        <v>8765</v>
      </c>
      <c r="K223" s="415">
        <v>24405</v>
      </c>
      <c r="L223" s="415">
        <v>15530</v>
      </c>
      <c r="M223" s="415" t="s">
        <v>1454</v>
      </c>
      <c r="N223" s="482">
        <v>4.4000000000000004</v>
      </c>
      <c r="O223" s="471">
        <f>IF(N223&gt;0,1/N223*37.7*68.6,"")</f>
        <v>587.7772727272727</v>
      </c>
      <c r="P223" s="470">
        <v>4.04</v>
      </c>
      <c r="Q223" s="469" t="s">
        <v>432</v>
      </c>
      <c r="R223" s="415" t="s">
        <v>427</v>
      </c>
      <c r="S223" s="415" t="s">
        <v>454</v>
      </c>
      <c r="T223" s="415" t="s">
        <v>1452</v>
      </c>
      <c r="U223" s="480" t="s">
        <v>1452</v>
      </c>
      <c r="V223" s="468">
        <f>IF(N223&lt;&gt;0, IF(N223&gt;=P223,ROUNDDOWN(N223/P223*100,0),""),"")</f>
        <v>108</v>
      </c>
    </row>
    <row r="224" spans="1:22" s="461" customFormat="1" ht="23.1" customHeight="1">
      <c r="A224" s="481"/>
      <c r="B224" s="410"/>
      <c r="C224" s="477"/>
      <c r="D224" s="422" t="s">
        <v>1490</v>
      </c>
      <c r="E224" s="473" t="s">
        <v>426</v>
      </c>
      <c r="F224" s="416">
        <v>10.836</v>
      </c>
      <c r="G224" s="473">
        <v>1750</v>
      </c>
      <c r="H224" s="416">
        <v>287</v>
      </c>
      <c r="I224" s="473" t="s">
        <v>243</v>
      </c>
      <c r="J224" s="416">
        <v>8765</v>
      </c>
      <c r="K224" s="415">
        <v>24405</v>
      </c>
      <c r="L224" s="415">
        <v>15530</v>
      </c>
      <c r="M224" s="415" t="s">
        <v>1454</v>
      </c>
      <c r="N224" s="472">
        <v>4.3</v>
      </c>
      <c r="O224" s="471">
        <f>IF(N224&gt;0,1/N224*37.7*68.6,"")</f>
        <v>601.44651162790706</v>
      </c>
      <c r="P224" s="470">
        <v>4.04</v>
      </c>
      <c r="Q224" s="469" t="s">
        <v>435</v>
      </c>
      <c r="R224" s="415" t="s">
        <v>427</v>
      </c>
      <c r="S224" s="415" t="s">
        <v>454</v>
      </c>
      <c r="T224" s="415" t="s">
        <v>1452</v>
      </c>
      <c r="U224" s="480" t="s">
        <v>1452</v>
      </c>
      <c r="V224" s="468">
        <f>IF(N224&lt;&gt;0, IF(N224&gt;=P224,ROUNDDOWN(N224/P224*100,0),""),"")</f>
        <v>106</v>
      </c>
    </row>
    <row r="225" spans="1:22" s="461" customFormat="1" ht="23.1" customHeight="1">
      <c r="A225" s="481"/>
      <c r="B225" s="410"/>
      <c r="C225" s="477"/>
      <c r="D225" s="422" t="s">
        <v>1489</v>
      </c>
      <c r="E225" s="473" t="s">
        <v>426</v>
      </c>
      <c r="F225" s="416">
        <v>10.836</v>
      </c>
      <c r="G225" s="473">
        <v>1750</v>
      </c>
      <c r="H225" s="416">
        <v>287</v>
      </c>
      <c r="I225" s="473" t="s">
        <v>243</v>
      </c>
      <c r="J225" s="416">
        <v>8765</v>
      </c>
      <c r="K225" s="415">
        <v>24405</v>
      </c>
      <c r="L225" s="415">
        <v>15530</v>
      </c>
      <c r="M225" s="415" t="s">
        <v>1454</v>
      </c>
      <c r="N225" s="482">
        <v>4.4000000000000004</v>
      </c>
      <c r="O225" s="471">
        <f>IF(N225&gt;0,1/N225*37.7*68.6,"")</f>
        <v>587.7772727272727</v>
      </c>
      <c r="P225" s="470">
        <v>4.04</v>
      </c>
      <c r="Q225" s="469" t="s">
        <v>432</v>
      </c>
      <c r="R225" s="415" t="s">
        <v>427</v>
      </c>
      <c r="S225" s="415" t="s">
        <v>454</v>
      </c>
      <c r="T225" s="415" t="s">
        <v>1452</v>
      </c>
      <c r="U225" s="480" t="s">
        <v>1452</v>
      </c>
      <c r="V225" s="468">
        <f>IF(N225&lt;&gt;0, IF(N225&gt;=P225,ROUNDDOWN(N225/P225*100,0),""),"")</f>
        <v>108</v>
      </c>
    </row>
    <row r="226" spans="1:22" s="461" customFormat="1" ht="23.1" customHeight="1">
      <c r="A226" s="481"/>
      <c r="B226" s="410"/>
      <c r="C226" s="477"/>
      <c r="D226" s="422" t="s">
        <v>1489</v>
      </c>
      <c r="E226" s="473" t="s">
        <v>426</v>
      </c>
      <c r="F226" s="416">
        <v>10.836</v>
      </c>
      <c r="G226" s="473">
        <v>1750</v>
      </c>
      <c r="H226" s="416">
        <v>287</v>
      </c>
      <c r="I226" s="473" t="s">
        <v>243</v>
      </c>
      <c r="J226" s="416">
        <v>8765</v>
      </c>
      <c r="K226" s="415">
        <v>24405</v>
      </c>
      <c r="L226" s="415">
        <v>15530</v>
      </c>
      <c r="M226" s="415" t="s">
        <v>1454</v>
      </c>
      <c r="N226" s="472">
        <v>4.3</v>
      </c>
      <c r="O226" s="471">
        <f>IF(N226&gt;0,1/N226*37.7*68.6,"")</f>
        <v>601.44651162790706</v>
      </c>
      <c r="P226" s="470">
        <v>4.04</v>
      </c>
      <c r="Q226" s="469" t="s">
        <v>435</v>
      </c>
      <c r="R226" s="415" t="s">
        <v>427</v>
      </c>
      <c r="S226" s="415" t="s">
        <v>454</v>
      </c>
      <c r="T226" s="415" t="s">
        <v>1452</v>
      </c>
      <c r="U226" s="480" t="s">
        <v>1452</v>
      </c>
      <c r="V226" s="468">
        <f>IF(N226&lt;&gt;0, IF(N226&gt;=P226,ROUNDDOWN(N226/P226*100,0),""),"")</f>
        <v>106</v>
      </c>
    </row>
    <row r="227" spans="1:22" s="461" customFormat="1" ht="23.1" customHeight="1">
      <c r="A227" s="481"/>
      <c r="B227" s="410"/>
      <c r="C227" s="477"/>
      <c r="D227" s="422" t="s">
        <v>1488</v>
      </c>
      <c r="E227" s="473" t="s">
        <v>426</v>
      </c>
      <c r="F227" s="416">
        <v>10.836</v>
      </c>
      <c r="G227" s="473">
        <v>1750</v>
      </c>
      <c r="H227" s="416">
        <v>287</v>
      </c>
      <c r="I227" s="473" t="s">
        <v>243</v>
      </c>
      <c r="J227" s="416">
        <v>8765</v>
      </c>
      <c r="K227" s="415">
        <v>24405</v>
      </c>
      <c r="L227" s="415">
        <v>15530</v>
      </c>
      <c r="M227" s="415" t="s">
        <v>1454</v>
      </c>
      <c r="N227" s="482">
        <v>4.4000000000000004</v>
      </c>
      <c r="O227" s="471">
        <f>IF(N227&gt;0,1/N227*37.7*68.6,"")</f>
        <v>587.7772727272727</v>
      </c>
      <c r="P227" s="470">
        <v>4.04</v>
      </c>
      <c r="Q227" s="469" t="s">
        <v>432</v>
      </c>
      <c r="R227" s="415" t="s">
        <v>427</v>
      </c>
      <c r="S227" s="415" t="s">
        <v>454</v>
      </c>
      <c r="T227" s="415" t="s">
        <v>1452</v>
      </c>
      <c r="U227" s="480" t="s">
        <v>1452</v>
      </c>
      <c r="V227" s="468">
        <f>IF(N227&lt;&gt;0, IF(N227&gt;=P227,ROUNDDOWN(N227/P227*100,0),""),"")</f>
        <v>108</v>
      </c>
    </row>
    <row r="228" spans="1:22" s="461" customFormat="1" ht="23.1" customHeight="1">
      <c r="A228" s="481"/>
      <c r="B228" s="410"/>
      <c r="C228" s="477"/>
      <c r="D228" s="422" t="s">
        <v>1488</v>
      </c>
      <c r="E228" s="473" t="s">
        <v>426</v>
      </c>
      <c r="F228" s="416">
        <v>10.836</v>
      </c>
      <c r="G228" s="473">
        <v>1750</v>
      </c>
      <c r="H228" s="416">
        <v>287</v>
      </c>
      <c r="I228" s="473" t="s">
        <v>243</v>
      </c>
      <c r="J228" s="416">
        <v>8765</v>
      </c>
      <c r="K228" s="415">
        <v>24405</v>
      </c>
      <c r="L228" s="415">
        <v>15530</v>
      </c>
      <c r="M228" s="415" t="s">
        <v>1454</v>
      </c>
      <c r="N228" s="472">
        <v>4.3</v>
      </c>
      <c r="O228" s="471">
        <f>IF(N228&gt;0,1/N228*37.7*68.6,"")</f>
        <v>601.44651162790706</v>
      </c>
      <c r="P228" s="470">
        <v>4.04</v>
      </c>
      <c r="Q228" s="469" t="s">
        <v>435</v>
      </c>
      <c r="R228" s="415" t="s">
        <v>427</v>
      </c>
      <c r="S228" s="415" t="s">
        <v>454</v>
      </c>
      <c r="T228" s="415" t="s">
        <v>1452</v>
      </c>
      <c r="U228" s="480" t="s">
        <v>1452</v>
      </c>
      <c r="V228" s="468">
        <f>IF(N228&lt;&gt;0, IF(N228&gt;=P228,ROUNDDOWN(N228/P228*100,0),""),"")</f>
        <v>106</v>
      </c>
    </row>
    <row r="229" spans="1:22" s="461" customFormat="1" ht="23.1" customHeight="1">
      <c r="A229" s="481"/>
      <c r="B229" s="410"/>
      <c r="C229" s="477"/>
      <c r="D229" s="422" t="s">
        <v>1504</v>
      </c>
      <c r="E229" s="473" t="s">
        <v>426</v>
      </c>
      <c r="F229" s="416">
        <v>10.836</v>
      </c>
      <c r="G229" s="473">
        <v>2000</v>
      </c>
      <c r="H229" s="416">
        <v>294</v>
      </c>
      <c r="I229" s="473" t="s">
        <v>431</v>
      </c>
      <c r="J229" s="416">
        <v>8765</v>
      </c>
      <c r="K229" s="415">
        <v>24405</v>
      </c>
      <c r="L229" s="415">
        <v>15530</v>
      </c>
      <c r="M229" s="415" t="s">
        <v>1454</v>
      </c>
      <c r="N229" s="482">
        <v>4.57</v>
      </c>
      <c r="O229" s="471">
        <f>IF(N229&gt;0,1/N229*37.7*68.6,"")</f>
        <v>565.91247264770232</v>
      </c>
      <c r="P229" s="470">
        <v>4.04</v>
      </c>
      <c r="Q229" s="469" t="s">
        <v>432</v>
      </c>
      <c r="R229" s="415" t="s">
        <v>427</v>
      </c>
      <c r="S229" s="415" t="s">
        <v>448</v>
      </c>
      <c r="T229" s="415" t="s">
        <v>1452</v>
      </c>
      <c r="U229" s="480" t="s">
        <v>1452</v>
      </c>
      <c r="V229" s="468">
        <f>IF(N229&lt;&gt;0, IF(N229&gt;=P229,ROUNDDOWN(N229/P229*100,0),""),"")</f>
        <v>113</v>
      </c>
    </row>
    <row r="230" spans="1:22" s="461" customFormat="1" ht="23.1" customHeight="1">
      <c r="A230" s="481"/>
      <c r="B230" s="410"/>
      <c r="C230" s="477"/>
      <c r="D230" s="422" t="s">
        <v>1504</v>
      </c>
      <c r="E230" s="473" t="s">
        <v>426</v>
      </c>
      <c r="F230" s="416">
        <v>10.836</v>
      </c>
      <c r="G230" s="473">
        <v>2000</v>
      </c>
      <c r="H230" s="416">
        <v>294</v>
      </c>
      <c r="I230" s="473" t="s">
        <v>431</v>
      </c>
      <c r="J230" s="416">
        <v>8765</v>
      </c>
      <c r="K230" s="415">
        <v>24405</v>
      </c>
      <c r="L230" s="415">
        <v>15530</v>
      </c>
      <c r="M230" s="415" t="s">
        <v>1454</v>
      </c>
      <c r="N230" s="482">
        <v>4.45</v>
      </c>
      <c r="O230" s="471">
        <f>IF(N230&gt;0,1/N230*37.7*68.6,"")</f>
        <v>581.1730337078651</v>
      </c>
      <c r="P230" s="470">
        <v>4.04</v>
      </c>
      <c r="Q230" s="469" t="s">
        <v>435</v>
      </c>
      <c r="R230" s="415" t="s">
        <v>427</v>
      </c>
      <c r="S230" s="415" t="s">
        <v>448</v>
      </c>
      <c r="T230" s="415" t="s">
        <v>1452</v>
      </c>
      <c r="U230" s="480" t="s">
        <v>1452</v>
      </c>
      <c r="V230" s="468">
        <f>IF(N230&lt;&gt;0, IF(N230&gt;=P230,ROUNDDOWN(N230/P230*100,0),""),"")</f>
        <v>110</v>
      </c>
    </row>
    <row r="231" spans="1:22" s="461" customFormat="1" ht="23.1" customHeight="1">
      <c r="A231" s="481"/>
      <c r="B231" s="410"/>
      <c r="C231" s="477"/>
      <c r="D231" s="422" t="s">
        <v>1486</v>
      </c>
      <c r="E231" s="473" t="s">
        <v>426</v>
      </c>
      <c r="F231" s="416">
        <v>10.836</v>
      </c>
      <c r="G231" s="473">
        <v>2000</v>
      </c>
      <c r="H231" s="416">
        <v>294</v>
      </c>
      <c r="I231" s="473" t="s">
        <v>431</v>
      </c>
      <c r="J231" s="416">
        <v>8765</v>
      </c>
      <c r="K231" s="415">
        <v>24405</v>
      </c>
      <c r="L231" s="415">
        <v>15530</v>
      </c>
      <c r="M231" s="415" t="s">
        <v>1454</v>
      </c>
      <c r="N231" s="482">
        <v>4.57</v>
      </c>
      <c r="O231" s="471">
        <f>IF(N231&gt;0,1/N231*37.7*68.6,"")</f>
        <v>565.91247264770232</v>
      </c>
      <c r="P231" s="470">
        <v>4.04</v>
      </c>
      <c r="Q231" s="469" t="s">
        <v>432</v>
      </c>
      <c r="R231" s="415" t="s">
        <v>427</v>
      </c>
      <c r="S231" s="415" t="s">
        <v>448</v>
      </c>
      <c r="T231" s="415" t="s">
        <v>1452</v>
      </c>
      <c r="U231" s="480" t="s">
        <v>1452</v>
      </c>
      <c r="V231" s="468">
        <f>IF(N231&lt;&gt;0, IF(N231&gt;=P231,ROUNDDOWN(N231/P231*100,0),""),"")</f>
        <v>113</v>
      </c>
    </row>
    <row r="232" spans="1:22" s="461" customFormat="1" ht="23.1" customHeight="1">
      <c r="A232" s="481"/>
      <c r="B232" s="410"/>
      <c r="C232" s="477"/>
      <c r="D232" s="422" t="s">
        <v>1486</v>
      </c>
      <c r="E232" s="473" t="s">
        <v>426</v>
      </c>
      <c r="F232" s="416">
        <v>10.836</v>
      </c>
      <c r="G232" s="473">
        <v>2000</v>
      </c>
      <c r="H232" s="416">
        <v>294</v>
      </c>
      <c r="I232" s="473" t="s">
        <v>431</v>
      </c>
      <c r="J232" s="416">
        <v>8765</v>
      </c>
      <c r="K232" s="415">
        <v>24405</v>
      </c>
      <c r="L232" s="415">
        <v>15530</v>
      </c>
      <c r="M232" s="415" t="s">
        <v>1454</v>
      </c>
      <c r="N232" s="482">
        <v>4.45</v>
      </c>
      <c r="O232" s="471">
        <f>IF(N232&gt;0,1/N232*37.7*68.6,"")</f>
        <v>581.1730337078651</v>
      </c>
      <c r="P232" s="470">
        <v>4.04</v>
      </c>
      <c r="Q232" s="469" t="s">
        <v>435</v>
      </c>
      <c r="R232" s="415" t="s">
        <v>427</v>
      </c>
      <c r="S232" s="415" t="s">
        <v>448</v>
      </c>
      <c r="T232" s="415" t="s">
        <v>1452</v>
      </c>
      <c r="U232" s="480" t="s">
        <v>1452</v>
      </c>
      <c r="V232" s="468">
        <f>IF(N232&lt;&gt;0, IF(N232&gt;=P232,ROUNDDOWN(N232/P232*100,0),""),"")</f>
        <v>110</v>
      </c>
    </row>
    <row r="233" spans="1:22" s="461" customFormat="1" ht="23.1" customHeight="1">
      <c r="A233" s="481"/>
      <c r="B233" s="410"/>
      <c r="C233" s="477"/>
      <c r="D233" s="422" t="s">
        <v>1485</v>
      </c>
      <c r="E233" s="473" t="s">
        <v>426</v>
      </c>
      <c r="F233" s="416">
        <v>10.836</v>
      </c>
      <c r="G233" s="473">
        <v>2000</v>
      </c>
      <c r="H233" s="416">
        <v>294</v>
      </c>
      <c r="I233" s="473" t="s">
        <v>431</v>
      </c>
      <c r="J233" s="416">
        <v>8765</v>
      </c>
      <c r="K233" s="415">
        <v>24405</v>
      </c>
      <c r="L233" s="415">
        <v>15530</v>
      </c>
      <c r="M233" s="415" t="s">
        <v>1454</v>
      </c>
      <c r="N233" s="482">
        <v>4.57</v>
      </c>
      <c r="O233" s="471">
        <f>IF(N233&gt;0,1/N233*37.7*68.6,"")</f>
        <v>565.91247264770232</v>
      </c>
      <c r="P233" s="470">
        <v>4.04</v>
      </c>
      <c r="Q233" s="469" t="s">
        <v>432</v>
      </c>
      <c r="R233" s="415" t="s">
        <v>427</v>
      </c>
      <c r="S233" s="415" t="s">
        <v>448</v>
      </c>
      <c r="T233" s="415" t="s">
        <v>1452</v>
      </c>
      <c r="U233" s="480" t="s">
        <v>1452</v>
      </c>
      <c r="V233" s="468">
        <f>IF(N233&lt;&gt;0, IF(N233&gt;=P233,ROUNDDOWN(N233/P233*100,0),""),"")</f>
        <v>113</v>
      </c>
    </row>
    <row r="234" spans="1:22" s="461" customFormat="1" ht="23.1" customHeight="1">
      <c r="A234" s="481"/>
      <c r="B234" s="410"/>
      <c r="C234" s="477"/>
      <c r="D234" s="422" t="s">
        <v>1485</v>
      </c>
      <c r="E234" s="473" t="s">
        <v>426</v>
      </c>
      <c r="F234" s="416">
        <v>10.836</v>
      </c>
      <c r="G234" s="473">
        <v>2000</v>
      </c>
      <c r="H234" s="416">
        <v>294</v>
      </c>
      <c r="I234" s="473" t="s">
        <v>431</v>
      </c>
      <c r="J234" s="416">
        <v>8765</v>
      </c>
      <c r="K234" s="415">
        <v>24405</v>
      </c>
      <c r="L234" s="415">
        <v>15530</v>
      </c>
      <c r="M234" s="415" t="s">
        <v>1454</v>
      </c>
      <c r="N234" s="482">
        <v>4.45</v>
      </c>
      <c r="O234" s="471">
        <f>IF(N234&gt;0,1/N234*37.7*68.6,"")</f>
        <v>581.1730337078651</v>
      </c>
      <c r="P234" s="470">
        <v>4.04</v>
      </c>
      <c r="Q234" s="469" t="s">
        <v>435</v>
      </c>
      <c r="R234" s="415" t="s">
        <v>427</v>
      </c>
      <c r="S234" s="415" t="s">
        <v>448</v>
      </c>
      <c r="T234" s="415" t="s">
        <v>1452</v>
      </c>
      <c r="U234" s="480" t="s">
        <v>1452</v>
      </c>
      <c r="V234" s="468">
        <f>IF(N234&lt;&gt;0, IF(N234&gt;=P234,ROUNDDOWN(N234/P234*100,0),""),"")</f>
        <v>110</v>
      </c>
    </row>
    <row r="235" spans="1:22" s="461" customFormat="1" ht="23.1" customHeight="1">
      <c r="A235" s="481"/>
      <c r="B235" s="410"/>
      <c r="C235" s="477"/>
      <c r="D235" s="422" t="s">
        <v>1503</v>
      </c>
      <c r="E235" s="473" t="s">
        <v>426</v>
      </c>
      <c r="F235" s="416">
        <v>10.836</v>
      </c>
      <c r="G235" s="473">
        <v>2000</v>
      </c>
      <c r="H235" s="416">
        <v>294</v>
      </c>
      <c r="I235" s="473" t="s">
        <v>431</v>
      </c>
      <c r="J235" s="416">
        <v>8765</v>
      </c>
      <c r="K235" s="415">
        <v>24405</v>
      </c>
      <c r="L235" s="415">
        <v>15530</v>
      </c>
      <c r="M235" s="415" t="s">
        <v>1454</v>
      </c>
      <c r="N235" s="482">
        <v>4.57</v>
      </c>
      <c r="O235" s="471">
        <f>IF(N235&gt;0,1/N235*37.7*68.6,"")</f>
        <v>565.91247264770232</v>
      </c>
      <c r="P235" s="470">
        <v>4.04</v>
      </c>
      <c r="Q235" s="469" t="s">
        <v>432</v>
      </c>
      <c r="R235" s="415" t="s">
        <v>433</v>
      </c>
      <c r="S235" s="415" t="s">
        <v>1480</v>
      </c>
      <c r="T235" s="415" t="s">
        <v>1452</v>
      </c>
      <c r="U235" s="480" t="s">
        <v>1452</v>
      </c>
      <c r="V235" s="468">
        <f>IF(N235&lt;&gt;0, IF(N235&gt;=P235,ROUNDDOWN(N235/P235*100,0),""),"")</f>
        <v>113</v>
      </c>
    </row>
    <row r="236" spans="1:22" s="461" customFormat="1" ht="23.1" customHeight="1">
      <c r="A236" s="481"/>
      <c r="B236" s="410"/>
      <c r="C236" s="477"/>
      <c r="D236" s="422" t="s">
        <v>1503</v>
      </c>
      <c r="E236" s="473" t="s">
        <v>426</v>
      </c>
      <c r="F236" s="416">
        <v>10.836</v>
      </c>
      <c r="G236" s="473">
        <v>2000</v>
      </c>
      <c r="H236" s="416">
        <v>294</v>
      </c>
      <c r="I236" s="473" t="s">
        <v>431</v>
      </c>
      <c r="J236" s="416">
        <v>8765</v>
      </c>
      <c r="K236" s="415">
        <v>24405</v>
      </c>
      <c r="L236" s="415">
        <v>15530</v>
      </c>
      <c r="M236" s="415" t="s">
        <v>1454</v>
      </c>
      <c r="N236" s="482">
        <v>4.45</v>
      </c>
      <c r="O236" s="471">
        <f>IF(N236&gt;0,1/N236*37.7*68.6,"")</f>
        <v>581.1730337078651</v>
      </c>
      <c r="P236" s="470">
        <v>4.04</v>
      </c>
      <c r="Q236" s="469" t="s">
        <v>434</v>
      </c>
      <c r="R236" s="415" t="s">
        <v>433</v>
      </c>
      <c r="S236" s="415" t="s">
        <v>1480</v>
      </c>
      <c r="T236" s="415" t="s">
        <v>1452</v>
      </c>
      <c r="U236" s="480" t="s">
        <v>1452</v>
      </c>
      <c r="V236" s="468">
        <f>IF(N236&lt;&gt;0, IF(N236&gt;=P236,ROUNDDOWN(N236/P236*100,0),""),"")</f>
        <v>110</v>
      </c>
    </row>
    <row r="237" spans="1:22" s="461" customFormat="1" ht="23.1" customHeight="1">
      <c r="A237" s="481"/>
      <c r="B237" s="410"/>
      <c r="C237" s="477"/>
      <c r="D237" s="422" t="s">
        <v>1502</v>
      </c>
      <c r="E237" s="473" t="s">
        <v>426</v>
      </c>
      <c r="F237" s="416">
        <v>10.836</v>
      </c>
      <c r="G237" s="473">
        <v>2000</v>
      </c>
      <c r="H237" s="416">
        <v>294</v>
      </c>
      <c r="I237" s="473" t="s">
        <v>431</v>
      </c>
      <c r="J237" s="416">
        <v>8765</v>
      </c>
      <c r="K237" s="415">
        <v>24405</v>
      </c>
      <c r="L237" s="415">
        <v>15530</v>
      </c>
      <c r="M237" s="415" t="s">
        <v>1454</v>
      </c>
      <c r="N237" s="482">
        <v>4.57</v>
      </c>
      <c r="O237" s="471">
        <f>IF(N237&gt;0,1/N237*37.7*68.6,"")</f>
        <v>565.91247264770232</v>
      </c>
      <c r="P237" s="470">
        <v>4.04</v>
      </c>
      <c r="Q237" s="469" t="s">
        <v>432</v>
      </c>
      <c r="R237" s="415" t="s">
        <v>427</v>
      </c>
      <c r="S237" s="415" t="s">
        <v>1480</v>
      </c>
      <c r="T237" s="415" t="s">
        <v>1452</v>
      </c>
      <c r="U237" s="480" t="s">
        <v>1452</v>
      </c>
      <c r="V237" s="468">
        <f>IF(N237&lt;&gt;0, IF(N237&gt;=P237,ROUNDDOWN(N237/P237*100,0),""),"")</f>
        <v>113</v>
      </c>
    </row>
    <row r="238" spans="1:22" s="461" customFormat="1" ht="23.1" customHeight="1">
      <c r="A238" s="481"/>
      <c r="B238" s="410"/>
      <c r="C238" s="477"/>
      <c r="D238" s="422" t="s">
        <v>1502</v>
      </c>
      <c r="E238" s="473" t="s">
        <v>426</v>
      </c>
      <c r="F238" s="416">
        <v>10.836</v>
      </c>
      <c r="G238" s="473">
        <v>2000</v>
      </c>
      <c r="H238" s="416">
        <v>294</v>
      </c>
      <c r="I238" s="473" t="s">
        <v>431</v>
      </c>
      <c r="J238" s="416">
        <v>8765</v>
      </c>
      <c r="K238" s="415">
        <v>24405</v>
      </c>
      <c r="L238" s="415">
        <v>15530</v>
      </c>
      <c r="M238" s="415" t="s">
        <v>1454</v>
      </c>
      <c r="N238" s="482">
        <v>4.45</v>
      </c>
      <c r="O238" s="471">
        <f>IF(N238&gt;0,1/N238*37.7*68.6,"")</f>
        <v>581.1730337078651</v>
      </c>
      <c r="P238" s="470">
        <v>4.04</v>
      </c>
      <c r="Q238" s="469" t="s">
        <v>435</v>
      </c>
      <c r="R238" s="415" t="s">
        <v>427</v>
      </c>
      <c r="S238" s="415" t="s">
        <v>1480</v>
      </c>
      <c r="T238" s="415" t="s">
        <v>1452</v>
      </c>
      <c r="U238" s="480" t="s">
        <v>1452</v>
      </c>
      <c r="V238" s="468">
        <f>IF(N238&lt;&gt;0, IF(N238&gt;=P238,ROUNDDOWN(N238/P238*100,0),""),"")</f>
        <v>110</v>
      </c>
    </row>
    <row r="239" spans="1:22" s="461" customFormat="1" ht="23.1" customHeight="1">
      <c r="A239" s="481"/>
      <c r="B239" s="410"/>
      <c r="C239" s="477"/>
      <c r="D239" s="422" t="s">
        <v>1501</v>
      </c>
      <c r="E239" s="473" t="s">
        <v>426</v>
      </c>
      <c r="F239" s="416">
        <v>10.836</v>
      </c>
      <c r="G239" s="473">
        <v>2000</v>
      </c>
      <c r="H239" s="416">
        <v>294</v>
      </c>
      <c r="I239" s="473" t="s">
        <v>431</v>
      </c>
      <c r="J239" s="416">
        <v>8765</v>
      </c>
      <c r="K239" s="415">
        <v>24405</v>
      </c>
      <c r="L239" s="415">
        <v>15530</v>
      </c>
      <c r="M239" s="415" t="s">
        <v>1454</v>
      </c>
      <c r="N239" s="482">
        <v>4.57</v>
      </c>
      <c r="O239" s="471">
        <f>IF(N239&gt;0,1/N239*37.7*68.6,"")</f>
        <v>565.91247264770232</v>
      </c>
      <c r="P239" s="470">
        <v>4.04</v>
      </c>
      <c r="Q239" s="469" t="s">
        <v>432</v>
      </c>
      <c r="R239" s="415" t="s">
        <v>427</v>
      </c>
      <c r="S239" s="415" t="s">
        <v>1480</v>
      </c>
      <c r="T239" s="415" t="s">
        <v>1452</v>
      </c>
      <c r="U239" s="480" t="s">
        <v>1452</v>
      </c>
      <c r="V239" s="468">
        <f>IF(N239&lt;&gt;0, IF(N239&gt;=P239,ROUNDDOWN(N239/P239*100,0),""),"")</f>
        <v>113</v>
      </c>
    </row>
    <row r="240" spans="1:22" s="461" customFormat="1" ht="23.1" customHeight="1">
      <c r="A240" s="481"/>
      <c r="B240" s="410"/>
      <c r="C240" s="477"/>
      <c r="D240" s="422" t="s">
        <v>1501</v>
      </c>
      <c r="E240" s="473" t="s">
        <v>426</v>
      </c>
      <c r="F240" s="416">
        <v>10.836</v>
      </c>
      <c r="G240" s="473">
        <v>2000</v>
      </c>
      <c r="H240" s="416">
        <v>294</v>
      </c>
      <c r="I240" s="473" t="s">
        <v>431</v>
      </c>
      <c r="J240" s="416">
        <v>8765</v>
      </c>
      <c r="K240" s="415">
        <v>24405</v>
      </c>
      <c r="L240" s="415">
        <v>15530</v>
      </c>
      <c r="M240" s="415" t="s">
        <v>1454</v>
      </c>
      <c r="N240" s="482">
        <v>4.45</v>
      </c>
      <c r="O240" s="471">
        <f>IF(N240&gt;0,1/N240*37.7*68.6,"")</f>
        <v>581.1730337078651</v>
      </c>
      <c r="P240" s="470">
        <v>4.04</v>
      </c>
      <c r="Q240" s="469" t="s">
        <v>435</v>
      </c>
      <c r="R240" s="415" t="s">
        <v>427</v>
      </c>
      <c r="S240" s="415" t="s">
        <v>1480</v>
      </c>
      <c r="T240" s="415" t="s">
        <v>1452</v>
      </c>
      <c r="U240" s="480" t="s">
        <v>1452</v>
      </c>
      <c r="V240" s="468">
        <f>IF(N240&lt;&gt;0, IF(N240&gt;=P240,ROUNDDOWN(N240/P240*100,0),""),"")</f>
        <v>110</v>
      </c>
    </row>
    <row r="241" spans="1:22" s="461" customFormat="1" ht="23.1" customHeight="1">
      <c r="A241" s="481"/>
      <c r="B241" s="410"/>
      <c r="C241" s="477"/>
      <c r="D241" s="422" t="s">
        <v>1482</v>
      </c>
      <c r="E241" s="473" t="s">
        <v>426</v>
      </c>
      <c r="F241" s="416">
        <v>10.836</v>
      </c>
      <c r="G241" s="473">
        <v>2000</v>
      </c>
      <c r="H241" s="416">
        <v>294</v>
      </c>
      <c r="I241" s="473" t="s">
        <v>431</v>
      </c>
      <c r="J241" s="416">
        <v>8765</v>
      </c>
      <c r="K241" s="415">
        <v>24405</v>
      </c>
      <c r="L241" s="415">
        <v>15530</v>
      </c>
      <c r="M241" s="415" t="s">
        <v>1454</v>
      </c>
      <c r="N241" s="482">
        <v>4.57</v>
      </c>
      <c r="O241" s="471">
        <f>IF(N241&gt;0,1/N241*37.7*68.6,"")</f>
        <v>565.91247264770232</v>
      </c>
      <c r="P241" s="470">
        <v>4.04</v>
      </c>
      <c r="Q241" s="469" t="s">
        <v>432</v>
      </c>
      <c r="R241" s="415" t="s">
        <v>427</v>
      </c>
      <c r="S241" s="415" t="s">
        <v>1480</v>
      </c>
      <c r="T241" s="415" t="s">
        <v>1452</v>
      </c>
      <c r="U241" s="480" t="s">
        <v>1452</v>
      </c>
      <c r="V241" s="468">
        <f>IF(N241&lt;&gt;0, IF(N241&gt;=P241,ROUNDDOWN(N241/P241*100,0),""),"")</f>
        <v>113</v>
      </c>
    </row>
    <row r="242" spans="1:22" s="461" customFormat="1" ht="23.1" customHeight="1">
      <c r="A242" s="481"/>
      <c r="B242" s="410"/>
      <c r="C242" s="477"/>
      <c r="D242" s="422" t="s">
        <v>1482</v>
      </c>
      <c r="E242" s="473" t="s">
        <v>426</v>
      </c>
      <c r="F242" s="416">
        <v>10.836</v>
      </c>
      <c r="G242" s="473">
        <v>2000</v>
      </c>
      <c r="H242" s="416">
        <v>294</v>
      </c>
      <c r="I242" s="473" t="s">
        <v>431</v>
      </c>
      <c r="J242" s="416">
        <v>8765</v>
      </c>
      <c r="K242" s="415">
        <v>24405</v>
      </c>
      <c r="L242" s="415">
        <v>15530</v>
      </c>
      <c r="M242" s="415" t="s">
        <v>1454</v>
      </c>
      <c r="N242" s="482">
        <v>4.45</v>
      </c>
      <c r="O242" s="471">
        <f>IF(N242&gt;0,1/N242*37.7*68.6,"")</f>
        <v>581.1730337078651</v>
      </c>
      <c r="P242" s="470">
        <v>4.04</v>
      </c>
      <c r="Q242" s="469" t="s">
        <v>435</v>
      </c>
      <c r="R242" s="415" t="s">
        <v>427</v>
      </c>
      <c r="S242" s="415" t="s">
        <v>1480</v>
      </c>
      <c r="T242" s="415" t="s">
        <v>1452</v>
      </c>
      <c r="U242" s="480" t="s">
        <v>1452</v>
      </c>
      <c r="V242" s="468">
        <f>IF(N242&lt;&gt;0, IF(N242&gt;=P242,ROUNDDOWN(N242/P242*100,0),""),"")</f>
        <v>110</v>
      </c>
    </row>
    <row r="243" spans="1:22" s="461" customFormat="1" ht="23.1" customHeight="1">
      <c r="A243" s="481"/>
      <c r="B243" s="410"/>
      <c r="C243" s="477"/>
      <c r="D243" s="422" t="s">
        <v>1481</v>
      </c>
      <c r="E243" s="473" t="s">
        <v>426</v>
      </c>
      <c r="F243" s="416">
        <v>10.836</v>
      </c>
      <c r="G243" s="473">
        <v>2000</v>
      </c>
      <c r="H243" s="416">
        <v>294</v>
      </c>
      <c r="I243" s="473" t="s">
        <v>431</v>
      </c>
      <c r="J243" s="416">
        <v>8765</v>
      </c>
      <c r="K243" s="415">
        <v>24405</v>
      </c>
      <c r="L243" s="415">
        <v>15530</v>
      </c>
      <c r="M243" s="415" t="s">
        <v>1454</v>
      </c>
      <c r="N243" s="482">
        <v>4.57</v>
      </c>
      <c r="O243" s="471">
        <f>IF(N243&gt;0,1/N243*37.7*68.6,"")</f>
        <v>565.91247264770232</v>
      </c>
      <c r="P243" s="470">
        <v>4.04</v>
      </c>
      <c r="Q243" s="469" t="s">
        <v>432</v>
      </c>
      <c r="R243" s="415" t="s">
        <v>427</v>
      </c>
      <c r="S243" s="415" t="s">
        <v>1480</v>
      </c>
      <c r="T243" s="415" t="s">
        <v>1452</v>
      </c>
      <c r="U243" s="480" t="s">
        <v>1452</v>
      </c>
      <c r="V243" s="468">
        <f>IF(N243&lt;&gt;0, IF(N243&gt;=P243,ROUNDDOWN(N243/P243*100,0),""),"")</f>
        <v>113</v>
      </c>
    </row>
    <row r="244" spans="1:22" s="461" customFormat="1" ht="23.1" customHeight="1">
      <c r="A244" s="481"/>
      <c r="B244" s="410"/>
      <c r="C244" s="477"/>
      <c r="D244" s="422" t="s">
        <v>1481</v>
      </c>
      <c r="E244" s="473" t="s">
        <v>426</v>
      </c>
      <c r="F244" s="416">
        <v>10.836</v>
      </c>
      <c r="G244" s="473">
        <v>2000</v>
      </c>
      <c r="H244" s="416">
        <v>294</v>
      </c>
      <c r="I244" s="473" t="s">
        <v>431</v>
      </c>
      <c r="J244" s="416">
        <v>8765</v>
      </c>
      <c r="K244" s="415">
        <v>24405</v>
      </c>
      <c r="L244" s="415">
        <v>15530</v>
      </c>
      <c r="M244" s="415" t="s">
        <v>1454</v>
      </c>
      <c r="N244" s="482">
        <v>4.45</v>
      </c>
      <c r="O244" s="471">
        <f>IF(N244&gt;0,1/N244*37.7*68.6,"")</f>
        <v>581.1730337078651</v>
      </c>
      <c r="P244" s="470">
        <v>4.04</v>
      </c>
      <c r="Q244" s="469" t="s">
        <v>435</v>
      </c>
      <c r="R244" s="415" t="s">
        <v>427</v>
      </c>
      <c r="S244" s="415" t="s">
        <v>1480</v>
      </c>
      <c r="T244" s="415" t="s">
        <v>1452</v>
      </c>
      <c r="U244" s="480" t="s">
        <v>1452</v>
      </c>
      <c r="V244" s="468">
        <f>IF(N244&lt;&gt;0, IF(N244&gt;=P244,ROUNDDOWN(N244/P244*100,0),""),"")</f>
        <v>110</v>
      </c>
    </row>
    <row r="245" spans="1:22" s="461" customFormat="1" ht="23.1" customHeight="1">
      <c r="A245" s="481"/>
      <c r="B245" s="410"/>
      <c r="C245" s="477"/>
      <c r="D245" s="422" t="s">
        <v>1500</v>
      </c>
      <c r="E245" s="473" t="s">
        <v>426</v>
      </c>
      <c r="F245" s="416">
        <v>10.836</v>
      </c>
      <c r="G245" s="473">
        <v>2000</v>
      </c>
      <c r="H245" s="416">
        <v>294</v>
      </c>
      <c r="I245" s="473" t="s">
        <v>431</v>
      </c>
      <c r="J245" s="416">
        <v>8765</v>
      </c>
      <c r="K245" s="415">
        <v>24405</v>
      </c>
      <c r="L245" s="415">
        <v>15530</v>
      </c>
      <c r="M245" s="415" t="s">
        <v>1454</v>
      </c>
      <c r="N245" s="482">
        <v>4.57</v>
      </c>
      <c r="O245" s="471">
        <f>IF(N245&gt;0,1/N245*37.7*68.6,"")</f>
        <v>565.91247264770232</v>
      </c>
      <c r="P245" s="470">
        <v>4.04</v>
      </c>
      <c r="Q245" s="469" t="s">
        <v>432</v>
      </c>
      <c r="R245" s="415" t="s">
        <v>427</v>
      </c>
      <c r="S245" s="415" t="s">
        <v>448</v>
      </c>
      <c r="T245" s="415" t="s">
        <v>1452</v>
      </c>
      <c r="U245" s="480" t="s">
        <v>1452</v>
      </c>
      <c r="V245" s="468">
        <f>IF(N245&lt;&gt;0, IF(N245&gt;=P245,ROUNDDOWN(N245/P245*100,0),""),"")</f>
        <v>113</v>
      </c>
    </row>
    <row r="246" spans="1:22" s="461" customFormat="1" ht="23.1" customHeight="1">
      <c r="A246" s="481"/>
      <c r="B246" s="410"/>
      <c r="C246" s="477"/>
      <c r="D246" s="422" t="s">
        <v>1500</v>
      </c>
      <c r="E246" s="473" t="s">
        <v>426</v>
      </c>
      <c r="F246" s="416">
        <v>10.836</v>
      </c>
      <c r="G246" s="473">
        <v>2000</v>
      </c>
      <c r="H246" s="416">
        <v>294</v>
      </c>
      <c r="I246" s="473" t="s">
        <v>431</v>
      </c>
      <c r="J246" s="416">
        <v>8765</v>
      </c>
      <c r="K246" s="415">
        <v>24405</v>
      </c>
      <c r="L246" s="415">
        <v>15530</v>
      </c>
      <c r="M246" s="415" t="s">
        <v>1454</v>
      </c>
      <c r="N246" s="482">
        <v>4.45</v>
      </c>
      <c r="O246" s="471">
        <f>IF(N246&gt;0,1/N246*37.7*68.6,"")</f>
        <v>581.1730337078651</v>
      </c>
      <c r="P246" s="470">
        <v>4.04</v>
      </c>
      <c r="Q246" s="469" t="s">
        <v>435</v>
      </c>
      <c r="R246" s="415" t="s">
        <v>427</v>
      </c>
      <c r="S246" s="415" t="s">
        <v>448</v>
      </c>
      <c r="T246" s="415" t="s">
        <v>1452</v>
      </c>
      <c r="U246" s="480" t="s">
        <v>1452</v>
      </c>
      <c r="V246" s="468">
        <f>IF(N246&lt;&gt;0, IF(N246&gt;=P246,ROUNDDOWN(N246/P246*100,0),""),"")</f>
        <v>110</v>
      </c>
    </row>
    <row r="247" spans="1:22" s="461" customFormat="1" ht="23.1" customHeight="1">
      <c r="A247" s="481"/>
      <c r="B247" s="410"/>
      <c r="C247" s="477"/>
      <c r="D247" s="422" t="s">
        <v>1499</v>
      </c>
      <c r="E247" s="473" t="s">
        <v>426</v>
      </c>
      <c r="F247" s="416">
        <v>10.836</v>
      </c>
      <c r="G247" s="473">
        <v>2000</v>
      </c>
      <c r="H247" s="416">
        <v>294</v>
      </c>
      <c r="I247" s="473" t="s">
        <v>431</v>
      </c>
      <c r="J247" s="416">
        <v>8765</v>
      </c>
      <c r="K247" s="415">
        <v>24405</v>
      </c>
      <c r="L247" s="415">
        <v>15530</v>
      </c>
      <c r="M247" s="415" t="s">
        <v>1454</v>
      </c>
      <c r="N247" s="482">
        <v>4.57</v>
      </c>
      <c r="O247" s="471">
        <f>IF(N247&gt;0,1/N247*37.7*68.6,"")</f>
        <v>565.91247264770232</v>
      </c>
      <c r="P247" s="470">
        <v>4.04</v>
      </c>
      <c r="Q247" s="469" t="s">
        <v>432</v>
      </c>
      <c r="R247" s="415" t="s">
        <v>427</v>
      </c>
      <c r="S247" s="415" t="s">
        <v>448</v>
      </c>
      <c r="T247" s="415" t="s">
        <v>1452</v>
      </c>
      <c r="U247" s="480" t="s">
        <v>1452</v>
      </c>
      <c r="V247" s="468">
        <f>IF(N247&lt;&gt;0, IF(N247&gt;=P247,ROUNDDOWN(N247/P247*100,0),""),"")</f>
        <v>113</v>
      </c>
    </row>
    <row r="248" spans="1:22" s="461" customFormat="1" ht="23.1" customHeight="1">
      <c r="A248" s="481"/>
      <c r="B248" s="410"/>
      <c r="C248" s="477"/>
      <c r="D248" s="422" t="s">
        <v>1499</v>
      </c>
      <c r="E248" s="473" t="s">
        <v>426</v>
      </c>
      <c r="F248" s="416">
        <v>10.836</v>
      </c>
      <c r="G248" s="473">
        <v>2000</v>
      </c>
      <c r="H248" s="416">
        <v>294</v>
      </c>
      <c r="I248" s="473" t="s">
        <v>431</v>
      </c>
      <c r="J248" s="416">
        <v>8765</v>
      </c>
      <c r="K248" s="415">
        <v>24405</v>
      </c>
      <c r="L248" s="415">
        <v>15530</v>
      </c>
      <c r="M248" s="415" t="s">
        <v>1454</v>
      </c>
      <c r="N248" s="482">
        <v>4.45</v>
      </c>
      <c r="O248" s="471">
        <f>IF(N248&gt;0,1/N248*37.7*68.6,"")</f>
        <v>581.1730337078651</v>
      </c>
      <c r="P248" s="470">
        <v>4.04</v>
      </c>
      <c r="Q248" s="469" t="s">
        <v>435</v>
      </c>
      <c r="R248" s="415" t="s">
        <v>427</v>
      </c>
      <c r="S248" s="415" t="s">
        <v>448</v>
      </c>
      <c r="T248" s="415" t="s">
        <v>1452</v>
      </c>
      <c r="U248" s="480" t="s">
        <v>1452</v>
      </c>
      <c r="V248" s="468">
        <f>IF(N248&lt;&gt;0, IF(N248&gt;=P248,ROUNDDOWN(N248/P248*100,0),""),"")</f>
        <v>110</v>
      </c>
    </row>
    <row r="249" spans="1:22" s="461" customFormat="1" ht="23.1" customHeight="1">
      <c r="A249" s="481"/>
      <c r="B249" s="410"/>
      <c r="C249" s="477"/>
      <c r="D249" s="422" t="s">
        <v>1498</v>
      </c>
      <c r="E249" s="473" t="s">
        <v>426</v>
      </c>
      <c r="F249" s="416">
        <v>10.836</v>
      </c>
      <c r="G249" s="473">
        <v>2000</v>
      </c>
      <c r="H249" s="416">
        <v>294</v>
      </c>
      <c r="I249" s="473" t="s">
        <v>431</v>
      </c>
      <c r="J249" s="416">
        <v>8765</v>
      </c>
      <c r="K249" s="415">
        <v>24405</v>
      </c>
      <c r="L249" s="415">
        <v>15530</v>
      </c>
      <c r="M249" s="415" t="s">
        <v>1454</v>
      </c>
      <c r="N249" s="482">
        <v>4.57</v>
      </c>
      <c r="O249" s="471">
        <f>IF(N249&gt;0,1/N249*37.7*68.6,"")</f>
        <v>565.91247264770232</v>
      </c>
      <c r="P249" s="470">
        <v>4.04</v>
      </c>
      <c r="Q249" s="469" t="s">
        <v>432</v>
      </c>
      <c r="R249" s="415" t="s">
        <v>427</v>
      </c>
      <c r="S249" s="415" t="s">
        <v>454</v>
      </c>
      <c r="T249" s="415" t="s">
        <v>1452</v>
      </c>
      <c r="U249" s="480" t="s">
        <v>1452</v>
      </c>
      <c r="V249" s="468">
        <f>IF(N249&lt;&gt;0, IF(N249&gt;=P249,ROUNDDOWN(N249/P249*100,0),""),"")</f>
        <v>113</v>
      </c>
    </row>
    <row r="250" spans="1:22" s="461" customFormat="1" ht="23.1" customHeight="1">
      <c r="A250" s="481"/>
      <c r="B250" s="410"/>
      <c r="C250" s="477"/>
      <c r="D250" s="422" t="s">
        <v>1498</v>
      </c>
      <c r="E250" s="473" t="s">
        <v>426</v>
      </c>
      <c r="F250" s="416">
        <v>10.836</v>
      </c>
      <c r="G250" s="473">
        <v>2000</v>
      </c>
      <c r="H250" s="416">
        <v>294</v>
      </c>
      <c r="I250" s="473" t="s">
        <v>431</v>
      </c>
      <c r="J250" s="416">
        <v>8765</v>
      </c>
      <c r="K250" s="415">
        <v>24405</v>
      </c>
      <c r="L250" s="415">
        <v>15530</v>
      </c>
      <c r="M250" s="415" t="s">
        <v>1454</v>
      </c>
      <c r="N250" s="482">
        <v>4.45</v>
      </c>
      <c r="O250" s="471">
        <f>IF(N250&gt;0,1/N250*37.7*68.6,"")</f>
        <v>581.1730337078651</v>
      </c>
      <c r="P250" s="470">
        <v>4.04</v>
      </c>
      <c r="Q250" s="469" t="s">
        <v>435</v>
      </c>
      <c r="R250" s="415" t="s">
        <v>427</v>
      </c>
      <c r="S250" s="415" t="s">
        <v>454</v>
      </c>
      <c r="T250" s="415" t="s">
        <v>1452</v>
      </c>
      <c r="U250" s="480" t="s">
        <v>1452</v>
      </c>
      <c r="V250" s="468">
        <f>IF(N250&lt;&gt;0, IF(N250&gt;=P250,ROUNDDOWN(N250/P250*100,0),""),"")</f>
        <v>110</v>
      </c>
    </row>
    <row r="251" spans="1:22" s="461" customFormat="1" ht="23.1" customHeight="1">
      <c r="A251" s="481"/>
      <c r="B251" s="410"/>
      <c r="C251" s="477"/>
      <c r="D251" s="422" t="s">
        <v>1497</v>
      </c>
      <c r="E251" s="473" t="s">
        <v>426</v>
      </c>
      <c r="F251" s="416">
        <v>10.836</v>
      </c>
      <c r="G251" s="473">
        <v>2000</v>
      </c>
      <c r="H251" s="416">
        <v>294</v>
      </c>
      <c r="I251" s="473" t="s">
        <v>431</v>
      </c>
      <c r="J251" s="416">
        <v>8765</v>
      </c>
      <c r="K251" s="415">
        <v>24405</v>
      </c>
      <c r="L251" s="415">
        <v>15530</v>
      </c>
      <c r="M251" s="415" t="s">
        <v>1454</v>
      </c>
      <c r="N251" s="482">
        <v>4.57</v>
      </c>
      <c r="O251" s="471">
        <f>IF(N251&gt;0,1/N251*37.7*68.6,"")</f>
        <v>565.91247264770232</v>
      </c>
      <c r="P251" s="470">
        <v>4.04</v>
      </c>
      <c r="Q251" s="469" t="s">
        <v>432</v>
      </c>
      <c r="R251" s="415" t="s">
        <v>427</v>
      </c>
      <c r="S251" s="415" t="s">
        <v>454</v>
      </c>
      <c r="T251" s="415" t="s">
        <v>1452</v>
      </c>
      <c r="U251" s="480" t="s">
        <v>1452</v>
      </c>
      <c r="V251" s="468">
        <f>IF(N251&lt;&gt;0, IF(N251&gt;=P251,ROUNDDOWN(N251/P251*100,0),""),"")</f>
        <v>113</v>
      </c>
    </row>
    <row r="252" spans="1:22" s="461" customFormat="1" ht="23.1" customHeight="1">
      <c r="A252" s="481"/>
      <c r="B252" s="410"/>
      <c r="C252" s="477"/>
      <c r="D252" s="422" t="s">
        <v>1497</v>
      </c>
      <c r="E252" s="473" t="s">
        <v>426</v>
      </c>
      <c r="F252" s="416">
        <v>10.836</v>
      </c>
      <c r="G252" s="473">
        <v>2000</v>
      </c>
      <c r="H252" s="416">
        <v>294</v>
      </c>
      <c r="I252" s="473" t="s">
        <v>431</v>
      </c>
      <c r="J252" s="416">
        <v>8765</v>
      </c>
      <c r="K252" s="415">
        <v>24405</v>
      </c>
      <c r="L252" s="415">
        <v>15530</v>
      </c>
      <c r="M252" s="415" t="s">
        <v>1454</v>
      </c>
      <c r="N252" s="482">
        <v>4.45</v>
      </c>
      <c r="O252" s="471">
        <f>IF(N252&gt;0,1/N252*37.7*68.6,"")</f>
        <v>581.1730337078651</v>
      </c>
      <c r="P252" s="470">
        <v>4.04</v>
      </c>
      <c r="Q252" s="469" t="s">
        <v>435</v>
      </c>
      <c r="R252" s="415" t="s">
        <v>427</v>
      </c>
      <c r="S252" s="415" t="s">
        <v>454</v>
      </c>
      <c r="T252" s="415" t="s">
        <v>1452</v>
      </c>
      <c r="U252" s="480" t="s">
        <v>1452</v>
      </c>
      <c r="V252" s="468">
        <f>IF(N252&lt;&gt;0, IF(N252&gt;=P252,ROUNDDOWN(N252/P252*100,0),""),"")</f>
        <v>110</v>
      </c>
    </row>
    <row r="253" spans="1:22" s="461" customFormat="1" ht="23.1" customHeight="1">
      <c r="A253" s="481"/>
      <c r="B253" s="410"/>
      <c r="C253" s="477"/>
      <c r="D253" s="422" t="s">
        <v>1496</v>
      </c>
      <c r="E253" s="473" t="s">
        <v>426</v>
      </c>
      <c r="F253" s="416">
        <v>10.836</v>
      </c>
      <c r="G253" s="473">
        <v>2000</v>
      </c>
      <c r="H253" s="416">
        <v>294</v>
      </c>
      <c r="I253" s="473" t="s">
        <v>431</v>
      </c>
      <c r="J253" s="416">
        <v>8765</v>
      </c>
      <c r="K253" s="415">
        <v>24405</v>
      </c>
      <c r="L253" s="415">
        <v>15530</v>
      </c>
      <c r="M253" s="415" t="s">
        <v>1454</v>
      </c>
      <c r="N253" s="482">
        <v>4.57</v>
      </c>
      <c r="O253" s="471">
        <f>IF(N253&gt;0,1/N253*37.7*68.6,"")</f>
        <v>565.91247264770232</v>
      </c>
      <c r="P253" s="470">
        <v>4.04</v>
      </c>
      <c r="Q253" s="469" t="s">
        <v>432</v>
      </c>
      <c r="R253" s="415" t="s">
        <v>427</v>
      </c>
      <c r="S253" s="415" t="s">
        <v>454</v>
      </c>
      <c r="T253" s="415" t="s">
        <v>1452</v>
      </c>
      <c r="U253" s="480" t="s">
        <v>1452</v>
      </c>
      <c r="V253" s="468">
        <f>IF(N253&lt;&gt;0, IF(N253&gt;=P253,ROUNDDOWN(N253/P253*100,0),""),"")</f>
        <v>113</v>
      </c>
    </row>
    <row r="254" spans="1:22" s="461" customFormat="1" ht="23.1" customHeight="1">
      <c r="A254" s="481"/>
      <c r="B254" s="410"/>
      <c r="C254" s="477"/>
      <c r="D254" s="422" t="s">
        <v>1496</v>
      </c>
      <c r="E254" s="473" t="s">
        <v>426</v>
      </c>
      <c r="F254" s="416">
        <v>10.836</v>
      </c>
      <c r="G254" s="473">
        <v>2000</v>
      </c>
      <c r="H254" s="416">
        <v>294</v>
      </c>
      <c r="I254" s="473" t="s">
        <v>431</v>
      </c>
      <c r="J254" s="416">
        <v>8765</v>
      </c>
      <c r="K254" s="415">
        <v>24405</v>
      </c>
      <c r="L254" s="415">
        <v>15530</v>
      </c>
      <c r="M254" s="415" t="s">
        <v>1454</v>
      </c>
      <c r="N254" s="482">
        <v>4.45</v>
      </c>
      <c r="O254" s="471">
        <f>IF(N254&gt;0,1/N254*37.7*68.6,"")</f>
        <v>581.1730337078651</v>
      </c>
      <c r="P254" s="470">
        <v>4.04</v>
      </c>
      <c r="Q254" s="469" t="s">
        <v>435</v>
      </c>
      <c r="R254" s="415" t="s">
        <v>427</v>
      </c>
      <c r="S254" s="415" t="s">
        <v>454</v>
      </c>
      <c r="T254" s="415" t="s">
        <v>1452</v>
      </c>
      <c r="U254" s="480" t="s">
        <v>1452</v>
      </c>
      <c r="V254" s="468">
        <f>IF(N254&lt;&gt;0, IF(N254&gt;=P254,ROUNDDOWN(N254/P254*100,0),""),"")</f>
        <v>110</v>
      </c>
    </row>
    <row r="255" spans="1:22" s="461" customFormat="1" ht="23.1" customHeight="1">
      <c r="A255" s="481"/>
      <c r="B255" s="410"/>
      <c r="C255" s="477"/>
      <c r="D255" s="422" t="s">
        <v>1495</v>
      </c>
      <c r="E255" s="473" t="s">
        <v>426</v>
      </c>
      <c r="F255" s="416">
        <v>10.836</v>
      </c>
      <c r="G255" s="473">
        <v>2000</v>
      </c>
      <c r="H255" s="416">
        <v>294</v>
      </c>
      <c r="I255" s="473" t="s">
        <v>431</v>
      </c>
      <c r="J255" s="416">
        <v>8765</v>
      </c>
      <c r="K255" s="415">
        <v>24405</v>
      </c>
      <c r="L255" s="415">
        <v>15530</v>
      </c>
      <c r="M255" s="415" t="s">
        <v>1454</v>
      </c>
      <c r="N255" s="482">
        <v>4.57</v>
      </c>
      <c r="O255" s="471">
        <f>IF(N255&gt;0,1/N255*37.7*68.6,"")</f>
        <v>565.91247264770232</v>
      </c>
      <c r="P255" s="470">
        <v>4.04</v>
      </c>
      <c r="Q255" s="469" t="s">
        <v>432</v>
      </c>
      <c r="R255" s="415" t="s">
        <v>427</v>
      </c>
      <c r="S255" s="415" t="s">
        <v>454</v>
      </c>
      <c r="T255" s="415" t="s">
        <v>1452</v>
      </c>
      <c r="U255" s="480" t="s">
        <v>1452</v>
      </c>
      <c r="V255" s="468">
        <f>IF(N255&lt;&gt;0, IF(N255&gt;=P255,ROUNDDOWN(N255/P255*100,0),""),"")</f>
        <v>113</v>
      </c>
    </row>
    <row r="256" spans="1:22" s="461" customFormat="1" ht="23.1" customHeight="1">
      <c r="A256" s="481"/>
      <c r="B256" s="410"/>
      <c r="C256" s="477"/>
      <c r="D256" s="422" t="s">
        <v>1495</v>
      </c>
      <c r="E256" s="473" t="s">
        <v>426</v>
      </c>
      <c r="F256" s="416">
        <v>10.836</v>
      </c>
      <c r="G256" s="473">
        <v>2000</v>
      </c>
      <c r="H256" s="416">
        <v>294</v>
      </c>
      <c r="I256" s="473" t="s">
        <v>431</v>
      </c>
      <c r="J256" s="416">
        <v>8765</v>
      </c>
      <c r="K256" s="415">
        <v>24405</v>
      </c>
      <c r="L256" s="415">
        <v>15530</v>
      </c>
      <c r="M256" s="415" t="s">
        <v>1454</v>
      </c>
      <c r="N256" s="482">
        <v>4.45</v>
      </c>
      <c r="O256" s="471">
        <f>IF(N256&gt;0,1/N256*37.7*68.6,"")</f>
        <v>581.1730337078651</v>
      </c>
      <c r="P256" s="470">
        <v>4.04</v>
      </c>
      <c r="Q256" s="469" t="s">
        <v>435</v>
      </c>
      <c r="R256" s="415" t="s">
        <v>427</v>
      </c>
      <c r="S256" s="415" t="s">
        <v>454</v>
      </c>
      <c r="T256" s="415" t="s">
        <v>1452</v>
      </c>
      <c r="U256" s="480" t="s">
        <v>1452</v>
      </c>
      <c r="V256" s="468">
        <f>IF(N256&lt;&gt;0, IF(N256&gt;=P256,ROUNDDOWN(N256/P256*100,0),""),"")</f>
        <v>110</v>
      </c>
    </row>
    <row r="257" spans="1:22" s="461" customFormat="1" ht="23.1" customHeight="1">
      <c r="A257" s="481"/>
      <c r="B257" s="410"/>
      <c r="C257" s="477"/>
      <c r="D257" s="422" t="s">
        <v>1484</v>
      </c>
      <c r="E257" s="473" t="s">
        <v>426</v>
      </c>
      <c r="F257" s="416">
        <v>10.836</v>
      </c>
      <c r="G257" s="473">
        <v>2000</v>
      </c>
      <c r="H257" s="416">
        <v>294</v>
      </c>
      <c r="I257" s="473" t="s">
        <v>431</v>
      </c>
      <c r="J257" s="416">
        <v>8765</v>
      </c>
      <c r="K257" s="415">
        <v>24405</v>
      </c>
      <c r="L257" s="415">
        <v>15530</v>
      </c>
      <c r="M257" s="415" t="s">
        <v>1454</v>
      </c>
      <c r="N257" s="482">
        <v>4.57</v>
      </c>
      <c r="O257" s="471">
        <f>IF(N257&gt;0,1/N257*37.7*68.6,"")</f>
        <v>565.91247264770232</v>
      </c>
      <c r="P257" s="470">
        <v>4.04</v>
      </c>
      <c r="Q257" s="469" t="s">
        <v>432</v>
      </c>
      <c r="R257" s="415" t="s">
        <v>427</v>
      </c>
      <c r="S257" s="415" t="s">
        <v>454</v>
      </c>
      <c r="T257" s="415" t="s">
        <v>1452</v>
      </c>
      <c r="U257" s="480" t="s">
        <v>1452</v>
      </c>
      <c r="V257" s="468">
        <f>IF(N257&lt;&gt;0, IF(N257&gt;=P257,ROUNDDOWN(N257/P257*100,0),""),"")</f>
        <v>113</v>
      </c>
    </row>
    <row r="258" spans="1:22" s="461" customFormat="1" ht="23.1" customHeight="1">
      <c r="A258" s="481"/>
      <c r="B258" s="410"/>
      <c r="C258" s="477"/>
      <c r="D258" s="422" t="s">
        <v>1484</v>
      </c>
      <c r="E258" s="473" t="s">
        <v>426</v>
      </c>
      <c r="F258" s="416">
        <v>10.836</v>
      </c>
      <c r="G258" s="473">
        <v>2000</v>
      </c>
      <c r="H258" s="416">
        <v>294</v>
      </c>
      <c r="I258" s="473" t="s">
        <v>431</v>
      </c>
      <c r="J258" s="416">
        <v>8765</v>
      </c>
      <c r="K258" s="415">
        <v>24405</v>
      </c>
      <c r="L258" s="415">
        <v>15530</v>
      </c>
      <c r="M258" s="415" t="s">
        <v>1454</v>
      </c>
      <c r="N258" s="482">
        <v>4.45</v>
      </c>
      <c r="O258" s="471">
        <f>IF(N258&gt;0,1/N258*37.7*68.6,"")</f>
        <v>581.1730337078651</v>
      </c>
      <c r="P258" s="470">
        <v>4.04</v>
      </c>
      <c r="Q258" s="469" t="s">
        <v>435</v>
      </c>
      <c r="R258" s="415" t="s">
        <v>427</v>
      </c>
      <c r="S258" s="415" t="s">
        <v>454</v>
      </c>
      <c r="T258" s="415" t="s">
        <v>1452</v>
      </c>
      <c r="U258" s="480" t="s">
        <v>1452</v>
      </c>
      <c r="V258" s="468">
        <f>IF(N258&lt;&gt;0, IF(N258&gt;=P258,ROUNDDOWN(N258/P258*100,0),""),"")</f>
        <v>110</v>
      </c>
    </row>
    <row r="259" spans="1:22" s="461" customFormat="1" ht="23.1" customHeight="1">
      <c r="A259" s="481"/>
      <c r="B259" s="410"/>
      <c r="C259" s="477"/>
      <c r="D259" s="422" t="s">
        <v>1479</v>
      </c>
      <c r="E259" s="473" t="s">
        <v>426</v>
      </c>
      <c r="F259" s="416">
        <v>10.836</v>
      </c>
      <c r="G259" s="473">
        <v>2000</v>
      </c>
      <c r="H259" s="416">
        <v>294</v>
      </c>
      <c r="I259" s="473" t="s">
        <v>431</v>
      </c>
      <c r="J259" s="416">
        <v>8765</v>
      </c>
      <c r="K259" s="415">
        <v>24405</v>
      </c>
      <c r="L259" s="415">
        <v>15530</v>
      </c>
      <c r="M259" s="415" t="s">
        <v>1454</v>
      </c>
      <c r="N259" s="482">
        <v>4.57</v>
      </c>
      <c r="O259" s="471">
        <f>IF(N259&gt;0,1/N259*37.7*68.6,"")</f>
        <v>565.91247264770232</v>
      </c>
      <c r="P259" s="470">
        <v>4.04</v>
      </c>
      <c r="Q259" s="469" t="s">
        <v>432</v>
      </c>
      <c r="R259" s="415" t="s">
        <v>427</v>
      </c>
      <c r="S259" s="415" t="s">
        <v>454</v>
      </c>
      <c r="T259" s="415" t="s">
        <v>1452</v>
      </c>
      <c r="U259" s="480" t="s">
        <v>1452</v>
      </c>
      <c r="V259" s="468">
        <f>IF(N259&lt;&gt;0, IF(N259&gt;=P259,ROUNDDOWN(N259/P259*100,0),""),"")</f>
        <v>113</v>
      </c>
    </row>
    <row r="260" spans="1:22" s="461" customFormat="1" ht="23.1" customHeight="1">
      <c r="A260" s="481"/>
      <c r="B260" s="410"/>
      <c r="C260" s="477"/>
      <c r="D260" s="422" t="s">
        <v>1479</v>
      </c>
      <c r="E260" s="473" t="s">
        <v>426</v>
      </c>
      <c r="F260" s="416">
        <v>10.836</v>
      </c>
      <c r="G260" s="473">
        <v>2000</v>
      </c>
      <c r="H260" s="416">
        <v>294</v>
      </c>
      <c r="I260" s="473" t="s">
        <v>431</v>
      </c>
      <c r="J260" s="416">
        <v>8765</v>
      </c>
      <c r="K260" s="415">
        <v>24405</v>
      </c>
      <c r="L260" s="415">
        <v>15530</v>
      </c>
      <c r="M260" s="415" t="s">
        <v>1454</v>
      </c>
      <c r="N260" s="482">
        <v>4.45</v>
      </c>
      <c r="O260" s="471">
        <f>IF(N260&gt;0,1/N260*37.7*68.6,"")</f>
        <v>581.1730337078651</v>
      </c>
      <c r="P260" s="470">
        <v>4.04</v>
      </c>
      <c r="Q260" s="469" t="s">
        <v>435</v>
      </c>
      <c r="R260" s="415" t="s">
        <v>427</v>
      </c>
      <c r="S260" s="415" t="s">
        <v>454</v>
      </c>
      <c r="T260" s="415" t="s">
        <v>1452</v>
      </c>
      <c r="U260" s="480" t="s">
        <v>1452</v>
      </c>
      <c r="V260" s="468">
        <f>IF(N260&lt;&gt;0, IF(N260&gt;=P260,ROUNDDOWN(N260/P260*100,0),""),"")</f>
        <v>110</v>
      </c>
    </row>
    <row r="261" spans="1:22" s="461" customFormat="1" ht="23.1" customHeight="1">
      <c r="A261" s="481"/>
      <c r="B261" s="410"/>
      <c r="C261" s="477"/>
      <c r="D261" s="422" t="s">
        <v>1478</v>
      </c>
      <c r="E261" s="473" t="s">
        <v>426</v>
      </c>
      <c r="F261" s="416">
        <v>10.836</v>
      </c>
      <c r="G261" s="473">
        <v>2000</v>
      </c>
      <c r="H261" s="416">
        <v>294</v>
      </c>
      <c r="I261" s="473" t="s">
        <v>431</v>
      </c>
      <c r="J261" s="416">
        <v>8765</v>
      </c>
      <c r="K261" s="415">
        <v>24405</v>
      </c>
      <c r="L261" s="415">
        <v>15530</v>
      </c>
      <c r="M261" s="415" t="s">
        <v>1454</v>
      </c>
      <c r="N261" s="482">
        <v>4.57</v>
      </c>
      <c r="O261" s="471">
        <f>IF(N261&gt;0,1/N261*37.7*68.6,"")</f>
        <v>565.91247264770232</v>
      </c>
      <c r="P261" s="470">
        <v>4.04</v>
      </c>
      <c r="Q261" s="469" t="s">
        <v>432</v>
      </c>
      <c r="R261" s="415" t="s">
        <v>427</v>
      </c>
      <c r="S261" s="415" t="s">
        <v>454</v>
      </c>
      <c r="T261" s="415" t="s">
        <v>1452</v>
      </c>
      <c r="U261" s="480" t="s">
        <v>1452</v>
      </c>
      <c r="V261" s="468">
        <f>IF(N261&lt;&gt;0, IF(N261&gt;=P261,ROUNDDOWN(N261/P261*100,0),""),"")</f>
        <v>113</v>
      </c>
    </row>
    <row r="262" spans="1:22" s="461" customFormat="1" ht="23.1" customHeight="1">
      <c r="A262" s="481"/>
      <c r="B262" s="410"/>
      <c r="C262" s="477"/>
      <c r="D262" s="422" t="s">
        <v>1478</v>
      </c>
      <c r="E262" s="473" t="s">
        <v>426</v>
      </c>
      <c r="F262" s="416">
        <v>10.836</v>
      </c>
      <c r="G262" s="473">
        <v>2000</v>
      </c>
      <c r="H262" s="416">
        <v>294</v>
      </c>
      <c r="I262" s="473" t="s">
        <v>431</v>
      </c>
      <c r="J262" s="416">
        <v>8765</v>
      </c>
      <c r="K262" s="415">
        <v>24405</v>
      </c>
      <c r="L262" s="415">
        <v>15530</v>
      </c>
      <c r="M262" s="415" t="s">
        <v>1454</v>
      </c>
      <c r="N262" s="482">
        <v>4.45</v>
      </c>
      <c r="O262" s="471">
        <f>IF(N262&gt;0,1/N262*37.7*68.6,"")</f>
        <v>581.1730337078651</v>
      </c>
      <c r="P262" s="470">
        <v>4.04</v>
      </c>
      <c r="Q262" s="469" t="s">
        <v>435</v>
      </c>
      <c r="R262" s="415" t="s">
        <v>427</v>
      </c>
      <c r="S262" s="415" t="s">
        <v>454</v>
      </c>
      <c r="T262" s="415" t="s">
        <v>1452</v>
      </c>
      <c r="U262" s="480" t="s">
        <v>1452</v>
      </c>
      <c r="V262" s="468">
        <f>IF(N262&lt;&gt;0, IF(N262&gt;=P262,ROUNDDOWN(N262/P262*100,0),""),"")</f>
        <v>110</v>
      </c>
    </row>
    <row r="263" spans="1:22" s="461" customFormat="1" ht="23.1" customHeight="1">
      <c r="A263" s="481"/>
      <c r="B263" s="410"/>
      <c r="C263" s="477"/>
      <c r="D263" s="422" t="s">
        <v>1494</v>
      </c>
      <c r="E263" s="473" t="s">
        <v>426</v>
      </c>
      <c r="F263" s="416">
        <v>10.836</v>
      </c>
      <c r="G263" s="473">
        <v>1900</v>
      </c>
      <c r="H263" s="416">
        <v>309</v>
      </c>
      <c r="I263" s="473" t="s">
        <v>440</v>
      </c>
      <c r="J263" s="416">
        <v>8765</v>
      </c>
      <c r="K263" s="415">
        <v>24405</v>
      </c>
      <c r="L263" s="415">
        <v>15530</v>
      </c>
      <c r="M263" s="415" t="s">
        <v>1454</v>
      </c>
      <c r="N263" s="482">
        <v>4.3499999999999996</v>
      </c>
      <c r="O263" s="471">
        <f>IF(N263&gt;0,1/N263*37.7*68.6,"")</f>
        <v>594.53333333333342</v>
      </c>
      <c r="P263" s="470">
        <v>4.04</v>
      </c>
      <c r="Q263" s="469" t="s">
        <v>432</v>
      </c>
      <c r="R263" s="415" t="s">
        <v>433</v>
      </c>
      <c r="S263" s="415" t="s">
        <v>1480</v>
      </c>
      <c r="T263" s="415" t="s">
        <v>1452</v>
      </c>
      <c r="U263" s="480" t="s">
        <v>1452</v>
      </c>
      <c r="V263" s="468">
        <f>IF(N263&lt;&gt;0, IF(N263&gt;=P263,ROUNDDOWN(N263/P263*100,0),""),"")</f>
        <v>107</v>
      </c>
    </row>
    <row r="264" spans="1:22" s="461" customFormat="1" ht="23.1" customHeight="1">
      <c r="A264" s="481"/>
      <c r="B264" s="410"/>
      <c r="C264" s="477"/>
      <c r="D264" s="422" t="s">
        <v>1494</v>
      </c>
      <c r="E264" s="473" t="s">
        <v>426</v>
      </c>
      <c r="F264" s="416">
        <v>10.836</v>
      </c>
      <c r="G264" s="473">
        <v>1900</v>
      </c>
      <c r="H264" s="416">
        <v>309</v>
      </c>
      <c r="I264" s="473" t="s">
        <v>440</v>
      </c>
      <c r="J264" s="416">
        <v>8765</v>
      </c>
      <c r="K264" s="415">
        <v>24405</v>
      </c>
      <c r="L264" s="415">
        <v>15530</v>
      </c>
      <c r="M264" s="415" t="s">
        <v>1454</v>
      </c>
      <c r="N264" s="482">
        <v>4.25</v>
      </c>
      <c r="O264" s="471">
        <f>IF(N264&gt;0,1/N264*37.7*68.6,"")</f>
        <v>608.52235294117645</v>
      </c>
      <c r="P264" s="470">
        <v>4.04</v>
      </c>
      <c r="Q264" s="469" t="s">
        <v>434</v>
      </c>
      <c r="R264" s="415" t="s">
        <v>433</v>
      </c>
      <c r="S264" s="415" t="s">
        <v>1480</v>
      </c>
      <c r="T264" s="415" t="s">
        <v>1452</v>
      </c>
      <c r="U264" s="480" t="s">
        <v>1452</v>
      </c>
      <c r="V264" s="468">
        <f>IF(N264&lt;&gt;0, IF(N264&gt;=P264,ROUNDDOWN(N264/P264*100,0),""),"")</f>
        <v>105</v>
      </c>
    </row>
    <row r="265" spans="1:22" s="461" customFormat="1" ht="23.1" customHeight="1">
      <c r="A265" s="481"/>
      <c r="B265" s="410"/>
      <c r="C265" s="477"/>
      <c r="D265" s="422" t="s">
        <v>1493</v>
      </c>
      <c r="E265" s="473" t="s">
        <v>426</v>
      </c>
      <c r="F265" s="416">
        <v>10.836</v>
      </c>
      <c r="G265" s="473">
        <v>1900</v>
      </c>
      <c r="H265" s="416">
        <v>309</v>
      </c>
      <c r="I265" s="473" t="s">
        <v>440</v>
      </c>
      <c r="J265" s="416">
        <v>8765</v>
      </c>
      <c r="K265" s="415">
        <v>24405</v>
      </c>
      <c r="L265" s="415">
        <v>15530</v>
      </c>
      <c r="M265" s="415" t="s">
        <v>1454</v>
      </c>
      <c r="N265" s="482">
        <v>4.3499999999999996</v>
      </c>
      <c r="O265" s="471">
        <f>IF(N265&gt;0,1/N265*37.7*68.6,"")</f>
        <v>594.53333333333342</v>
      </c>
      <c r="P265" s="470">
        <v>4.04</v>
      </c>
      <c r="Q265" s="469" t="s">
        <v>432</v>
      </c>
      <c r="R265" s="415" t="s">
        <v>427</v>
      </c>
      <c r="S265" s="415" t="s">
        <v>1480</v>
      </c>
      <c r="T265" s="415" t="s">
        <v>1452</v>
      </c>
      <c r="U265" s="480" t="s">
        <v>1452</v>
      </c>
      <c r="V265" s="468">
        <f>IF(N265&lt;&gt;0, IF(N265&gt;=P265,ROUNDDOWN(N265/P265*100,0),""),"")</f>
        <v>107</v>
      </c>
    </row>
    <row r="266" spans="1:22" s="461" customFormat="1" ht="23.1" customHeight="1">
      <c r="A266" s="481"/>
      <c r="B266" s="410"/>
      <c r="C266" s="477"/>
      <c r="D266" s="422" t="s">
        <v>1493</v>
      </c>
      <c r="E266" s="473" t="s">
        <v>426</v>
      </c>
      <c r="F266" s="416">
        <v>10.836</v>
      </c>
      <c r="G266" s="473">
        <v>1900</v>
      </c>
      <c r="H266" s="416">
        <v>309</v>
      </c>
      <c r="I266" s="473" t="s">
        <v>440</v>
      </c>
      <c r="J266" s="416">
        <v>8765</v>
      </c>
      <c r="K266" s="415">
        <v>24405</v>
      </c>
      <c r="L266" s="415">
        <v>15530</v>
      </c>
      <c r="M266" s="415" t="s">
        <v>1454</v>
      </c>
      <c r="N266" s="482">
        <v>4.25</v>
      </c>
      <c r="O266" s="471">
        <f>IF(N266&gt;0,1/N266*37.7*68.6,"")</f>
        <v>608.52235294117645</v>
      </c>
      <c r="P266" s="470">
        <v>4.04</v>
      </c>
      <c r="Q266" s="469" t="s">
        <v>435</v>
      </c>
      <c r="R266" s="415" t="s">
        <v>427</v>
      </c>
      <c r="S266" s="415" t="s">
        <v>1480</v>
      </c>
      <c r="T266" s="415" t="s">
        <v>1452</v>
      </c>
      <c r="U266" s="480" t="s">
        <v>1452</v>
      </c>
      <c r="V266" s="468">
        <f>IF(N266&lt;&gt;0, IF(N266&gt;=P266,ROUNDDOWN(N266/P266*100,0),""),"")</f>
        <v>105</v>
      </c>
    </row>
    <row r="267" spans="1:22" s="461" customFormat="1" ht="23.1" customHeight="1">
      <c r="A267" s="481"/>
      <c r="B267" s="410"/>
      <c r="C267" s="477"/>
      <c r="D267" s="422" t="s">
        <v>1492</v>
      </c>
      <c r="E267" s="473" t="s">
        <v>426</v>
      </c>
      <c r="F267" s="416">
        <v>10.836</v>
      </c>
      <c r="G267" s="473">
        <v>1900</v>
      </c>
      <c r="H267" s="416">
        <v>309</v>
      </c>
      <c r="I267" s="473" t="s">
        <v>440</v>
      </c>
      <c r="J267" s="416">
        <v>8765</v>
      </c>
      <c r="K267" s="415">
        <v>24405</v>
      </c>
      <c r="L267" s="415">
        <v>15530</v>
      </c>
      <c r="M267" s="415" t="s">
        <v>1454</v>
      </c>
      <c r="N267" s="482">
        <v>4.3499999999999996</v>
      </c>
      <c r="O267" s="471">
        <f>IF(N267&gt;0,1/N267*37.7*68.6,"")</f>
        <v>594.53333333333342</v>
      </c>
      <c r="P267" s="470">
        <v>4.04</v>
      </c>
      <c r="Q267" s="469" t="s">
        <v>432</v>
      </c>
      <c r="R267" s="415" t="s">
        <v>427</v>
      </c>
      <c r="S267" s="415" t="s">
        <v>1480</v>
      </c>
      <c r="T267" s="415" t="s">
        <v>1452</v>
      </c>
      <c r="U267" s="480" t="s">
        <v>1452</v>
      </c>
      <c r="V267" s="468">
        <f>IF(N267&lt;&gt;0, IF(N267&gt;=P267,ROUNDDOWN(N267/P267*100,0),""),"")</f>
        <v>107</v>
      </c>
    </row>
    <row r="268" spans="1:22" s="461" customFormat="1" ht="23.1" customHeight="1">
      <c r="A268" s="481"/>
      <c r="B268" s="410"/>
      <c r="C268" s="477"/>
      <c r="D268" s="422" t="s">
        <v>1492</v>
      </c>
      <c r="E268" s="473" t="s">
        <v>426</v>
      </c>
      <c r="F268" s="416">
        <v>10.836</v>
      </c>
      <c r="G268" s="473">
        <v>1900</v>
      </c>
      <c r="H268" s="416">
        <v>309</v>
      </c>
      <c r="I268" s="473" t="s">
        <v>440</v>
      </c>
      <c r="J268" s="416">
        <v>8765</v>
      </c>
      <c r="K268" s="415">
        <v>24405</v>
      </c>
      <c r="L268" s="415">
        <v>15530</v>
      </c>
      <c r="M268" s="415" t="s">
        <v>1454</v>
      </c>
      <c r="N268" s="482">
        <v>4.25</v>
      </c>
      <c r="O268" s="471">
        <f>IF(N268&gt;0,1/N268*37.7*68.6,"")</f>
        <v>608.52235294117645</v>
      </c>
      <c r="P268" s="470">
        <v>4.04</v>
      </c>
      <c r="Q268" s="469" t="s">
        <v>435</v>
      </c>
      <c r="R268" s="415" t="s">
        <v>427</v>
      </c>
      <c r="S268" s="415" t="s">
        <v>1480</v>
      </c>
      <c r="T268" s="415" t="s">
        <v>1452</v>
      </c>
      <c r="U268" s="480" t="s">
        <v>1452</v>
      </c>
      <c r="V268" s="468">
        <f>IF(N268&lt;&gt;0, IF(N268&gt;=P268,ROUNDDOWN(N268/P268*100,0),""),"")</f>
        <v>105</v>
      </c>
    </row>
    <row r="269" spans="1:22" s="461" customFormat="1" ht="23.1" customHeight="1">
      <c r="A269" s="481"/>
      <c r="B269" s="410"/>
      <c r="C269" s="477"/>
      <c r="D269" s="422" t="s">
        <v>1491</v>
      </c>
      <c r="E269" s="473" t="s">
        <v>426</v>
      </c>
      <c r="F269" s="416">
        <v>10.836</v>
      </c>
      <c r="G269" s="473">
        <v>1900</v>
      </c>
      <c r="H269" s="416">
        <v>309</v>
      </c>
      <c r="I269" s="473" t="s">
        <v>440</v>
      </c>
      <c r="J269" s="416">
        <v>8765</v>
      </c>
      <c r="K269" s="415">
        <v>24405</v>
      </c>
      <c r="L269" s="415">
        <v>15530</v>
      </c>
      <c r="M269" s="415" t="s">
        <v>1454</v>
      </c>
      <c r="N269" s="482">
        <v>4.3499999999999996</v>
      </c>
      <c r="O269" s="471">
        <f>IF(N269&gt;0,1/N269*37.7*68.6,"")</f>
        <v>594.53333333333342</v>
      </c>
      <c r="P269" s="470">
        <v>4.04</v>
      </c>
      <c r="Q269" s="469" t="s">
        <v>432</v>
      </c>
      <c r="R269" s="415" t="s">
        <v>427</v>
      </c>
      <c r="S269" s="415" t="s">
        <v>448</v>
      </c>
      <c r="T269" s="415" t="s">
        <v>1452</v>
      </c>
      <c r="U269" s="480" t="s">
        <v>1452</v>
      </c>
      <c r="V269" s="468">
        <f>IF(N269&lt;&gt;0, IF(N269&gt;=P269,ROUNDDOWN(N269/P269*100,0),""),"")</f>
        <v>107</v>
      </c>
    </row>
    <row r="270" spans="1:22" s="461" customFormat="1" ht="23.1" customHeight="1">
      <c r="A270" s="481"/>
      <c r="B270" s="410"/>
      <c r="C270" s="477"/>
      <c r="D270" s="422" t="s">
        <v>1491</v>
      </c>
      <c r="E270" s="473" t="s">
        <v>426</v>
      </c>
      <c r="F270" s="416">
        <v>10.836</v>
      </c>
      <c r="G270" s="473">
        <v>1900</v>
      </c>
      <c r="H270" s="416">
        <v>309</v>
      </c>
      <c r="I270" s="473" t="s">
        <v>440</v>
      </c>
      <c r="J270" s="416">
        <v>8765</v>
      </c>
      <c r="K270" s="415">
        <v>24405</v>
      </c>
      <c r="L270" s="415">
        <v>15530</v>
      </c>
      <c r="M270" s="415" t="s">
        <v>1454</v>
      </c>
      <c r="N270" s="482">
        <v>4.25</v>
      </c>
      <c r="O270" s="471">
        <f>IF(N270&gt;0,1/N270*37.7*68.6,"")</f>
        <v>608.52235294117645</v>
      </c>
      <c r="P270" s="470">
        <v>4.04</v>
      </c>
      <c r="Q270" s="469" t="s">
        <v>435</v>
      </c>
      <c r="R270" s="415" t="s">
        <v>427</v>
      </c>
      <c r="S270" s="415" t="s">
        <v>448</v>
      </c>
      <c r="T270" s="415" t="s">
        <v>1452</v>
      </c>
      <c r="U270" s="480" t="s">
        <v>1452</v>
      </c>
      <c r="V270" s="468">
        <f>IF(N270&lt;&gt;0, IF(N270&gt;=P270,ROUNDDOWN(N270/P270*100,0),""),"")</f>
        <v>105</v>
      </c>
    </row>
    <row r="271" spans="1:22" s="461" customFormat="1" ht="23.1" customHeight="1">
      <c r="A271" s="481"/>
      <c r="B271" s="410"/>
      <c r="C271" s="477"/>
      <c r="D271" s="422" t="s">
        <v>1476</v>
      </c>
      <c r="E271" s="473" t="s">
        <v>426</v>
      </c>
      <c r="F271" s="416">
        <v>10.836</v>
      </c>
      <c r="G271" s="473">
        <v>1900</v>
      </c>
      <c r="H271" s="416">
        <v>309</v>
      </c>
      <c r="I271" s="473" t="s">
        <v>440</v>
      </c>
      <c r="J271" s="416">
        <v>8765</v>
      </c>
      <c r="K271" s="415">
        <v>24405</v>
      </c>
      <c r="L271" s="415">
        <v>15530</v>
      </c>
      <c r="M271" s="415" t="s">
        <v>1454</v>
      </c>
      <c r="N271" s="482">
        <v>4.3499999999999996</v>
      </c>
      <c r="O271" s="471">
        <f>IF(N271&gt;0,1/N271*37.7*68.6,"")</f>
        <v>594.53333333333342</v>
      </c>
      <c r="P271" s="470">
        <v>4.04</v>
      </c>
      <c r="Q271" s="469" t="s">
        <v>432</v>
      </c>
      <c r="R271" s="415" t="s">
        <v>427</v>
      </c>
      <c r="S271" s="415" t="s">
        <v>448</v>
      </c>
      <c r="T271" s="415" t="s">
        <v>1452</v>
      </c>
      <c r="U271" s="480" t="s">
        <v>1452</v>
      </c>
      <c r="V271" s="468">
        <f>IF(N271&lt;&gt;0, IF(N271&gt;=P271,ROUNDDOWN(N271/P271*100,0),""),"")</f>
        <v>107</v>
      </c>
    </row>
    <row r="272" spans="1:22" s="461" customFormat="1" ht="23.1" customHeight="1">
      <c r="A272" s="481"/>
      <c r="B272" s="410"/>
      <c r="C272" s="477"/>
      <c r="D272" s="422" t="s">
        <v>1476</v>
      </c>
      <c r="E272" s="473" t="s">
        <v>426</v>
      </c>
      <c r="F272" s="416">
        <v>10.836</v>
      </c>
      <c r="G272" s="473">
        <v>1900</v>
      </c>
      <c r="H272" s="416">
        <v>309</v>
      </c>
      <c r="I272" s="473" t="s">
        <v>440</v>
      </c>
      <c r="J272" s="416">
        <v>8765</v>
      </c>
      <c r="K272" s="415">
        <v>24405</v>
      </c>
      <c r="L272" s="415">
        <v>15530</v>
      </c>
      <c r="M272" s="415" t="s">
        <v>1454</v>
      </c>
      <c r="N272" s="482">
        <v>4.25</v>
      </c>
      <c r="O272" s="471">
        <f>IF(N272&gt;0,1/N272*37.7*68.6,"")</f>
        <v>608.52235294117645</v>
      </c>
      <c r="P272" s="470">
        <v>4.04</v>
      </c>
      <c r="Q272" s="469" t="s">
        <v>435</v>
      </c>
      <c r="R272" s="415" t="s">
        <v>427</v>
      </c>
      <c r="S272" s="415" t="s">
        <v>448</v>
      </c>
      <c r="T272" s="415" t="s">
        <v>1452</v>
      </c>
      <c r="U272" s="480" t="s">
        <v>1452</v>
      </c>
      <c r="V272" s="468">
        <f>IF(N272&lt;&gt;0, IF(N272&gt;=P272,ROUNDDOWN(N272/P272*100,0),""),"")</f>
        <v>105</v>
      </c>
    </row>
    <row r="273" spans="1:22" s="461" customFormat="1" ht="23.1" customHeight="1">
      <c r="A273" s="481"/>
      <c r="B273" s="410"/>
      <c r="C273" s="477"/>
      <c r="D273" s="422" t="s">
        <v>1475</v>
      </c>
      <c r="E273" s="473" t="s">
        <v>426</v>
      </c>
      <c r="F273" s="416">
        <v>10.836</v>
      </c>
      <c r="G273" s="473">
        <v>1900</v>
      </c>
      <c r="H273" s="416">
        <v>309</v>
      </c>
      <c r="I273" s="473" t="s">
        <v>440</v>
      </c>
      <c r="J273" s="416">
        <v>8765</v>
      </c>
      <c r="K273" s="415">
        <v>24405</v>
      </c>
      <c r="L273" s="415">
        <v>15530</v>
      </c>
      <c r="M273" s="415" t="s">
        <v>1454</v>
      </c>
      <c r="N273" s="482">
        <v>4.3499999999999996</v>
      </c>
      <c r="O273" s="471">
        <f>IF(N273&gt;0,1/N273*37.7*68.6,"")</f>
        <v>594.53333333333342</v>
      </c>
      <c r="P273" s="470">
        <v>4.04</v>
      </c>
      <c r="Q273" s="469" t="s">
        <v>432</v>
      </c>
      <c r="R273" s="415" t="s">
        <v>427</v>
      </c>
      <c r="S273" s="415" t="s">
        <v>448</v>
      </c>
      <c r="T273" s="415" t="s">
        <v>1452</v>
      </c>
      <c r="U273" s="480" t="s">
        <v>1452</v>
      </c>
      <c r="V273" s="468">
        <f>IF(N273&lt;&gt;0, IF(N273&gt;=P273,ROUNDDOWN(N273/P273*100,0),""),"")</f>
        <v>107</v>
      </c>
    </row>
    <row r="274" spans="1:22" s="461" customFormat="1" ht="23.1" customHeight="1">
      <c r="A274" s="481"/>
      <c r="B274" s="410"/>
      <c r="C274" s="477"/>
      <c r="D274" s="422" t="s">
        <v>1475</v>
      </c>
      <c r="E274" s="473" t="s">
        <v>426</v>
      </c>
      <c r="F274" s="416">
        <v>10.836</v>
      </c>
      <c r="G274" s="473">
        <v>1900</v>
      </c>
      <c r="H274" s="416">
        <v>309</v>
      </c>
      <c r="I274" s="473" t="s">
        <v>440</v>
      </c>
      <c r="J274" s="416">
        <v>8765</v>
      </c>
      <c r="K274" s="415">
        <v>24405</v>
      </c>
      <c r="L274" s="415">
        <v>15530</v>
      </c>
      <c r="M274" s="415" t="s">
        <v>1454</v>
      </c>
      <c r="N274" s="482">
        <v>4.25</v>
      </c>
      <c r="O274" s="471">
        <f>IF(N274&gt;0,1/N274*37.7*68.6,"")</f>
        <v>608.52235294117645</v>
      </c>
      <c r="P274" s="470">
        <v>4.04</v>
      </c>
      <c r="Q274" s="469" t="s">
        <v>435</v>
      </c>
      <c r="R274" s="415" t="s">
        <v>427</v>
      </c>
      <c r="S274" s="415" t="s">
        <v>448</v>
      </c>
      <c r="T274" s="415" t="s">
        <v>1452</v>
      </c>
      <c r="U274" s="480" t="s">
        <v>1452</v>
      </c>
      <c r="V274" s="468">
        <f>IF(N274&lt;&gt;0, IF(N274&gt;=P274,ROUNDDOWN(N274/P274*100,0),""),"")</f>
        <v>105</v>
      </c>
    </row>
    <row r="275" spans="1:22" s="461" customFormat="1" ht="23.1" customHeight="1">
      <c r="A275" s="481"/>
      <c r="B275" s="410"/>
      <c r="C275" s="477"/>
      <c r="D275" s="422" t="s">
        <v>1490</v>
      </c>
      <c r="E275" s="473" t="s">
        <v>426</v>
      </c>
      <c r="F275" s="416">
        <v>10.836</v>
      </c>
      <c r="G275" s="473">
        <v>1900</v>
      </c>
      <c r="H275" s="416">
        <v>309</v>
      </c>
      <c r="I275" s="473" t="s">
        <v>440</v>
      </c>
      <c r="J275" s="416">
        <v>8765</v>
      </c>
      <c r="K275" s="415">
        <v>24405</v>
      </c>
      <c r="L275" s="415">
        <v>15530</v>
      </c>
      <c r="M275" s="415" t="s">
        <v>1454</v>
      </c>
      <c r="N275" s="482">
        <v>4.3499999999999996</v>
      </c>
      <c r="O275" s="471">
        <f>IF(N275&gt;0,1/N275*37.7*68.6,"")</f>
        <v>594.53333333333342</v>
      </c>
      <c r="P275" s="470">
        <v>4.04</v>
      </c>
      <c r="Q275" s="469" t="s">
        <v>432</v>
      </c>
      <c r="R275" s="415" t="s">
        <v>427</v>
      </c>
      <c r="S275" s="415" t="s">
        <v>454</v>
      </c>
      <c r="T275" s="415" t="s">
        <v>1452</v>
      </c>
      <c r="U275" s="480" t="s">
        <v>1452</v>
      </c>
      <c r="V275" s="468">
        <f>IF(N275&lt;&gt;0, IF(N275&gt;=P275,ROUNDDOWN(N275/P275*100,0),""),"")</f>
        <v>107</v>
      </c>
    </row>
    <row r="276" spans="1:22" s="461" customFormat="1" ht="23.1" customHeight="1">
      <c r="A276" s="481"/>
      <c r="B276" s="410"/>
      <c r="C276" s="477"/>
      <c r="D276" s="422" t="s">
        <v>1490</v>
      </c>
      <c r="E276" s="473" t="s">
        <v>426</v>
      </c>
      <c r="F276" s="416">
        <v>10.836</v>
      </c>
      <c r="G276" s="473">
        <v>1900</v>
      </c>
      <c r="H276" s="416">
        <v>309</v>
      </c>
      <c r="I276" s="473" t="s">
        <v>440</v>
      </c>
      <c r="J276" s="416">
        <v>8765</v>
      </c>
      <c r="K276" s="415">
        <v>24405</v>
      </c>
      <c r="L276" s="415">
        <v>15530</v>
      </c>
      <c r="M276" s="415" t="s">
        <v>1454</v>
      </c>
      <c r="N276" s="482">
        <v>4.25</v>
      </c>
      <c r="O276" s="471">
        <f>IF(N276&gt;0,1/N276*37.7*68.6,"")</f>
        <v>608.52235294117645</v>
      </c>
      <c r="P276" s="470">
        <v>4.04</v>
      </c>
      <c r="Q276" s="469" t="s">
        <v>435</v>
      </c>
      <c r="R276" s="415" t="s">
        <v>427</v>
      </c>
      <c r="S276" s="415" t="s">
        <v>454</v>
      </c>
      <c r="T276" s="415" t="s">
        <v>1452</v>
      </c>
      <c r="U276" s="480" t="s">
        <v>1452</v>
      </c>
      <c r="V276" s="468">
        <f>IF(N276&lt;&gt;0, IF(N276&gt;=P276,ROUNDDOWN(N276/P276*100,0),""),"")</f>
        <v>105</v>
      </c>
    </row>
    <row r="277" spans="1:22" s="461" customFormat="1" ht="23.1" customHeight="1">
      <c r="A277" s="481"/>
      <c r="B277" s="410"/>
      <c r="C277" s="477"/>
      <c r="D277" s="422" t="s">
        <v>1489</v>
      </c>
      <c r="E277" s="473" t="s">
        <v>426</v>
      </c>
      <c r="F277" s="416">
        <v>10.836</v>
      </c>
      <c r="G277" s="473">
        <v>1900</v>
      </c>
      <c r="H277" s="416">
        <v>309</v>
      </c>
      <c r="I277" s="473" t="s">
        <v>440</v>
      </c>
      <c r="J277" s="416">
        <v>8765</v>
      </c>
      <c r="K277" s="415">
        <v>24405</v>
      </c>
      <c r="L277" s="415">
        <v>15530</v>
      </c>
      <c r="M277" s="415" t="s">
        <v>1454</v>
      </c>
      <c r="N277" s="482">
        <v>4.3499999999999996</v>
      </c>
      <c r="O277" s="471">
        <f>IF(N277&gt;0,1/N277*37.7*68.6,"")</f>
        <v>594.53333333333342</v>
      </c>
      <c r="P277" s="470">
        <v>4.04</v>
      </c>
      <c r="Q277" s="469" t="s">
        <v>432</v>
      </c>
      <c r="R277" s="415" t="s">
        <v>427</v>
      </c>
      <c r="S277" s="415" t="s">
        <v>454</v>
      </c>
      <c r="T277" s="415" t="s">
        <v>1452</v>
      </c>
      <c r="U277" s="480" t="s">
        <v>1452</v>
      </c>
      <c r="V277" s="468">
        <f>IF(N277&lt;&gt;0, IF(N277&gt;=P277,ROUNDDOWN(N277/P277*100,0),""),"")</f>
        <v>107</v>
      </c>
    </row>
    <row r="278" spans="1:22" s="461" customFormat="1" ht="23.1" customHeight="1">
      <c r="A278" s="481"/>
      <c r="B278" s="410"/>
      <c r="C278" s="477"/>
      <c r="D278" s="422" t="s">
        <v>1489</v>
      </c>
      <c r="E278" s="473" t="s">
        <v>426</v>
      </c>
      <c r="F278" s="416">
        <v>10.836</v>
      </c>
      <c r="G278" s="473">
        <v>1900</v>
      </c>
      <c r="H278" s="416">
        <v>309</v>
      </c>
      <c r="I278" s="473" t="s">
        <v>440</v>
      </c>
      <c r="J278" s="416">
        <v>8765</v>
      </c>
      <c r="K278" s="415">
        <v>24405</v>
      </c>
      <c r="L278" s="415">
        <v>15530</v>
      </c>
      <c r="M278" s="415" t="s">
        <v>1454</v>
      </c>
      <c r="N278" s="482">
        <v>4.25</v>
      </c>
      <c r="O278" s="471">
        <f>IF(N278&gt;0,1/N278*37.7*68.6,"")</f>
        <v>608.52235294117645</v>
      </c>
      <c r="P278" s="470">
        <v>4.04</v>
      </c>
      <c r="Q278" s="469" t="s">
        <v>435</v>
      </c>
      <c r="R278" s="415" t="s">
        <v>427</v>
      </c>
      <c r="S278" s="415" t="s">
        <v>454</v>
      </c>
      <c r="T278" s="415" t="s">
        <v>1452</v>
      </c>
      <c r="U278" s="480" t="s">
        <v>1452</v>
      </c>
      <c r="V278" s="468">
        <f>IF(N278&lt;&gt;0, IF(N278&gt;=P278,ROUNDDOWN(N278/P278*100,0),""),"")</f>
        <v>105</v>
      </c>
    </row>
    <row r="279" spans="1:22" s="461" customFormat="1" ht="23.1" customHeight="1">
      <c r="A279" s="481"/>
      <c r="B279" s="410"/>
      <c r="C279" s="477"/>
      <c r="D279" s="422" t="s">
        <v>1488</v>
      </c>
      <c r="E279" s="473" t="s">
        <v>426</v>
      </c>
      <c r="F279" s="416">
        <v>10.836</v>
      </c>
      <c r="G279" s="473">
        <v>1900</v>
      </c>
      <c r="H279" s="416">
        <v>309</v>
      </c>
      <c r="I279" s="473" t="s">
        <v>440</v>
      </c>
      <c r="J279" s="416">
        <v>8765</v>
      </c>
      <c r="K279" s="415">
        <v>24405</v>
      </c>
      <c r="L279" s="415">
        <v>15530</v>
      </c>
      <c r="M279" s="415" t="s">
        <v>1454</v>
      </c>
      <c r="N279" s="482">
        <v>4.3499999999999996</v>
      </c>
      <c r="O279" s="471">
        <f>IF(N279&gt;0,1/N279*37.7*68.6,"")</f>
        <v>594.53333333333342</v>
      </c>
      <c r="P279" s="470">
        <v>4.04</v>
      </c>
      <c r="Q279" s="469" t="s">
        <v>432</v>
      </c>
      <c r="R279" s="415" t="s">
        <v>427</v>
      </c>
      <c r="S279" s="415" t="s">
        <v>454</v>
      </c>
      <c r="T279" s="415" t="s">
        <v>1452</v>
      </c>
      <c r="U279" s="480" t="s">
        <v>1452</v>
      </c>
      <c r="V279" s="468">
        <f>IF(N279&lt;&gt;0, IF(N279&gt;=P279,ROUNDDOWN(N279/P279*100,0),""),"")</f>
        <v>107</v>
      </c>
    </row>
    <row r="280" spans="1:22" s="461" customFormat="1" ht="23.1" customHeight="1">
      <c r="A280" s="481"/>
      <c r="B280" s="410"/>
      <c r="C280" s="477"/>
      <c r="D280" s="422" t="s">
        <v>1488</v>
      </c>
      <c r="E280" s="473" t="s">
        <v>426</v>
      </c>
      <c r="F280" s="416">
        <v>10.836</v>
      </c>
      <c r="G280" s="473">
        <v>1900</v>
      </c>
      <c r="H280" s="416">
        <v>309</v>
      </c>
      <c r="I280" s="473" t="s">
        <v>440</v>
      </c>
      <c r="J280" s="416">
        <v>8765</v>
      </c>
      <c r="K280" s="415">
        <v>24405</v>
      </c>
      <c r="L280" s="415">
        <v>15530</v>
      </c>
      <c r="M280" s="415" t="s">
        <v>1454</v>
      </c>
      <c r="N280" s="482">
        <v>4.25</v>
      </c>
      <c r="O280" s="471">
        <f>IF(N280&gt;0,1/N280*37.7*68.6,"")</f>
        <v>608.52235294117645</v>
      </c>
      <c r="P280" s="470">
        <v>4.04</v>
      </c>
      <c r="Q280" s="469" t="s">
        <v>435</v>
      </c>
      <c r="R280" s="415" t="s">
        <v>427</v>
      </c>
      <c r="S280" s="415" t="s">
        <v>454</v>
      </c>
      <c r="T280" s="415" t="s">
        <v>1452</v>
      </c>
      <c r="U280" s="480" t="s">
        <v>1452</v>
      </c>
      <c r="V280" s="468">
        <f>IF(N280&lt;&gt;0, IF(N280&gt;=P280,ROUNDDOWN(N280/P280*100,0),""),"")</f>
        <v>105</v>
      </c>
    </row>
    <row r="281" spans="1:22" s="461" customFormat="1" ht="23.1" customHeight="1">
      <c r="A281" s="481"/>
      <c r="B281" s="410"/>
      <c r="C281" s="477"/>
      <c r="D281" s="422" t="s">
        <v>1487</v>
      </c>
      <c r="E281" s="473" t="s">
        <v>426</v>
      </c>
      <c r="F281" s="416">
        <v>10.836</v>
      </c>
      <c r="G281" s="473">
        <v>2000</v>
      </c>
      <c r="H281" s="416">
        <v>316</v>
      </c>
      <c r="I281" s="473" t="s">
        <v>431</v>
      </c>
      <c r="J281" s="416">
        <v>8765</v>
      </c>
      <c r="K281" s="415">
        <v>24405</v>
      </c>
      <c r="L281" s="415">
        <v>15530</v>
      </c>
      <c r="M281" s="415" t="s">
        <v>1454</v>
      </c>
      <c r="N281" s="482">
        <v>4.57</v>
      </c>
      <c r="O281" s="471">
        <f>IF(N281&gt;0,1/N281*37.7*68.6,"")</f>
        <v>565.91247264770232</v>
      </c>
      <c r="P281" s="470">
        <v>4.04</v>
      </c>
      <c r="Q281" s="469" t="s">
        <v>432</v>
      </c>
      <c r="R281" s="415" t="s">
        <v>433</v>
      </c>
      <c r="S281" s="415" t="s">
        <v>448</v>
      </c>
      <c r="T281" s="415" t="s">
        <v>1452</v>
      </c>
      <c r="U281" s="480" t="s">
        <v>1452</v>
      </c>
      <c r="V281" s="468">
        <f>IF(N281&lt;&gt;0, IF(N281&gt;=P281,ROUNDDOWN(N281/P281*100,0),""),"")</f>
        <v>113</v>
      </c>
    </row>
    <row r="282" spans="1:22" s="461" customFormat="1" ht="23.1" customHeight="1">
      <c r="A282" s="481"/>
      <c r="B282" s="410"/>
      <c r="C282" s="477"/>
      <c r="D282" s="422" t="s">
        <v>1487</v>
      </c>
      <c r="E282" s="473" t="s">
        <v>426</v>
      </c>
      <c r="F282" s="416">
        <v>10.836</v>
      </c>
      <c r="G282" s="473">
        <v>2000</v>
      </c>
      <c r="H282" s="416">
        <v>316</v>
      </c>
      <c r="I282" s="473" t="s">
        <v>431</v>
      </c>
      <c r="J282" s="416">
        <v>8765</v>
      </c>
      <c r="K282" s="415">
        <v>24405</v>
      </c>
      <c r="L282" s="415">
        <v>15530</v>
      </c>
      <c r="M282" s="415" t="s">
        <v>1454</v>
      </c>
      <c r="N282" s="482">
        <v>4.45</v>
      </c>
      <c r="O282" s="471">
        <f>IF(N282&gt;0,1/N282*37.7*68.6,"")</f>
        <v>581.1730337078651</v>
      </c>
      <c r="P282" s="470">
        <v>4.04</v>
      </c>
      <c r="Q282" s="469" t="s">
        <v>434</v>
      </c>
      <c r="R282" s="415" t="s">
        <v>433</v>
      </c>
      <c r="S282" s="415" t="s">
        <v>448</v>
      </c>
      <c r="T282" s="415" t="s">
        <v>1452</v>
      </c>
      <c r="U282" s="480" t="s">
        <v>1452</v>
      </c>
      <c r="V282" s="468">
        <f>IF(N282&lt;&gt;0, IF(N282&gt;=P282,ROUNDDOWN(N282/P282*100,0),""),"")</f>
        <v>110</v>
      </c>
    </row>
    <row r="283" spans="1:22" s="461" customFormat="1" ht="23.1" customHeight="1">
      <c r="A283" s="481"/>
      <c r="B283" s="410"/>
      <c r="C283" s="477"/>
      <c r="D283" s="422" t="s">
        <v>1486</v>
      </c>
      <c r="E283" s="473" t="s">
        <v>426</v>
      </c>
      <c r="F283" s="416">
        <v>10.836</v>
      </c>
      <c r="G283" s="473">
        <v>2000</v>
      </c>
      <c r="H283" s="416">
        <v>316</v>
      </c>
      <c r="I283" s="473" t="s">
        <v>431</v>
      </c>
      <c r="J283" s="416">
        <v>8765</v>
      </c>
      <c r="K283" s="415">
        <v>24405</v>
      </c>
      <c r="L283" s="415">
        <v>15530</v>
      </c>
      <c r="M283" s="415" t="s">
        <v>1454</v>
      </c>
      <c r="N283" s="482">
        <v>4.57</v>
      </c>
      <c r="O283" s="471">
        <f>IF(N283&gt;0,1/N283*37.7*68.6,"")</f>
        <v>565.91247264770232</v>
      </c>
      <c r="P283" s="470">
        <v>4.04</v>
      </c>
      <c r="Q283" s="469" t="s">
        <v>432</v>
      </c>
      <c r="R283" s="415" t="s">
        <v>427</v>
      </c>
      <c r="S283" s="415" t="s">
        <v>448</v>
      </c>
      <c r="T283" s="415" t="s">
        <v>1452</v>
      </c>
      <c r="U283" s="480" t="s">
        <v>1452</v>
      </c>
      <c r="V283" s="468">
        <f>IF(N283&lt;&gt;0, IF(N283&gt;=P283,ROUNDDOWN(N283/P283*100,0),""),"")</f>
        <v>113</v>
      </c>
    </row>
    <row r="284" spans="1:22" s="461" customFormat="1" ht="23.1" customHeight="1">
      <c r="A284" s="481"/>
      <c r="B284" s="410"/>
      <c r="C284" s="477"/>
      <c r="D284" s="422" t="s">
        <v>1486</v>
      </c>
      <c r="E284" s="473" t="s">
        <v>426</v>
      </c>
      <c r="F284" s="416">
        <v>10.836</v>
      </c>
      <c r="G284" s="473">
        <v>2000</v>
      </c>
      <c r="H284" s="416">
        <v>316</v>
      </c>
      <c r="I284" s="473" t="s">
        <v>431</v>
      </c>
      <c r="J284" s="416">
        <v>8765</v>
      </c>
      <c r="K284" s="415">
        <v>24405</v>
      </c>
      <c r="L284" s="415">
        <v>15530</v>
      </c>
      <c r="M284" s="415" t="s">
        <v>1454</v>
      </c>
      <c r="N284" s="482">
        <v>4.45</v>
      </c>
      <c r="O284" s="471">
        <f>IF(N284&gt;0,1/N284*37.7*68.6,"")</f>
        <v>581.1730337078651</v>
      </c>
      <c r="P284" s="470">
        <v>4.04</v>
      </c>
      <c r="Q284" s="469" t="s">
        <v>435</v>
      </c>
      <c r="R284" s="415" t="s">
        <v>427</v>
      </c>
      <c r="S284" s="415" t="s">
        <v>448</v>
      </c>
      <c r="T284" s="415" t="s">
        <v>1452</v>
      </c>
      <c r="U284" s="480" t="s">
        <v>1452</v>
      </c>
      <c r="V284" s="468">
        <f>IF(N284&lt;&gt;0, IF(N284&gt;=P284,ROUNDDOWN(N284/P284*100,0),""),"")</f>
        <v>110</v>
      </c>
    </row>
    <row r="285" spans="1:22" s="461" customFormat="1" ht="23.1" customHeight="1">
      <c r="A285" s="481"/>
      <c r="B285" s="410"/>
      <c r="C285" s="477"/>
      <c r="D285" s="422" t="s">
        <v>1485</v>
      </c>
      <c r="E285" s="473" t="s">
        <v>426</v>
      </c>
      <c r="F285" s="416">
        <v>10.836</v>
      </c>
      <c r="G285" s="473">
        <v>2000</v>
      </c>
      <c r="H285" s="416">
        <v>316</v>
      </c>
      <c r="I285" s="473" t="s">
        <v>431</v>
      </c>
      <c r="J285" s="416">
        <v>8765</v>
      </c>
      <c r="K285" s="415">
        <v>24405</v>
      </c>
      <c r="L285" s="415">
        <v>15530</v>
      </c>
      <c r="M285" s="415" t="s">
        <v>1454</v>
      </c>
      <c r="N285" s="482">
        <v>4.57</v>
      </c>
      <c r="O285" s="471">
        <f>IF(N285&gt;0,1/N285*37.7*68.6,"")</f>
        <v>565.91247264770232</v>
      </c>
      <c r="P285" s="470">
        <v>4.04</v>
      </c>
      <c r="Q285" s="469" t="s">
        <v>432</v>
      </c>
      <c r="R285" s="415" t="s">
        <v>427</v>
      </c>
      <c r="S285" s="415" t="s">
        <v>448</v>
      </c>
      <c r="T285" s="415" t="s">
        <v>1452</v>
      </c>
      <c r="U285" s="480" t="s">
        <v>1452</v>
      </c>
      <c r="V285" s="468">
        <f>IF(N285&lt;&gt;0, IF(N285&gt;=P285,ROUNDDOWN(N285/P285*100,0),""),"")</f>
        <v>113</v>
      </c>
    </row>
    <row r="286" spans="1:22" s="461" customFormat="1" ht="23.1" customHeight="1">
      <c r="A286" s="481"/>
      <c r="B286" s="410"/>
      <c r="C286" s="477"/>
      <c r="D286" s="422" t="s">
        <v>1485</v>
      </c>
      <c r="E286" s="473" t="s">
        <v>426</v>
      </c>
      <c r="F286" s="416">
        <v>10.836</v>
      </c>
      <c r="G286" s="473">
        <v>2000</v>
      </c>
      <c r="H286" s="416">
        <v>316</v>
      </c>
      <c r="I286" s="473" t="s">
        <v>431</v>
      </c>
      <c r="J286" s="416">
        <v>8765</v>
      </c>
      <c r="K286" s="415">
        <v>24405</v>
      </c>
      <c r="L286" s="415">
        <v>15530</v>
      </c>
      <c r="M286" s="415" t="s">
        <v>1454</v>
      </c>
      <c r="N286" s="482">
        <v>4.45</v>
      </c>
      <c r="O286" s="471">
        <f>IF(N286&gt;0,1/N286*37.7*68.6,"")</f>
        <v>581.1730337078651</v>
      </c>
      <c r="P286" s="470">
        <v>4.04</v>
      </c>
      <c r="Q286" s="469" t="s">
        <v>435</v>
      </c>
      <c r="R286" s="415" t="s">
        <v>427</v>
      </c>
      <c r="S286" s="415" t="s">
        <v>448</v>
      </c>
      <c r="T286" s="415" t="s">
        <v>1452</v>
      </c>
      <c r="U286" s="480" t="s">
        <v>1452</v>
      </c>
      <c r="V286" s="468">
        <f>IF(N286&lt;&gt;0, IF(N286&gt;=P286,ROUNDDOWN(N286/P286*100,0),""),"")</f>
        <v>110</v>
      </c>
    </row>
    <row r="287" spans="1:22" s="461" customFormat="1" ht="23.1" customHeight="1">
      <c r="A287" s="481"/>
      <c r="B287" s="410"/>
      <c r="C287" s="477"/>
      <c r="D287" s="422" t="s">
        <v>1484</v>
      </c>
      <c r="E287" s="473" t="s">
        <v>426</v>
      </c>
      <c r="F287" s="416">
        <v>10.836</v>
      </c>
      <c r="G287" s="473">
        <v>2000</v>
      </c>
      <c r="H287" s="416">
        <v>316</v>
      </c>
      <c r="I287" s="473" t="s">
        <v>431</v>
      </c>
      <c r="J287" s="416">
        <v>8765</v>
      </c>
      <c r="K287" s="415">
        <v>24405</v>
      </c>
      <c r="L287" s="415">
        <v>15530</v>
      </c>
      <c r="M287" s="415" t="s">
        <v>1454</v>
      </c>
      <c r="N287" s="482">
        <v>4.57</v>
      </c>
      <c r="O287" s="471">
        <f>IF(N287&gt;0,1/N287*37.7*68.6,"")</f>
        <v>565.91247264770232</v>
      </c>
      <c r="P287" s="470">
        <v>4.04</v>
      </c>
      <c r="Q287" s="469" t="s">
        <v>432</v>
      </c>
      <c r="R287" s="415" t="s">
        <v>427</v>
      </c>
      <c r="S287" s="415" t="s">
        <v>454</v>
      </c>
      <c r="T287" s="415" t="s">
        <v>1452</v>
      </c>
      <c r="U287" s="480" t="s">
        <v>1452</v>
      </c>
      <c r="V287" s="468">
        <f>IF(N287&lt;&gt;0, IF(N287&gt;=P287,ROUNDDOWN(N287/P287*100,0),""),"")</f>
        <v>113</v>
      </c>
    </row>
    <row r="288" spans="1:22" s="461" customFormat="1" ht="23.1" customHeight="1">
      <c r="A288" s="481"/>
      <c r="B288" s="410"/>
      <c r="C288" s="477"/>
      <c r="D288" s="422" t="s">
        <v>1484</v>
      </c>
      <c r="E288" s="473" t="s">
        <v>426</v>
      </c>
      <c r="F288" s="416">
        <v>10.836</v>
      </c>
      <c r="G288" s="473">
        <v>2000</v>
      </c>
      <c r="H288" s="416">
        <v>316</v>
      </c>
      <c r="I288" s="473" t="s">
        <v>431</v>
      </c>
      <c r="J288" s="416">
        <v>8765</v>
      </c>
      <c r="K288" s="415">
        <v>24405</v>
      </c>
      <c r="L288" s="415">
        <v>15530</v>
      </c>
      <c r="M288" s="415" t="s">
        <v>1454</v>
      </c>
      <c r="N288" s="482">
        <v>4.45</v>
      </c>
      <c r="O288" s="471">
        <f>IF(N288&gt;0,1/N288*37.7*68.6,"")</f>
        <v>581.1730337078651</v>
      </c>
      <c r="P288" s="470">
        <v>4.04</v>
      </c>
      <c r="Q288" s="469" t="s">
        <v>435</v>
      </c>
      <c r="R288" s="415" t="s">
        <v>427</v>
      </c>
      <c r="S288" s="415" t="s">
        <v>454</v>
      </c>
      <c r="T288" s="415" t="s">
        <v>1452</v>
      </c>
      <c r="U288" s="480" t="s">
        <v>1452</v>
      </c>
      <c r="V288" s="468">
        <f>IF(N288&lt;&gt;0, IF(N288&gt;=P288,ROUNDDOWN(N288/P288*100,0),""),"")</f>
        <v>110</v>
      </c>
    </row>
    <row r="289" spans="1:22" s="461" customFormat="1" ht="23.1" customHeight="1">
      <c r="A289" s="481"/>
      <c r="B289" s="410"/>
      <c r="C289" s="477"/>
      <c r="D289" s="422" t="s">
        <v>1483</v>
      </c>
      <c r="E289" s="473" t="s">
        <v>426</v>
      </c>
      <c r="F289" s="416">
        <v>10.836</v>
      </c>
      <c r="G289" s="473">
        <v>2000</v>
      </c>
      <c r="H289" s="416">
        <v>316</v>
      </c>
      <c r="I289" s="473" t="s">
        <v>431</v>
      </c>
      <c r="J289" s="416">
        <v>8765</v>
      </c>
      <c r="K289" s="415">
        <v>24405</v>
      </c>
      <c r="L289" s="415">
        <v>15530</v>
      </c>
      <c r="M289" s="415" t="s">
        <v>1454</v>
      </c>
      <c r="N289" s="482">
        <v>4.57</v>
      </c>
      <c r="O289" s="471">
        <f>IF(N289&gt;0,1/N289*37.7*68.6,"")</f>
        <v>565.91247264770232</v>
      </c>
      <c r="P289" s="470">
        <v>4.04</v>
      </c>
      <c r="Q289" s="469" t="s">
        <v>432</v>
      </c>
      <c r="R289" s="415" t="s">
        <v>433</v>
      </c>
      <c r="S289" s="415" t="s">
        <v>1480</v>
      </c>
      <c r="T289" s="415" t="s">
        <v>1452</v>
      </c>
      <c r="U289" s="480" t="s">
        <v>1452</v>
      </c>
      <c r="V289" s="468">
        <f>IF(N289&lt;&gt;0, IF(N289&gt;=P289,ROUNDDOWN(N289/P289*100,0),""),"")</f>
        <v>113</v>
      </c>
    </row>
    <row r="290" spans="1:22" s="461" customFormat="1" ht="23.1" customHeight="1">
      <c r="A290" s="481"/>
      <c r="B290" s="410"/>
      <c r="C290" s="477"/>
      <c r="D290" s="422" t="s">
        <v>1483</v>
      </c>
      <c r="E290" s="473" t="s">
        <v>426</v>
      </c>
      <c r="F290" s="416">
        <v>10.836</v>
      </c>
      <c r="G290" s="473">
        <v>2000</v>
      </c>
      <c r="H290" s="416">
        <v>316</v>
      </c>
      <c r="I290" s="473" t="s">
        <v>431</v>
      </c>
      <c r="J290" s="416">
        <v>8765</v>
      </c>
      <c r="K290" s="415">
        <v>24405</v>
      </c>
      <c r="L290" s="415">
        <v>15530</v>
      </c>
      <c r="M290" s="415" t="s">
        <v>1454</v>
      </c>
      <c r="N290" s="482">
        <v>4.45</v>
      </c>
      <c r="O290" s="471">
        <f>IF(N290&gt;0,1/N290*37.7*68.6,"")</f>
        <v>581.1730337078651</v>
      </c>
      <c r="P290" s="470">
        <v>4.04</v>
      </c>
      <c r="Q290" s="469" t="s">
        <v>434</v>
      </c>
      <c r="R290" s="415" t="s">
        <v>433</v>
      </c>
      <c r="S290" s="415" t="s">
        <v>1480</v>
      </c>
      <c r="T290" s="415" t="s">
        <v>1452</v>
      </c>
      <c r="U290" s="480" t="s">
        <v>1452</v>
      </c>
      <c r="V290" s="468">
        <f>IF(N290&lt;&gt;0, IF(N290&gt;=P290,ROUNDDOWN(N290/P290*100,0),""),"")</f>
        <v>110</v>
      </c>
    </row>
    <row r="291" spans="1:22" s="461" customFormat="1" ht="23.1" customHeight="1">
      <c r="A291" s="481"/>
      <c r="B291" s="410"/>
      <c r="C291" s="477"/>
      <c r="D291" s="422" t="s">
        <v>1482</v>
      </c>
      <c r="E291" s="473" t="s">
        <v>426</v>
      </c>
      <c r="F291" s="416">
        <v>10.836</v>
      </c>
      <c r="G291" s="473">
        <v>2000</v>
      </c>
      <c r="H291" s="416">
        <v>316</v>
      </c>
      <c r="I291" s="473" t="s">
        <v>431</v>
      </c>
      <c r="J291" s="416">
        <v>8765</v>
      </c>
      <c r="K291" s="415">
        <v>24405</v>
      </c>
      <c r="L291" s="415">
        <v>15530</v>
      </c>
      <c r="M291" s="415" t="s">
        <v>1454</v>
      </c>
      <c r="N291" s="482">
        <v>4.57</v>
      </c>
      <c r="O291" s="471">
        <f>IF(N291&gt;0,1/N291*37.7*68.6,"")</f>
        <v>565.91247264770232</v>
      </c>
      <c r="P291" s="470">
        <v>4.04</v>
      </c>
      <c r="Q291" s="469" t="s">
        <v>432</v>
      </c>
      <c r="R291" s="415" t="s">
        <v>427</v>
      </c>
      <c r="S291" s="415" t="s">
        <v>1480</v>
      </c>
      <c r="T291" s="415" t="s">
        <v>1452</v>
      </c>
      <c r="U291" s="480" t="s">
        <v>1452</v>
      </c>
      <c r="V291" s="468">
        <f>IF(N291&lt;&gt;0, IF(N291&gt;=P291,ROUNDDOWN(N291/P291*100,0),""),"")</f>
        <v>113</v>
      </c>
    </row>
    <row r="292" spans="1:22" s="461" customFormat="1" ht="23.1" customHeight="1">
      <c r="A292" s="481"/>
      <c r="B292" s="410"/>
      <c r="C292" s="477"/>
      <c r="D292" s="422" t="s">
        <v>1482</v>
      </c>
      <c r="E292" s="473" t="s">
        <v>426</v>
      </c>
      <c r="F292" s="416">
        <v>10.836</v>
      </c>
      <c r="G292" s="473">
        <v>2000</v>
      </c>
      <c r="H292" s="416">
        <v>316</v>
      </c>
      <c r="I292" s="473" t="s">
        <v>431</v>
      </c>
      <c r="J292" s="416">
        <v>8765</v>
      </c>
      <c r="K292" s="415">
        <v>24405</v>
      </c>
      <c r="L292" s="415">
        <v>15530</v>
      </c>
      <c r="M292" s="415" t="s">
        <v>1454</v>
      </c>
      <c r="N292" s="482">
        <v>4.45</v>
      </c>
      <c r="O292" s="471">
        <f>IF(N292&gt;0,1/N292*37.7*68.6,"")</f>
        <v>581.1730337078651</v>
      </c>
      <c r="P292" s="470">
        <v>4.04</v>
      </c>
      <c r="Q292" s="469" t="s">
        <v>435</v>
      </c>
      <c r="R292" s="415" t="s">
        <v>427</v>
      </c>
      <c r="S292" s="415" t="s">
        <v>1480</v>
      </c>
      <c r="T292" s="415" t="s">
        <v>1452</v>
      </c>
      <c r="U292" s="480" t="s">
        <v>1452</v>
      </c>
      <c r="V292" s="468">
        <f>IF(N292&lt;&gt;0, IF(N292&gt;=P292,ROUNDDOWN(N292/P292*100,0),""),"")</f>
        <v>110</v>
      </c>
    </row>
    <row r="293" spans="1:22" s="461" customFormat="1" ht="23.1" customHeight="1">
      <c r="A293" s="481"/>
      <c r="B293" s="410"/>
      <c r="C293" s="477"/>
      <c r="D293" s="422" t="s">
        <v>1481</v>
      </c>
      <c r="E293" s="473" t="s">
        <v>426</v>
      </c>
      <c r="F293" s="416">
        <v>10.836</v>
      </c>
      <c r="G293" s="473">
        <v>2000</v>
      </c>
      <c r="H293" s="416">
        <v>316</v>
      </c>
      <c r="I293" s="473" t="s">
        <v>431</v>
      </c>
      <c r="J293" s="416">
        <v>8765</v>
      </c>
      <c r="K293" s="415">
        <v>24405</v>
      </c>
      <c r="L293" s="415">
        <v>15530</v>
      </c>
      <c r="M293" s="415" t="s">
        <v>1454</v>
      </c>
      <c r="N293" s="482">
        <v>4.57</v>
      </c>
      <c r="O293" s="471">
        <f>IF(N293&gt;0,1/N293*37.7*68.6,"")</f>
        <v>565.91247264770232</v>
      </c>
      <c r="P293" s="470">
        <v>4.04</v>
      </c>
      <c r="Q293" s="469" t="s">
        <v>432</v>
      </c>
      <c r="R293" s="415" t="s">
        <v>427</v>
      </c>
      <c r="S293" s="415" t="s">
        <v>1480</v>
      </c>
      <c r="T293" s="415" t="s">
        <v>1452</v>
      </c>
      <c r="U293" s="480" t="s">
        <v>1452</v>
      </c>
      <c r="V293" s="468">
        <f>IF(N293&lt;&gt;0, IF(N293&gt;=P293,ROUNDDOWN(N293/P293*100,0),""),"")</f>
        <v>113</v>
      </c>
    </row>
    <row r="294" spans="1:22" s="461" customFormat="1" ht="23.1" customHeight="1">
      <c r="A294" s="481"/>
      <c r="B294" s="410"/>
      <c r="C294" s="477"/>
      <c r="D294" s="422" t="s">
        <v>1481</v>
      </c>
      <c r="E294" s="473" t="s">
        <v>426</v>
      </c>
      <c r="F294" s="416">
        <v>10.836</v>
      </c>
      <c r="G294" s="473">
        <v>2000</v>
      </c>
      <c r="H294" s="416">
        <v>316</v>
      </c>
      <c r="I294" s="473" t="s">
        <v>431</v>
      </c>
      <c r="J294" s="416">
        <v>8765</v>
      </c>
      <c r="K294" s="415">
        <v>24405</v>
      </c>
      <c r="L294" s="415">
        <v>15530</v>
      </c>
      <c r="M294" s="415" t="s">
        <v>1454</v>
      </c>
      <c r="N294" s="482">
        <v>4.45</v>
      </c>
      <c r="O294" s="471">
        <f>IF(N294&gt;0,1/N294*37.7*68.6,"")</f>
        <v>581.1730337078651</v>
      </c>
      <c r="P294" s="470">
        <v>4.04</v>
      </c>
      <c r="Q294" s="469" t="s">
        <v>435</v>
      </c>
      <c r="R294" s="415" t="s">
        <v>427</v>
      </c>
      <c r="S294" s="415" t="s">
        <v>1480</v>
      </c>
      <c r="T294" s="415" t="s">
        <v>1452</v>
      </c>
      <c r="U294" s="480" t="s">
        <v>1452</v>
      </c>
      <c r="V294" s="468">
        <f>IF(N294&lt;&gt;0, IF(N294&gt;=P294,ROUNDDOWN(N294/P294*100,0),""),"")</f>
        <v>110</v>
      </c>
    </row>
    <row r="295" spans="1:22" s="461" customFormat="1" ht="23.1" customHeight="1">
      <c r="A295" s="481"/>
      <c r="B295" s="410"/>
      <c r="C295" s="477"/>
      <c r="D295" s="422" t="s">
        <v>1479</v>
      </c>
      <c r="E295" s="473" t="s">
        <v>426</v>
      </c>
      <c r="F295" s="416">
        <v>10.836</v>
      </c>
      <c r="G295" s="473">
        <v>2000</v>
      </c>
      <c r="H295" s="416">
        <v>316</v>
      </c>
      <c r="I295" s="473" t="s">
        <v>431</v>
      </c>
      <c r="J295" s="416">
        <v>8765</v>
      </c>
      <c r="K295" s="415">
        <v>24405</v>
      </c>
      <c r="L295" s="415">
        <v>15530</v>
      </c>
      <c r="M295" s="415" t="s">
        <v>1454</v>
      </c>
      <c r="N295" s="482">
        <v>4.57</v>
      </c>
      <c r="O295" s="471">
        <f>IF(N295&gt;0,1/N295*37.7*68.6,"")</f>
        <v>565.91247264770232</v>
      </c>
      <c r="P295" s="470">
        <v>4.04</v>
      </c>
      <c r="Q295" s="469" t="s">
        <v>432</v>
      </c>
      <c r="R295" s="415" t="s">
        <v>427</v>
      </c>
      <c r="S295" s="415" t="s">
        <v>454</v>
      </c>
      <c r="T295" s="415" t="s">
        <v>1452</v>
      </c>
      <c r="U295" s="480" t="s">
        <v>1452</v>
      </c>
      <c r="V295" s="468">
        <f>IF(N295&lt;&gt;0, IF(N295&gt;=P295,ROUNDDOWN(N295/P295*100,0),""),"")</f>
        <v>113</v>
      </c>
    </row>
    <row r="296" spans="1:22" s="461" customFormat="1" ht="23.1" customHeight="1">
      <c r="A296" s="481"/>
      <c r="B296" s="410"/>
      <c r="C296" s="477"/>
      <c r="D296" s="422" t="s">
        <v>1479</v>
      </c>
      <c r="E296" s="473" t="s">
        <v>426</v>
      </c>
      <c r="F296" s="416">
        <v>10.836</v>
      </c>
      <c r="G296" s="473">
        <v>2000</v>
      </c>
      <c r="H296" s="416">
        <v>316</v>
      </c>
      <c r="I296" s="473" t="s">
        <v>431</v>
      </c>
      <c r="J296" s="416">
        <v>8765</v>
      </c>
      <c r="K296" s="415">
        <v>24405</v>
      </c>
      <c r="L296" s="415">
        <v>15530</v>
      </c>
      <c r="M296" s="415" t="s">
        <v>1454</v>
      </c>
      <c r="N296" s="482">
        <v>4.45</v>
      </c>
      <c r="O296" s="471">
        <f>IF(N296&gt;0,1/N296*37.7*68.6,"")</f>
        <v>581.1730337078651</v>
      </c>
      <c r="P296" s="470">
        <v>4.04</v>
      </c>
      <c r="Q296" s="469" t="s">
        <v>435</v>
      </c>
      <c r="R296" s="415" t="s">
        <v>427</v>
      </c>
      <c r="S296" s="415" t="s">
        <v>454</v>
      </c>
      <c r="T296" s="415" t="s">
        <v>1452</v>
      </c>
      <c r="U296" s="480" t="s">
        <v>1452</v>
      </c>
      <c r="V296" s="468">
        <f>IF(N296&lt;&gt;0, IF(N296&gt;=P296,ROUNDDOWN(N296/P296*100,0),""),"")</f>
        <v>110</v>
      </c>
    </row>
    <row r="297" spans="1:22" s="461" customFormat="1" ht="23.1" customHeight="1">
      <c r="A297" s="481"/>
      <c r="B297" s="410"/>
      <c r="C297" s="477"/>
      <c r="D297" s="422" t="s">
        <v>1478</v>
      </c>
      <c r="E297" s="473" t="s">
        <v>426</v>
      </c>
      <c r="F297" s="416">
        <v>10.836</v>
      </c>
      <c r="G297" s="473">
        <v>2000</v>
      </c>
      <c r="H297" s="416">
        <v>316</v>
      </c>
      <c r="I297" s="473" t="s">
        <v>431</v>
      </c>
      <c r="J297" s="416">
        <v>8765</v>
      </c>
      <c r="K297" s="415">
        <v>24405</v>
      </c>
      <c r="L297" s="415">
        <v>15530</v>
      </c>
      <c r="M297" s="415" t="s">
        <v>1454</v>
      </c>
      <c r="N297" s="482">
        <v>4.57</v>
      </c>
      <c r="O297" s="471">
        <f>IF(N297&gt;0,1/N297*37.7*68.6,"")</f>
        <v>565.91247264770232</v>
      </c>
      <c r="P297" s="470">
        <v>4.04</v>
      </c>
      <c r="Q297" s="469" t="s">
        <v>432</v>
      </c>
      <c r="R297" s="415" t="s">
        <v>427</v>
      </c>
      <c r="S297" s="415" t="s">
        <v>454</v>
      </c>
      <c r="T297" s="415" t="s">
        <v>1452</v>
      </c>
      <c r="U297" s="480" t="s">
        <v>1452</v>
      </c>
      <c r="V297" s="468">
        <f>IF(N297&lt;&gt;0, IF(N297&gt;=P297,ROUNDDOWN(N297/P297*100,0),""),"")</f>
        <v>113</v>
      </c>
    </row>
    <row r="298" spans="1:22" s="461" customFormat="1" ht="23.1" customHeight="1">
      <c r="A298" s="481"/>
      <c r="B298" s="410"/>
      <c r="C298" s="477"/>
      <c r="D298" s="422" t="s">
        <v>1478</v>
      </c>
      <c r="E298" s="473" t="s">
        <v>426</v>
      </c>
      <c r="F298" s="416">
        <v>10.836</v>
      </c>
      <c r="G298" s="473">
        <v>2000</v>
      </c>
      <c r="H298" s="416">
        <v>316</v>
      </c>
      <c r="I298" s="473" t="s">
        <v>431</v>
      </c>
      <c r="J298" s="416">
        <v>8765</v>
      </c>
      <c r="K298" s="415">
        <v>24405</v>
      </c>
      <c r="L298" s="415">
        <v>15530</v>
      </c>
      <c r="M298" s="415" t="s">
        <v>1454</v>
      </c>
      <c r="N298" s="482">
        <v>4.45</v>
      </c>
      <c r="O298" s="471">
        <f>IF(N298&gt;0,1/N298*37.7*68.6,"")</f>
        <v>581.1730337078651</v>
      </c>
      <c r="P298" s="470">
        <v>4.04</v>
      </c>
      <c r="Q298" s="469" t="s">
        <v>435</v>
      </c>
      <c r="R298" s="415" t="s">
        <v>427</v>
      </c>
      <c r="S298" s="415" t="s">
        <v>454</v>
      </c>
      <c r="T298" s="415" t="s">
        <v>1452</v>
      </c>
      <c r="U298" s="480" t="s">
        <v>1452</v>
      </c>
      <c r="V298" s="468">
        <f>IF(N298&lt;&gt;0, IF(N298&gt;=P298,ROUNDDOWN(N298/P298*100,0),""),"")</f>
        <v>110</v>
      </c>
    </row>
    <row r="299" spans="1:22" s="461" customFormat="1" ht="23.1" customHeight="1">
      <c r="A299" s="481"/>
      <c r="B299" s="410"/>
      <c r="C299" s="477"/>
      <c r="D299" s="422" t="s">
        <v>1477</v>
      </c>
      <c r="E299" s="473" t="s">
        <v>426</v>
      </c>
      <c r="F299" s="416">
        <v>10.836</v>
      </c>
      <c r="G299" s="473">
        <v>2250</v>
      </c>
      <c r="H299" s="416">
        <v>339</v>
      </c>
      <c r="I299" s="473" t="s">
        <v>431</v>
      </c>
      <c r="J299" s="416">
        <v>8765</v>
      </c>
      <c r="K299" s="415">
        <v>24405</v>
      </c>
      <c r="L299" s="415">
        <v>15530</v>
      </c>
      <c r="M299" s="415" t="s">
        <v>1454</v>
      </c>
      <c r="N299" s="482">
        <v>4.3499999999999996</v>
      </c>
      <c r="O299" s="471">
        <f>IF(N299&gt;0,1/N299*37.7*68.6,"")</f>
        <v>594.53333333333342</v>
      </c>
      <c r="P299" s="470">
        <v>4.04</v>
      </c>
      <c r="Q299" s="469" t="s">
        <v>432</v>
      </c>
      <c r="R299" s="415" t="s">
        <v>433</v>
      </c>
      <c r="S299" s="415" t="s">
        <v>448</v>
      </c>
      <c r="T299" s="415" t="s">
        <v>1452</v>
      </c>
      <c r="U299" s="480" t="s">
        <v>1452</v>
      </c>
      <c r="V299" s="468">
        <f>IF(N299&lt;&gt;0, IF(N299&gt;=P299,ROUNDDOWN(N299/P299*100,0),""),"")</f>
        <v>107</v>
      </c>
    </row>
    <row r="300" spans="1:22" s="461" customFormat="1" ht="23.1" customHeight="1">
      <c r="A300" s="481"/>
      <c r="B300" s="410"/>
      <c r="C300" s="477"/>
      <c r="D300" s="422" t="s">
        <v>1477</v>
      </c>
      <c r="E300" s="473" t="s">
        <v>426</v>
      </c>
      <c r="F300" s="416">
        <v>10.836</v>
      </c>
      <c r="G300" s="473">
        <v>2250</v>
      </c>
      <c r="H300" s="416">
        <v>339</v>
      </c>
      <c r="I300" s="473" t="s">
        <v>431</v>
      </c>
      <c r="J300" s="416">
        <v>8765</v>
      </c>
      <c r="K300" s="415">
        <v>24405</v>
      </c>
      <c r="L300" s="415">
        <v>15530</v>
      </c>
      <c r="M300" s="415" t="s">
        <v>1454</v>
      </c>
      <c r="N300" s="482">
        <v>4.25</v>
      </c>
      <c r="O300" s="471">
        <f>IF(N300&gt;0,1/N300*37.7*68.6,"")</f>
        <v>608.52235294117645</v>
      </c>
      <c r="P300" s="470">
        <v>4.04</v>
      </c>
      <c r="Q300" s="469" t="s">
        <v>434</v>
      </c>
      <c r="R300" s="415" t="s">
        <v>433</v>
      </c>
      <c r="S300" s="415" t="s">
        <v>448</v>
      </c>
      <c r="T300" s="415" t="s">
        <v>1452</v>
      </c>
      <c r="U300" s="480" t="s">
        <v>1452</v>
      </c>
      <c r="V300" s="468">
        <f>IF(N300&lt;&gt;0, IF(N300&gt;=P300,ROUNDDOWN(N300/P300*100,0),""),"")</f>
        <v>105</v>
      </c>
    </row>
    <row r="301" spans="1:22" s="461" customFormat="1" ht="23.1" customHeight="1">
      <c r="A301" s="481"/>
      <c r="B301" s="410"/>
      <c r="C301" s="477"/>
      <c r="D301" s="422" t="s">
        <v>1476</v>
      </c>
      <c r="E301" s="473" t="s">
        <v>426</v>
      </c>
      <c r="F301" s="416">
        <v>10.836</v>
      </c>
      <c r="G301" s="473">
        <v>2250</v>
      </c>
      <c r="H301" s="416">
        <v>339</v>
      </c>
      <c r="I301" s="473" t="s">
        <v>431</v>
      </c>
      <c r="J301" s="416">
        <v>8765</v>
      </c>
      <c r="K301" s="415">
        <v>24405</v>
      </c>
      <c r="L301" s="415">
        <v>15530</v>
      </c>
      <c r="M301" s="415" t="s">
        <v>1454</v>
      </c>
      <c r="N301" s="482">
        <v>4.3499999999999996</v>
      </c>
      <c r="O301" s="471">
        <f>IF(N301&gt;0,1/N301*37.7*68.6,"")</f>
        <v>594.53333333333342</v>
      </c>
      <c r="P301" s="470">
        <v>4.04</v>
      </c>
      <c r="Q301" s="469" t="s">
        <v>432</v>
      </c>
      <c r="R301" s="415" t="s">
        <v>427</v>
      </c>
      <c r="S301" s="415" t="s">
        <v>448</v>
      </c>
      <c r="T301" s="415" t="s">
        <v>1452</v>
      </c>
      <c r="U301" s="480" t="s">
        <v>1452</v>
      </c>
      <c r="V301" s="468">
        <f>IF(N301&lt;&gt;0, IF(N301&gt;=P301,ROUNDDOWN(N301/P301*100,0),""),"")</f>
        <v>107</v>
      </c>
    </row>
    <row r="302" spans="1:22" s="461" customFormat="1" ht="23.1" customHeight="1">
      <c r="A302" s="481"/>
      <c r="B302" s="410"/>
      <c r="C302" s="477"/>
      <c r="D302" s="422" t="s">
        <v>1476</v>
      </c>
      <c r="E302" s="473" t="s">
        <v>426</v>
      </c>
      <c r="F302" s="416">
        <v>10.836</v>
      </c>
      <c r="G302" s="473">
        <v>2250</v>
      </c>
      <c r="H302" s="416">
        <v>339</v>
      </c>
      <c r="I302" s="473" t="s">
        <v>431</v>
      </c>
      <c r="J302" s="416">
        <v>8765</v>
      </c>
      <c r="K302" s="415">
        <v>24405</v>
      </c>
      <c r="L302" s="415">
        <v>15530</v>
      </c>
      <c r="M302" s="415" t="s">
        <v>1454</v>
      </c>
      <c r="N302" s="482">
        <v>4.25</v>
      </c>
      <c r="O302" s="471">
        <f>IF(N302&gt;0,1/N302*37.7*68.6,"")</f>
        <v>608.52235294117645</v>
      </c>
      <c r="P302" s="470">
        <v>4.04</v>
      </c>
      <c r="Q302" s="469" t="s">
        <v>435</v>
      </c>
      <c r="R302" s="415" t="s">
        <v>427</v>
      </c>
      <c r="S302" s="415" t="s">
        <v>448</v>
      </c>
      <c r="T302" s="415" t="s">
        <v>1452</v>
      </c>
      <c r="U302" s="480" t="s">
        <v>1452</v>
      </c>
      <c r="V302" s="468">
        <f>IF(N302&lt;&gt;0, IF(N302&gt;=P302,ROUNDDOWN(N302/P302*100,0),""),"")</f>
        <v>105</v>
      </c>
    </row>
    <row r="303" spans="1:22" s="461" customFormat="1" ht="23.1" customHeight="1">
      <c r="A303" s="481"/>
      <c r="B303" s="410"/>
      <c r="C303" s="477"/>
      <c r="D303" s="422" t="s">
        <v>1475</v>
      </c>
      <c r="E303" s="473" t="s">
        <v>426</v>
      </c>
      <c r="F303" s="416">
        <v>10.836</v>
      </c>
      <c r="G303" s="473">
        <v>2250</v>
      </c>
      <c r="H303" s="416">
        <v>339</v>
      </c>
      <c r="I303" s="473" t="s">
        <v>431</v>
      </c>
      <c r="J303" s="416">
        <v>8765</v>
      </c>
      <c r="K303" s="415">
        <v>24405</v>
      </c>
      <c r="L303" s="415">
        <v>15530</v>
      </c>
      <c r="M303" s="415" t="s">
        <v>1454</v>
      </c>
      <c r="N303" s="482">
        <v>4.3499999999999996</v>
      </c>
      <c r="O303" s="471">
        <f>IF(N303&gt;0,1/N303*37.7*68.6,"")</f>
        <v>594.53333333333342</v>
      </c>
      <c r="P303" s="470">
        <v>4.04</v>
      </c>
      <c r="Q303" s="469" t="s">
        <v>432</v>
      </c>
      <c r="R303" s="415" t="s">
        <v>427</v>
      </c>
      <c r="S303" s="415" t="s">
        <v>448</v>
      </c>
      <c r="T303" s="415" t="s">
        <v>1452</v>
      </c>
      <c r="U303" s="480" t="s">
        <v>1452</v>
      </c>
      <c r="V303" s="468">
        <f>IF(N303&lt;&gt;0, IF(N303&gt;=P303,ROUNDDOWN(N303/P303*100,0),""),"")</f>
        <v>107</v>
      </c>
    </row>
    <row r="304" spans="1:22" s="461" customFormat="1" ht="23.1" customHeight="1">
      <c r="A304" s="481"/>
      <c r="B304" s="410"/>
      <c r="C304" s="477"/>
      <c r="D304" s="422" t="s">
        <v>1475</v>
      </c>
      <c r="E304" s="473" t="s">
        <v>426</v>
      </c>
      <c r="F304" s="416">
        <v>10.836</v>
      </c>
      <c r="G304" s="473">
        <v>2250</v>
      </c>
      <c r="H304" s="416">
        <v>339</v>
      </c>
      <c r="I304" s="473" t="s">
        <v>431</v>
      </c>
      <c r="J304" s="416">
        <v>8765</v>
      </c>
      <c r="K304" s="415">
        <v>24405</v>
      </c>
      <c r="L304" s="415">
        <v>15530</v>
      </c>
      <c r="M304" s="415" t="s">
        <v>1454</v>
      </c>
      <c r="N304" s="482">
        <v>4.25</v>
      </c>
      <c r="O304" s="471">
        <f>IF(N304&gt;0,1/N304*37.7*68.6,"")</f>
        <v>608.52235294117645</v>
      </c>
      <c r="P304" s="470">
        <v>4.04</v>
      </c>
      <c r="Q304" s="469" t="s">
        <v>435</v>
      </c>
      <c r="R304" s="415" t="s">
        <v>427</v>
      </c>
      <c r="S304" s="415" t="s">
        <v>448</v>
      </c>
      <c r="T304" s="415" t="s">
        <v>1452</v>
      </c>
      <c r="U304" s="480" t="s">
        <v>1452</v>
      </c>
      <c r="V304" s="468">
        <f>IF(N304&lt;&gt;0, IF(N304&gt;=P304,ROUNDDOWN(N304/P304*100,0),""),"")</f>
        <v>105</v>
      </c>
    </row>
    <row r="305" spans="1:22" s="461" customFormat="1" ht="23.1" customHeight="1">
      <c r="A305" s="481"/>
      <c r="B305" s="410"/>
      <c r="C305" s="477"/>
      <c r="D305" s="422" t="s">
        <v>1472</v>
      </c>
      <c r="E305" s="473" t="s">
        <v>426</v>
      </c>
      <c r="F305" s="416">
        <v>10.836</v>
      </c>
      <c r="G305" s="473">
        <v>1750</v>
      </c>
      <c r="H305" s="416">
        <v>287</v>
      </c>
      <c r="I305" s="473" t="s">
        <v>261</v>
      </c>
      <c r="J305" s="416">
        <v>10525</v>
      </c>
      <c r="K305" s="415">
        <v>34635</v>
      </c>
      <c r="L305" s="415">
        <v>24000</v>
      </c>
      <c r="M305" s="415" t="s">
        <v>772</v>
      </c>
      <c r="N305" s="482">
        <v>3.33</v>
      </c>
      <c r="O305" s="471">
        <f>IF(N305&gt;0,1/N305*37.7*68.6,"")</f>
        <v>776.64264264264261</v>
      </c>
      <c r="P305" s="470">
        <v>3.09</v>
      </c>
      <c r="Q305" s="469" t="s">
        <v>432</v>
      </c>
      <c r="R305" s="415" t="s">
        <v>433</v>
      </c>
      <c r="S305" s="415" t="s">
        <v>117</v>
      </c>
      <c r="T305" s="415" t="s">
        <v>1452</v>
      </c>
      <c r="U305" s="480" t="s">
        <v>1452</v>
      </c>
      <c r="V305" s="468">
        <f>IF(N305&lt;&gt;0, IF(N305&gt;=P305,ROUNDDOWN(N305/P305*100,0),""),"")</f>
        <v>107</v>
      </c>
    </row>
    <row r="306" spans="1:22" s="461" customFormat="1" ht="23.1" customHeight="1">
      <c r="A306" s="481"/>
      <c r="B306" s="410"/>
      <c r="C306" s="477"/>
      <c r="D306" s="422" t="s">
        <v>1472</v>
      </c>
      <c r="E306" s="473" t="s">
        <v>426</v>
      </c>
      <c r="F306" s="416">
        <v>10.836</v>
      </c>
      <c r="G306" s="473">
        <v>1750</v>
      </c>
      <c r="H306" s="416">
        <v>287</v>
      </c>
      <c r="I306" s="473" t="s">
        <v>261</v>
      </c>
      <c r="J306" s="416">
        <v>10525</v>
      </c>
      <c r="K306" s="415">
        <v>34635</v>
      </c>
      <c r="L306" s="415">
        <v>24000</v>
      </c>
      <c r="M306" s="415" t="s">
        <v>772</v>
      </c>
      <c r="N306" s="482">
        <v>3.25</v>
      </c>
      <c r="O306" s="471">
        <f>IF(N306&gt;0,1/N306*37.7*68.6,"")</f>
        <v>795.76</v>
      </c>
      <c r="P306" s="470">
        <v>3.09</v>
      </c>
      <c r="Q306" s="469" t="s">
        <v>434</v>
      </c>
      <c r="R306" s="415" t="s">
        <v>433</v>
      </c>
      <c r="S306" s="415" t="s">
        <v>117</v>
      </c>
      <c r="T306" s="415" t="s">
        <v>1452</v>
      </c>
      <c r="U306" s="480" t="s">
        <v>1452</v>
      </c>
      <c r="V306" s="468">
        <f>IF(N306&lt;&gt;0, IF(N306&gt;=P306,ROUNDDOWN(N306/P306*100,0),""),"")</f>
        <v>105</v>
      </c>
    </row>
    <row r="307" spans="1:22" s="461" customFormat="1" ht="23.1" customHeight="1">
      <c r="A307" s="481"/>
      <c r="B307" s="410"/>
      <c r="C307" s="477"/>
      <c r="D307" s="422" t="s">
        <v>1470</v>
      </c>
      <c r="E307" s="473" t="s">
        <v>426</v>
      </c>
      <c r="F307" s="416">
        <v>10.836</v>
      </c>
      <c r="G307" s="473">
        <v>1750</v>
      </c>
      <c r="H307" s="416">
        <v>287</v>
      </c>
      <c r="I307" s="473" t="s">
        <v>243</v>
      </c>
      <c r="J307" s="416">
        <v>10525</v>
      </c>
      <c r="K307" s="415">
        <v>34635</v>
      </c>
      <c r="L307" s="415">
        <v>24000</v>
      </c>
      <c r="M307" s="415" t="s">
        <v>767</v>
      </c>
      <c r="N307" s="482">
        <v>3.33</v>
      </c>
      <c r="O307" s="471">
        <f>IF(N307&gt;0,1/N307*37.7*68.6,"")</f>
        <v>776.64264264264261</v>
      </c>
      <c r="P307" s="470">
        <v>3.09</v>
      </c>
      <c r="Q307" s="469" t="s">
        <v>432</v>
      </c>
      <c r="R307" s="415" t="s">
        <v>427</v>
      </c>
      <c r="S307" s="415" t="s">
        <v>34</v>
      </c>
      <c r="T307" s="415" t="s">
        <v>1452</v>
      </c>
      <c r="U307" s="480" t="s">
        <v>1452</v>
      </c>
      <c r="V307" s="468">
        <f>IF(N307&lt;&gt;0, IF(N307&gt;=P307,ROUNDDOWN(N307/P307*100,0),""),"")</f>
        <v>107</v>
      </c>
    </row>
    <row r="308" spans="1:22" s="461" customFormat="1" ht="23.1" customHeight="1">
      <c r="A308" s="481"/>
      <c r="B308" s="410"/>
      <c r="C308" s="477"/>
      <c r="D308" s="422" t="s">
        <v>1470</v>
      </c>
      <c r="E308" s="473" t="s">
        <v>426</v>
      </c>
      <c r="F308" s="416">
        <v>10.836</v>
      </c>
      <c r="G308" s="473">
        <v>1750</v>
      </c>
      <c r="H308" s="416">
        <v>287</v>
      </c>
      <c r="I308" s="473" t="s">
        <v>243</v>
      </c>
      <c r="J308" s="416">
        <v>10525</v>
      </c>
      <c r="K308" s="415">
        <v>34635</v>
      </c>
      <c r="L308" s="415">
        <v>24000</v>
      </c>
      <c r="M308" s="415" t="s">
        <v>767</v>
      </c>
      <c r="N308" s="482">
        <v>3.25</v>
      </c>
      <c r="O308" s="471">
        <f>IF(N308&gt;0,1/N308*37.7*68.6,"")</f>
        <v>795.76</v>
      </c>
      <c r="P308" s="470">
        <v>3.09</v>
      </c>
      <c r="Q308" s="469" t="s">
        <v>435</v>
      </c>
      <c r="R308" s="415" t="s">
        <v>427</v>
      </c>
      <c r="S308" s="415" t="s">
        <v>34</v>
      </c>
      <c r="T308" s="415" t="s">
        <v>1452</v>
      </c>
      <c r="U308" s="480" t="s">
        <v>1452</v>
      </c>
      <c r="V308" s="468">
        <f>IF(N308&lt;&gt;0, IF(N308&gt;=P308,ROUNDDOWN(N308/P308*100,0),""),"")</f>
        <v>105</v>
      </c>
    </row>
    <row r="309" spans="1:22" s="461" customFormat="1" ht="23.1" customHeight="1">
      <c r="A309" s="481"/>
      <c r="B309" s="410"/>
      <c r="C309" s="477"/>
      <c r="D309" s="422" t="s">
        <v>1474</v>
      </c>
      <c r="E309" s="473" t="s">
        <v>426</v>
      </c>
      <c r="F309" s="416">
        <v>10.836</v>
      </c>
      <c r="G309" s="473">
        <v>1750</v>
      </c>
      <c r="H309" s="416">
        <v>287</v>
      </c>
      <c r="I309" s="473" t="s">
        <v>243</v>
      </c>
      <c r="J309" s="416">
        <v>10525</v>
      </c>
      <c r="K309" s="415">
        <v>34635</v>
      </c>
      <c r="L309" s="415">
        <v>24000</v>
      </c>
      <c r="M309" s="415" t="s">
        <v>767</v>
      </c>
      <c r="N309" s="482">
        <v>3.33</v>
      </c>
      <c r="O309" s="471">
        <f>IF(N309&gt;0,1/N309*37.7*68.6,"")</f>
        <v>776.64264264264261</v>
      </c>
      <c r="P309" s="470">
        <v>3.09</v>
      </c>
      <c r="Q309" s="469" t="s">
        <v>432</v>
      </c>
      <c r="R309" s="415" t="s">
        <v>427</v>
      </c>
      <c r="S309" s="415" t="s">
        <v>34</v>
      </c>
      <c r="T309" s="415" t="s">
        <v>1452</v>
      </c>
      <c r="U309" s="480" t="s">
        <v>1452</v>
      </c>
      <c r="V309" s="468">
        <f>IF(N309&lt;&gt;0, IF(N309&gt;=P309,ROUNDDOWN(N309/P309*100,0),""),"")</f>
        <v>107</v>
      </c>
    </row>
    <row r="310" spans="1:22" s="461" customFormat="1" ht="23.1" customHeight="1">
      <c r="A310" s="481"/>
      <c r="B310" s="410"/>
      <c r="C310" s="477"/>
      <c r="D310" s="422" t="s">
        <v>1474</v>
      </c>
      <c r="E310" s="473" t="s">
        <v>426</v>
      </c>
      <c r="F310" s="416">
        <v>10.836</v>
      </c>
      <c r="G310" s="473">
        <v>1750</v>
      </c>
      <c r="H310" s="416">
        <v>287</v>
      </c>
      <c r="I310" s="473" t="s">
        <v>243</v>
      </c>
      <c r="J310" s="416">
        <v>10525</v>
      </c>
      <c r="K310" s="415">
        <v>34635</v>
      </c>
      <c r="L310" s="415">
        <v>24000</v>
      </c>
      <c r="M310" s="415" t="s">
        <v>767</v>
      </c>
      <c r="N310" s="482">
        <v>3.25</v>
      </c>
      <c r="O310" s="471">
        <f>IF(N310&gt;0,1/N310*37.7*68.6,"")</f>
        <v>795.76</v>
      </c>
      <c r="P310" s="470">
        <v>3.09</v>
      </c>
      <c r="Q310" s="469" t="s">
        <v>435</v>
      </c>
      <c r="R310" s="415" t="s">
        <v>427</v>
      </c>
      <c r="S310" s="415" t="s">
        <v>34</v>
      </c>
      <c r="T310" s="415" t="s">
        <v>1452</v>
      </c>
      <c r="U310" s="480" t="s">
        <v>1452</v>
      </c>
      <c r="V310" s="468">
        <f>IF(N310&lt;&gt;0, IF(N310&gt;=P310,ROUNDDOWN(N310/P310*100,0),""),"")</f>
        <v>105</v>
      </c>
    </row>
    <row r="311" spans="1:22" s="461" customFormat="1" ht="23.1" customHeight="1">
      <c r="A311" s="481"/>
      <c r="B311" s="410"/>
      <c r="C311" s="477"/>
      <c r="D311" s="422" t="s">
        <v>1469</v>
      </c>
      <c r="E311" s="473" t="s">
        <v>426</v>
      </c>
      <c r="F311" s="416">
        <v>10.836</v>
      </c>
      <c r="G311" s="473">
        <v>2000</v>
      </c>
      <c r="H311" s="416">
        <v>294</v>
      </c>
      <c r="I311" s="473" t="s">
        <v>431</v>
      </c>
      <c r="J311" s="416">
        <v>10525</v>
      </c>
      <c r="K311" s="415">
        <v>34635</v>
      </c>
      <c r="L311" s="415">
        <v>24000</v>
      </c>
      <c r="M311" s="415" t="s">
        <v>767</v>
      </c>
      <c r="N311" s="472">
        <v>3.5</v>
      </c>
      <c r="O311" s="471">
        <f>IF(N311&gt;0,1/N311*37.7*68.6,"")</f>
        <v>738.92</v>
      </c>
      <c r="P311" s="470">
        <v>3.09</v>
      </c>
      <c r="Q311" s="469" t="s">
        <v>432</v>
      </c>
      <c r="R311" s="415" t="s">
        <v>433</v>
      </c>
      <c r="S311" s="415" t="s">
        <v>117</v>
      </c>
      <c r="T311" s="415" t="s">
        <v>1452</v>
      </c>
      <c r="U311" s="480" t="s">
        <v>1452</v>
      </c>
      <c r="V311" s="468">
        <f>IF(N311&lt;&gt;0, IF(N311&gt;=P311,ROUNDDOWN(N311/P311*100,0),""),"")</f>
        <v>113</v>
      </c>
    </row>
    <row r="312" spans="1:22" s="461" customFormat="1" ht="23.1" customHeight="1">
      <c r="A312" s="481"/>
      <c r="B312" s="410"/>
      <c r="C312" s="477"/>
      <c r="D312" s="422" t="s">
        <v>1469</v>
      </c>
      <c r="E312" s="473" t="s">
        <v>426</v>
      </c>
      <c r="F312" s="416">
        <v>10.836</v>
      </c>
      <c r="G312" s="473">
        <v>2000</v>
      </c>
      <c r="H312" s="416">
        <v>294</v>
      </c>
      <c r="I312" s="473" t="s">
        <v>431</v>
      </c>
      <c r="J312" s="416">
        <v>10525</v>
      </c>
      <c r="K312" s="415">
        <v>34635</v>
      </c>
      <c r="L312" s="415">
        <v>24000</v>
      </c>
      <c r="M312" s="415" t="s">
        <v>767</v>
      </c>
      <c r="N312" s="472">
        <v>3.4</v>
      </c>
      <c r="O312" s="471">
        <f>IF(N312&gt;0,1/N312*37.7*68.6,"")</f>
        <v>760.65294117647068</v>
      </c>
      <c r="P312" s="470">
        <v>3.09</v>
      </c>
      <c r="Q312" s="469" t="s">
        <v>434</v>
      </c>
      <c r="R312" s="415" t="s">
        <v>433</v>
      </c>
      <c r="S312" s="415" t="s">
        <v>117</v>
      </c>
      <c r="T312" s="415" t="s">
        <v>1452</v>
      </c>
      <c r="U312" s="480" t="s">
        <v>1452</v>
      </c>
      <c r="V312" s="468">
        <f>IF(N312&lt;&gt;0, IF(N312&gt;=P312,ROUNDDOWN(N312/P312*100,0),""),"")</f>
        <v>110</v>
      </c>
    </row>
    <row r="313" spans="1:22" s="461" customFormat="1" ht="23.1" customHeight="1">
      <c r="A313" s="481"/>
      <c r="B313" s="410"/>
      <c r="C313" s="477"/>
      <c r="D313" s="422" t="s">
        <v>1467</v>
      </c>
      <c r="E313" s="473" t="s">
        <v>426</v>
      </c>
      <c r="F313" s="416">
        <v>10.836</v>
      </c>
      <c r="G313" s="473">
        <v>2000</v>
      </c>
      <c r="H313" s="416">
        <v>294</v>
      </c>
      <c r="I313" s="473" t="s">
        <v>431</v>
      </c>
      <c r="J313" s="416">
        <v>10525</v>
      </c>
      <c r="K313" s="415">
        <v>34635</v>
      </c>
      <c r="L313" s="415">
        <v>24000</v>
      </c>
      <c r="M313" s="415" t="s">
        <v>767</v>
      </c>
      <c r="N313" s="472">
        <v>3.5</v>
      </c>
      <c r="O313" s="471">
        <f>IF(N313&gt;0,1/N313*37.7*68.6,"")</f>
        <v>738.92</v>
      </c>
      <c r="P313" s="470">
        <v>3.09</v>
      </c>
      <c r="Q313" s="469" t="s">
        <v>432</v>
      </c>
      <c r="R313" s="415" t="s">
        <v>427</v>
      </c>
      <c r="S313" s="415" t="s">
        <v>34</v>
      </c>
      <c r="T313" s="415" t="s">
        <v>1452</v>
      </c>
      <c r="U313" s="480" t="s">
        <v>1452</v>
      </c>
      <c r="V313" s="468">
        <f>IF(N313&lt;&gt;0, IF(N313&gt;=P313,ROUNDDOWN(N313/P313*100,0),""),"")</f>
        <v>113</v>
      </c>
    </row>
    <row r="314" spans="1:22" s="461" customFormat="1" ht="23.1" customHeight="1">
      <c r="A314" s="481"/>
      <c r="B314" s="410"/>
      <c r="C314" s="477"/>
      <c r="D314" s="422" t="s">
        <v>1467</v>
      </c>
      <c r="E314" s="473" t="s">
        <v>426</v>
      </c>
      <c r="F314" s="416">
        <v>10.836</v>
      </c>
      <c r="G314" s="473">
        <v>2000</v>
      </c>
      <c r="H314" s="416">
        <v>294</v>
      </c>
      <c r="I314" s="473" t="s">
        <v>431</v>
      </c>
      <c r="J314" s="416">
        <v>10525</v>
      </c>
      <c r="K314" s="415">
        <v>34635</v>
      </c>
      <c r="L314" s="415">
        <v>24000</v>
      </c>
      <c r="M314" s="415" t="s">
        <v>767</v>
      </c>
      <c r="N314" s="472">
        <v>3.4</v>
      </c>
      <c r="O314" s="471">
        <f>IF(N314&gt;0,1/N314*37.7*68.6,"")</f>
        <v>760.65294117647068</v>
      </c>
      <c r="P314" s="470">
        <v>3.09</v>
      </c>
      <c r="Q314" s="469" t="s">
        <v>435</v>
      </c>
      <c r="R314" s="415" t="s">
        <v>427</v>
      </c>
      <c r="S314" s="415" t="s">
        <v>34</v>
      </c>
      <c r="T314" s="415" t="s">
        <v>1452</v>
      </c>
      <c r="U314" s="480" t="s">
        <v>1452</v>
      </c>
      <c r="V314" s="468">
        <f>IF(N314&lt;&gt;0, IF(N314&gt;=P314,ROUNDDOWN(N314/P314*100,0),""),"")</f>
        <v>110</v>
      </c>
    </row>
    <row r="315" spans="1:22" s="461" customFormat="1" ht="23.1" customHeight="1">
      <c r="A315" s="481"/>
      <c r="B315" s="410"/>
      <c r="C315" s="477"/>
      <c r="D315" s="422" t="s">
        <v>1473</v>
      </c>
      <c r="E315" s="473" t="s">
        <v>426</v>
      </c>
      <c r="F315" s="416">
        <v>10.836</v>
      </c>
      <c r="G315" s="473">
        <v>2000</v>
      </c>
      <c r="H315" s="416">
        <v>294</v>
      </c>
      <c r="I315" s="473" t="s">
        <v>431</v>
      </c>
      <c r="J315" s="416">
        <v>10525</v>
      </c>
      <c r="K315" s="415">
        <v>34635</v>
      </c>
      <c r="L315" s="415">
        <v>24000</v>
      </c>
      <c r="M315" s="415" t="s">
        <v>767</v>
      </c>
      <c r="N315" s="472">
        <v>3.5</v>
      </c>
      <c r="O315" s="471">
        <f>IF(N315&gt;0,1/N315*37.7*68.6,"")</f>
        <v>738.92</v>
      </c>
      <c r="P315" s="470">
        <v>3.09</v>
      </c>
      <c r="Q315" s="469" t="s">
        <v>432</v>
      </c>
      <c r="R315" s="415" t="s">
        <v>427</v>
      </c>
      <c r="S315" s="415" t="s">
        <v>34</v>
      </c>
      <c r="T315" s="415" t="s">
        <v>1452</v>
      </c>
      <c r="U315" s="480" t="s">
        <v>1452</v>
      </c>
      <c r="V315" s="468">
        <f>IF(N315&lt;&gt;0, IF(N315&gt;=P315,ROUNDDOWN(N315/P315*100,0),""),"")</f>
        <v>113</v>
      </c>
    </row>
    <row r="316" spans="1:22" s="461" customFormat="1" ht="23.1" customHeight="1">
      <c r="A316" s="481"/>
      <c r="B316" s="410"/>
      <c r="C316" s="477"/>
      <c r="D316" s="422" t="s">
        <v>1473</v>
      </c>
      <c r="E316" s="473" t="s">
        <v>426</v>
      </c>
      <c r="F316" s="416">
        <v>10.836</v>
      </c>
      <c r="G316" s="473">
        <v>2000</v>
      </c>
      <c r="H316" s="416">
        <v>294</v>
      </c>
      <c r="I316" s="473" t="s">
        <v>431</v>
      </c>
      <c r="J316" s="416">
        <v>10525</v>
      </c>
      <c r="K316" s="415">
        <v>34635</v>
      </c>
      <c r="L316" s="415">
        <v>24000</v>
      </c>
      <c r="M316" s="415" t="s">
        <v>767</v>
      </c>
      <c r="N316" s="472">
        <v>3.4</v>
      </c>
      <c r="O316" s="471">
        <f>IF(N316&gt;0,1/N316*37.7*68.6,"")</f>
        <v>760.65294117647068</v>
      </c>
      <c r="P316" s="470">
        <v>3.09</v>
      </c>
      <c r="Q316" s="469" t="s">
        <v>435</v>
      </c>
      <c r="R316" s="415" t="s">
        <v>427</v>
      </c>
      <c r="S316" s="415" t="s">
        <v>34</v>
      </c>
      <c r="T316" s="415" t="s">
        <v>1452</v>
      </c>
      <c r="U316" s="480" t="s">
        <v>1452</v>
      </c>
      <c r="V316" s="468">
        <f>IF(N316&lt;&gt;0, IF(N316&gt;=P316,ROUNDDOWN(N316/P316*100,0),""),"")</f>
        <v>110</v>
      </c>
    </row>
    <row r="317" spans="1:22" s="461" customFormat="1" ht="23.1" customHeight="1">
      <c r="A317" s="481"/>
      <c r="B317" s="410"/>
      <c r="C317" s="477"/>
      <c r="D317" s="422" t="s">
        <v>1472</v>
      </c>
      <c r="E317" s="473" t="s">
        <v>426</v>
      </c>
      <c r="F317" s="416">
        <v>10.836</v>
      </c>
      <c r="G317" s="473">
        <v>1900</v>
      </c>
      <c r="H317" s="416">
        <v>309</v>
      </c>
      <c r="I317" s="473" t="s">
        <v>440</v>
      </c>
      <c r="J317" s="416">
        <v>10525</v>
      </c>
      <c r="K317" s="415">
        <v>34635</v>
      </c>
      <c r="L317" s="415">
        <v>24000</v>
      </c>
      <c r="M317" s="415" t="s">
        <v>767</v>
      </c>
      <c r="N317" s="472">
        <v>3.37</v>
      </c>
      <c r="O317" s="471">
        <f>IF(N317&gt;0,1/N317*37.7*68.6,"")</f>
        <v>767.42433234421355</v>
      </c>
      <c r="P317" s="470">
        <v>3.09</v>
      </c>
      <c r="Q317" s="469" t="s">
        <v>432</v>
      </c>
      <c r="R317" s="415" t="s">
        <v>433</v>
      </c>
      <c r="S317" s="415" t="s">
        <v>117</v>
      </c>
      <c r="T317" s="415" t="s">
        <v>1452</v>
      </c>
      <c r="U317" s="480" t="s">
        <v>1452</v>
      </c>
      <c r="V317" s="468">
        <f>IF(N317&lt;&gt;0, IF(N317&gt;=P317,ROUNDDOWN(N317/P317*100,0),""),"")</f>
        <v>109</v>
      </c>
    </row>
    <row r="318" spans="1:22" s="461" customFormat="1" ht="23.1" customHeight="1">
      <c r="A318" s="481"/>
      <c r="B318" s="410"/>
      <c r="C318" s="477"/>
      <c r="D318" s="422" t="s">
        <v>1472</v>
      </c>
      <c r="E318" s="473" t="s">
        <v>426</v>
      </c>
      <c r="F318" s="416">
        <v>10.836</v>
      </c>
      <c r="G318" s="473">
        <v>1900</v>
      </c>
      <c r="H318" s="416">
        <v>309</v>
      </c>
      <c r="I318" s="473" t="s">
        <v>440</v>
      </c>
      <c r="J318" s="416">
        <v>10525</v>
      </c>
      <c r="K318" s="415">
        <v>34635</v>
      </c>
      <c r="L318" s="415">
        <v>24000</v>
      </c>
      <c r="M318" s="415" t="s">
        <v>767</v>
      </c>
      <c r="N318" s="472">
        <v>3.3</v>
      </c>
      <c r="O318" s="471">
        <f>IF(N318&gt;0,1/N318*37.7*68.6,"")</f>
        <v>783.70303030303035</v>
      </c>
      <c r="P318" s="470">
        <v>3.09</v>
      </c>
      <c r="Q318" s="469" t="s">
        <v>434</v>
      </c>
      <c r="R318" s="415" t="s">
        <v>433</v>
      </c>
      <c r="S318" s="415" t="s">
        <v>117</v>
      </c>
      <c r="T318" s="415" t="s">
        <v>1452</v>
      </c>
      <c r="U318" s="480" t="s">
        <v>1452</v>
      </c>
      <c r="V318" s="468">
        <f>IF(N318&lt;&gt;0, IF(N318&gt;=P318,ROUNDDOWN(N318/P318*100,0),""),"")</f>
        <v>106</v>
      </c>
    </row>
    <row r="319" spans="1:22" s="461" customFormat="1" ht="23.1" customHeight="1">
      <c r="A319" s="481"/>
      <c r="B319" s="410"/>
      <c r="C319" s="477"/>
      <c r="D319" s="422" t="s">
        <v>1471</v>
      </c>
      <c r="E319" s="473" t="s">
        <v>426</v>
      </c>
      <c r="F319" s="416">
        <v>10.836</v>
      </c>
      <c r="G319" s="473">
        <v>1900</v>
      </c>
      <c r="H319" s="416">
        <v>309</v>
      </c>
      <c r="I319" s="473" t="s">
        <v>440</v>
      </c>
      <c r="J319" s="416">
        <v>10525</v>
      </c>
      <c r="K319" s="415">
        <v>34635</v>
      </c>
      <c r="L319" s="415">
        <v>24000</v>
      </c>
      <c r="M319" s="415" t="s">
        <v>767</v>
      </c>
      <c r="N319" s="472">
        <v>3.37</v>
      </c>
      <c r="O319" s="471">
        <f>IF(N319&gt;0,1/N319*37.7*68.6,"")</f>
        <v>767.42433234421355</v>
      </c>
      <c r="P319" s="470">
        <v>3.09</v>
      </c>
      <c r="Q319" s="469" t="s">
        <v>432</v>
      </c>
      <c r="R319" s="415" t="s">
        <v>427</v>
      </c>
      <c r="S319" s="415" t="s">
        <v>34</v>
      </c>
      <c r="T319" s="415" t="s">
        <v>1452</v>
      </c>
      <c r="U319" s="480" t="s">
        <v>1452</v>
      </c>
      <c r="V319" s="468">
        <f>IF(N319&lt;&gt;0, IF(N319&gt;=P319,ROUNDDOWN(N319/P319*100,0),""),"")</f>
        <v>109</v>
      </c>
    </row>
    <row r="320" spans="1:22" s="461" customFormat="1" ht="23.1" customHeight="1">
      <c r="A320" s="481"/>
      <c r="B320" s="410"/>
      <c r="C320" s="477"/>
      <c r="D320" s="422" t="s">
        <v>1471</v>
      </c>
      <c r="E320" s="473" t="s">
        <v>426</v>
      </c>
      <c r="F320" s="416">
        <v>10.836</v>
      </c>
      <c r="G320" s="473">
        <v>1900</v>
      </c>
      <c r="H320" s="416">
        <v>309</v>
      </c>
      <c r="I320" s="473" t="s">
        <v>440</v>
      </c>
      <c r="J320" s="416">
        <v>10525</v>
      </c>
      <c r="K320" s="415">
        <v>34635</v>
      </c>
      <c r="L320" s="415">
        <v>24000</v>
      </c>
      <c r="M320" s="415" t="s">
        <v>767</v>
      </c>
      <c r="N320" s="472">
        <v>3.3</v>
      </c>
      <c r="O320" s="471">
        <f>IF(N320&gt;0,1/N320*37.7*68.6,"")</f>
        <v>783.70303030303035</v>
      </c>
      <c r="P320" s="470">
        <v>3.09</v>
      </c>
      <c r="Q320" s="469" t="s">
        <v>435</v>
      </c>
      <c r="R320" s="415" t="s">
        <v>427</v>
      </c>
      <c r="S320" s="415" t="s">
        <v>34</v>
      </c>
      <c r="T320" s="415" t="s">
        <v>1452</v>
      </c>
      <c r="U320" s="480" t="s">
        <v>1452</v>
      </c>
      <c r="V320" s="468">
        <f>IF(N320&lt;&gt;0, IF(N320&gt;=P320,ROUNDDOWN(N320/P320*100,0),""),"")</f>
        <v>106</v>
      </c>
    </row>
    <row r="321" spans="1:22" s="461" customFormat="1" ht="23.1" customHeight="1">
      <c r="A321" s="481"/>
      <c r="B321" s="410"/>
      <c r="C321" s="477"/>
      <c r="D321" s="422" t="s">
        <v>1470</v>
      </c>
      <c r="E321" s="473" t="s">
        <v>426</v>
      </c>
      <c r="F321" s="416">
        <v>10.836</v>
      </c>
      <c r="G321" s="473">
        <v>1900</v>
      </c>
      <c r="H321" s="416">
        <v>309</v>
      </c>
      <c r="I321" s="473" t="s">
        <v>440</v>
      </c>
      <c r="J321" s="416">
        <v>10525</v>
      </c>
      <c r="K321" s="415">
        <v>34635</v>
      </c>
      <c r="L321" s="415">
        <v>24000</v>
      </c>
      <c r="M321" s="415" t="s">
        <v>767</v>
      </c>
      <c r="N321" s="472">
        <v>3.37</v>
      </c>
      <c r="O321" s="471">
        <f>IF(N321&gt;0,1/N321*37.7*68.6,"")</f>
        <v>767.42433234421355</v>
      </c>
      <c r="P321" s="470">
        <v>3.09</v>
      </c>
      <c r="Q321" s="469" t="s">
        <v>432</v>
      </c>
      <c r="R321" s="415" t="s">
        <v>427</v>
      </c>
      <c r="S321" s="415" t="s">
        <v>34</v>
      </c>
      <c r="T321" s="415" t="s">
        <v>1452</v>
      </c>
      <c r="U321" s="480" t="s">
        <v>1452</v>
      </c>
      <c r="V321" s="468">
        <f>IF(N321&lt;&gt;0, IF(N321&gt;=P321,ROUNDDOWN(N321/P321*100,0),""),"")</f>
        <v>109</v>
      </c>
    </row>
    <row r="322" spans="1:22" s="461" customFormat="1" ht="23.1" customHeight="1">
      <c r="A322" s="481"/>
      <c r="B322" s="410"/>
      <c r="C322" s="477"/>
      <c r="D322" s="422" t="s">
        <v>1470</v>
      </c>
      <c r="E322" s="473" t="s">
        <v>426</v>
      </c>
      <c r="F322" s="416">
        <v>10.836</v>
      </c>
      <c r="G322" s="473">
        <v>1900</v>
      </c>
      <c r="H322" s="416">
        <v>309</v>
      </c>
      <c r="I322" s="473" t="s">
        <v>440</v>
      </c>
      <c r="J322" s="416">
        <v>10525</v>
      </c>
      <c r="K322" s="415">
        <v>34635</v>
      </c>
      <c r="L322" s="415">
        <v>24000</v>
      </c>
      <c r="M322" s="415" t="s">
        <v>767</v>
      </c>
      <c r="N322" s="472">
        <v>3.3</v>
      </c>
      <c r="O322" s="471">
        <f>IF(N322&gt;0,1/N322*37.7*68.6,"")</f>
        <v>783.70303030303035</v>
      </c>
      <c r="P322" s="470">
        <v>3.09</v>
      </c>
      <c r="Q322" s="469" t="s">
        <v>435</v>
      </c>
      <c r="R322" s="415" t="s">
        <v>427</v>
      </c>
      <c r="S322" s="415" t="s">
        <v>34</v>
      </c>
      <c r="T322" s="415" t="s">
        <v>1452</v>
      </c>
      <c r="U322" s="480" t="s">
        <v>1452</v>
      </c>
      <c r="V322" s="468">
        <f>IF(N322&lt;&gt;0, IF(N322&gt;=P322,ROUNDDOWN(N322/P322*100,0),""),"")</f>
        <v>106</v>
      </c>
    </row>
    <row r="323" spans="1:22" s="461" customFormat="1" ht="23.1" customHeight="1">
      <c r="A323" s="481"/>
      <c r="B323" s="410"/>
      <c r="C323" s="477"/>
      <c r="D323" s="422" t="s">
        <v>1469</v>
      </c>
      <c r="E323" s="473" t="s">
        <v>426</v>
      </c>
      <c r="F323" s="416">
        <v>10.836</v>
      </c>
      <c r="G323" s="473">
        <v>2000</v>
      </c>
      <c r="H323" s="416">
        <v>316</v>
      </c>
      <c r="I323" s="473" t="s">
        <v>431</v>
      </c>
      <c r="J323" s="416">
        <v>10525</v>
      </c>
      <c r="K323" s="415">
        <v>34635</v>
      </c>
      <c r="L323" s="415">
        <v>24000</v>
      </c>
      <c r="M323" s="415" t="s">
        <v>767</v>
      </c>
      <c r="N323" s="472">
        <v>3.5</v>
      </c>
      <c r="O323" s="471">
        <f>IF(N323&gt;0,1/N323*37.7*68.6,"")</f>
        <v>738.92</v>
      </c>
      <c r="P323" s="470">
        <v>3.09</v>
      </c>
      <c r="Q323" s="469" t="s">
        <v>432</v>
      </c>
      <c r="R323" s="415" t="s">
        <v>427</v>
      </c>
      <c r="S323" s="415" t="s">
        <v>117</v>
      </c>
      <c r="T323" s="415" t="s">
        <v>1452</v>
      </c>
      <c r="U323" s="480" t="s">
        <v>1452</v>
      </c>
      <c r="V323" s="468">
        <f>IF(N323&lt;&gt;0, IF(N323&gt;=P323,ROUNDDOWN(N323/P323*100,0),""),"")</f>
        <v>113</v>
      </c>
    </row>
    <row r="324" spans="1:22" s="461" customFormat="1" ht="23.1" customHeight="1">
      <c r="A324" s="481"/>
      <c r="B324" s="410"/>
      <c r="C324" s="477"/>
      <c r="D324" s="422" t="s">
        <v>1469</v>
      </c>
      <c r="E324" s="473" t="s">
        <v>426</v>
      </c>
      <c r="F324" s="416">
        <v>10.836</v>
      </c>
      <c r="G324" s="473">
        <v>2000</v>
      </c>
      <c r="H324" s="416">
        <v>316</v>
      </c>
      <c r="I324" s="473" t="s">
        <v>431</v>
      </c>
      <c r="J324" s="416">
        <v>10525</v>
      </c>
      <c r="K324" s="415">
        <v>34635</v>
      </c>
      <c r="L324" s="415">
        <v>24000</v>
      </c>
      <c r="M324" s="415" t="s">
        <v>767</v>
      </c>
      <c r="N324" s="472">
        <v>3.4</v>
      </c>
      <c r="O324" s="471">
        <f>IF(N324&gt;0,1/N324*37.7*68.6,"")</f>
        <v>760.65294117647068</v>
      </c>
      <c r="P324" s="470">
        <v>3.09</v>
      </c>
      <c r="Q324" s="469" t="s">
        <v>435</v>
      </c>
      <c r="R324" s="415" t="s">
        <v>427</v>
      </c>
      <c r="S324" s="415" t="s">
        <v>117</v>
      </c>
      <c r="T324" s="415" t="s">
        <v>1452</v>
      </c>
      <c r="U324" s="480" t="s">
        <v>1452</v>
      </c>
      <c r="V324" s="468">
        <f>IF(N324&lt;&gt;0, IF(N324&gt;=P324,ROUNDDOWN(N324/P324*100,0),""),"")</f>
        <v>110</v>
      </c>
    </row>
    <row r="325" spans="1:22" s="461" customFormat="1" ht="23.1" customHeight="1">
      <c r="A325" s="481"/>
      <c r="B325" s="410"/>
      <c r="C325" s="477"/>
      <c r="D325" s="422" t="s">
        <v>1468</v>
      </c>
      <c r="E325" s="473" t="s">
        <v>426</v>
      </c>
      <c r="F325" s="416">
        <v>10.836</v>
      </c>
      <c r="G325" s="473">
        <v>2000</v>
      </c>
      <c r="H325" s="416">
        <v>316</v>
      </c>
      <c r="I325" s="473" t="s">
        <v>431</v>
      </c>
      <c r="J325" s="416">
        <v>10525</v>
      </c>
      <c r="K325" s="415">
        <v>34635</v>
      </c>
      <c r="L325" s="415">
        <v>24000</v>
      </c>
      <c r="M325" s="415" t="s">
        <v>767</v>
      </c>
      <c r="N325" s="472">
        <v>3.5</v>
      </c>
      <c r="O325" s="471">
        <f>IF(N325&gt;0,1/N325*37.7*68.6,"")</f>
        <v>738.92</v>
      </c>
      <c r="P325" s="470">
        <v>3.09</v>
      </c>
      <c r="Q325" s="469" t="s">
        <v>432</v>
      </c>
      <c r="R325" s="415" t="s">
        <v>427</v>
      </c>
      <c r="S325" s="415" t="s">
        <v>34</v>
      </c>
      <c r="T325" s="415" t="s">
        <v>1452</v>
      </c>
      <c r="U325" s="480" t="s">
        <v>1452</v>
      </c>
      <c r="V325" s="468">
        <f>IF(N325&lt;&gt;0, IF(N325&gt;=P325,ROUNDDOWN(N325/P325*100,0),""),"")</f>
        <v>113</v>
      </c>
    </row>
    <row r="326" spans="1:22" s="461" customFormat="1" ht="23.1" customHeight="1">
      <c r="A326" s="481"/>
      <c r="B326" s="410"/>
      <c r="C326" s="477"/>
      <c r="D326" s="422" t="s">
        <v>1468</v>
      </c>
      <c r="E326" s="473" t="s">
        <v>426</v>
      </c>
      <c r="F326" s="416">
        <v>10.836</v>
      </c>
      <c r="G326" s="473">
        <v>2000</v>
      </c>
      <c r="H326" s="416">
        <v>316</v>
      </c>
      <c r="I326" s="473" t="s">
        <v>431</v>
      </c>
      <c r="J326" s="416">
        <v>10525</v>
      </c>
      <c r="K326" s="415">
        <v>34635</v>
      </c>
      <c r="L326" s="415">
        <v>24000</v>
      </c>
      <c r="M326" s="415" t="s">
        <v>767</v>
      </c>
      <c r="N326" s="472">
        <v>3.4</v>
      </c>
      <c r="O326" s="471">
        <f>IF(N326&gt;0,1/N326*37.7*68.6,"")</f>
        <v>760.65294117647068</v>
      </c>
      <c r="P326" s="470">
        <v>3.09</v>
      </c>
      <c r="Q326" s="469" t="s">
        <v>435</v>
      </c>
      <c r="R326" s="415" t="s">
        <v>427</v>
      </c>
      <c r="S326" s="415" t="s">
        <v>34</v>
      </c>
      <c r="T326" s="415" t="s">
        <v>1452</v>
      </c>
      <c r="U326" s="480" t="s">
        <v>1452</v>
      </c>
      <c r="V326" s="468">
        <f>IF(N326&lt;&gt;0, IF(N326&gt;=P326,ROUNDDOWN(N326/P326*100,0),""),"")</f>
        <v>110</v>
      </c>
    </row>
    <row r="327" spans="1:22" s="461" customFormat="1" ht="23.1" customHeight="1">
      <c r="A327" s="481"/>
      <c r="B327" s="410"/>
      <c r="C327" s="477"/>
      <c r="D327" s="422" t="s">
        <v>1467</v>
      </c>
      <c r="E327" s="473" t="s">
        <v>426</v>
      </c>
      <c r="F327" s="416">
        <v>10.836</v>
      </c>
      <c r="G327" s="473">
        <v>2000</v>
      </c>
      <c r="H327" s="416">
        <v>316</v>
      </c>
      <c r="I327" s="473" t="s">
        <v>431</v>
      </c>
      <c r="J327" s="416">
        <v>10525</v>
      </c>
      <c r="K327" s="415">
        <v>34635</v>
      </c>
      <c r="L327" s="415">
        <v>24000</v>
      </c>
      <c r="M327" s="415" t="s">
        <v>767</v>
      </c>
      <c r="N327" s="472">
        <v>3.5</v>
      </c>
      <c r="O327" s="471">
        <f>IF(N327&gt;0,1/N327*37.7*68.6,"")</f>
        <v>738.92</v>
      </c>
      <c r="P327" s="470">
        <v>3.09</v>
      </c>
      <c r="Q327" s="469" t="s">
        <v>432</v>
      </c>
      <c r="R327" s="415" t="s">
        <v>427</v>
      </c>
      <c r="S327" s="415" t="s">
        <v>34</v>
      </c>
      <c r="T327" s="415" t="s">
        <v>1452</v>
      </c>
      <c r="U327" s="480" t="s">
        <v>1452</v>
      </c>
      <c r="V327" s="468">
        <f>IF(N327&lt;&gt;0, IF(N327&gt;=P327,ROUNDDOWN(N327/P327*100,0),""),"")</f>
        <v>113</v>
      </c>
    </row>
    <row r="328" spans="1:22" s="461" customFormat="1" ht="23.1" customHeight="1">
      <c r="A328" s="481"/>
      <c r="B328" s="410"/>
      <c r="C328" s="477"/>
      <c r="D328" s="422" t="s">
        <v>1467</v>
      </c>
      <c r="E328" s="473" t="s">
        <v>426</v>
      </c>
      <c r="F328" s="416">
        <v>10.836</v>
      </c>
      <c r="G328" s="473">
        <v>2000</v>
      </c>
      <c r="H328" s="416">
        <v>316</v>
      </c>
      <c r="I328" s="473" t="s">
        <v>431</v>
      </c>
      <c r="J328" s="416">
        <v>10525</v>
      </c>
      <c r="K328" s="415">
        <v>34635</v>
      </c>
      <c r="L328" s="415">
        <v>24000</v>
      </c>
      <c r="M328" s="415" t="s">
        <v>767</v>
      </c>
      <c r="N328" s="472">
        <v>3.4</v>
      </c>
      <c r="O328" s="471">
        <f>IF(N328&gt;0,1/N328*37.7*68.6,"")</f>
        <v>760.65294117647068</v>
      </c>
      <c r="P328" s="470">
        <v>3.09</v>
      </c>
      <c r="Q328" s="469" t="s">
        <v>435</v>
      </c>
      <c r="R328" s="415" t="s">
        <v>427</v>
      </c>
      <c r="S328" s="415" t="s">
        <v>34</v>
      </c>
      <c r="T328" s="415" t="s">
        <v>1452</v>
      </c>
      <c r="U328" s="480" t="s">
        <v>1452</v>
      </c>
      <c r="V328" s="468">
        <f>IF(N328&lt;&gt;0, IF(N328&gt;=P328,ROUNDDOWN(N328/P328*100,0),""),"")</f>
        <v>110</v>
      </c>
    </row>
    <row r="329" spans="1:22" s="461" customFormat="1" ht="23.1" customHeight="1">
      <c r="A329" s="481"/>
      <c r="B329" s="410"/>
      <c r="C329" s="477"/>
      <c r="D329" s="422" t="s">
        <v>1469</v>
      </c>
      <c r="E329" s="473" t="s">
        <v>426</v>
      </c>
      <c r="F329" s="416">
        <v>10.836</v>
      </c>
      <c r="G329" s="473">
        <v>2250</v>
      </c>
      <c r="H329" s="416">
        <v>339</v>
      </c>
      <c r="I329" s="473" t="s">
        <v>431</v>
      </c>
      <c r="J329" s="416">
        <v>10525</v>
      </c>
      <c r="K329" s="415">
        <v>34635</v>
      </c>
      <c r="L329" s="415">
        <v>24000</v>
      </c>
      <c r="M329" s="415" t="s">
        <v>767</v>
      </c>
      <c r="N329" s="472">
        <v>3.5</v>
      </c>
      <c r="O329" s="471">
        <f>IF(N329&gt;0,1/N329*37.7*68.6,"")</f>
        <v>738.92</v>
      </c>
      <c r="P329" s="470">
        <v>3.09</v>
      </c>
      <c r="Q329" s="469" t="s">
        <v>432</v>
      </c>
      <c r="R329" s="415" t="s">
        <v>427</v>
      </c>
      <c r="S329" s="415" t="s">
        <v>117</v>
      </c>
      <c r="T329" s="415" t="s">
        <v>1452</v>
      </c>
      <c r="U329" s="480" t="s">
        <v>1452</v>
      </c>
      <c r="V329" s="468">
        <f>IF(N329&lt;&gt;0, IF(N329&gt;=P329,ROUNDDOWN(N329/P329*100,0),""),"")</f>
        <v>113</v>
      </c>
    </row>
    <row r="330" spans="1:22" s="461" customFormat="1" ht="23.1" customHeight="1">
      <c r="A330" s="481"/>
      <c r="B330" s="410"/>
      <c r="C330" s="477"/>
      <c r="D330" s="422" t="s">
        <v>1469</v>
      </c>
      <c r="E330" s="473" t="s">
        <v>426</v>
      </c>
      <c r="F330" s="416">
        <v>10.836</v>
      </c>
      <c r="G330" s="473">
        <v>2250</v>
      </c>
      <c r="H330" s="416">
        <v>339</v>
      </c>
      <c r="I330" s="473" t="s">
        <v>431</v>
      </c>
      <c r="J330" s="416">
        <v>10525</v>
      </c>
      <c r="K330" s="415">
        <v>34635</v>
      </c>
      <c r="L330" s="415">
        <v>24000</v>
      </c>
      <c r="M330" s="415" t="s">
        <v>767</v>
      </c>
      <c r="N330" s="472">
        <v>3.4</v>
      </c>
      <c r="O330" s="471">
        <f>IF(N330&gt;0,1/N330*37.7*68.6,"")</f>
        <v>760.65294117647068</v>
      </c>
      <c r="P330" s="470">
        <v>3.09</v>
      </c>
      <c r="Q330" s="469" t="s">
        <v>435</v>
      </c>
      <c r="R330" s="415" t="s">
        <v>427</v>
      </c>
      <c r="S330" s="415" t="s">
        <v>117</v>
      </c>
      <c r="T330" s="415" t="s">
        <v>1452</v>
      </c>
      <c r="U330" s="480" t="s">
        <v>1452</v>
      </c>
      <c r="V330" s="468">
        <f>IF(N330&lt;&gt;0, IF(N330&gt;=P330,ROUNDDOWN(N330/P330*100,0),""),"")</f>
        <v>110</v>
      </c>
    </row>
    <row r="331" spans="1:22" s="461" customFormat="1" ht="23.1" customHeight="1">
      <c r="A331" s="481"/>
      <c r="B331" s="410"/>
      <c r="C331" s="477"/>
      <c r="D331" s="422" t="s">
        <v>1468</v>
      </c>
      <c r="E331" s="473" t="s">
        <v>426</v>
      </c>
      <c r="F331" s="416">
        <v>10.836</v>
      </c>
      <c r="G331" s="473">
        <v>2250</v>
      </c>
      <c r="H331" s="416">
        <v>339</v>
      </c>
      <c r="I331" s="473" t="s">
        <v>431</v>
      </c>
      <c r="J331" s="416">
        <v>10525</v>
      </c>
      <c r="K331" s="415">
        <v>34635</v>
      </c>
      <c r="L331" s="415">
        <v>24000</v>
      </c>
      <c r="M331" s="415" t="s">
        <v>767</v>
      </c>
      <c r="N331" s="472">
        <v>3.5</v>
      </c>
      <c r="O331" s="471">
        <f>IF(N331&gt;0,1/N331*37.7*68.6,"")</f>
        <v>738.92</v>
      </c>
      <c r="P331" s="470">
        <v>3.09</v>
      </c>
      <c r="Q331" s="469" t="s">
        <v>432</v>
      </c>
      <c r="R331" s="415" t="s">
        <v>427</v>
      </c>
      <c r="S331" s="415" t="s">
        <v>34</v>
      </c>
      <c r="T331" s="415" t="s">
        <v>1452</v>
      </c>
      <c r="U331" s="480" t="s">
        <v>1452</v>
      </c>
      <c r="V331" s="468">
        <f>IF(N331&lt;&gt;0, IF(N331&gt;=P331,ROUNDDOWN(N331/P331*100,0),""),"")</f>
        <v>113</v>
      </c>
    </row>
    <row r="332" spans="1:22" s="461" customFormat="1" ht="23.1" customHeight="1">
      <c r="A332" s="481"/>
      <c r="B332" s="410"/>
      <c r="C332" s="477"/>
      <c r="D332" s="422" t="s">
        <v>1468</v>
      </c>
      <c r="E332" s="473" t="s">
        <v>426</v>
      </c>
      <c r="F332" s="416">
        <v>10.836</v>
      </c>
      <c r="G332" s="473">
        <v>2250</v>
      </c>
      <c r="H332" s="416">
        <v>339</v>
      </c>
      <c r="I332" s="473" t="s">
        <v>431</v>
      </c>
      <c r="J332" s="416">
        <v>10525</v>
      </c>
      <c r="K332" s="415">
        <v>34635</v>
      </c>
      <c r="L332" s="415">
        <v>24000</v>
      </c>
      <c r="M332" s="415" t="s">
        <v>767</v>
      </c>
      <c r="N332" s="472">
        <v>3.4</v>
      </c>
      <c r="O332" s="471">
        <f>IF(N332&gt;0,1/N332*37.7*68.6,"")</f>
        <v>760.65294117647068</v>
      </c>
      <c r="P332" s="470">
        <v>3.09</v>
      </c>
      <c r="Q332" s="469" t="s">
        <v>435</v>
      </c>
      <c r="R332" s="415" t="s">
        <v>427</v>
      </c>
      <c r="S332" s="415" t="s">
        <v>34</v>
      </c>
      <c r="T332" s="415" t="s">
        <v>1452</v>
      </c>
      <c r="U332" s="480" t="s">
        <v>1452</v>
      </c>
      <c r="V332" s="468">
        <f>IF(N332&lt;&gt;0, IF(N332&gt;=P332,ROUNDDOWN(N332/P332*100,0),""),"")</f>
        <v>110</v>
      </c>
    </row>
    <row r="333" spans="1:22" s="461" customFormat="1" ht="23.1" customHeight="1">
      <c r="A333" s="481"/>
      <c r="B333" s="410"/>
      <c r="C333" s="477"/>
      <c r="D333" s="422" t="s">
        <v>1467</v>
      </c>
      <c r="E333" s="473" t="s">
        <v>426</v>
      </c>
      <c r="F333" s="416">
        <v>10.836</v>
      </c>
      <c r="G333" s="473">
        <v>2250</v>
      </c>
      <c r="H333" s="416">
        <v>339</v>
      </c>
      <c r="I333" s="473" t="s">
        <v>431</v>
      </c>
      <c r="J333" s="416">
        <v>10525</v>
      </c>
      <c r="K333" s="415">
        <v>34635</v>
      </c>
      <c r="L333" s="415">
        <v>24000</v>
      </c>
      <c r="M333" s="415" t="s">
        <v>767</v>
      </c>
      <c r="N333" s="472">
        <v>3.5</v>
      </c>
      <c r="O333" s="471">
        <f>IF(N333&gt;0,1/N333*37.7*68.6,"")</f>
        <v>738.92</v>
      </c>
      <c r="P333" s="470">
        <v>3.09</v>
      </c>
      <c r="Q333" s="469" t="s">
        <v>432</v>
      </c>
      <c r="R333" s="415" t="s">
        <v>427</v>
      </c>
      <c r="S333" s="415" t="s">
        <v>34</v>
      </c>
      <c r="T333" s="415" t="s">
        <v>1452</v>
      </c>
      <c r="U333" s="480" t="s">
        <v>1452</v>
      </c>
      <c r="V333" s="468">
        <f>IF(N333&lt;&gt;0, IF(N333&gt;=P333,ROUNDDOWN(N333/P333*100,0),""),"")</f>
        <v>113</v>
      </c>
    </row>
    <row r="334" spans="1:22" s="461" customFormat="1" ht="23.1" customHeight="1">
      <c r="A334" s="481"/>
      <c r="B334" s="410"/>
      <c r="C334" s="477"/>
      <c r="D334" s="422" t="s">
        <v>1467</v>
      </c>
      <c r="E334" s="473" t="s">
        <v>426</v>
      </c>
      <c r="F334" s="416">
        <v>10.836</v>
      </c>
      <c r="G334" s="473">
        <v>2250</v>
      </c>
      <c r="H334" s="416">
        <v>339</v>
      </c>
      <c r="I334" s="473" t="s">
        <v>431</v>
      </c>
      <c r="J334" s="416">
        <v>10525</v>
      </c>
      <c r="K334" s="415">
        <v>34635</v>
      </c>
      <c r="L334" s="415">
        <v>24000</v>
      </c>
      <c r="M334" s="415" t="s">
        <v>767</v>
      </c>
      <c r="N334" s="472">
        <v>3.4</v>
      </c>
      <c r="O334" s="471">
        <f>IF(N334&gt;0,1/N334*37.7*68.6,"")</f>
        <v>760.65294117647068</v>
      </c>
      <c r="P334" s="470">
        <v>3.09</v>
      </c>
      <c r="Q334" s="469" t="s">
        <v>435</v>
      </c>
      <c r="R334" s="415" t="s">
        <v>427</v>
      </c>
      <c r="S334" s="415" t="s">
        <v>34</v>
      </c>
      <c r="T334" s="415" t="s">
        <v>1452</v>
      </c>
      <c r="U334" s="480" t="s">
        <v>1452</v>
      </c>
      <c r="V334" s="468">
        <f>IF(N334&lt;&gt;0, IF(N334&gt;=P334,ROUNDDOWN(N334/P334*100,0),""),"")</f>
        <v>110</v>
      </c>
    </row>
    <row r="335" spans="1:22" s="461" customFormat="1" ht="23.1" customHeight="1">
      <c r="A335" s="481"/>
      <c r="B335" s="410"/>
      <c r="C335" s="477"/>
      <c r="D335" s="422" t="s">
        <v>1466</v>
      </c>
      <c r="E335" s="473" t="s">
        <v>444</v>
      </c>
      <c r="F335" s="416">
        <v>12.776999999999999</v>
      </c>
      <c r="G335" s="473">
        <v>2601</v>
      </c>
      <c r="H335" s="416">
        <v>390</v>
      </c>
      <c r="I335" s="473" t="s">
        <v>431</v>
      </c>
      <c r="J335" s="416">
        <v>10525</v>
      </c>
      <c r="K335" s="415">
        <v>34635</v>
      </c>
      <c r="L335" s="415">
        <v>24000</v>
      </c>
      <c r="M335" s="415" t="s">
        <v>767</v>
      </c>
      <c r="N335" s="472">
        <v>3.35</v>
      </c>
      <c r="O335" s="471">
        <f>IF(N335&gt;0,1/N335*37.7*68.6,"")</f>
        <v>772.00597014925359</v>
      </c>
      <c r="P335" s="470">
        <v>3.09</v>
      </c>
      <c r="Q335" s="469" t="s">
        <v>432</v>
      </c>
      <c r="R335" s="415" t="s">
        <v>427</v>
      </c>
      <c r="S335" s="415" t="s">
        <v>34</v>
      </c>
      <c r="T335" s="415" t="s">
        <v>1452</v>
      </c>
      <c r="U335" s="480" t="s">
        <v>1452</v>
      </c>
      <c r="V335" s="468">
        <f>IF(N335&lt;&gt;0, IF(N335&gt;=P335,ROUNDDOWN(N335/P335*100,0),""),"")</f>
        <v>108</v>
      </c>
    </row>
    <row r="336" spans="1:22" s="461" customFormat="1" ht="23.1" customHeight="1">
      <c r="A336" s="481"/>
      <c r="B336" s="410"/>
      <c r="C336" s="477"/>
      <c r="D336" s="422" t="s">
        <v>1466</v>
      </c>
      <c r="E336" s="473" t="s">
        <v>444</v>
      </c>
      <c r="F336" s="416">
        <v>12.776999999999999</v>
      </c>
      <c r="G336" s="473">
        <v>2601</v>
      </c>
      <c r="H336" s="416">
        <v>390</v>
      </c>
      <c r="I336" s="473" t="s">
        <v>445</v>
      </c>
      <c r="J336" s="416">
        <v>10525</v>
      </c>
      <c r="K336" s="415">
        <v>34635</v>
      </c>
      <c r="L336" s="415">
        <v>24000</v>
      </c>
      <c r="M336" s="415" t="s">
        <v>767</v>
      </c>
      <c r="N336" s="472">
        <v>3.25</v>
      </c>
      <c r="O336" s="471">
        <f>IF(N336&gt;0,1/N336*37.7*68.6,"")</f>
        <v>795.76</v>
      </c>
      <c r="P336" s="470">
        <v>3.09</v>
      </c>
      <c r="Q336" s="469" t="s">
        <v>435</v>
      </c>
      <c r="R336" s="415" t="s">
        <v>427</v>
      </c>
      <c r="S336" s="415" t="s">
        <v>34</v>
      </c>
      <c r="T336" s="415" t="s">
        <v>1452</v>
      </c>
      <c r="U336" s="480" t="s">
        <v>1452</v>
      </c>
      <c r="V336" s="468">
        <f>IF(N336&lt;&gt;0, IF(N336&gt;=P336,ROUNDDOWN(N336/P336*100,0),""),"")</f>
        <v>105</v>
      </c>
    </row>
    <row r="337" spans="1:22" s="461" customFormat="1" ht="23.1" customHeight="1">
      <c r="A337" s="481"/>
      <c r="B337" s="410"/>
      <c r="C337" s="477"/>
      <c r="D337" s="422" t="s">
        <v>1465</v>
      </c>
      <c r="E337" s="473" t="s">
        <v>444</v>
      </c>
      <c r="F337" s="416">
        <v>12.776999999999999</v>
      </c>
      <c r="G337" s="473">
        <v>2601</v>
      </c>
      <c r="H337" s="416">
        <v>390</v>
      </c>
      <c r="I337" s="473" t="s">
        <v>431</v>
      </c>
      <c r="J337" s="416">
        <v>10525</v>
      </c>
      <c r="K337" s="415">
        <v>34635</v>
      </c>
      <c r="L337" s="415">
        <v>24000</v>
      </c>
      <c r="M337" s="415" t="s">
        <v>767</v>
      </c>
      <c r="N337" s="472">
        <v>3.35</v>
      </c>
      <c r="O337" s="471">
        <f>IF(N337&gt;0,1/N337*37.7*68.6,"")</f>
        <v>772.00597014925359</v>
      </c>
      <c r="P337" s="470">
        <v>3.09</v>
      </c>
      <c r="Q337" s="469" t="s">
        <v>432</v>
      </c>
      <c r="R337" s="415" t="s">
        <v>427</v>
      </c>
      <c r="S337" s="415" t="s">
        <v>34</v>
      </c>
      <c r="T337" s="415" t="s">
        <v>1452</v>
      </c>
      <c r="U337" s="480" t="s">
        <v>1452</v>
      </c>
      <c r="V337" s="468">
        <f>IF(N337&lt;&gt;0, IF(N337&gt;=P337,ROUNDDOWN(N337/P337*100,0),""),"")</f>
        <v>108</v>
      </c>
    </row>
    <row r="338" spans="1:22" s="461" customFormat="1" ht="23.1" customHeight="1">
      <c r="A338" s="481"/>
      <c r="B338" s="410"/>
      <c r="C338" s="477"/>
      <c r="D338" s="422" t="s">
        <v>1465</v>
      </c>
      <c r="E338" s="473" t="s">
        <v>444</v>
      </c>
      <c r="F338" s="416">
        <v>12.776999999999999</v>
      </c>
      <c r="G338" s="473">
        <v>2601</v>
      </c>
      <c r="H338" s="416">
        <v>390</v>
      </c>
      <c r="I338" s="473" t="s">
        <v>431</v>
      </c>
      <c r="J338" s="416">
        <v>10525</v>
      </c>
      <c r="K338" s="415">
        <v>34635</v>
      </c>
      <c r="L338" s="415">
        <v>24000</v>
      </c>
      <c r="M338" s="415" t="s">
        <v>767</v>
      </c>
      <c r="N338" s="472">
        <v>3.25</v>
      </c>
      <c r="O338" s="471">
        <f>IF(N338&gt;0,1/N338*37.7*68.6,"")</f>
        <v>795.76</v>
      </c>
      <c r="P338" s="470">
        <v>3.09</v>
      </c>
      <c r="Q338" s="469" t="s">
        <v>435</v>
      </c>
      <c r="R338" s="415" t="s">
        <v>427</v>
      </c>
      <c r="S338" s="415" t="s">
        <v>34</v>
      </c>
      <c r="T338" s="415" t="s">
        <v>1452</v>
      </c>
      <c r="U338" s="480" t="s">
        <v>1452</v>
      </c>
      <c r="V338" s="468">
        <f>IF(N338&lt;&gt;0, IF(N338&gt;=P338,ROUNDDOWN(N338/P338*100,0),""),"")</f>
        <v>105</v>
      </c>
    </row>
    <row r="339" spans="1:22" s="461" customFormat="1" ht="23.1" customHeight="1">
      <c r="A339" s="481"/>
      <c r="B339" s="410"/>
      <c r="C339" s="477"/>
      <c r="D339" s="422" t="s">
        <v>1464</v>
      </c>
      <c r="E339" s="473" t="s">
        <v>444</v>
      </c>
      <c r="F339" s="416">
        <v>12.776999999999999</v>
      </c>
      <c r="G339" s="473">
        <v>2346</v>
      </c>
      <c r="H339" s="416">
        <v>345</v>
      </c>
      <c r="I339" s="473" t="s">
        <v>431</v>
      </c>
      <c r="J339" s="416">
        <v>10525</v>
      </c>
      <c r="K339" s="415">
        <v>34635</v>
      </c>
      <c r="L339" s="415">
        <v>24000</v>
      </c>
      <c r="M339" s="415" t="s">
        <v>767</v>
      </c>
      <c r="N339" s="472">
        <v>3.34</v>
      </c>
      <c r="O339" s="471">
        <f>IF(N339&gt;0,1/N339*37.7*68.6,"")</f>
        <v>774.31736526946122</v>
      </c>
      <c r="P339" s="470">
        <v>3.09</v>
      </c>
      <c r="Q339" s="469" t="s">
        <v>432</v>
      </c>
      <c r="R339" s="415" t="s">
        <v>427</v>
      </c>
      <c r="S339" s="415" t="s">
        <v>448</v>
      </c>
      <c r="T339" s="415" t="s">
        <v>1452</v>
      </c>
      <c r="U339" s="480" t="s">
        <v>1452</v>
      </c>
      <c r="V339" s="468">
        <f>IF(N339&lt;&gt;0, IF(N339&gt;=P339,ROUNDDOWN(N339/P339*100,0),""),"")</f>
        <v>108</v>
      </c>
    </row>
    <row r="340" spans="1:22" s="461" customFormat="1" ht="23.1" customHeight="1">
      <c r="A340" s="481"/>
      <c r="B340" s="410"/>
      <c r="C340" s="477"/>
      <c r="D340" s="422" t="s">
        <v>1463</v>
      </c>
      <c r="E340" s="473" t="s">
        <v>444</v>
      </c>
      <c r="F340" s="416">
        <v>12.776999999999999</v>
      </c>
      <c r="G340" s="473">
        <v>2346</v>
      </c>
      <c r="H340" s="416">
        <v>345</v>
      </c>
      <c r="I340" s="473" t="s">
        <v>431</v>
      </c>
      <c r="J340" s="416">
        <v>10525</v>
      </c>
      <c r="K340" s="415">
        <v>34635</v>
      </c>
      <c r="L340" s="415">
        <v>24000</v>
      </c>
      <c r="M340" s="415" t="s">
        <v>767</v>
      </c>
      <c r="N340" s="472">
        <v>3.24</v>
      </c>
      <c r="O340" s="471">
        <f>IF(N340&gt;0,1/N340*37.7*68.6,"")</f>
        <v>798.21604938271594</v>
      </c>
      <c r="P340" s="470">
        <v>3.09</v>
      </c>
      <c r="Q340" s="469" t="s">
        <v>435</v>
      </c>
      <c r="R340" s="415" t="s">
        <v>427</v>
      </c>
      <c r="S340" s="415" t="s">
        <v>448</v>
      </c>
      <c r="T340" s="415" t="s">
        <v>1452</v>
      </c>
      <c r="U340" s="480" t="s">
        <v>1452</v>
      </c>
      <c r="V340" s="468">
        <f>IF(N340&lt;&gt;0, IF(N340&gt;=P340,ROUNDDOWN(N340/P340*100,0),""),"")</f>
        <v>104</v>
      </c>
    </row>
    <row r="341" spans="1:22" s="461" customFormat="1" ht="23.1" customHeight="1">
      <c r="A341" s="481"/>
      <c r="B341" s="410"/>
      <c r="C341" s="477"/>
      <c r="D341" s="422" t="s">
        <v>1462</v>
      </c>
      <c r="E341" s="473" t="s">
        <v>444</v>
      </c>
      <c r="F341" s="416">
        <v>12.776999999999999</v>
      </c>
      <c r="G341" s="473">
        <v>2346</v>
      </c>
      <c r="H341" s="416">
        <v>345</v>
      </c>
      <c r="I341" s="473" t="s">
        <v>431</v>
      </c>
      <c r="J341" s="416">
        <v>19028</v>
      </c>
      <c r="K341" s="415">
        <v>59138</v>
      </c>
      <c r="L341" s="415">
        <v>40000</v>
      </c>
      <c r="M341" s="415" t="s">
        <v>767</v>
      </c>
      <c r="N341" s="472">
        <v>1.97</v>
      </c>
      <c r="O341" s="471">
        <f>IF(N341&gt;0,1/N341*37.7*68.6,"")</f>
        <v>1312.8020304568527</v>
      </c>
      <c r="P341" s="470">
        <v>2.0099999999999998</v>
      </c>
      <c r="Q341" s="469" t="s">
        <v>432</v>
      </c>
      <c r="R341" s="415" t="s">
        <v>427</v>
      </c>
      <c r="S341" s="415" t="s">
        <v>448</v>
      </c>
      <c r="T341" s="415" t="s">
        <v>1452</v>
      </c>
      <c r="U341" s="480" t="s">
        <v>1452</v>
      </c>
      <c r="V341" s="468" t="str">
        <f>IF(N341&lt;&gt;0, IF(N341&gt;=P341,ROUNDDOWN(N341/P341*100,0),""),"")</f>
        <v/>
      </c>
    </row>
    <row r="342" spans="1:22" s="461" customFormat="1" ht="23.1" customHeight="1">
      <c r="A342" s="481"/>
      <c r="B342" s="410"/>
      <c r="C342" s="477"/>
      <c r="D342" s="422" t="s">
        <v>1462</v>
      </c>
      <c r="E342" s="473" t="s">
        <v>444</v>
      </c>
      <c r="F342" s="416">
        <v>12.776999999999999</v>
      </c>
      <c r="G342" s="473">
        <v>2346</v>
      </c>
      <c r="H342" s="416">
        <v>345</v>
      </c>
      <c r="I342" s="473" t="s">
        <v>431</v>
      </c>
      <c r="J342" s="416">
        <v>19028</v>
      </c>
      <c r="K342" s="415">
        <v>59138</v>
      </c>
      <c r="L342" s="415">
        <v>40000</v>
      </c>
      <c r="M342" s="415" t="s">
        <v>767</v>
      </c>
      <c r="N342" s="472">
        <v>1.93</v>
      </c>
      <c r="O342" s="471">
        <f>IF(N342&gt;0,1/N342*37.7*68.6,"")</f>
        <v>1340.0103626943007</v>
      </c>
      <c r="P342" s="470">
        <v>2.0099999999999998</v>
      </c>
      <c r="Q342" s="469" t="s">
        <v>435</v>
      </c>
      <c r="R342" s="415" t="s">
        <v>427</v>
      </c>
      <c r="S342" s="415" t="s">
        <v>448</v>
      </c>
      <c r="T342" s="415" t="s">
        <v>1452</v>
      </c>
      <c r="U342" s="480" t="s">
        <v>1452</v>
      </c>
      <c r="V342" s="468" t="str">
        <f>IF(N342&lt;&gt;0, IF(N342&gt;=P342,ROUNDDOWN(N342/P342*100,0),""),"")</f>
        <v/>
      </c>
    </row>
    <row r="343" spans="1:22" s="461" customFormat="1" ht="23.1" customHeight="1">
      <c r="A343" s="481"/>
      <c r="B343" s="410"/>
      <c r="C343" s="477"/>
      <c r="D343" s="422" t="s">
        <v>1461</v>
      </c>
      <c r="E343" s="473" t="s">
        <v>444</v>
      </c>
      <c r="F343" s="416">
        <v>12.776999999999999</v>
      </c>
      <c r="G343" s="473">
        <v>2346</v>
      </c>
      <c r="H343" s="416">
        <v>345</v>
      </c>
      <c r="I343" s="473" t="s">
        <v>431</v>
      </c>
      <c r="J343" s="416">
        <v>19028</v>
      </c>
      <c r="K343" s="415">
        <v>59138</v>
      </c>
      <c r="L343" s="415">
        <v>40000</v>
      </c>
      <c r="M343" s="415" t="s">
        <v>767</v>
      </c>
      <c r="N343" s="472">
        <v>1.97</v>
      </c>
      <c r="O343" s="471">
        <f>IF(N343&gt;0,1/N343*37.7*68.6,"")</f>
        <v>1312.8020304568527</v>
      </c>
      <c r="P343" s="470">
        <v>2.0099999999999998</v>
      </c>
      <c r="Q343" s="469" t="s">
        <v>432</v>
      </c>
      <c r="R343" s="415" t="s">
        <v>427</v>
      </c>
      <c r="S343" s="415" t="s">
        <v>448</v>
      </c>
      <c r="T343" s="415" t="s">
        <v>1452</v>
      </c>
      <c r="U343" s="480" t="s">
        <v>1452</v>
      </c>
      <c r="V343" s="468" t="str">
        <f>IF(N343&lt;&gt;0, IF(N343&gt;=P343,ROUNDDOWN(N343/P343*100,0),""),"")</f>
        <v/>
      </c>
    </row>
    <row r="344" spans="1:22" s="461" customFormat="1" ht="23.1" customHeight="1">
      <c r="A344" s="481"/>
      <c r="B344" s="410"/>
      <c r="C344" s="477"/>
      <c r="D344" s="422" t="s">
        <v>1461</v>
      </c>
      <c r="E344" s="473" t="s">
        <v>444</v>
      </c>
      <c r="F344" s="416">
        <v>12.776999999999999</v>
      </c>
      <c r="G344" s="473">
        <v>2346</v>
      </c>
      <c r="H344" s="416">
        <v>345</v>
      </c>
      <c r="I344" s="473" t="s">
        <v>431</v>
      </c>
      <c r="J344" s="416">
        <v>19028</v>
      </c>
      <c r="K344" s="415">
        <v>59138</v>
      </c>
      <c r="L344" s="415">
        <v>40000</v>
      </c>
      <c r="M344" s="415" t="s">
        <v>767</v>
      </c>
      <c r="N344" s="472">
        <v>1.93</v>
      </c>
      <c r="O344" s="471">
        <f>IF(N344&gt;0,1/N344*37.7*68.6,"")</f>
        <v>1340.0103626943007</v>
      </c>
      <c r="P344" s="470">
        <v>2.0099999999999998</v>
      </c>
      <c r="Q344" s="469" t="s">
        <v>435</v>
      </c>
      <c r="R344" s="415" t="s">
        <v>427</v>
      </c>
      <c r="S344" s="415" t="s">
        <v>448</v>
      </c>
      <c r="T344" s="415" t="s">
        <v>1452</v>
      </c>
      <c r="U344" s="480" t="s">
        <v>1452</v>
      </c>
      <c r="V344" s="468" t="str">
        <f>IF(N344&lt;&gt;0, IF(N344&gt;=P344,ROUNDDOWN(N344/P344*100,0),""),"")</f>
        <v/>
      </c>
    </row>
    <row r="345" spans="1:22" s="461" customFormat="1" ht="23.1" customHeight="1">
      <c r="A345" s="481"/>
      <c r="B345" s="410"/>
      <c r="C345" s="477"/>
      <c r="D345" s="422" t="s">
        <v>1462</v>
      </c>
      <c r="E345" s="473" t="s">
        <v>444</v>
      </c>
      <c r="F345" s="416">
        <v>12.776999999999999</v>
      </c>
      <c r="G345" s="473">
        <v>2448</v>
      </c>
      <c r="H345" s="416">
        <v>360</v>
      </c>
      <c r="I345" s="473" t="s">
        <v>431</v>
      </c>
      <c r="J345" s="416">
        <v>19028</v>
      </c>
      <c r="K345" s="415">
        <v>59138</v>
      </c>
      <c r="L345" s="415">
        <v>40000</v>
      </c>
      <c r="M345" s="415" t="s">
        <v>767</v>
      </c>
      <c r="N345" s="472">
        <v>1.97</v>
      </c>
      <c r="O345" s="471">
        <f>IF(N345&gt;0,1/N345*37.7*68.6,"")</f>
        <v>1312.8020304568527</v>
      </c>
      <c r="P345" s="470">
        <v>2.0099999999999998</v>
      </c>
      <c r="Q345" s="469" t="s">
        <v>432</v>
      </c>
      <c r="R345" s="415" t="s">
        <v>427</v>
      </c>
      <c r="S345" s="415" t="s">
        <v>448</v>
      </c>
      <c r="T345" s="415" t="s">
        <v>1452</v>
      </c>
      <c r="U345" s="480" t="s">
        <v>1452</v>
      </c>
      <c r="V345" s="468" t="str">
        <f>IF(N345&lt;&gt;0, IF(N345&gt;=P345,ROUNDDOWN(N345/P345*100,0),""),"")</f>
        <v/>
      </c>
    </row>
    <row r="346" spans="1:22" s="461" customFormat="1" ht="23.1" customHeight="1">
      <c r="A346" s="481"/>
      <c r="B346" s="410"/>
      <c r="C346" s="477"/>
      <c r="D346" s="422" t="s">
        <v>1462</v>
      </c>
      <c r="E346" s="473" t="s">
        <v>444</v>
      </c>
      <c r="F346" s="416">
        <v>12.776999999999999</v>
      </c>
      <c r="G346" s="473">
        <v>2448</v>
      </c>
      <c r="H346" s="416">
        <v>360</v>
      </c>
      <c r="I346" s="473" t="s">
        <v>431</v>
      </c>
      <c r="J346" s="416">
        <v>19028</v>
      </c>
      <c r="K346" s="415">
        <v>59138</v>
      </c>
      <c r="L346" s="415">
        <v>40000</v>
      </c>
      <c r="M346" s="415" t="s">
        <v>767</v>
      </c>
      <c r="N346" s="472">
        <v>1.93</v>
      </c>
      <c r="O346" s="471">
        <f>IF(N346&gt;0,1/N346*37.7*68.6,"")</f>
        <v>1340.0103626943007</v>
      </c>
      <c r="P346" s="470">
        <v>2.0099999999999998</v>
      </c>
      <c r="Q346" s="469" t="s">
        <v>435</v>
      </c>
      <c r="R346" s="415" t="s">
        <v>427</v>
      </c>
      <c r="S346" s="415" t="s">
        <v>448</v>
      </c>
      <c r="T346" s="415" t="s">
        <v>1452</v>
      </c>
      <c r="U346" s="480" t="s">
        <v>1452</v>
      </c>
      <c r="V346" s="468" t="str">
        <f>IF(N346&lt;&gt;0, IF(N346&gt;=P346,ROUNDDOWN(N346/P346*100,0),""),"")</f>
        <v/>
      </c>
    </row>
    <row r="347" spans="1:22" s="461" customFormat="1" ht="23.1" customHeight="1">
      <c r="A347" s="481"/>
      <c r="B347" s="410"/>
      <c r="C347" s="477"/>
      <c r="D347" s="422" t="s">
        <v>1461</v>
      </c>
      <c r="E347" s="473" t="s">
        <v>444</v>
      </c>
      <c r="F347" s="416">
        <v>12.776999999999999</v>
      </c>
      <c r="G347" s="473">
        <v>2448</v>
      </c>
      <c r="H347" s="416">
        <v>360</v>
      </c>
      <c r="I347" s="473" t="s">
        <v>431</v>
      </c>
      <c r="J347" s="416">
        <v>19028</v>
      </c>
      <c r="K347" s="415">
        <v>59138</v>
      </c>
      <c r="L347" s="415">
        <v>40000</v>
      </c>
      <c r="M347" s="415" t="s">
        <v>767</v>
      </c>
      <c r="N347" s="472">
        <v>1.97</v>
      </c>
      <c r="O347" s="471">
        <f>IF(N347&gt;0,1/N347*37.7*68.6,"")</f>
        <v>1312.8020304568527</v>
      </c>
      <c r="P347" s="470">
        <v>2.0099999999999998</v>
      </c>
      <c r="Q347" s="469" t="s">
        <v>432</v>
      </c>
      <c r="R347" s="415" t="s">
        <v>427</v>
      </c>
      <c r="S347" s="415" t="s">
        <v>448</v>
      </c>
      <c r="T347" s="415" t="s">
        <v>1452</v>
      </c>
      <c r="U347" s="480" t="s">
        <v>1452</v>
      </c>
      <c r="V347" s="468" t="str">
        <f>IF(N347&lt;&gt;0, IF(N347&gt;=P347,ROUNDDOWN(N347/P347*100,0),""),"")</f>
        <v/>
      </c>
    </row>
    <row r="348" spans="1:22" s="461" customFormat="1" ht="23.1" customHeight="1">
      <c r="A348" s="481"/>
      <c r="B348" s="410"/>
      <c r="C348" s="477"/>
      <c r="D348" s="422" t="s">
        <v>1461</v>
      </c>
      <c r="E348" s="473" t="s">
        <v>444</v>
      </c>
      <c r="F348" s="416">
        <v>12.776999999999999</v>
      </c>
      <c r="G348" s="473">
        <v>2448</v>
      </c>
      <c r="H348" s="416">
        <v>360</v>
      </c>
      <c r="I348" s="473" t="s">
        <v>431</v>
      </c>
      <c r="J348" s="416">
        <v>19028</v>
      </c>
      <c r="K348" s="415">
        <v>59138</v>
      </c>
      <c r="L348" s="415">
        <v>40000</v>
      </c>
      <c r="M348" s="415" t="s">
        <v>767</v>
      </c>
      <c r="N348" s="472">
        <v>1.93</v>
      </c>
      <c r="O348" s="471">
        <f>IF(N348&gt;0,1/N348*37.7*68.6,"")</f>
        <v>1340.0103626943007</v>
      </c>
      <c r="P348" s="470">
        <v>2.0099999999999998</v>
      </c>
      <c r="Q348" s="469" t="s">
        <v>435</v>
      </c>
      <c r="R348" s="415" t="s">
        <v>427</v>
      </c>
      <c r="S348" s="415" t="s">
        <v>448</v>
      </c>
      <c r="T348" s="415" t="s">
        <v>1452</v>
      </c>
      <c r="U348" s="480" t="s">
        <v>1452</v>
      </c>
      <c r="V348" s="468" t="str">
        <f>IF(N348&lt;&gt;0, IF(N348&gt;=P348,ROUNDDOWN(N348/P348*100,0),""),"")</f>
        <v/>
      </c>
    </row>
    <row r="349" spans="1:22" s="461" customFormat="1" ht="23.1" customHeight="1">
      <c r="A349" s="481"/>
      <c r="B349" s="410"/>
      <c r="C349" s="477"/>
      <c r="D349" s="422" t="s">
        <v>1462</v>
      </c>
      <c r="E349" s="473" t="s">
        <v>444</v>
      </c>
      <c r="F349" s="416">
        <v>12.776999999999999</v>
      </c>
      <c r="G349" s="473">
        <v>2601</v>
      </c>
      <c r="H349" s="416">
        <v>390</v>
      </c>
      <c r="I349" s="473" t="s">
        <v>431</v>
      </c>
      <c r="J349" s="416">
        <v>19028</v>
      </c>
      <c r="K349" s="415">
        <v>59138</v>
      </c>
      <c r="L349" s="415">
        <v>40000</v>
      </c>
      <c r="M349" s="415" t="s">
        <v>767</v>
      </c>
      <c r="N349" s="472">
        <v>1.98</v>
      </c>
      <c r="O349" s="471">
        <f>IF(N349&gt;0,1/N349*37.7*68.6,"")</f>
        <v>1306.1717171717171</v>
      </c>
      <c r="P349" s="470">
        <v>2.0099999999999998</v>
      </c>
      <c r="Q349" s="469" t="s">
        <v>432</v>
      </c>
      <c r="R349" s="415" t="s">
        <v>427</v>
      </c>
      <c r="S349" s="415" t="s">
        <v>448</v>
      </c>
      <c r="T349" s="415" t="s">
        <v>1452</v>
      </c>
      <c r="U349" s="480" t="s">
        <v>1452</v>
      </c>
      <c r="V349" s="468" t="str">
        <f>IF(N349&lt;&gt;0, IF(N349&gt;=P349,ROUNDDOWN(N349/P349*100,0),""),"")</f>
        <v/>
      </c>
    </row>
    <row r="350" spans="1:22" s="461" customFormat="1" ht="23.1" customHeight="1">
      <c r="A350" s="481"/>
      <c r="B350" s="410"/>
      <c r="C350" s="477"/>
      <c r="D350" s="422" t="s">
        <v>1462</v>
      </c>
      <c r="E350" s="473" t="s">
        <v>444</v>
      </c>
      <c r="F350" s="416">
        <v>12.776999999999999</v>
      </c>
      <c r="G350" s="473">
        <v>2601</v>
      </c>
      <c r="H350" s="416">
        <v>390</v>
      </c>
      <c r="I350" s="473" t="s">
        <v>431</v>
      </c>
      <c r="J350" s="416">
        <v>19028</v>
      </c>
      <c r="K350" s="415">
        <v>59138</v>
      </c>
      <c r="L350" s="415">
        <v>40000</v>
      </c>
      <c r="M350" s="415" t="s">
        <v>767</v>
      </c>
      <c r="N350" s="472">
        <v>1.94</v>
      </c>
      <c r="O350" s="471">
        <f>IF(N350&gt;0,1/N350*37.7*68.6,"")</f>
        <v>1333.1030927835052</v>
      </c>
      <c r="P350" s="470">
        <v>2.0099999999999998</v>
      </c>
      <c r="Q350" s="469" t="s">
        <v>435</v>
      </c>
      <c r="R350" s="415" t="s">
        <v>427</v>
      </c>
      <c r="S350" s="415" t="s">
        <v>448</v>
      </c>
      <c r="T350" s="415" t="s">
        <v>1452</v>
      </c>
      <c r="U350" s="480" t="s">
        <v>1452</v>
      </c>
      <c r="V350" s="468" t="str">
        <f>IF(N350&lt;&gt;0, IF(N350&gt;=P350,ROUNDDOWN(N350/P350*100,0),""),"")</f>
        <v/>
      </c>
    </row>
    <row r="351" spans="1:22" s="461" customFormat="1" ht="23.1" customHeight="1">
      <c r="A351" s="481"/>
      <c r="B351" s="410"/>
      <c r="C351" s="477"/>
      <c r="D351" s="422" t="s">
        <v>1461</v>
      </c>
      <c r="E351" s="473" t="s">
        <v>444</v>
      </c>
      <c r="F351" s="416">
        <v>12.776999999999999</v>
      </c>
      <c r="G351" s="473">
        <v>2601</v>
      </c>
      <c r="H351" s="416">
        <v>390</v>
      </c>
      <c r="I351" s="473" t="s">
        <v>431</v>
      </c>
      <c r="J351" s="416">
        <v>19028</v>
      </c>
      <c r="K351" s="415">
        <v>59138</v>
      </c>
      <c r="L351" s="415">
        <v>40000</v>
      </c>
      <c r="M351" s="415" t="s">
        <v>767</v>
      </c>
      <c r="N351" s="472">
        <v>1.98</v>
      </c>
      <c r="O351" s="471">
        <f>IF(N351&gt;0,1/N351*37.7*68.6,"")</f>
        <v>1306.1717171717171</v>
      </c>
      <c r="P351" s="470">
        <v>2.0099999999999998</v>
      </c>
      <c r="Q351" s="469" t="s">
        <v>432</v>
      </c>
      <c r="R351" s="415" t="s">
        <v>427</v>
      </c>
      <c r="S351" s="415" t="s">
        <v>448</v>
      </c>
      <c r="T351" s="415" t="s">
        <v>1452</v>
      </c>
      <c r="U351" s="480" t="s">
        <v>1452</v>
      </c>
      <c r="V351" s="468" t="str">
        <f>IF(N351&lt;&gt;0, IF(N351&gt;=P351,ROUNDDOWN(N351/P351*100,0),""),"")</f>
        <v/>
      </c>
    </row>
    <row r="352" spans="1:22" s="461" customFormat="1" ht="23.1" customHeight="1">
      <c r="A352" s="481"/>
      <c r="B352" s="410"/>
      <c r="C352" s="477"/>
      <c r="D352" s="422" t="s">
        <v>1461</v>
      </c>
      <c r="E352" s="473" t="s">
        <v>444</v>
      </c>
      <c r="F352" s="416">
        <v>12.776999999999999</v>
      </c>
      <c r="G352" s="473">
        <v>2601</v>
      </c>
      <c r="H352" s="416">
        <v>390</v>
      </c>
      <c r="I352" s="473" t="s">
        <v>431</v>
      </c>
      <c r="J352" s="416">
        <v>19028</v>
      </c>
      <c r="K352" s="415">
        <v>59138</v>
      </c>
      <c r="L352" s="415">
        <v>40000</v>
      </c>
      <c r="M352" s="415" t="s">
        <v>767</v>
      </c>
      <c r="N352" s="472">
        <v>1.94</v>
      </c>
      <c r="O352" s="471">
        <f>IF(N352&gt;0,1/N352*37.7*68.6,"")</f>
        <v>1333.1030927835052</v>
      </c>
      <c r="P352" s="470">
        <v>2.0099999999999998</v>
      </c>
      <c r="Q352" s="469" t="s">
        <v>435</v>
      </c>
      <c r="R352" s="415" t="s">
        <v>427</v>
      </c>
      <c r="S352" s="415" t="s">
        <v>448</v>
      </c>
      <c r="T352" s="415" t="s">
        <v>1452</v>
      </c>
      <c r="U352" s="480" t="s">
        <v>1452</v>
      </c>
      <c r="V352" s="468" t="str">
        <f>IF(N352&lt;&gt;0, IF(N352&gt;=P352,ROUNDDOWN(N352/P352*100,0),""),"")</f>
        <v/>
      </c>
    </row>
    <row r="353" spans="1:22" s="461" customFormat="1" ht="23.1" customHeight="1">
      <c r="A353" s="481"/>
      <c r="B353" s="410"/>
      <c r="C353" s="477"/>
      <c r="D353" s="422" t="s">
        <v>1459</v>
      </c>
      <c r="E353" s="473" t="s">
        <v>426</v>
      </c>
      <c r="F353" s="416">
        <v>10.836</v>
      </c>
      <c r="G353" s="473">
        <v>1900</v>
      </c>
      <c r="H353" s="416">
        <v>309</v>
      </c>
      <c r="I353" s="473" t="s">
        <v>440</v>
      </c>
      <c r="J353" s="416">
        <v>19028</v>
      </c>
      <c r="K353" s="415">
        <v>59138</v>
      </c>
      <c r="L353" s="415">
        <v>40000</v>
      </c>
      <c r="M353" s="415" t="s">
        <v>767</v>
      </c>
      <c r="N353" s="472">
        <v>1.95</v>
      </c>
      <c r="O353" s="471">
        <f>IF(N353&gt;0,1/N353*37.7*68.6,"")</f>
        <v>1326.2666666666667</v>
      </c>
      <c r="P353" s="470">
        <v>2.0099999999999998</v>
      </c>
      <c r="Q353" s="469" t="s">
        <v>432</v>
      </c>
      <c r="R353" s="415" t="s">
        <v>427</v>
      </c>
      <c r="S353" s="415" t="s">
        <v>448</v>
      </c>
      <c r="T353" s="415" t="s">
        <v>1452</v>
      </c>
      <c r="U353" s="480" t="s">
        <v>1452</v>
      </c>
      <c r="V353" s="468" t="str">
        <f>IF(N353&lt;&gt;0, IF(N353&gt;=P353,ROUNDDOWN(N353/P353*100,0),""),"")</f>
        <v/>
      </c>
    </row>
    <row r="354" spans="1:22" s="461" customFormat="1" ht="23.1" customHeight="1">
      <c r="A354" s="481"/>
      <c r="B354" s="410"/>
      <c r="C354" s="477"/>
      <c r="D354" s="422" t="s">
        <v>1459</v>
      </c>
      <c r="E354" s="473" t="s">
        <v>426</v>
      </c>
      <c r="F354" s="416">
        <v>10.836</v>
      </c>
      <c r="G354" s="473">
        <v>1900</v>
      </c>
      <c r="H354" s="416">
        <v>309</v>
      </c>
      <c r="I354" s="473" t="s">
        <v>440</v>
      </c>
      <c r="J354" s="416">
        <v>19028</v>
      </c>
      <c r="K354" s="415">
        <v>59138</v>
      </c>
      <c r="L354" s="415">
        <v>40000</v>
      </c>
      <c r="M354" s="415" t="s">
        <v>767</v>
      </c>
      <c r="N354" s="472">
        <v>1.92</v>
      </c>
      <c r="O354" s="471">
        <f>IF(N354&gt;0,1/N354*37.7*68.6,"")</f>
        <v>1346.9895833333333</v>
      </c>
      <c r="P354" s="470">
        <v>2.0099999999999998</v>
      </c>
      <c r="Q354" s="469" t="s">
        <v>435</v>
      </c>
      <c r="R354" s="415" t="s">
        <v>427</v>
      </c>
      <c r="S354" s="415" t="s">
        <v>448</v>
      </c>
      <c r="T354" s="415" t="s">
        <v>1452</v>
      </c>
      <c r="U354" s="480" t="s">
        <v>1452</v>
      </c>
      <c r="V354" s="468" t="str">
        <f>IF(N354&lt;&gt;0, IF(N354&gt;=P354,ROUNDDOWN(N354/P354*100,0),""),"")</f>
        <v/>
      </c>
    </row>
    <row r="355" spans="1:22" s="461" customFormat="1" ht="23.1" customHeight="1">
      <c r="A355" s="481"/>
      <c r="B355" s="410"/>
      <c r="C355" s="477"/>
      <c r="D355" s="422" t="s">
        <v>1458</v>
      </c>
      <c r="E355" s="473" t="s">
        <v>426</v>
      </c>
      <c r="F355" s="416">
        <v>10.836</v>
      </c>
      <c r="G355" s="473">
        <v>1900</v>
      </c>
      <c r="H355" s="416">
        <v>309</v>
      </c>
      <c r="I355" s="473" t="s">
        <v>440</v>
      </c>
      <c r="J355" s="416">
        <v>19028</v>
      </c>
      <c r="K355" s="415">
        <v>59138</v>
      </c>
      <c r="L355" s="415">
        <v>40000</v>
      </c>
      <c r="M355" s="415" t="s">
        <v>767</v>
      </c>
      <c r="N355" s="472">
        <v>1.95</v>
      </c>
      <c r="O355" s="471">
        <f>IF(N355&gt;0,1/N355*37.7*68.6,"")</f>
        <v>1326.2666666666667</v>
      </c>
      <c r="P355" s="470">
        <v>2.0099999999999998</v>
      </c>
      <c r="Q355" s="469" t="s">
        <v>432</v>
      </c>
      <c r="R355" s="415" t="s">
        <v>427</v>
      </c>
      <c r="S355" s="415" t="s">
        <v>448</v>
      </c>
      <c r="T355" s="415" t="s">
        <v>1452</v>
      </c>
      <c r="U355" s="480" t="s">
        <v>1452</v>
      </c>
      <c r="V355" s="468" t="str">
        <f>IF(N355&lt;&gt;0, IF(N355&gt;=P355,ROUNDDOWN(N355/P355*100,0),""),"")</f>
        <v/>
      </c>
    </row>
    <row r="356" spans="1:22" s="461" customFormat="1" ht="23.1" customHeight="1">
      <c r="A356" s="481"/>
      <c r="B356" s="410"/>
      <c r="C356" s="477"/>
      <c r="D356" s="422" t="s">
        <v>1458</v>
      </c>
      <c r="E356" s="473" t="s">
        <v>426</v>
      </c>
      <c r="F356" s="416">
        <v>10.836</v>
      </c>
      <c r="G356" s="473">
        <v>1900</v>
      </c>
      <c r="H356" s="416">
        <v>309</v>
      </c>
      <c r="I356" s="473" t="s">
        <v>440</v>
      </c>
      <c r="J356" s="416">
        <v>19028</v>
      </c>
      <c r="K356" s="415">
        <v>59138</v>
      </c>
      <c r="L356" s="415">
        <v>40000</v>
      </c>
      <c r="M356" s="415" t="s">
        <v>767</v>
      </c>
      <c r="N356" s="472">
        <v>1.92</v>
      </c>
      <c r="O356" s="471">
        <f>IF(N356&gt;0,1/N356*37.7*68.6,"")</f>
        <v>1346.9895833333333</v>
      </c>
      <c r="P356" s="470">
        <v>2.0099999999999998</v>
      </c>
      <c r="Q356" s="469" t="s">
        <v>435</v>
      </c>
      <c r="R356" s="415" t="s">
        <v>427</v>
      </c>
      <c r="S356" s="415" t="s">
        <v>448</v>
      </c>
      <c r="T356" s="415" t="s">
        <v>1452</v>
      </c>
      <c r="U356" s="480" t="s">
        <v>1452</v>
      </c>
      <c r="V356" s="468" t="str">
        <f>IF(N356&lt;&gt;0, IF(N356&gt;=P356,ROUNDDOWN(N356/P356*100,0),""),"")</f>
        <v/>
      </c>
    </row>
    <row r="357" spans="1:22" s="461" customFormat="1" ht="23.1" customHeight="1">
      <c r="A357" s="481"/>
      <c r="B357" s="410"/>
      <c r="C357" s="477"/>
      <c r="D357" s="422" t="s">
        <v>1457</v>
      </c>
      <c r="E357" s="473" t="s">
        <v>426</v>
      </c>
      <c r="F357" s="416">
        <v>10.836</v>
      </c>
      <c r="G357" s="473">
        <v>1900</v>
      </c>
      <c r="H357" s="416">
        <v>309</v>
      </c>
      <c r="I357" s="473" t="s">
        <v>440</v>
      </c>
      <c r="J357" s="416">
        <v>19028</v>
      </c>
      <c r="K357" s="415">
        <v>59138</v>
      </c>
      <c r="L357" s="415">
        <v>40000</v>
      </c>
      <c r="M357" s="415" t="s">
        <v>767</v>
      </c>
      <c r="N357" s="472">
        <v>1.95</v>
      </c>
      <c r="O357" s="471">
        <f>IF(N357&gt;0,1/N357*37.7*68.6,"")</f>
        <v>1326.2666666666667</v>
      </c>
      <c r="P357" s="470">
        <v>2.0099999999999998</v>
      </c>
      <c r="Q357" s="469" t="s">
        <v>432</v>
      </c>
      <c r="R357" s="415" t="s">
        <v>427</v>
      </c>
      <c r="S357" s="415" t="s">
        <v>448</v>
      </c>
      <c r="T357" s="415" t="s">
        <v>1452</v>
      </c>
      <c r="U357" s="480" t="s">
        <v>1452</v>
      </c>
      <c r="V357" s="468" t="str">
        <f>IF(N357&lt;&gt;0, IF(N357&gt;=P357,ROUNDDOWN(N357/P357*100,0),""),"")</f>
        <v/>
      </c>
    </row>
    <row r="358" spans="1:22" s="461" customFormat="1" ht="23.1" customHeight="1">
      <c r="A358" s="481"/>
      <c r="B358" s="410"/>
      <c r="C358" s="477"/>
      <c r="D358" s="422" t="s">
        <v>1457</v>
      </c>
      <c r="E358" s="473" t="s">
        <v>426</v>
      </c>
      <c r="F358" s="416">
        <v>10.836</v>
      </c>
      <c r="G358" s="473">
        <v>1900</v>
      </c>
      <c r="H358" s="416">
        <v>309</v>
      </c>
      <c r="I358" s="473" t="s">
        <v>440</v>
      </c>
      <c r="J358" s="416">
        <v>19028</v>
      </c>
      <c r="K358" s="415">
        <v>59138</v>
      </c>
      <c r="L358" s="415">
        <v>40000</v>
      </c>
      <c r="M358" s="415" t="s">
        <v>767</v>
      </c>
      <c r="N358" s="472">
        <v>1.92</v>
      </c>
      <c r="O358" s="471">
        <f>IF(N358&gt;0,1/N358*37.7*68.6,"")</f>
        <v>1346.9895833333333</v>
      </c>
      <c r="P358" s="470">
        <v>2.0099999999999998</v>
      </c>
      <c r="Q358" s="469" t="s">
        <v>435</v>
      </c>
      <c r="R358" s="415" t="s">
        <v>427</v>
      </c>
      <c r="S358" s="415" t="s">
        <v>448</v>
      </c>
      <c r="T358" s="415" t="s">
        <v>1452</v>
      </c>
      <c r="U358" s="480" t="s">
        <v>1452</v>
      </c>
      <c r="V358" s="468" t="str">
        <f>IF(N358&lt;&gt;0, IF(N358&gt;=P358,ROUNDDOWN(N358/P358*100,0),""),"")</f>
        <v/>
      </c>
    </row>
    <row r="359" spans="1:22" s="461" customFormat="1" ht="23.1" customHeight="1">
      <c r="A359" s="481"/>
      <c r="B359" s="410"/>
      <c r="C359" s="477"/>
      <c r="D359" s="422" t="s">
        <v>1459</v>
      </c>
      <c r="E359" s="473" t="s">
        <v>426</v>
      </c>
      <c r="F359" s="416">
        <v>10.836</v>
      </c>
      <c r="G359" s="473">
        <v>2000</v>
      </c>
      <c r="H359" s="416">
        <v>316</v>
      </c>
      <c r="I359" s="473" t="s">
        <v>431</v>
      </c>
      <c r="J359" s="416">
        <v>19028</v>
      </c>
      <c r="K359" s="415">
        <v>59138</v>
      </c>
      <c r="L359" s="415">
        <v>40000</v>
      </c>
      <c r="M359" s="415" t="s">
        <v>767</v>
      </c>
      <c r="N359" s="472">
        <v>1.96</v>
      </c>
      <c r="O359" s="471">
        <f>IF(N359&gt;0,1/N359*37.7*68.6,"")</f>
        <v>1319.5000000000002</v>
      </c>
      <c r="P359" s="470">
        <v>2.0099999999999998</v>
      </c>
      <c r="Q359" s="469" t="s">
        <v>432</v>
      </c>
      <c r="R359" s="415" t="s">
        <v>427</v>
      </c>
      <c r="S359" s="415" t="s">
        <v>448</v>
      </c>
      <c r="T359" s="415" t="s">
        <v>1452</v>
      </c>
      <c r="U359" s="480" t="s">
        <v>1452</v>
      </c>
      <c r="V359" s="468" t="str">
        <f>IF(N359&lt;&gt;0, IF(N359&gt;=P359,ROUNDDOWN(N359/P359*100,0),""),"")</f>
        <v/>
      </c>
    </row>
    <row r="360" spans="1:22" s="461" customFormat="1" ht="23.1" customHeight="1">
      <c r="A360" s="481"/>
      <c r="B360" s="410"/>
      <c r="C360" s="477"/>
      <c r="D360" s="422" t="s">
        <v>1459</v>
      </c>
      <c r="E360" s="473" t="s">
        <v>426</v>
      </c>
      <c r="F360" s="416">
        <v>10.836</v>
      </c>
      <c r="G360" s="473">
        <v>2000</v>
      </c>
      <c r="H360" s="416">
        <v>316</v>
      </c>
      <c r="I360" s="473" t="s">
        <v>431</v>
      </c>
      <c r="J360" s="416">
        <v>19028</v>
      </c>
      <c r="K360" s="415">
        <v>59138</v>
      </c>
      <c r="L360" s="415">
        <v>40000</v>
      </c>
      <c r="M360" s="415" t="s">
        <v>767</v>
      </c>
      <c r="N360" s="472">
        <v>1.92</v>
      </c>
      <c r="O360" s="471">
        <f>IF(N360&gt;0,1/N360*37.7*68.6,"")</f>
        <v>1346.9895833333333</v>
      </c>
      <c r="P360" s="470">
        <v>2.0099999999999998</v>
      </c>
      <c r="Q360" s="469" t="s">
        <v>435</v>
      </c>
      <c r="R360" s="415" t="s">
        <v>427</v>
      </c>
      <c r="S360" s="415" t="s">
        <v>448</v>
      </c>
      <c r="T360" s="415" t="s">
        <v>1452</v>
      </c>
      <c r="U360" s="480" t="s">
        <v>1452</v>
      </c>
      <c r="V360" s="468" t="str">
        <f>IF(N360&lt;&gt;0, IF(N360&gt;=P360,ROUNDDOWN(N360/P360*100,0),""),"")</f>
        <v/>
      </c>
    </row>
    <row r="361" spans="1:22" s="461" customFormat="1" ht="23.1" customHeight="1">
      <c r="A361" s="481"/>
      <c r="B361" s="410"/>
      <c r="C361" s="477"/>
      <c r="D361" s="422" t="s">
        <v>1458</v>
      </c>
      <c r="E361" s="473" t="s">
        <v>426</v>
      </c>
      <c r="F361" s="416">
        <v>10.836</v>
      </c>
      <c r="G361" s="473">
        <v>2000</v>
      </c>
      <c r="H361" s="416">
        <v>316</v>
      </c>
      <c r="I361" s="473" t="s">
        <v>431</v>
      </c>
      <c r="J361" s="416">
        <v>19028</v>
      </c>
      <c r="K361" s="415">
        <v>59138</v>
      </c>
      <c r="L361" s="415">
        <v>40000</v>
      </c>
      <c r="M361" s="415" t="s">
        <v>767</v>
      </c>
      <c r="N361" s="472">
        <v>1.96</v>
      </c>
      <c r="O361" s="471">
        <f>IF(N361&gt;0,1/N361*37.7*68.6,"")</f>
        <v>1319.5000000000002</v>
      </c>
      <c r="P361" s="470">
        <v>2.0099999999999998</v>
      </c>
      <c r="Q361" s="469" t="s">
        <v>432</v>
      </c>
      <c r="R361" s="415" t="s">
        <v>427</v>
      </c>
      <c r="S361" s="415" t="s">
        <v>448</v>
      </c>
      <c r="T361" s="415" t="s">
        <v>1452</v>
      </c>
      <c r="U361" s="480" t="s">
        <v>1452</v>
      </c>
      <c r="V361" s="468" t="str">
        <f>IF(N361&lt;&gt;0, IF(N361&gt;=P361,ROUNDDOWN(N361/P361*100,0),""),"")</f>
        <v/>
      </c>
    </row>
    <row r="362" spans="1:22" s="461" customFormat="1" ht="23.1" customHeight="1">
      <c r="A362" s="481"/>
      <c r="B362" s="410"/>
      <c r="C362" s="477"/>
      <c r="D362" s="422" t="s">
        <v>1458</v>
      </c>
      <c r="E362" s="473" t="s">
        <v>426</v>
      </c>
      <c r="F362" s="416">
        <v>10.836</v>
      </c>
      <c r="G362" s="473">
        <v>2000</v>
      </c>
      <c r="H362" s="416">
        <v>316</v>
      </c>
      <c r="I362" s="473" t="s">
        <v>431</v>
      </c>
      <c r="J362" s="416">
        <v>19028</v>
      </c>
      <c r="K362" s="415">
        <v>59138</v>
      </c>
      <c r="L362" s="415">
        <v>40000</v>
      </c>
      <c r="M362" s="415" t="s">
        <v>767</v>
      </c>
      <c r="N362" s="472">
        <v>1.92</v>
      </c>
      <c r="O362" s="471">
        <f>IF(N362&gt;0,1/N362*37.7*68.6,"")</f>
        <v>1346.9895833333333</v>
      </c>
      <c r="P362" s="470">
        <v>2.0099999999999998</v>
      </c>
      <c r="Q362" s="469" t="s">
        <v>435</v>
      </c>
      <c r="R362" s="415" t="s">
        <v>427</v>
      </c>
      <c r="S362" s="415" t="s">
        <v>448</v>
      </c>
      <c r="T362" s="415" t="s">
        <v>1452</v>
      </c>
      <c r="U362" s="480" t="s">
        <v>1452</v>
      </c>
      <c r="V362" s="468" t="str">
        <f>IF(N362&lt;&gt;0, IF(N362&gt;=P362,ROUNDDOWN(N362/P362*100,0),""),"")</f>
        <v/>
      </c>
    </row>
    <row r="363" spans="1:22" s="461" customFormat="1" ht="23.1" customHeight="1">
      <c r="A363" s="481"/>
      <c r="B363" s="410"/>
      <c r="C363" s="477"/>
      <c r="D363" s="422" t="s">
        <v>1457</v>
      </c>
      <c r="E363" s="473" t="s">
        <v>426</v>
      </c>
      <c r="F363" s="416">
        <v>10.836</v>
      </c>
      <c r="G363" s="473">
        <v>2000</v>
      </c>
      <c r="H363" s="416">
        <v>316</v>
      </c>
      <c r="I363" s="473" t="s">
        <v>431</v>
      </c>
      <c r="J363" s="416">
        <v>19028</v>
      </c>
      <c r="K363" s="415">
        <v>59138</v>
      </c>
      <c r="L363" s="415">
        <v>40000</v>
      </c>
      <c r="M363" s="415" t="s">
        <v>767</v>
      </c>
      <c r="N363" s="472">
        <v>1.96</v>
      </c>
      <c r="O363" s="471">
        <f>IF(N363&gt;0,1/N363*37.7*68.6,"")</f>
        <v>1319.5000000000002</v>
      </c>
      <c r="P363" s="470">
        <v>2.0099999999999998</v>
      </c>
      <c r="Q363" s="469" t="s">
        <v>432</v>
      </c>
      <c r="R363" s="415" t="s">
        <v>427</v>
      </c>
      <c r="S363" s="415" t="s">
        <v>448</v>
      </c>
      <c r="T363" s="415" t="s">
        <v>1452</v>
      </c>
      <c r="U363" s="480" t="s">
        <v>1452</v>
      </c>
      <c r="V363" s="468" t="str">
        <f>IF(N363&lt;&gt;0, IF(N363&gt;=P363,ROUNDDOWN(N363/P363*100,0),""),"")</f>
        <v/>
      </c>
    </row>
    <row r="364" spans="1:22" s="461" customFormat="1" ht="23.1" customHeight="1">
      <c r="A364" s="481"/>
      <c r="B364" s="410"/>
      <c r="C364" s="477"/>
      <c r="D364" s="422" t="s">
        <v>1457</v>
      </c>
      <c r="E364" s="473" t="s">
        <v>426</v>
      </c>
      <c r="F364" s="416">
        <v>10.836</v>
      </c>
      <c r="G364" s="473">
        <v>2000</v>
      </c>
      <c r="H364" s="416">
        <v>316</v>
      </c>
      <c r="I364" s="473" t="s">
        <v>431</v>
      </c>
      <c r="J364" s="416">
        <v>19028</v>
      </c>
      <c r="K364" s="415">
        <v>59138</v>
      </c>
      <c r="L364" s="415">
        <v>40000</v>
      </c>
      <c r="M364" s="415" t="s">
        <v>767</v>
      </c>
      <c r="N364" s="472">
        <v>1.92</v>
      </c>
      <c r="O364" s="471">
        <f>IF(N364&gt;0,1/N364*37.7*68.6,"")</f>
        <v>1346.9895833333333</v>
      </c>
      <c r="P364" s="470">
        <v>2.0099999999999998</v>
      </c>
      <c r="Q364" s="469" t="s">
        <v>435</v>
      </c>
      <c r="R364" s="415" t="s">
        <v>427</v>
      </c>
      <c r="S364" s="415" t="s">
        <v>448</v>
      </c>
      <c r="T364" s="415" t="s">
        <v>1452</v>
      </c>
      <c r="U364" s="480" t="s">
        <v>1452</v>
      </c>
      <c r="V364" s="468" t="str">
        <f>IF(N364&lt;&gt;0, IF(N364&gt;=P364,ROUNDDOWN(N364/P364*100,0),""),"")</f>
        <v/>
      </c>
    </row>
    <row r="365" spans="1:22" s="461" customFormat="1" ht="23.1" customHeight="1">
      <c r="A365" s="481"/>
      <c r="B365" s="410"/>
      <c r="C365" s="477"/>
      <c r="D365" s="422" t="s">
        <v>1460</v>
      </c>
      <c r="E365" s="473" t="s">
        <v>426</v>
      </c>
      <c r="F365" s="416">
        <v>10.836</v>
      </c>
      <c r="G365" s="473">
        <v>2000</v>
      </c>
      <c r="H365" s="416">
        <v>316</v>
      </c>
      <c r="I365" s="473" t="s">
        <v>431</v>
      </c>
      <c r="J365" s="416">
        <v>19028</v>
      </c>
      <c r="K365" s="415">
        <v>59138</v>
      </c>
      <c r="L365" s="415">
        <v>40000</v>
      </c>
      <c r="M365" s="415" t="s">
        <v>767</v>
      </c>
      <c r="N365" s="472">
        <v>1.96</v>
      </c>
      <c r="O365" s="471">
        <f>IF(N365&gt;0,1/N365*37.7*68.6,"")</f>
        <v>1319.5000000000002</v>
      </c>
      <c r="P365" s="470">
        <v>2.0099999999999998</v>
      </c>
      <c r="Q365" s="469" t="s">
        <v>432</v>
      </c>
      <c r="R365" s="415" t="s">
        <v>427</v>
      </c>
      <c r="S365" s="415" t="s">
        <v>454</v>
      </c>
      <c r="T365" s="415" t="s">
        <v>1452</v>
      </c>
      <c r="U365" s="480" t="s">
        <v>1452</v>
      </c>
      <c r="V365" s="468" t="str">
        <f>IF(N365&lt;&gt;0, IF(N365&gt;=P365,ROUNDDOWN(N365/P365*100,0),""),"")</f>
        <v/>
      </c>
    </row>
    <row r="366" spans="1:22" s="461" customFormat="1" ht="23.1" customHeight="1">
      <c r="A366" s="481"/>
      <c r="B366" s="410"/>
      <c r="C366" s="477"/>
      <c r="D366" s="422" t="s">
        <v>1460</v>
      </c>
      <c r="E366" s="473" t="s">
        <v>426</v>
      </c>
      <c r="F366" s="416">
        <v>10.836</v>
      </c>
      <c r="G366" s="473">
        <v>2000</v>
      </c>
      <c r="H366" s="416">
        <v>316</v>
      </c>
      <c r="I366" s="473" t="s">
        <v>431</v>
      </c>
      <c r="J366" s="416">
        <v>19028</v>
      </c>
      <c r="K366" s="415">
        <v>59138</v>
      </c>
      <c r="L366" s="415">
        <v>40000</v>
      </c>
      <c r="M366" s="415" t="s">
        <v>767</v>
      </c>
      <c r="N366" s="472">
        <v>1.92</v>
      </c>
      <c r="O366" s="471">
        <f>IF(N366&gt;0,1/N366*37.7*68.6,"")</f>
        <v>1346.9895833333333</v>
      </c>
      <c r="P366" s="470">
        <v>2.0099999999999998</v>
      </c>
      <c r="Q366" s="469" t="s">
        <v>435</v>
      </c>
      <c r="R366" s="415" t="s">
        <v>427</v>
      </c>
      <c r="S366" s="415" t="s">
        <v>454</v>
      </c>
      <c r="T366" s="415" t="s">
        <v>1452</v>
      </c>
      <c r="U366" s="480" t="s">
        <v>1452</v>
      </c>
      <c r="V366" s="468" t="str">
        <f>IF(N366&lt;&gt;0, IF(N366&gt;=P366,ROUNDDOWN(N366/P366*100,0),""),"")</f>
        <v/>
      </c>
    </row>
    <row r="367" spans="1:22" s="461" customFormat="1" ht="23.1" customHeight="1">
      <c r="A367" s="481"/>
      <c r="B367" s="410"/>
      <c r="C367" s="477"/>
      <c r="D367" s="422" t="s">
        <v>1459</v>
      </c>
      <c r="E367" s="473" t="s">
        <v>426</v>
      </c>
      <c r="F367" s="416">
        <v>10.836</v>
      </c>
      <c r="G367" s="473">
        <v>2250</v>
      </c>
      <c r="H367" s="416">
        <v>339</v>
      </c>
      <c r="I367" s="473" t="s">
        <v>431</v>
      </c>
      <c r="J367" s="416">
        <v>19028</v>
      </c>
      <c r="K367" s="415">
        <v>59138</v>
      </c>
      <c r="L367" s="415">
        <v>40000</v>
      </c>
      <c r="M367" s="415" t="s">
        <v>767</v>
      </c>
      <c r="N367" s="472">
        <v>1.96</v>
      </c>
      <c r="O367" s="471">
        <f>IF(N367&gt;0,1/N367*37.7*68.6,"")</f>
        <v>1319.5000000000002</v>
      </c>
      <c r="P367" s="470">
        <v>2.0099999999999998</v>
      </c>
      <c r="Q367" s="469" t="s">
        <v>432</v>
      </c>
      <c r="R367" s="415" t="s">
        <v>427</v>
      </c>
      <c r="S367" s="415" t="s">
        <v>448</v>
      </c>
      <c r="T367" s="415" t="s">
        <v>1452</v>
      </c>
      <c r="U367" s="480" t="s">
        <v>1452</v>
      </c>
      <c r="V367" s="468" t="str">
        <f>IF(N367&lt;&gt;0, IF(N367&gt;=P367,ROUNDDOWN(N367/P367*100,0),""),"")</f>
        <v/>
      </c>
    </row>
    <row r="368" spans="1:22" s="461" customFormat="1" ht="23.1" customHeight="1">
      <c r="A368" s="481"/>
      <c r="B368" s="410"/>
      <c r="C368" s="477"/>
      <c r="D368" s="422" t="s">
        <v>1459</v>
      </c>
      <c r="E368" s="473" t="s">
        <v>426</v>
      </c>
      <c r="F368" s="416">
        <v>10.836</v>
      </c>
      <c r="G368" s="473">
        <v>2250</v>
      </c>
      <c r="H368" s="416">
        <v>339</v>
      </c>
      <c r="I368" s="473" t="s">
        <v>431</v>
      </c>
      <c r="J368" s="416">
        <v>19028</v>
      </c>
      <c r="K368" s="415">
        <v>59138</v>
      </c>
      <c r="L368" s="415">
        <v>40000</v>
      </c>
      <c r="M368" s="415" t="s">
        <v>767</v>
      </c>
      <c r="N368" s="472">
        <v>1.92</v>
      </c>
      <c r="O368" s="471">
        <f>IF(N368&gt;0,1/N368*37.7*68.6,"")</f>
        <v>1346.9895833333333</v>
      </c>
      <c r="P368" s="470">
        <v>2.0099999999999998</v>
      </c>
      <c r="Q368" s="469" t="s">
        <v>435</v>
      </c>
      <c r="R368" s="415" t="s">
        <v>427</v>
      </c>
      <c r="S368" s="415" t="s">
        <v>448</v>
      </c>
      <c r="T368" s="415" t="s">
        <v>1452</v>
      </c>
      <c r="U368" s="480" t="s">
        <v>1452</v>
      </c>
      <c r="V368" s="468" t="str">
        <f>IF(N368&lt;&gt;0, IF(N368&gt;=P368,ROUNDDOWN(N368/P368*100,0),""),"")</f>
        <v/>
      </c>
    </row>
    <row r="369" spans="1:22" s="461" customFormat="1" ht="23.1" customHeight="1">
      <c r="A369" s="481"/>
      <c r="B369" s="410"/>
      <c r="C369" s="477"/>
      <c r="D369" s="422" t="s">
        <v>1458</v>
      </c>
      <c r="E369" s="473" t="s">
        <v>426</v>
      </c>
      <c r="F369" s="416">
        <v>10.836</v>
      </c>
      <c r="G369" s="473">
        <v>2250</v>
      </c>
      <c r="H369" s="416">
        <v>339</v>
      </c>
      <c r="I369" s="473" t="s">
        <v>431</v>
      </c>
      <c r="J369" s="416">
        <v>19028</v>
      </c>
      <c r="K369" s="415">
        <v>59138</v>
      </c>
      <c r="L369" s="415">
        <v>40000</v>
      </c>
      <c r="M369" s="415" t="s">
        <v>767</v>
      </c>
      <c r="N369" s="472">
        <v>1.96</v>
      </c>
      <c r="O369" s="471">
        <f>IF(N369&gt;0,1/N369*37.7*68.6,"")</f>
        <v>1319.5000000000002</v>
      </c>
      <c r="P369" s="470">
        <v>2.0099999999999998</v>
      </c>
      <c r="Q369" s="469" t="s">
        <v>432</v>
      </c>
      <c r="R369" s="415" t="s">
        <v>427</v>
      </c>
      <c r="S369" s="415" t="s">
        <v>448</v>
      </c>
      <c r="T369" s="415" t="s">
        <v>1452</v>
      </c>
      <c r="U369" s="480" t="s">
        <v>1452</v>
      </c>
      <c r="V369" s="468" t="str">
        <f>IF(N369&lt;&gt;0, IF(N369&gt;=P369,ROUNDDOWN(N369/P369*100,0),""),"")</f>
        <v/>
      </c>
    </row>
    <row r="370" spans="1:22" s="461" customFormat="1" ht="23.1" customHeight="1">
      <c r="A370" s="481"/>
      <c r="B370" s="410"/>
      <c r="C370" s="477"/>
      <c r="D370" s="422" t="s">
        <v>1458</v>
      </c>
      <c r="E370" s="473" t="s">
        <v>426</v>
      </c>
      <c r="F370" s="416">
        <v>10.836</v>
      </c>
      <c r="G370" s="473">
        <v>2250</v>
      </c>
      <c r="H370" s="416">
        <v>339</v>
      </c>
      <c r="I370" s="473" t="s">
        <v>431</v>
      </c>
      <c r="J370" s="416">
        <v>19028</v>
      </c>
      <c r="K370" s="415">
        <v>59138</v>
      </c>
      <c r="L370" s="415">
        <v>40000</v>
      </c>
      <c r="M370" s="415" t="s">
        <v>767</v>
      </c>
      <c r="N370" s="472">
        <v>1.92</v>
      </c>
      <c r="O370" s="471">
        <f>IF(N370&gt;0,1/N370*37.7*68.6,"")</f>
        <v>1346.9895833333333</v>
      </c>
      <c r="P370" s="470">
        <v>2.0099999999999998</v>
      </c>
      <c r="Q370" s="469" t="s">
        <v>435</v>
      </c>
      <c r="R370" s="415" t="s">
        <v>427</v>
      </c>
      <c r="S370" s="415" t="s">
        <v>448</v>
      </c>
      <c r="T370" s="415" t="s">
        <v>1452</v>
      </c>
      <c r="U370" s="480" t="s">
        <v>1452</v>
      </c>
      <c r="V370" s="468" t="str">
        <f>IF(N370&lt;&gt;0, IF(N370&gt;=P370,ROUNDDOWN(N370/P370*100,0),""),"")</f>
        <v/>
      </c>
    </row>
    <row r="371" spans="1:22" s="461" customFormat="1" ht="23.1" customHeight="1">
      <c r="A371" s="481"/>
      <c r="B371" s="410"/>
      <c r="C371" s="477"/>
      <c r="D371" s="422" t="s">
        <v>1457</v>
      </c>
      <c r="E371" s="473" t="s">
        <v>426</v>
      </c>
      <c r="F371" s="416">
        <v>10.836</v>
      </c>
      <c r="G371" s="473">
        <v>2250</v>
      </c>
      <c r="H371" s="416">
        <v>339</v>
      </c>
      <c r="I371" s="473" t="s">
        <v>431</v>
      </c>
      <c r="J371" s="416">
        <v>19028</v>
      </c>
      <c r="K371" s="415">
        <v>59138</v>
      </c>
      <c r="L371" s="415">
        <v>40000</v>
      </c>
      <c r="M371" s="415" t="s">
        <v>767</v>
      </c>
      <c r="N371" s="472">
        <v>1.96</v>
      </c>
      <c r="O371" s="471">
        <f>IF(N371&gt;0,1/N371*37.7*68.6,"")</f>
        <v>1319.5000000000002</v>
      </c>
      <c r="P371" s="470">
        <v>2.0099999999999998</v>
      </c>
      <c r="Q371" s="469" t="s">
        <v>432</v>
      </c>
      <c r="R371" s="415" t="s">
        <v>427</v>
      </c>
      <c r="S371" s="415" t="s">
        <v>448</v>
      </c>
      <c r="T371" s="415" t="s">
        <v>1452</v>
      </c>
      <c r="U371" s="480" t="s">
        <v>1452</v>
      </c>
      <c r="V371" s="468" t="str">
        <f>IF(N371&lt;&gt;0, IF(N371&gt;=P371,ROUNDDOWN(N371/P371*100,0),""),"")</f>
        <v/>
      </c>
    </row>
    <row r="372" spans="1:22" s="461" customFormat="1" ht="23.1" customHeight="1">
      <c r="A372" s="481"/>
      <c r="B372" s="410"/>
      <c r="C372" s="477"/>
      <c r="D372" s="422" t="s">
        <v>1457</v>
      </c>
      <c r="E372" s="473" t="s">
        <v>426</v>
      </c>
      <c r="F372" s="416">
        <v>10.836</v>
      </c>
      <c r="G372" s="473">
        <v>2250</v>
      </c>
      <c r="H372" s="416">
        <v>339</v>
      </c>
      <c r="I372" s="473" t="s">
        <v>431</v>
      </c>
      <c r="J372" s="416">
        <v>19028</v>
      </c>
      <c r="K372" s="415">
        <v>59138</v>
      </c>
      <c r="L372" s="415">
        <v>40000</v>
      </c>
      <c r="M372" s="415" t="s">
        <v>767</v>
      </c>
      <c r="N372" s="472">
        <v>1.92</v>
      </c>
      <c r="O372" s="471">
        <f>IF(N372&gt;0,1/N372*37.7*68.6,"")</f>
        <v>1346.9895833333333</v>
      </c>
      <c r="P372" s="470">
        <v>2.0099999999999998</v>
      </c>
      <c r="Q372" s="469" t="s">
        <v>435</v>
      </c>
      <c r="R372" s="415" t="s">
        <v>427</v>
      </c>
      <c r="S372" s="415" t="s">
        <v>448</v>
      </c>
      <c r="T372" s="415" t="s">
        <v>1452</v>
      </c>
      <c r="U372" s="480" t="s">
        <v>1452</v>
      </c>
      <c r="V372" s="468" t="str">
        <f>IF(N372&lt;&gt;0, IF(N372&gt;=P372,ROUNDDOWN(N372/P372*100,0),""),"")</f>
        <v/>
      </c>
    </row>
    <row r="373" spans="1:22" s="461" customFormat="1" ht="23.1" customHeight="1">
      <c r="A373" s="479"/>
      <c r="B373" s="478"/>
      <c r="C373" s="477"/>
      <c r="D373" s="422" t="s">
        <v>1456</v>
      </c>
      <c r="E373" s="473" t="s">
        <v>426</v>
      </c>
      <c r="F373" s="416">
        <v>10.836</v>
      </c>
      <c r="G373" s="416">
        <v>1750</v>
      </c>
      <c r="H373" s="416">
        <v>265</v>
      </c>
      <c r="I373" s="473" t="s">
        <v>246</v>
      </c>
      <c r="J373" s="416">
        <v>8688</v>
      </c>
      <c r="K373" s="415">
        <v>19887</v>
      </c>
      <c r="L373" s="415">
        <v>11089</v>
      </c>
      <c r="M373" s="415" t="s">
        <v>1454</v>
      </c>
      <c r="N373" s="472">
        <v>4.0999999999999996</v>
      </c>
      <c r="O373" s="471">
        <f>IF(N373&gt;0,1/N373*37.7*68.6,"")</f>
        <v>630.78536585365862</v>
      </c>
      <c r="P373" s="470">
        <v>4.1500000000000004</v>
      </c>
      <c r="Q373" s="469" t="s">
        <v>435</v>
      </c>
      <c r="R373" s="415" t="s">
        <v>427</v>
      </c>
      <c r="S373" s="415" t="s">
        <v>110</v>
      </c>
      <c r="T373" s="415" t="s">
        <v>1452</v>
      </c>
      <c r="U373" s="414" t="s">
        <v>1452</v>
      </c>
      <c r="V373" s="468" t="str">
        <f>IF(N373&lt;&gt;0, IF(N373&gt;=P373,ROUNDDOWN(N373/P373*100,0),""),"")</f>
        <v/>
      </c>
    </row>
    <row r="374" spans="1:22" s="461" customFormat="1" ht="23.1" customHeight="1">
      <c r="A374" s="476"/>
      <c r="B374" s="475"/>
      <c r="C374" s="474"/>
      <c r="D374" s="422" t="s">
        <v>1455</v>
      </c>
      <c r="E374" s="473" t="s">
        <v>426</v>
      </c>
      <c r="F374" s="416">
        <v>10.836</v>
      </c>
      <c r="G374" s="416">
        <v>1900</v>
      </c>
      <c r="H374" s="416">
        <v>309</v>
      </c>
      <c r="I374" s="473" t="s">
        <v>246</v>
      </c>
      <c r="J374" s="416">
        <v>8765</v>
      </c>
      <c r="K374" s="415">
        <v>24405</v>
      </c>
      <c r="L374" s="415">
        <v>15530</v>
      </c>
      <c r="M374" s="415" t="s">
        <v>1454</v>
      </c>
      <c r="N374" s="472">
        <v>3.95</v>
      </c>
      <c r="O374" s="471">
        <f>IF(N374&gt;0,1/N374*37.7*68.6,"")</f>
        <v>654.739240506329</v>
      </c>
      <c r="P374" s="470">
        <v>4.04</v>
      </c>
      <c r="Q374" s="469" t="s">
        <v>435</v>
      </c>
      <c r="R374" s="415" t="s">
        <v>427</v>
      </c>
      <c r="S374" s="415" t="s">
        <v>1453</v>
      </c>
      <c r="T374" s="415" t="s">
        <v>1452</v>
      </c>
      <c r="U374" s="414" t="s">
        <v>1452</v>
      </c>
      <c r="V374" s="468" t="str">
        <f>IF(N374&lt;&gt;0, IF(N374&gt;=P374,ROUNDDOWN(N374/P374*100,0),""),"")</f>
        <v/>
      </c>
    </row>
    <row r="375" spans="1:22" s="461" customFormat="1" ht="12.75">
      <c r="A375" s="467"/>
      <c r="B375" s="455"/>
      <c r="C375" s="455"/>
      <c r="D375" s="466"/>
      <c r="E375" s="456"/>
      <c r="F375" s="456"/>
      <c r="G375" s="456"/>
      <c r="H375" s="456"/>
      <c r="I375" s="456"/>
      <c r="J375" s="456"/>
      <c r="K375" s="456"/>
      <c r="L375" s="456"/>
      <c r="M375" s="456"/>
      <c r="N375" s="465"/>
      <c r="O375" s="464"/>
      <c r="P375" s="463"/>
      <c r="Q375" s="462"/>
      <c r="R375" s="456"/>
      <c r="S375" s="456"/>
      <c r="T375" s="456"/>
      <c r="U375" s="455"/>
      <c r="V375" s="455"/>
    </row>
    <row r="376" spans="1:22" s="461" customFormat="1" ht="12.75">
      <c r="A376" s="467"/>
      <c r="B376" s="410" t="s">
        <v>1451</v>
      </c>
      <c r="C376" s="410" t="s">
        <v>1450</v>
      </c>
      <c r="D376" s="466"/>
      <c r="E376" s="456"/>
      <c r="F376" s="456"/>
      <c r="G376" s="456"/>
      <c r="H376" s="456"/>
      <c r="I376" s="456"/>
      <c r="J376" s="456"/>
      <c r="K376" s="456"/>
      <c r="L376" s="456"/>
      <c r="M376" s="456"/>
      <c r="N376" s="465"/>
      <c r="O376" s="464"/>
      <c r="P376" s="463"/>
      <c r="Q376" s="462"/>
      <c r="R376" s="456"/>
      <c r="S376" s="456"/>
      <c r="T376" s="456"/>
      <c r="U376" s="455"/>
      <c r="V376" s="455"/>
    </row>
    <row r="377" spans="1:22" s="461" customFormat="1" ht="12.75">
      <c r="A377" s="467"/>
      <c r="C377" s="410" t="s">
        <v>1449</v>
      </c>
      <c r="D377" s="466"/>
      <c r="E377" s="456"/>
      <c r="F377" s="456"/>
      <c r="G377" s="456"/>
      <c r="H377" s="456"/>
      <c r="I377" s="456"/>
      <c r="J377" s="456"/>
      <c r="K377" s="456"/>
      <c r="L377" s="456"/>
      <c r="M377" s="456"/>
      <c r="N377" s="465"/>
      <c r="O377" s="464"/>
      <c r="P377" s="463"/>
      <c r="Q377" s="462"/>
      <c r="R377" s="456"/>
      <c r="S377" s="456"/>
      <c r="T377" s="456"/>
      <c r="U377" s="455"/>
      <c r="V377" s="455"/>
    </row>
    <row r="378" spans="1:22" s="454" customFormat="1" ht="12">
      <c r="A378" s="410"/>
      <c r="B378" s="410"/>
      <c r="C378" s="410" t="s">
        <v>1448</v>
      </c>
      <c r="D378" s="460"/>
      <c r="E378" s="455"/>
      <c r="F378" s="455"/>
      <c r="G378" s="455"/>
      <c r="H378" s="455"/>
      <c r="I378" s="455"/>
      <c r="J378" s="455"/>
      <c r="K378" s="455"/>
      <c r="L378" s="455"/>
      <c r="M378" s="455"/>
      <c r="N378" s="459"/>
      <c r="O378" s="458"/>
      <c r="P378" s="457"/>
      <c r="Q378" s="456"/>
      <c r="R378" s="455"/>
      <c r="S378" s="455"/>
      <c r="T378" s="455"/>
      <c r="U378" s="455"/>
      <c r="V378" s="455"/>
    </row>
    <row r="379" spans="1:22" s="454" customFormat="1" ht="12">
      <c r="A379" s="410"/>
      <c r="B379" s="410"/>
      <c r="C379" s="410" t="s">
        <v>1447</v>
      </c>
      <c r="D379" s="460"/>
      <c r="E379" s="455"/>
      <c r="F379" s="455"/>
      <c r="G379" s="455"/>
      <c r="H379" s="455"/>
      <c r="I379" s="455"/>
      <c r="J379" s="455"/>
      <c r="K379" s="455"/>
      <c r="L379" s="455"/>
      <c r="M379" s="455"/>
      <c r="N379" s="459"/>
      <c r="O379" s="458"/>
      <c r="P379" s="457"/>
      <c r="Q379" s="456"/>
      <c r="R379" s="455"/>
      <c r="S379" s="455"/>
      <c r="T379" s="455"/>
      <c r="U379" s="455"/>
      <c r="V379" s="455"/>
    </row>
    <row r="380" spans="1:22" s="454" customFormat="1" ht="12">
      <c r="A380" s="410"/>
      <c r="B380" s="410"/>
      <c r="C380" s="410"/>
      <c r="D380" s="460"/>
      <c r="E380" s="455"/>
      <c r="F380" s="455"/>
      <c r="G380" s="455"/>
      <c r="H380" s="455"/>
      <c r="I380" s="455"/>
      <c r="J380" s="455"/>
      <c r="K380" s="455"/>
      <c r="L380" s="455"/>
      <c r="M380" s="455"/>
      <c r="N380" s="459"/>
      <c r="O380" s="458"/>
      <c r="P380" s="457"/>
      <c r="Q380" s="456"/>
      <c r="R380" s="455"/>
      <c r="S380" s="455"/>
      <c r="T380" s="455"/>
      <c r="U380" s="455"/>
      <c r="V380" s="455"/>
    </row>
  </sheetData>
  <sheetProtection selectLockedCells="1"/>
  <mergeCells count="24">
    <mergeCell ref="G6:G8"/>
    <mergeCell ref="H6:H8"/>
    <mergeCell ref="R6:R8"/>
    <mergeCell ref="S6:S8"/>
    <mergeCell ref="J4:J8"/>
    <mergeCell ref="K4:K8"/>
    <mergeCell ref="L4:L8"/>
    <mergeCell ref="M4:M8"/>
    <mergeCell ref="S2:V2"/>
    <mergeCell ref="T6:T8"/>
    <mergeCell ref="N4:P4"/>
    <mergeCell ref="Q4:Q8"/>
    <mergeCell ref="R4:T5"/>
    <mergeCell ref="U4:U8"/>
    <mergeCell ref="A4:A8"/>
    <mergeCell ref="B4:C8"/>
    <mergeCell ref="D4:D8"/>
    <mergeCell ref="E4:H5"/>
    <mergeCell ref="I4:I8"/>
    <mergeCell ref="V4:V8"/>
    <mergeCell ref="N5:N8"/>
    <mergeCell ref="O5:O8"/>
    <mergeCell ref="P5:P8"/>
    <mergeCell ref="F6:F8"/>
  </mergeCells>
  <phoneticPr fontId="8"/>
  <printOptions horizontalCentered="1"/>
  <pageMargins left="0.39370078740157483" right="0.39370078740157483" top="0.39370078740157483" bottom="0.39370078740157483" header="0.19685039370078741" footer="0.39370078740157483"/>
  <pageSetup paperSize="9" scale="83" fitToHeight="0" orientation="landscape" horizontalDpi="400" verticalDpi="400" r:id="rId1"/>
  <headerFooter alignWithMargins="0">
    <oddHeader>&amp;R様式3-4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C4BB-A557-4816-96A5-3ADF6D0695BF}">
  <sheetPr>
    <tabColor theme="6"/>
    <pageSetUpPr fitToPage="1"/>
  </sheetPr>
  <dimension ref="A1:Y86"/>
  <sheetViews>
    <sheetView showGridLines="0" zoomScaleNormal="100" zoomScaleSheetLayoutView="100" workbookViewId="0">
      <selection activeCell="K18" sqref="K18"/>
    </sheetView>
  </sheetViews>
  <sheetFormatPr defaultRowHeight="11.25"/>
  <cols>
    <col min="1" max="1" width="8.625" style="3" customWidth="1"/>
    <col min="2" max="2" width="2.875" style="3" customWidth="1"/>
    <col min="3" max="3" width="7" style="3" customWidth="1"/>
    <col min="4" max="4" width="12.5" style="3" customWidth="1"/>
    <col min="5" max="8" width="5.75" style="3" customWidth="1"/>
    <col min="9" max="9" width="9.25" style="3" customWidth="1"/>
    <col min="10" max="11" width="7.125" style="3" customWidth="1"/>
    <col min="12" max="12" width="8.125" style="3" customWidth="1"/>
    <col min="13" max="13" width="5.875" style="3" customWidth="1"/>
    <col min="14" max="14" width="6.125" style="3" customWidth="1"/>
    <col min="15" max="16" width="9.75" style="3" customWidth="1"/>
    <col min="17" max="17" width="7.5" style="3" customWidth="1"/>
    <col min="18" max="18" width="11.375" style="3" customWidth="1"/>
    <col min="19" max="19" width="8.875" style="3" customWidth="1"/>
    <col min="20" max="20" width="9" style="3" customWidth="1"/>
    <col min="21" max="21" width="8.125" style="3" bestFit="1" customWidth="1"/>
    <col min="22" max="22" width="9.625" style="10" customWidth="1"/>
    <col min="23" max="256" width="9" style="3"/>
    <col min="257" max="257" width="16.25" style="3" customWidth="1"/>
    <col min="258" max="258" width="4.625" style="3" bestFit="1" customWidth="1"/>
    <col min="259" max="259" width="26.875" style="3" customWidth="1"/>
    <col min="260" max="260" width="12.75" style="3" bestFit="1" customWidth="1"/>
    <col min="261" max="261" width="8.625" style="3" bestFit="1" customWidth="1"/>
    <col min="262" max="262" width="8.5" style="3" bestFit="1" customWidth="1"/>
    <col min="263" max="263" width="10.625" style="3" bestFit="1" customWidth="1"/>
    <col min="264" max="264" width="10" style="3" bestFit="1" customWidth="1"/>
    <col min="265" max="265" width="12.5" style="3" bestFit="1" customWidth="1"/>
    <col min="266" max="266" width="7.125" style="3" customWidth="1"/>
    <col min="267" max="267" width="9.875" style="3" customWidth="1"/>
    <col min="268" max="268" width="10.75" style="3" customWidth="1"/>
    <col min="269" max="269" width="9.75" style="3" bestFit="1" customWidth="1"/>
    <col min="270" max="270" width="6.125" style="3" customWidth="1"/>
    <col min="271" max="271" width="9.5" style="3" bestFit="1" customWidth="1"/>
    <col min="272" max="272" width="7.75" style="3" customWidth="1"/>
    <col min="273" max="273" width="17.125" style="3" bestFit="1" customWidth="1"/>
    <col min="274" max="274" width="16.25" style="3" bestFit="1" customWidth="1"/>
    <col min="275" max="275" width="11.375" style="3" bestFit="1" customWidth="1"/>
    <col min="276" max="276" width="9.625" style="3" customWidth="1"/>
    <col min="277" max="277" width="13.25" style="3" bestFit="1" customWidth="1"/>
    <col min="278" max="278" width="9.625" style="3" customWidth="1"/>
    <col min="279" max="512" width="9" style="3"/>
    <col min="513" max="513" width="16.25" style="3" customWidth="1"/>
    <col min="514" max="514" width="4.625" style="3" bestFit="1" customWidth="1"/>
    <col min="515" max="515" width="26.875" style="3" customWidth="1"/>
    <col min="516" max="516" width="12.75" style="3" bestFit="1" customWidth="1"/>
    <col min="517" max="517" width="8.625" style="3" bestFit="1" customWidth="1"/>
    <col min="518" max="518" width="8.5" style="3" bestFit="1" customWidth="1"/>
    <col min="519" max="519" width="10.625" style="3" bestFit="1" customWidth="1"/>
    <col min="520" max="520" width="10" style="3" bestFit="1" customWidth="1"/>
    <col min="521" max="521" width="12.5" style="3" bestFit="1" customWidth="1"/>
    <col min="522" max="522" width="7.125" style="3" customWidth="1"/>
    <col min="523" max="523" width="9.875" style="3" customWidth="1"/>
    <col min="524" max="524" width="10.75" style="3" customWidth="1"/>
    <col min="525" max="525" width="9.75" style="3" bestFit="1" customWidth="1"/>
    <col min="526" max="526" width="6.125" style="3" customWidth="1"/>
    <col min="527" max="527" width="9.5" style="3" bestFit="1" customWidth="1"/>
    <col min="528" max="528" width="7.75" style="3" customWidth="1"/>
    <col min="529" max="529" width="17.125" style="3" bestFit="1" customWidth="1"/>
    <col min="530" max="530" width="16.25" style="3" bestFit="1" customWidth="1"/>
    <col min="531" max="531" width="11.375" style="3" bestFit="1" customWidth="1"/>
    <col min="532" max="532" width="9.625" style="3" customWidth="1"/>
    <col min="533" max="533" width="13.25" style="3" bestFit="1" customWidth="1"/>
    <col min="534" max="534" width="9.625" style="3" customWidth="1"/>
    <col min="535" max="768" width="9" style="3"/>
    <col min="769" max="769" width="16.25" style="3" customWidth="1"/>
    <col min="770" max="770" width="4.625" style="3" bestFit="1" customWidth="1"/>
    <col min="771" max="771" width="26.875" style="3" customWidth="1"/>
    <col min="772" max="772" width="12.75" style="3" bestFit="1" customWidth="1"/>
    <col min="773" max="773" width="8.625" style="3" bestFit="1" customWidth="1"/>
    <col min="774" max="774" width="8.5" style="3" bestFit="1" customWidth="1"/>
    <col min="775" max="775" width="10.625" style="3" bestFit="1" customWidth="1"/>
    <col min="776" max="776" width="10" style="3" bestFit="1" customWidth="1"/>
    <col min="777" max="777" width="12.5" style="3" bestFit="1" customWidth="1"/>
    <col min="778" max="778" width="7.125" style="3" customWidth="1"/>
    <col min="779" max="779" width="9.875" style="3" customWidth="1"/>
    <col min="780" max="780" width="10.75" style="3" customWidth="1"/>
    <col min="781" max="781" width="9.75" style="3" bestFit="1" customWidth="1"/>
    <col min="782" max="782" width="6.125" style="3" customWidth="1"/>
    <col min="783" max="783" width="9.5" style="3" bestFit="1" customWidth="1"/>
    <col min="784" max="784" width="7.75" style="3" customWidth="1"/>
    <col min="785" max="785" width="17.125" style="3" bestFit="1" customWidth="1"/>
    <col min="786" max="786" width="16.25" style="3" bestFit="1" customWidth="1"/>
    <col min="787" max="787" width="11.375" style="3" bestFit="1" customWidth="1"/>
    <col min="788" max="788" width="9.625" style="3" customWidth="1"/>
    <col min="789" max="789" width="13.25" style="3" bestFit="1" customWidth="1"/>
    <col min="790" max="790" width="9.625" style="3" customWidth="1"/>
    <col min="791" max="1024" width="9" style="3"/>
    <col min="1025" max="1025" width="16.25" style="3" customWidth="1"/>
    <col min="1026" max="1026" width="4.625" style="3" bestFit="1" customWidth="1"/>
    <col min="1027" max="1027" width="26.875" style="3" customWidth="1"/>
    <col min="1028" max="1028" width="12.75" style="3" bestFit="1" customWidth="1"/>
    <col min="1029" max="1029" width="8.625" style="3" bestFit="1" customWidth="1"/>
    <col min="1030" max="1030" width="8.5" style="3" bestFit="1" customWidth="1"/>
    <col min="1031" max="1031" width="10.625" style="3" bestFit="1" customWidth="1"/>
    <col min="1032" max="1032" width="10" style="3" bestFit="1" customWidth="1"/>
    <col min="1033" max="1033" width="12.5" style="3" bestFit="1" customWidth="1"/>
    <col min="1034" max="1034" width="7.125" style="3" customWidth="1"/>
    <col min="1035" max="1035" width="9.875" style="3" customWidth="1"/>
    <col min="1036" max="1036" width="10.75" style="3" customWidth="1"/>
    <col min="1037" max="1037" width="9.75" style="3" bestFit="1" customWidth="1"/>
    <col min="1038" max="1038" width="6.125" style="3" customWidth="1"/>
    <col min="1039" max="1039" width="9.5" style="3" bestFit="1" customWidth="1"/>
    <col min="1040" max="1040" width="7.75" style="3" customWidth="1"/>
    <col min="1041" max="1041" width="17.125" style="3" bestFit="1" customWidth="1"/>
    <col min="1042" max="1042" width="16.25" style="3" bestFit="1" customWidth="1"/>
    <col min="1043" max="1043" width="11.375" style="3" bestFit="1" customWidth="1"/>
    <col min="1044" max="1044" width="9.625" style="3" customWidth="1"/>
    <col min="1045" max="1045" width="13.25" style="3" bestFit="1" customWidth="1"/>
    <col min="1046" max="1046" width="9.625" style="3" customWidth="1"/>
    <col min="1047" max="1280" width="9" style="3"/>
    <col min="1281" max="1281" width="16.25" style="3" customWidth="1"/>
    <col min="1282" max="1282" width="4.625" style="3" bestFit="1" customWidth="1"/>
    <col min="1283" max="1283" width="26.875" style="3" customWidth="1"/>
    <col min="1284" max="1284" width="12.75" style="3" bestFit="1" customWidth="1"/>
    <col min="1285" max="1285" width="8.625" style="3" bestFit="1" customWidth="1"/>
    <col min="1286" max="1286" width="8.5" style="3" bestFit="1" customWidth="1"/>
    <col min="1287" max="1287" width="10.625" style="3" bestFit="1" customWidth="1"/>
    <col min="1288" max="1288" width="10" style="3" bestFit="1" customWidth="1"/>
    <col min="1289" max="1289" width="12.5" style="3" bestFit="1" customWidth="1"/>
    <col min="1290" max="1290" width="7.125" style="3" customWidth="1"/>
    <col min="1291" max="1291" width="9.875" style="3" customWidth="1"/>
    <col min="1292" max="1292" width="10.75" style="3" customWidth="1"/>
    <col min="1293" max="1293" width="9.75" style="3" bestFit="1" customWidth="1"/>
    <col min="1294" max="1294" width="6.125" style="3" customWidth="1"/>
    <col min="1295" max="1295" width="9.5" style="3" bestFit="1" customWidth="1"/>
    <col min="1296" max="1296" width="7.75" style="3" customWidth="1"/>
    <col min="1297" max="1297" width="17.125" style="3" bestFit="1" customWidth="1"/>
    <col min="1298" max="1298" width="16.25" style="3" bestFit="1" customWidth="1"/>
    <col min="1299" max="1299" width="11.375" style="3" bestFit="1" customWidth="1"/>
    <col min="1300" max="1300" width="9.625" style="3" customWidth="1"/>
    <col min="1301" max="1301" width="13.25" style="3" bestFit="1" customWidth="1"/>
    <col min="1302" max="1302" width="9.625" style="3" customWidth="1"/>
    <col min="1303" max="1536" width="9" style="3"/>
    <col min="1537" max="1537" width="16.25" style="3" customWidth="1"/>
    <col min="1538" max="1538" width="4.625" style="3" bestFit="1" customWidth="1"/>
    <col min="1539" max="1539" width="26.875" style="3" customWidth="1"/>
    <col min="1540" max="1540" width="12.75" style="3" bestFit="1" customWidth="1"/>
    <col min="1541" max="1541" width="8.625" style="3" bestFit="1" customWidth="1"/>
    <col min="1542" max="1542" width="8.5" style="3" bestFit="1" customWidth="1"/>
    <col min="1543" max="1543" width="10.625" style="3" bestFit="1" customWidth="1"/>
    <col min="1544" max="1544" width="10" style="3" bestFit="1" customWidth="1"/>
    <col min="1545" max="1545" width="12.5" style="3" bestFit="1" customWidth="1"/>
    <col min="1546" max="1546" width="7.125" style="3" customWidth="1"/>
    <col min="1547" max="1547" width="9.875" style="3" customWidth="1"/>
    <col min="1548" max="1548" width="10.75" style="3" customWidth="1"/>
    <col min="1549" max="1549" width="9.75" style="3" bestFit="1" customWidth="1"/>
    <col min="1550" max="1550" width="6.125" style="3" customWidth="1"/>
    <col min="1551" max="1551" width="9.5" style="3" bestFit="1" customWidth="1"/>
    <col min="1552" max="1552" width="7.75" style="3" customWidth="1"/>
    <col min="1553" max="1553" width="17.125" style="3" bestFit="1" customWidth="1"/>
    <col min="1554" max="1554" width="16.25" style="3" bestFit="1" customWidth="1"/>
    <col min="1555" max="1555" width="11.375" style="3" bestFit="1" customWidth="1"/>
    <col min="1556" max="1556" width="9.625" style="3" customWidth="1"/>
    <col min="1557" max="1557" width="13.25" style="3" bestFit="1" customWidth="1"/>
    <col min="1558" max="1558" width="9.625" style="3" customWidth="1"/>
    <col min="1559" max="1792" width="9" style="3"/>
    <col min="1793" max="1793" width="16.25" style="3" customWidth="1"/>
    <col min="1794" max="1794" width="4.625" style="3" bestFit="1" customWidth="1"/>
    <col min="1795" max="1795" width="26.875" style="3" customWidth="1"/>
    <col min="1796" max="1796" width="12.75" style="3" bestFit="1" customWidth="1"/>
    <col min="1797" max="1797" width="8.625" style="3" bestFit="1" customWidth="1"/>
    <col min="1798" max="1798" width="8.5" style="3" bestFit="1" customWidth="1"/>
    <col min="1799" max="1799" width="10.625" style="3" bestFit="1" customWidth="1"/>
    <col min="1800" max="1800" width="10" style="3" bestFit="1" customWidth="1"/>
    <col min="1801" max="1801" width="12.5" style="3" bestFit="1" customWidth="1"/>
    <col min="1802" max="1802" width="7.125" style="3" customWidth="1"/>
    <col min="1803" max="1803" width="9.875" style="3" customWidth="1"/>
    <col min="1804" max="1804" width="10.75" style="3" customWidth="1"/>
    <col min="1805" max="1805" width="9.75" style="3" bestFit="1" customWidth="1"/>
    <col min="1806" max="1806" width="6.125" style="3" customWidth="1"/>
    <col min="1807" max="1807" width="9.5" style="3" bestFit="1" customWidth="1"/>
    <col min="1808" max="1808" width="7.75" style="3" customWidth="1"/>
    <col min="1809" max="1809" width="17.125" style="3" bestFit="1" customWidth="1"/>
    <col min="1810" max="1810" width="16.25" style="3" bestFit="1" customWidth="1"/>
    <col min="1811" max="1811" width="11.375" style="3" bestFit="1" customWidth="1"/>
    <col min="1812" max="1812" width="9.625" style="3" customWidth="1"/>
    <col min="1813" max="1813" width="13.25" style="3" bestFit="1" customWidth="1"/>
    <col min="1814" max="1814" width="9.625" style="3" customWidth="1"/>
    <col min="1815" max="2048" width="9" style="3"/>
    <col min="2049" max="2049" width="16.25" style="3" customWidth="1"/>
    <col min="2050" max="2050" width="4.625" style="3" bestFit="1" customWidth="1"/>
    <col min="2051" max="2051" width="26.875" style="3" customWidth="1"/>
    <col min="2052" max="2052" width="12.75" style="3" bestFit="1" customWidth="1"/>
    <col min="2053" max="2053" width="8.625" style="3" bestFit="1" customWidth="1"/>
    <col min="2054" max="2054" width="8.5" style="3" bestFit="1" customWidth="1"/>
    <col min="2055" max="2055" width="10.625" style="3" bestFit="1" customWidth="1"/>
    <col min="2056" max="2056" width="10" style="3" bestFit="1" customWidth="1"/>
    <col min="2057" max="2057" width="12.5" style="3" bestFit="1" customWidth="1"/>
    <col min="2058" max="2058" width="7.125" style="3" customWidth="1"/>
    <col min="2059" max="2059" width="9.875" style="3" customWidth="1"/>
    <col min="2060" max="2060" width="10.75" style="3" customWidth="1"/>
    <col min="2061" max="2061" width="9.75" style="3" bestFit="1" customWidth="1"/>
    <col min="2062" max="2062" width="6.125" style="3" customWidth="1"/>
    <col min="2063" max="2063" width="9.5" style="3" bestFit="1" customWidth="1"/>
    <col min="2064" max="2064" width="7.75" style="3" customWidth="1"/>
    <col min="2065" max="2065" width="17.125" style="3" bestFit="1" customWidth="1"/>
    <col min="2066" max="2066" width="16.25" style="3" bestFit="1" customWidth="1"/>
    <col min="2067" max="2067" width="11.375" style="3" bestFit="1" customWidth="1"/>
    <col min="2068" max="2068" width="9.625" style="3" customWidth="1"/>
    <col min="2069" max="2069" width="13.25" style="3" bestFit="1" customWidth="1"/>
    <col min="2070" max="2070" width="9.625" style="3" customWidth="1"/>
    <col min="2071" max="2304" width="9" style="3"/>
    <col min="2305" max="2305" width="16.25" style="3" customWidth="1"/>
    <col min="2306" max="2306" width="4.625" style="3" bestFit="1" customWidth="1"/>
    <col min="2307" max="2307" width="26.875" style="3" customWidth="1"/>
    <col min="2308" max="2308" width="12.75" style="3" bestFit="1" customWidth="1"/>
    <col min="2309" max="2309" width="8.625" style="3" bestFit="1" customWidth="1"/>
    <col min="2310" max="2310" width="8.5" style="3" bestFit="1" customWidth="1"/>
    <col min="2311" max="2311" width="10.625" style="3" bestFit="1" customWidth="1"/>
    <col min="2312" max="2312" width="10" style="3" bestFit="1" customWidth="1"/>
    <col min="2313" max="2313" width="12.5" style="3" bestFit="1" customWidth="1"/>
    <col min="2314" max="2314" width="7.125" style="3" customWidth="1"/>
    <col min="2315" max="2315" width="9.875" style="3" customWidth="1"/>
    <col min="2316" max="2316" width="10.75" style="3" customWidth="1"/>
    <col min="2317" max="2317" width="9.75" style="3" bestFit="1" customWidth="1"/>
    <col min="2318" max="2318" width="6.125" style="3" customWidth="1"/>
    <col min="2319" max="2319" width="9.5" style="3" bestFit="1" customWidth="1"/>
    <col min="2320" max="2320" width="7.75" style="3" customWidth="1"/>
    <col min="2321" max="2321" width="17.125" style="3" bestFit="1" customWidth="1"/>
    <col min="2322" max="2322" width="16.25" style="3" bestFit="1" customWidth="1"/>
    <col min="2323" max="2323" width="11.375" style="3" bestFit="1" customWidth="1"/>
    <col min="2324" max="2324" width="9.625" style="3" customWidth="1"/>
    <col min="2325" max="2325" width="13.25" style="3" bestFit="1" customWidth="1"/>
    <col min="2326" max="2326" width="9.625" style="3" customWidth="1"/>
    <col min="2327" max="2560" width="9" style="3"/>
    <col min="2561" max="2561" width="16.25" style="3" customWidth="1"/>
    <col min="2562" max="2562" width="4.625" style="3" bestFit="1" customWidth="1"/>
    <col min="2563" max="2563" width="26.875" style="3" customWidth="1"/>
    <col min="2564" max="2564" width="12.75" style="3" bestFit="1" customWidth="1"/>
    <col min="2565" max="2565" width="8.625" style="3" bestFit="1" customWidth="1"/>
    <col min="2566" max="2566" width="8.5" style="3" bestFit="1" customWidth="1"/>
    <col min="2567" max="2567" width="10.625" style="3" bestFit="1" customWidth="1"/>
    <col min="2568" max="2568" width="10" style="3" bestFit="1" customWidth="1"/>
    <col min="2569" max="2569" width="12.5" style="3" bestFit="1" customWidth="1"/>
    <col min="2570" max="2570" width="7.125" style="3" customWidth="1"/>
    <col min="2571" max="2571" width="9.875" style="3" customWidth="1"/>
    <col min="2572" max="2572" width="10.75" style="3" customWidth="1"/>
    <col min="2573" max="2573" width="9.75" style="3" bestFit="1" customWidth="1"/>
    <col min="2574" max="2574" width="6.125" style="3" customWidth="1"/>
    <col min="2575" max="2575" width="9.5" style="3" bestFit="1" customWidth="1"/>
    <col min="2576" max="2576" width="7.75" style="3" customWidth="1"/>
    <col min="2577" max="2577" width="17.125" style="3" bestFit="1" customWidth="1"/>
    <col min="2578" max="2578" width="16.25" style="3" bestFit="1" customWidth="1"/>
    <col min="2579" max="2579" width="11.375" style="3" bestFit="1" customWidth="1"/>
    <col min="2580" max="2580" width="9.625" style="3" customWidth="1"/>
    <col min="2581" max="2581" width="13.25" style="3" bestFit="1" customWidth="1"/>
    <col min="2582" max="2582" width="9.625" style="3" customWidth="1"/>
    <col min="2583" max="2816" width="9" style="3"/>
    <col min="2817" max="2817" width="16.25" style="3" customWidth="1"/>
    <col min="2818" max="2818" width="4.625" style="3" bestFit="1" customWidth="1"/>
    <col min="2819" max="2819" width="26.875" style="3" customWidth="1"/>
    <col min="2820" max="2820" width="12.75" style="3" bestFit="1" customWidth="1"/>
    <col min="2821" max="2821" width="8.625" style="3" bestFit="1" customWidth="1"/>
    <col min="2822" max="2822" width="8.5" style="3" bestFit="1" customWidth="1"/>
    <col min="2823" max="2823" width="10.625" style="3" bestFit="1" customWidth="1"/>
    <col min="2824" max="2824" width="10" style="3" bestFit="1" customWidth="1"/>
    <col min="2825" max="2825" width="12.5" style="3" bestFit="1" customWidth="1"/>
    <col min="2826" max="2826" width="7.125" style="3" customWidth="1"/>
    <col min="2827" max="2827" width="9.875" style="3" customWidth="1"/>
    <col min="2828" max="2828" width="10.75" style="3" customWidth="1"/>
    <col min="2829" max="2829" width="9.75" style="3" bestFit="1" customWidth="1"/>
    <col min="2830" max="2830" width="6.125" style="3" customWidth="1"/>
    <col min="2831" max="2831" width="9.5" style="3" bestFit="1" customWidth="1"/>
    <col min="2832" max="2832" width="7.75" style="3" customWidth="1"/>
    <col min="2833" max="2833" width="17.125" style="3" bestFit="1" customWidth="1"/>
    <col min="2834" max="2834" width="16.25" style="3" bestFit="1" customWidth="1"/>
    <col min="2835" max="2835" width="11.375" style="3" bestFit="1" customWidth="1"/>
    <col min="2836" max="2836" width="9.625" style="3" customWidth="1"/>
    <col min="2837" max="2837" width="13.25" style="3" bestFit="1" customWidth="1"/>
    <col min="2838" max="2838" width="9.625" style="3" customWidth="1"/>
    <col min="2839" max="3072" width="9" style="3"/>
    <col min="3073" max="3073" width="16.25" style="3" customWidth="1"/>
    <col min="3074" max="3074" width="4.625" style="3" bestFit="1" customWidth="1"/>
    <col min="3075" max="3075" width="26.875" style="3" customWidth="1"/>
    <col min="3076" max="3076" width="12.75" style="3" bestFit="1" customWidth="1"/>
    <col min="3077" max="3077" width="8.625" style="3" bestFit="1" customWidth="1"/>
    <col min="3078" max="3078" width="8.5" style="3" bestFit="1" customWidth="1"/>
    <col min="3079" max="3079" width="10.625" style="3" bestFit="1" customWidth="1"/>
    <col min="3080" max="3080" width="10" style="3" bestFit="1" customWidth="1"/>
    <col min="3081" max="3081" width="12.5" style="3" bestFit="1" customWidth="1"/>
    <col min="3082" max="3082" width="7.125" style="3" customWidth="1"/>
    <col min="3083" max="3083" width="9.875" style="3" customWidth="1"/>
    <col min="3084" max="3084" width="10.75" style="3" customWidth="1"/>
    <col min="3085" max="3085" width="9.75" style="3" bestFit="1" customWidth="1"/>
    <col min="3086" max="3086" width="6.125" style="3" customWidth="1"/>
    <col min="3087" max="3087" width="9.5" style="3" bestFit="1" customWidth="1"/>
    <col min="3088" max="3088" width="7.75" style="3" customWidth="1"/>
    <col min="3089" max="3089" width="17.125" style="3" bestFit="1" customWidth="1"/>
    <col min="3090" max="3090" width="16.25" style="3" bestFit="1" customWidth="1"/>
    <col min="3091" max="3091" width="11.375" style="3" bestFit="1" customWidth="1"/>
    <col min="3092" max="3092" width="9.625" style="3" customWidth="1"/>
    <col min="3093" max="3093" width="13.25" style="3" bestFit="1" customWidth="1"/>
    <col min="3094" max="3094" width="9.625" style="3" customWidth="1"/>
    <col min="3095" max="3328" width="9" style="3"/>
    <col min="3329" max="3329" width="16.25" style="3" customWidth="1"/>
    <col min="3330" max="3330" width="4.625" style="3" bestFit="1" customWidth="1"/>
    <col min="3331" max="3331" width="26.875" style="3" customWidth="1"/>
    <col min="3332" max="3332" width="12.75" style="3" bestFit="1" customWidth="1"/>
    <col min="3333" max="3333" width="8.625" style="3" bestFit="1" customWidth="1"/>
    <col min="3334" max="3334" width="8.5" style="3" bestFit="1" customWidth="1"/>
    <col min="3335" max="3335" width="10.625" style="3" bestFit="1" customWidth="1"/>
    <col min="3336" max="3336" width="10" style="3" bestFit="1" customWidth="1"/>
    <col min="3337" max="3337" width="12.5" style="3" bestFit="1" customWidth="1"/>
    <col min="3338" max="3338" width="7.125" style="3" customWidth="1"/>
    <col min="3339" max="3339" width="9.875" style="3" customWidth="1"/>
    <col min="3340" max="3340" width="10.75" style="3" customWidth="1"/>
    <col min="3341" max="3341" width="9.75" style="3" bestFit="1" customWidth="1"/>
    <col min="3342" max="3342" width="6.125" style="3" customWidth="1"/>
    <col min="3343" max="3343" width="9.5" style="3" bestFit="1" customWidth="1"/>
    <col min="3344" max="3344" width="7.75" style="3" customWidth="1"/>
    <col min="3345" max="3345" width="17.125" style="3" bestFit="1" customWidth="1"/>
    <col min="3346" max="3346" width="16.25" style="3" bestFit="1" customWidth="1"/>
    <col min="3347" max="3347" width="11.375" style="3" bestFit="1" customWidth="1"/>
    <col min="3348" max="3348" width="9.625" style="3" customWidth="1"/>
    <col min="3349" max="3349" width="13.25" style="3" bestFit="1" customWidth="1"/>
    <col min="3350" max="3350" width="9.625" style="3" customWidth="1"/>
    <col min="3351" max="3584" width="9" style="3"/>
    <col min="3585" max="3585" width="16.25" style="3" customWidth="1"/>
    <col min="3586" max="3586" width="4.625" style="3" bestFit="1" customWidth="1"/>
    <col min="3587" max="3587" width="26.875" style="3" customWidth="1"/>
    <col min="3588" max="3588" width="12.75" style="3" bestFit="1" customWidth="1"/>
    <col min="3589" max="3589" width="8.625" style="3" bestFit="1" customWidth="1"/>
    <col min="3590" max="3590" width="8.5" style="3" bestFit="1" customWidth="1"/>
    <col min="3591" max="3591" width="10.625" style="3" bestFit="1" customWidth="1"/>
    <col min="3592" max="3592" width="10" style="3" bestFit="1" customWidth="1"/>
    <col min="3593" max="3593" width="12.5" style="3" bestFit="1" customWidth="1"/>
    <col min="3594" max="3594" width="7.125" style="3" customWidth="1"/>
    <col min="3595" max="3595" width="9.875" style="3" customWidth="1"/>
    <col min="3596" max="3596" width="10.75" style="3" customWidth="1"/>
    <col min="3597" max="3597" width="9.75" style="3" bestFit="1" customWidth="1"/>
    <col min="3598" max="3598" width="6.125" style="3" customWidth="1"/>
    <col min="3599" max="3599" width="9.5" style="3" bestFit="1" customWidth="1"/>
    <col min="3600" max="3600" width="7.75" style="3" customWidth="1"/>
    <col min="3601" max="3601" width="17.125" style="3" bestFit="1" customWidth="1"/>
    <col min="3602" max="3602" width="16.25" style="3" bestFit="1" customWidth="1"/>
    <col min="3603" max="3603" width="11.375" style="3" bestFit="1" customWidth="1"/>
    <col min="3604" max="3604" width="9.625" style="3" customWidth="1"/>
    <col min="3605" max="3605" width="13.25" style="3" bestFit="1" customWidth="1"/>
    <col min="3606" max="3606" width="9.625" style="3" customWidth="1"/>
    <col min="3607" max="3840" width="9" style="3"/>
    <col min="3841" max="3841" width="16.25" style="3" customWidth="1"/>
    <col min="3842" max="3842" width="4.625" style="3" bestFit="1" customWidth="1"/>
    <col min="3843" max="3843" width="26.875" style="3" customWidth="1"/>
    <col min="3844" max="3844" width="12.75" style="3" bestFit="1" customWidth="1"/>
    <col min="3845" max="3845" width="8.625" style="3" bestFit="1" customWidth="1"/>
    <col min="3846" max="3846" width="8.5" style="3" bestFit="1" customWidth="1"/>
    <col min="3847" max="3847" width="10.625" style="3" bestFit="1" customWidth="1"/>
    <col min="3848" max="3848" width="10" style="3" bestFit="1" customWidth="1"/>
    <col min="3849" max="3849" width="12.5" style="3" bestFit="1" customWidth="1"/>
    <col min="3850" max="3850" width="7.125" style="3" customWidth="1"/>
    <col min="3851" max="3851" width="9.875" style="3" customWidth="1"/>
    <col min="3852" max="3852" width="10.75" style="3" customWidth="1"/>
    <col min="3853" max="3853" width="9.75" style="3" bestFit="1" customWidth="1"/>
    <col min="3854" max="3854" width="6.125" style="3" customWidth="1"/>
    <col min="3855" max="3855" width="9.5" style="3" bestFit="1" customWidth="1"/>
    <col min="3856" max="3856" width="7.75" style="3" customWidth="1"/>
    <col min="3857" max="3857" width="17.125" style="3" bestFit="1" customWidth="1"/>
    <col min="3858" max="3858" width="16.25" style="3" bestFit="1" customWidth="1"/>
    <col min="3859" max="3859" width="11.375" style="3" bestFit="1" customWidth="1"/>
    <col min="3860" max="3860" width="9.625" style="3" customWidth="1"/>
    <col min="3861" max="3861" width="13.25" style="3" bestFit="1" customWidth="1"/>
    <col min="3862" max="3862" width="9.625" style="3" customWidth="1"/>
    <col min="3863" max="4096" width="9" style="3"/>
    <col min="4097" max="4097" width="16.25" style="3" customWidth="1"/>
    <col min="4098" max="4098" width="4.625" style="3" bestFit="1" customWidth="1"/>
    <col min="4099" max="4099" width="26.875" style="3" customWidth="1"/>
    <col min="4100" max="4100" width="12.75" style="3" bestFit="1" customWidth="1"/>
    <col min="4101" max="4101" width="8.625" style="3" bestFit="1" customWidth="1"/>
    <col min="4102" max="4102" width="8.5" style="3" bestFit="1" customWidth="1"/>
    <col min="4103" max="4103" width="10.625" style="3" bestFit="1" customWidth="1"/>
    <col min="4104" max="4104" width="10" style="3" bestFit="1" customWidth="1"/>
    <col min="4105" max="4105" width="12.5" style="3" bestFit="1" customWidth="1"/>
    <col min="4106" max="4106" width="7.125" style="3" customWidth="1"/>
    <col min="4107" max="4107" width="9.875" style="3" customWidth="1"/>
    <col min="4108" max="4108" width="10.75" style="3" customWidth="1"/>
    <col min="4109" max="4109" width="9.75" style="3" bestFit="1" customWidth="1"/>
    <col min="4110" max="4110" width="6.125" style="3" customWidth="1"/>
    <col min="4111" max="4111" width="9.5" style="3" bestFit="1" customWidth="1"/>
    <col min="4112" max="4112" width="7.75" style="3" customWidth="1"/>
    <col min="4113" max="4113" width="17.125" style="3" bestFit="1" customWidth="1"/>
    <col min="4114" max="4114" width="16.25" style="3" bestFit="1" customWidth="1"/>
    <col min="4115" max="4115" width="11.375" style="3" bestFit="1" customWidth="1"/>
    <col min="4116" max="4116" width="9.625" style="3" customWidth="1"/>
    <col min="4117" max="4117" width="13.25" style="3" bestFit="1" customWidth="1"/>
    <col min="4118" max="4118" width="9.625" style="3" customWidth="1"/>
    <col min="4119" max="4352" width="9" style="3"/>
    <col min="4353" max="4353" width="16.25" style="3" customWidth="1"/>
    <col min="4354" max="4354" width="4.625" style="3" bestFit="1" customWidth="1"/>
    <col min="4355" max="4355" width="26.875" style="3" customWidth="1"/>
    <col min="4356" max="4356" width="12.75" style="3" bestFit="1" customWidth="1"/>
    <col min="4357" max="4357" width="8.625" style="3" bestFit="1" customWidth="1"/>
    <col min="4358" max="4358" width="8.5" style="3" bestFit="1" customWidth="1"/>
    <col min="4359" max="4359" width="10.625" style="3" bestFit="1" customWidth="1"/>
    <col min="4360" max="4360" width="10" style="3" bestFit="1" customWidth="1"/>
    <col min="4361" max="4361" width="12.5" style="3" bestFit="1" customWidth="1"/>
    <col min="4362" max="4362" width="7.125" style="3" customWidth="1"/>
    <col min="4363" max="4363" width="9.875" style="3" customWidth="1"/>
    <col min="4364" max="4364" width="10.75" style="3" customWidth="1"/>
    <col min="4365" max="4365" width="9.75" style="3" bestFit="1" customWidth="1"/>
    <col min="4366" max="4366" width="6.125" style="3" customWidth="1"/>
    <col min="4367" max="4367" width="9.5" style="3" bestFit="1" customWidth="1"/>
    <col min="4368" max="4368" width="7.75" style="3" customWidth="1"/>
    <col min="4369" max="4369" width="17.125" style="3" bestFit="1" customWidth="1"/>
    <col min="4370" max="4370" width="16.25" style="3" bestFit="1" customWidth="1"/>
    <col min="4371" max="4371" width="11.375" style="3" bestFit="1" customWidth="1"/>
    <col min="4372" max="4372" width="9.625" style="3" customWidth="1"/>
    <col min="4373" max="4373" width="13.25" style="3" bestFit="1" customWidth="1"/>
    <col min="4374" max="4374" width="9.625" style="3" customWidth="1"/>
    <col min="4375" max="4608" width="9" style="3"/>
    <col min="4609" max="4609" width="16.25" style="3" customWidth="1"/>
    <col min="4610" max="4610" width="4.625" style="3" bestFit="1" customWidth="1"/>
    <col min="4611" max="4611" width="26.875" style="3" customWidth="1"/>
    <col min="4612" max="4612" width="12.75" style="3" bestFit="1" customWidth="1"/>
    <col min="4613" max="4613" width="8.625" style="3" bestFit="1" customWidth="1"/>
    <col min="4614" max="4614" width="8.5" style="3" bestFit="1" customWidth="1"/>
    <col min="4615" max="4615" width="10.625" style="3" bestFit="1" customWidth="1"/>
    <col min="4616" max="4616" width="10" style="3" bestFit="1" customWidth="1"/>
    <col min="4617" max="4617" width="12.5" style="3" bestFit="1" customWidth="1"/>
    <col min="4618" max="4618" width="7.125" style="3" customWidth="1"/>
    <col min="4619" max="4619" width="9.875" style="3" customWidth="1"/>
    <col min="4620" max="4620" width="10.75" style="3" customWidth="1"/>
    <col min="4621" max="4621" width="9.75" style="3" bestFit="1" customWidth="1"/>
    <col min="4622" max="4622" width="6.125" style="3" customWidth="1"/>
    <col min="4623" max="4623" width="9.5" style="3" bestFit="1" customWidth="1"/>
    <col min="4624" max="4624" width="7.75" style="3" customWidth="1"/>
    <col min="4625" max="4625" width="17.125" style="3" bestFit="1" customWidth="1"/>
    <col min="4626" max="4626" width="16.25" style="3" bestFit="1" customWidth="1"/>
    <col min="4627" max="4627" width="11.375" style="3" bestFit="1" customWidth="1"/>
    <col min="4628" max="4628" width="9.625" style="3" customWidth="1"/>
    <col min="4629" max="4629" width="13.25" style="3" bestFit="1" customWidth="1"/>
    <col min="4630" max="4630" width="9.625" style="3" customWidth="1"/>
    <col min="4631" max="4864" width="9" style="3"/>
    <col min="4865" max="4865" width="16.25" style="3" customWidth="1"/>
    <col min="4866" max="4866" width="4.625" style="3" bestFit="1" customWidth="1"/>
    <col min="4867" max="4867" width="26.875" style="3" customWidth="1"/>
    <col min="4868" max="4868" width="12.75" style="3" bestFit="1" customWidth="1"/>
    <col min="4869" max="4869" width="8.625" style="3" bestFit="1" customWidth="1"/>
    <col min="4870" max="4870" width="8.5" style="3" bestFit="1" customWidth="1"/>
    <col min="4871" max="4871" width="10.625" style="3" bestFit="1" customWidth="1"/>
    <col min="4872" max="4872" width="10" style="3" bestFit="1" customWidth="1"/>
    <col min="4873" max="4873" width="12.5" style="3" bestFit="1" customWidth="1"/>
    <col min="4874" max="4874" width="7.125" style="3" customWidth="1"/>
    <col min="4875" max="4875" width="9.875" style="3" customWidth="1"/>
    <col min="4876" max="4876" width="10.75" style="3" customWidth="1"/>
    <col min="4877" max="4877" width="9.75" style="3" bestFit="1" customWidth="1"/>
    <col min="4878" max="4878" width="6.125" style="3" customWidth="1"/>
    <col min="4879" max="4879" width="9.5" style="3" bestFit="1" customWidth="1"/>
    <col min="4880" max="4880" width="7.75" style="3" customWidth="1"/>
    <col min="4881" max="4881" width="17.125" style="3" bestFit="1" customWidth="1"/>
    <col min="4882" max="4882" width="16.25" style="3" bestFit="1" customWidth="1"/>
    <col min="4883" max="4883" width="11.375" style="3" bestFit="1" customWidth="1"/>
    <col min="4884" max="4884" width="9.625" style="3" customWidth="1"/>
    <col min="4885" max="4885" width="13.25" style="3" bestFit="1" customWidth="1"/>
    <col min="4886" max="4886" width="9.625" style="3" customWidth="1"/>
    <col min="4887" max="5120" width="9" style="3"/>
    <col min="5121" max="5121" width="16.25" style="3" customWidth="1"/>
    <col min="5122" max="5122" width="4.625" style="3" bestFit="1" customWidth="1"/>
    <col min="5123" max="5123" width="26.875" style="3" customWidth="1"/>
    <col min="5124" max="5124" width="12.75" style="3" bestFit="1" customWidth="1"/>
    <col min="5125" max="5125" width="8.625" style="3" bestFit="1" customWidth="1"/>
    <col min="5126" max="5126" width="8.5" style="3" bestFit="1" customWidth="1"/>
    <col min="5127" max="5127" width="10.625" style="3" bestFit="1" customWidth="1"/>
    <col min="5128" max="5128" width="10" style="3" bestFit="1" customWidth="1"/>
    <col min="5129" max="5129" width="12.5" style="3" bestFit="1" customWidth="1"/>
    <col min="5130" max="5130" width="7.125" style="3" customWidth="1"/>
    <col min="5131" max="5131" width="9.875" style="3" customWidth="1"/>
    <col min="5132" max="5132" width="10.75" style="3" customWidth="1"/>
    <col min="5133" max="5133" width="9.75" style="3" bestFit="1" customWidth="1"/>
    <col min="5134" max="5134" width="6.125" style="3" customWidth="1"/>
    <col min="5135" max="5135" width="9.5" style="3" bestFit="1" customWidth="1"/>
    <col min="5136" max="5136" width="7.75" style="3" customWidth="1"/>
    <col min="5137" max="5137" width="17.125" style="3" bestFit="1" customWidth="1"/>
    <col min="5138" max="5138" width="16.25" style="3" bestFit="1" customWidth="1"/>
    <col min="5139" max="5139" width="11.375" style="3" bestFit="1" customWidth="1"/>
    <col min="5140" max="5140" width="9.625" style="3" customWidth="1"/>
    <col min="5141" max="5141" width="13.25" style="3" bestFit="1" customWidth="1"/>
    <col min="5142" max="5142" width="9.625" style="3" customWidth="1"/>
    <col min="5143" max="5376" width="9" style="3"/>
    <col min="5377" max="5377" width="16.25" style="3" customWidth="1"/>
    <col min="5378" max="5378" width="4.625" style="3" bestFit="1" customWidth="1"/>
    <col min="5379" max="5379" width="26.875" style="3" customWidth="1"/>
    <col min="5380" max="5380" width="12.75" style="3" bestFit="1" customWidth="1"/>
    <col min="5381" max="5381" width="8.625" style="3" bestFit="1" customWidth="1"/>
    <col min="5382" max="5382" width="8.5" style="3" bestFit="1" customWidth="1"/>
    <col min="5383" max="5383" width="10.625" style="3" bestFit="1" customWidth="1"/>
    <col min="5384" max="5384" width="10" style="3" bestFit="1" customWidth="1"/>
    <col min="5385" max="5385" width="12.5" style="3" bestFit="1" customWidth="1"/>
    <col min="5386" max="5386" width="7.125" style="3" customWidth="1"/>
    <col min="5387" max="5387" width="9.875" style="3" customWidth="1"/>
    <col min="5388" max="5388" width="10.75" style="3" customWidth="1"/>
    <col min="5389" max="5389" width="9.75" style="3" bestFit="1" customWidth="1"/>
    <col min="5390" max="5390" width="6.125" style="3" customWidth="1"/>
    <col min="5391" max="5391" width="9.5" style="3" bestFit="1" customWidth="1"/>
    <col min="5392" max="5392" width="7.75" style="3" customWidth="1"/>
    <col min="5393" max="5393" width="17.125" style="3" bestFit="1" customWidth="1"/>
    <col min="5394" max="5394" width="16.25" style="3" bestFit="1" customWidth="1"/>
    <col min="5395" max="5395" width="11.375" style="3" bestFit="1" customWidth="1"/>
    <col min="5396" max="5396" width="9.625" style="3" customWidth="1"/>
    <col min="5397" max="5397" width="13.25" style="3" bestFit="1" customWidth="1"/>
    <col min="5398" max="5398" width="9.625" style="3" customWidth="1"/>
    <col min="5399" max="5632" width="9" style="3"/>
    <col min="5633" max="5633" width="16.25" style="3" customWidth="1"/>
    <col min="5634" max="5634" width="4.625" style="3" bestFit="1" customWidth="1"/>
    <col min="5635" max="5635" width="26.875" style="3" customWidth="1"/>
    <col min="5636" max="5636" width="12.75" style="3" bestFit="1" customWidth="1"/>
    <col min="5637" max="5637" width="8.625" style="3" bestFit="1" customWidth="1"/>
    <col min="5638" max="5638" width="8.5" style="3" bestFit="1" customWidth="1"/>
    <col min="5639" max="5639" width="10.625" style="3" bestFit="1" customWidth="1"/>
    <col min="5640" max="5640" width="10" style="3" bestFit="1" customWidth="1"/>
    <col min="5641" max="5641" width="12.5" style="3" bestFit="1" customWidth="1"/>
    <col min="5642" max="5642" width="7.125" style="3" customWidth="1"/>
    <col min="5643" max="5643" width="9.875" style="3" customWidth="1"/>
    <col min="5644" max="5644" width="10.75" style="3" customWidth="1"/>
    <col min="5645" max="5645" width="9.75" style="3" bestFit="1" customWidth="1"/>
    <col min="5646" max="5646" width="6.125" style="3" customWidth="1"/>
    <col min="5647" max="5647" width="9.5" style="3" bestFit="1" customWidth="1"/>
    <col min="5648" max="5648" width="7.75" style="3" customWidth="1"/>
    <col min="5649" max="5649" width="17.125" style="3" bestFit="1" customWidth="1"/>
    <col min="5650" max="5650" width="16.25" style="3" bestFit="1" customWidth="1"/>
    <col min="5651" max="5651" width="11.375" style="3" bestFit="1" customWidth="1"/>
    <col min="5652" max="5652" width="9.625" style="3" customWidth="1"/>
    <col min="5653" max="5653" width="13.25" style="3" bestFit="1" customWidth="1"/>
    <col min="5654" max="5654" width="9.625" style="3" customWidth="1"/>
    <col min="5655" max="5888" width="9" style="3"/>
    <col min="5889" max="5889" width="16.25" style="3" customWidth="1"/>
    <col min="5890" max="5890" width="4.625" style="3" bestFit="1" customWidth="1"/>
    <col min="5891" max="5891" width="26.875" style="3" customWidth="1"/>
    <col min="5892" max="5892" width="12.75" style="3" bestFit="1" customWidth="1"/>
    <col min="5893" max="5893" width="8.625" style="3" bestFit="1" customWidth="1"/>
    <col min="5894" max="5894" width="8.5" style="3" bestFit="1" customWidth="1"/>
    <col min="5895" max="5895" width="10.625" style="3" bestFit="1" customWidth="1"/>
    <col min="5896" max="5896" width="10" style="3" bestFit="1" customWidth="1"/>
    <col min="5897" max="5897" width="12.5" style="3" bestFit="1" customWidth="1"/>
    <col min="5898" max="5898" width="7.125" style="3" customWidth="1"/>
    <col min="5899" max="5899" width="9.875" style="3" customWidth="1"/>
    <col min="5900" max="5900" width="10.75" style="3" customWidth="1"/>
    <col min="5901" max="5901" width="9.75" style="3" bestFit="1" customWidth="1"/>
    <col min="5902" max="5902" width="6.125" style="3" customWidth="1"/>
    <col min="5903" max="5903" width="9.5" style="3" bestFit="1" customWidth="1"/>
    <col min="5904" max="5904" width="7.75" style="3" customWidth="1"/>
    <col min="5905" max="5905" width="17.125" style="3" bestFit="1" customWidth="1"/>
    <col min="5906" max="5906" width="16.25" style="3" bestFit="1" customWidth="1"/>
    <col min="5907" max="5907" width="11.375" style="3" bestFit="1" customWidth="1"/>
    <col min="5908" max="5908" width="9.625" style="3" customWidth="1"/>
    <col min="5909" max="5909" width="13.25" style="3" bestFit="1" customWidth="1"/>
    <col min="5910" max="5910" width="9.625" style="3" customWidth="1"/>
    <col min="5911" max="6144" width="9" style="3"/>
    <col min="6145" max="6145" width="16.25" style="3" customWidth="1"/>
    <col min="6146" max="6146" width="4.625" style="3" bestFit="1" customWidth="1"/>
    <col min="6147" max="6147" width="26.875" style="3" customWidth="1"/>
    <col min="6148" max="6148" width="12.75" style="3" bestFit="1" customWidth="1"/>
    <col min="6149" max="6149" width="8.625" style="3" bestFit="1" customWidth="1"/>
    <col min="6150" max="6150" width="8.5" style="3" bestFit="1" customWidth="1"/>
    <col min="6151" max="6151" width="10.625" style="3" bestFit="1" customWidth="1"/>
    <col min="6152" max="6152" width="10" style="3" bestFit="1" customWidth="1"/>
    <col min="6153" max="6153" width="12.5" style="3" bestFit="1" customWidth="1"/>
    <col min="6154" max="6154" width="7.125" style="3" customWidth="1"/>
    <col min="6155" max="6155" width="9.875" style="3" customWidth="1"/>
    <col min="6156" max="6156" width="10.75" style="3" customWidth="1"/>
    <col min="6157" max="6157" width="9.75" style="3" bestFit="1" customWidth="1"/>
    <col min="6158" max="6158" width="6.125" style="3" customWidth="1"/>
    <col min="6159" max="6159" width="9.5" style="3" bestFit="1" customWidth="1"/>
    <col min="6160" max="6160" width="7.75" style="3" customWidth="1"/>
    <col min="6161" max="6161" width="17.125" style="3" bestFit="1" customWidth="1"/>
    <col min="6162" max="6162" width="16.25" style="3" bestFit="1" customWidth="1"/>
    <col min="6163" max="6163" width="11.375" style="3" bestFit="1" customWidth="1"/>
    <col min="6164" max="6164" width="9.625" style="3" customWidth="1"/>
    <col min="6165" max="6165" width="13.25" style="3" bestFit="1" customWidth="1"/>
    <col min="6166" max="6166" width="9.625" style="3" customWidth="1"/>
    <col min="6167" max="6400" width="9" style="3"/>
    <col min="6401" max="6401" width="16.25" style="3" customWidth="1"/>
    <col min="6402" max="6402" width="4.625" style="3" bestFit="1" customWidth="1"/>
    <col min="6403" max="6403" width="26.875" style="3" customWidth="1"/>
    <col min="6404" max="6404" width="12.75" style="3" bestFit="1" customWidth="1"/>
    <col min="6405" max="6405" width="8.625" style="3" bestFit="1" customWidth="1"/>
    <col min="6406" max="6406" width="8.5" style="3" bestFit="1" customWidth="1"/>
    <col min="6407" max="6407" width="10.625" style="3" bestFit="1" customWidth="1"/>
    <col min="6408" max="6408" width="10" style="3" bestFit="1" customWidth="1"/>
    <col min="6409" max="6409" width="12.5" style="3" bestFit="1" customWidth="1"/>
    <col min="6410" max="6410" width="7.125" style="3" customWidth="1"/>
    <col min="6411" max="6411" width="9.875" style="3" customWidth="1"/>
    <col min="6412" max="6412" width="10.75" style="3" customWidth="1"/>
    <col min="6413" max="6413" width="9.75" style="3" bestFit="1" customWidth="1"/>
    <col min="6414" max="6414" width="6.125" style="3" customWidth="1"/>
    <col min="6415" max="6415" width="9.5" style="3" bestFit="1" customWidth="1"/>
    <col min="6416" max="6416" width="7.75" style="3" customWidth="1"/>
    <col min="6417" max="6417" width="17.125" style="3" bestFit="1" customWidth="1"/>
    <col min="6418" max="6418" width="16.25" style="3" bestFit="1" customWidth="1"/>
    <col min="6419" max="6419" width="11.375" style="3" bestFit="1" customWidth="1"/>
    <col min="6420" max="6420" width="9.625" style="3" customWidth="1"/>
    <col min="6421" max="6421" width="13.25" style="3" bestFit="1" customWidth="1"/>
    <col min="6422" max="6422" width="9.625" style="3" customWidth="1"/>
    <col min="6423" max="6656" width="9" style="3"/>
    <col min="6657" max="6657" width="16.25" style="3" customWidth="1"/>
    <col min="6658" max="6658" width="4.625" style="3" bestFit="1" customWidth="1"/>
    <col min="6659" max="6659" width="26.875" style="3" customWidth="1"/>
    <col min="6660" max="6660" width="12.75" style="3" bestFit="1" customWidth="1"/>
    <col min="6661" max="6661" width="8.625" style="3" bestFit="1" customWidth="1"/>
    <col min="6662" max="6662" width="8.5" style="3" bestFit="1" customWidth="1"/>
    <col min="6663" max="6663" width="10.625" style="3" bestFit="1" customWidth="1"/>
    <col min="6664" max="6664" width="10" style="3" bestFit="1" customWidth="1"/>
    <col min="6665" max="6665" width="12.5" style="3" bestFit="1" customWidth="1"/>
    <col min="6666" max="6666" width="7.125" style="3" customWidth="1"/>
    <col min="6667" max="6667" width="9.875" style="3" customWidth="1"/>
    <col min="6668" max="6668" width="10.75" style="3" customWidth="1"/>
    <col min="6669" max="6669" width="9.75" style="3" bestFit="1" customWidth="1"/>
    <col min="6670" max="6670" width="6.125" style="3" customWidth="1"/>
    <col min="6671" max="6671" width="9.5" style="3" bestFit="1" customWidth="1"/>
    <col min="6672" max="6672" width="7.75" style="3" customWidth="1"/>
    <col min="6673" max="6673" width="17.125" style="3" bestFit="1" customWidth="1"/>
    <col min="6674" max="6674" width="16.25" style="3" bestFit="1" customWidth="1"/>
    <col min="6675" max="6675" width="11.375" style="3" bestFit="1" customWidth="1"/>
    <col min="6676" max="6676" width="9.625" style="3" customWidth="1"/>
    <col min="6677" max="6677" width="13.25" style="3" bestFit="1" customWidth="1"/>
    <col min="6678" max="6678" width="9.625" style="3" customWidth="1"/>
    <col min="6679" max="6912" width="9" style="3"/>
    <col min="6913" max="6913" width="16.25" style="3" customWidth="1"/>
    <col min="6914" max="6914" width="4.625" style="3" bestFit="1" customWidth="1"/>
    <col min="6915" max="6915" width="26.875" style="3" customWidth="1"/>
    <col min="6916" max="6916" width="12.75" style="3" bestFit="1" customWidth="1"/>
    <col min="6917" max="6917" width="8.625" style="3" bestFit="1" customWidth="1"/>
    <col min="6918" max="6918" width="8.5" style="3" bestFit="1" customWidth="1"/>
    <col min="6919" max="6919" width="10.625" style="3" bestFit="1" customWidth="1"/>
    <col min="6920" max="6920" width="10" style="3" bestFit="1" customWidth="1"/>
    <col min="6921" max="6921" width="12.5" style="3" bestFit="1" customWidth="1"/>
    <col min="6922" max="6922" width="7.125" style="3" customWidth="1"/>
    <col min="6923" max="6923" width="9.875" style="3" customWidth="1"/>
    <col min="6924" max="6924" width="10.75" style="3" customWidth="1"/>
    <col min="6925" max="6925" width="9.75" style="3" bestFit="1" customWidth="1"/>
    <col min="6926" max="6926" width="6.125" style="3" customWidth="1"/>
    <col min="6927" max="6927" width="9.5" style="3" bestFit="1" customWidth="1"/>
    <col min="6928" max="6928" width="7.75" style="3" customWidth="1"/>
    <col min="6929" max="6929" width="17.125" style="3" bestFit="1" customWidth="1"/>
    <col min="6930" max="6930" width="16.25" style="3" bestFit="1" customWidth="1"/>
    <col min="6931" max="6931" width="11.375" style="3" bestFit="1" customWidth="1"/>
    <col min="6932" max="6932" width="9.625" style="3" customWidth="1"/>
    <col min="6933" max="6933" width="13.25" style="3" bestFit="1" customWidth="1"/>
    <col min="6934" max="6934" width="9.625" style="3" customWidth="1"/>
    <col min="6935" max="7168" width="9" style="3"/>
    <col min="7169" max="7169" width="16.25" style="3" customWidth="1"/>
    <col min="7170" max="7170" width="4.625" style="3" bestFit="1" customWidth="1"/>
    <col min="7171" max="7171" width="26.875" style="3" customWidth="1"/>
    <col min="7172" max="7172" width="12.75" style="3" bestFit="1" customWidth="1"/>
    <col min="7173" max="7173" width="8.625" style="3" bestFit="1" customWidth="1"/>
    <col min="7174" max="7174" width="8.5" style="3" bestFit="1" customWidth="1"/>
    <col min="7175" max="7175" width="10.625" style="3" bestFit="1" customWidth="1"/>
    <col min="7176" max="7176" width="10" style="3" bestFit="1" customWidth="1"/>
    <col min="7177" max="7177" width="12.5" style="3" bestFit="1" customWidth="1"/>
    <col min="7178" max="7178" width="7.125" style="3" customWidth="1"/>
    <col min="7179" max="7179" width="9.875" style="3" customWidth="1"/>
    <col min="7180" max="7180" width="10.75" style="3" customWidth="1"/>
    <col min="7181" max="7181" width="9.75" style="3" bestFit="1" customWidth="1"/>
    <col min="7182" max="7182" width="6.125" style="3" customWidth="1"/>
    <col min="7183" max="7183" width="9.5" style="3" bestFit="1" customWidth="1"/>
    <col min="7184" max="7184" width="7.75" style="3" customWidth="1"/>
    <col min="7185" max="7185" width="17.125" style="3" bestFit="1" customWidth="1"/>
    <col min="7186" max="7186" width="16.25" style="3" bestFit="1" customWidth="1"/>
    <col min="7187" max="7187" width="11.375" style="3" bestFit="1" customWidth="1"/>
    <col min="7188" max="7188" width="9.625" style="3" customWidth="1"/>
    <col min="7189" max="7189" width="13.25" style="3" bestFit="1" customWidth="1"/>
    <col min="7190" max="7190" width="9.625" style="3" customWidth="1"/>
    <col min="7191" max="7424" width="9" style="3"/>
    <col min="7425" max="7425" width="16.25" style="3" customWidth="1"/>
    <col min="7426" max="7426" width="4.625" style="3" bestFit="1" customWidth="1"/>
    <col min="7427" max="7427" width="26.875" style="3" customWidth="1"/>
    <col min="7428" max="7428" width="12.75" style="3" bestFit="1" customWidth="1"/>
    <col min="7429" max="7429" width="8.625" style="3" bestFit="1" customWidth="1"/>
    <col min="7430" max="7430" width="8.5" style="3" bestFit="1" customWidth="1"/>
    <col min="7431" max="7431" width="10.625" style="3" bestFit="1" customWidth="1"/>
    <col min="7432" max="7432" width="10" style="3" bestFit="1" customWidth="1"/>
    <col min="7433" max="7433" width="12.5" style="3" bestFit="1" customWidth="1"/>
    <col min="7434" max="7434" width="7.125" style="3" customWidth="1"/>
    <col min="7435" max="7435" width="9.875" style="3" customWidth="1"/>
    <col min="7436" max="7436" width="10.75" style="3" customWidth="1"/>
    <col min="7437" max="7437" width="9.75" style="3" bestFit="1" customWidth="1"/>
    <col min="7438" max="7438" width="6.125" style="3" customWidth="1"/>
    <col min="7439" max="7439" width="9.5" style="3" bestFit="1" customWidth="1"/>
    <col min="7440" max="7440" width="7.75" style="3" customWidth="1"/>
    <col min="7441" max="7441" width="17.125" style="3" bestFit="1" customWidth="1"/>
    <col min="7442" max="7442" width="16.25" style="3" bestFit="1" customWidth="1"/>
    <col min="7443" max="7443" width="11.375" style="3" bestFit="1" customWidth="1"/>
    <col min="7444" max="7444" width="9.625" style="3" customWidth="1"/>
    <col min="7445" max="7445" width="13.25" style="3" bestFit="1" customWidth="1"/>
    <col min="7446" max="7446" width="9.625" style="3" customWidth="1"/>
    <col min="7447" max="7680" width="9" style="3"/>
    <col min="7681" max="7681" width="16.25" style="3" customWidth="1"/>
    <col min="7682" max="7682" width="4.625" style="3" bestFit="1" customWidth="1"/>
    <col min="7683" max="7683" width="26.875" style="3" customWidth="1"/>
    <col min="7684" max="7684" width="12.75" style="3" bestFit="1" customWidth="1"/>
    <col min="7685" max="7685" width="8.625" style="3" bestFit="1" customWidth="1"/>
    <col min="7686" max="7686" width="8.5" style="3" bestFit="1" customWidth="1"/>
    <col min="7687" max="7687" width="10.625" style="3" bestFit="1" customWidth="1"/>
    <col min="7688" max="7688" width="10" style="3" bestFit="1" customWidth="1"/>
    <col min="7689" max="7689" width="12.5" style="3" bestFit="1" customWidth="1"/>
    <col min="7690" max="7690" width="7.125" style="3" customWidth="1"/>
    <col min="7691" max="7691" width="9.875" style="3" customWidth="1"/>
    <col min="7692" max="7692" width="10.75" style="3" customWidth="1"/>
    <col min="7693" max="7693" width="9.75" style="3" bestFit="1" customWidth="1"/>
    <col min="7694" max="7694" width="6.125" style="3" customWidth="1"/>
    <col min="7695" max="7695" width="9.5" style="3" bestFit="1" customWidth="1"/>
    <col min="7696" max="7696" width="7.75" style="3" customWidth="1"/>
    <col min="7697" max="7697" width="17.125" style="3" bestFit="1" customWidth="1"/>
    <col min="7698" max="7698" width="16.25" style="3" bestFit="1" customWidth="1"/>
    <col min="7699" max="7699" width="11.375" style="3" bestFit="1" customWidth="1"/>
    <col min="7700" max="7700" width="9.625" style="3" customWidth="1"/>
    <col min="7701" max="7701" width="13.25" style="3" bestFit="1" customWidth="1"/>
    <col min="7702" max="7702" width="9.625" style="3" customWidth="1"/>
    <col min="7703" max="7936" width="9" style="3"/>
    <col min="7937" max="7937" width="16.25" style="3" customWidth="1"/>
    <col min="7938" max="7938" width="4.625" style="3" bestFit="1" customWidth="1"/>
    <col min="7939" max="7939" width="26.875" style="3" customWidth="1"/>
    <col min="7940" max="7940" width="12.75" style="3" bestFit="1" customWidth="1"/>
    <col min="7941" max="7941" width="8.625" style="3" bestFit="1" customWidth="1"/>
    <col min="7942" max="7942" width="8.5" style="3" bestFit="1" customWidth="1"/>
    <col min="7943" max="7943" width="10.625" style="3" bestFit="1" customWidth="1"/>
    <col min="7944" max="7944" width="10" style="3" bestFit="1" customWidth="1"/>
    <col min="7945" max="7945" width="12.5" style="3" bestFit="1" customWidth="1"/>
    <col min="7946" max="7946" width="7.125" style="3" customWidth="1"/>
    <col min="7947" max="7947" width="9.875" style="3" customWidth="1"/>
    <col min="7948" max="7948" width="10.75" style="3" customWidth="1"/>
    <col min="7949" max="7949" width="9.75" style="3" bestFit="1" customWidth="1"/>
    <col min="7950" max="7950" width="6.125" style="3" customWidth="1"/>
    <col min="7951" max="7951" width="9.5" style="3" bestFit="1" customWidth="1"/>
    <col min="7952" max="7952" width="7.75" style="3" customWidth="1"/>
    <col min="7953" max="7953" width="17.125" style="3" bestFit="1" customWidth="1"/>
    <col min="7954" max="7954" width="16.25" style="3" bestFit="1" customWidth="1"/>
    <col min="7955" max="7955" width="11.375" style="3" bestFit="1" customWidth="1"/>
    <col min="7956" max="7956" width="9.625" style="3" customWidth="1"/>
    <col min="7957" max="7957" width="13.25" style="3" bestFit="1" customWidth="1"/>
    <col min="7958" max="7958" width="9.625" style="3" customWidth="1"/>
    <col min="7959" max="8192" width="9" style="3"/>
    <col min="8193" max="8193" width="16.25" style="3" customWidth="1"/>
    <col min="8194" max="8194" width="4.625" style="3" bestFit="1" customWidth="1"/>
    <col min="8195" max="8195" width="26.875" style="3" customWidth="1"/>
    <col min="8196" max="8196" width="12.75" style="3" bestFit="1" customWidth="1"/>
    <col min="8197" max="8197" width="8.625" style="3" bestFit="1" customWidth="1"/>
    <col min="8198" max="8198" width="8.5" style="3" bestFit="1" customWidth="1"/>
    <col min="8199" max="8199" width="10.625" style="3" bestFit="1" customWidth="1"/>
    <col min="8200" max="8200" width="10" style="3" bestFit="1" customWidth="1"/>
    <col min="8201" max="8201" width="12.5" style="3" bestFit="1" customWidth="1"/>
    <col min="8202" max="8202" width="7.125" style="3" customWidth="1"/>
    <col min="8203" max="8203" width="9.875" style="3" customWidth="1"/>
    <col min="8204" max="8204" width="10.75" style="3" customWidth="1"/>
    <col min="8205" max="8205" width="9.75" style="3" bestFit="1" customWidth="1"/>
    <col min="8206" max="8206" width="6.125" style="3" customWidth="1"/>
    <col min="8207" max="8207" width="9.5" style="3" bestFit="1" customWidth="1"/>
    <col min="8208" max="8208" width="7.75" style="3" customWidth="1"/>
    <col min="8209" max="8209" width="17.125" style="3" bestFit="1" customWidth="1"/>
    <col min="8210" max="8210" width="16.25" style="3" bestFit="1" customWidth="1"/>
    <col min="8211" max="8211" width="11.375" style="3" bestFit="1" customWidth="1"/>
    <col min="8212" max="8212" width="9.625" style="3" customWidth="1"/>
    <col min="8213" max="8213" width="13.25" style="3" bestFit="1" customWidth="1"/>
    <col min="8214" max="8214" width="9.625" style="3" customWidth="1"/>
    <col min="8215" max="8448" width="9" style="3"/>
    <col min="8449" max="8449" width="16.25" style="3" customWidth="1"/>
    <col min="8450" max="8450" width="4.625" style="3" bestFit="1" customWidth="1"/>
    <col min="8451" max="8451" width="26.875" style="3" customWidth="1"/>
    <col min="8452" max="8452" width="12.75" style="3" bestFit="1" customWidth="1"/>
    <col min="8453" max="8453" width="8.625" style="3" bestFit="1" customWidth="1"/>
    <col min="8454" max="8454" width="8.5" style="3" bestFit="1" customWidth="1"/>
    <col min="8455" max="8455" width="10.625" style="3" bestFit="1" customWidth="1"/>
    <col min="8456" max="8456" width="10" style="3" bestFit="1" customWidth="1"/>
    <col min="8457" max="8457" width="12.5" style="3" bestFit="1" customWidth="1"/>
    <col min="8458" max="8458" width="7.125" style="3" customWidth="1"/>
    <col min="8459" max="8459" width="9.875" style="3" customWidth="1"/>
    <col min="8460" max="8460" width="10.75" style="3" customWidth="1"/>
    <col min="8461" max="8461" width="9.75" style="3" bestFit="1" customWidth="1"/>
    <col min="8462" max="8462" width="6.125" style="3" customWidth="1"/>
    <col min="8463" max="8463" width="9.5" style="3" bestFit="1" customWidth="1"/>
    <col min="8464" max="8464" width="7.75" style="3" customWidth="1"/>
    <col min="8465" max="8465" width="17.125" style="3" bestFit="1" customWidth="1"/>
    <col min="8466" max="8466" width="16.25" style="3" bestFit="1" customWidth="1"/>
    <col min="8467" max="8467" width="11.375" style="3" bestFit="1" customWidth="1"/>
    <col min="8468" max="8468" width="9.625" style="3" customWidth="1"/>
    <col min="8469" max="8469" width="13.25" style="3" bestFit="1" customWidth="1"/>
    <col min="8470" max="8470" width="9.625" style="3" customWidth="1"/>
    <col min="8471" max="8704" width="9" style="3"/>
    <col min="8705" max="8705" width="16.25" style="3" customWidth="1"/>
    <col min="8706" max="8706" width="4.625" style="3" bestFit="1" customWidth="1"/>
    <col min="8707" max="8707" width="26.875" style="3" customWidth="1"/>
    <col min="8708" max="8708" width="12.75" style="3" bestFit="1" customWidth="1"/>
    <col min="8709" max="8709" width="8.625" style="3" bestFit="1" customWidth="1"/>
    <col min="8710" max="8710" width="8.5" style="3" bestFit="1" customWidth="1"/>
    <col min="8711" max="8711" width="10.625" style="3" bestFit="1" customWidth="1"/>
    <col min="8712" max="8712" width="10" style="3" bestFit="1" customWidth="1"/>
    <col min="8713" max="8713" width="12.5" style="3" bestFit="1" customWidth="1"/>
    <col min="8714" max="8714" width="7.125" style="3" customWidth="1"/>
    <col min="8715" max="8715" width="9.875" style="3" customWidth="1"/>
    <col min="8716" max="8716" width="10.75" style="3" customWidth="1"/>
    <col min="8717" max="8717" width="9.75" style="3" bestFit="1" customWidth="1"/>
    <col min="8718" max="8718" width="6.125" style="3" customWidth="1"/>
    <col min="8719" max="8719" width="9.5" style="3" bestFit="1" customWidth="1"/>
    <col min="8720" max="8720" width="7.75" style="3" customWidth="1"/>
    <col min="8721" max="8721" width="17.125" style="3" bestFit="1" customWidth="1"/>
    <col min="8722" max="8722" width="16.25" style="3" bestFit="1" customWidth="1"/>
    <col min="8723" max="8723" width="11.375" style="3" bestFit="1" customWidth="1"/>
    <col min="8724" max="8724" width="9.625" style="3" customWidth="1"/>
    <col min="8725" max="8725" width="13.25" style="3" bestFit="1" customWidth="1"/>
    <col min="8726" max="8726" width="9.625" style="3" customWidth="1"/>
    <col min="8727" max="8960" width="9" style="3"/>
    <col min="8961" max="8961" width="16.25" style="3" customWidth="1"/>
    <col min="8962" max="8962" width="4.625" style="3" bestFit="1" customWidth="1"/>
    <col min="8963" max="8963" width="26.875" style="3" customWidth="1"/>
    <col min="8964" max="8964" width="12.75" style="3" bestFit="1" customWidth="1"/>
    <col min="8965" max="8965" width="8.625" style="3" bestFit="1" customWidth="1"/>
    <col min="8966" max="8966" width="8.5" style="3" bestFit="1" customWidth="1"/>
    <col min="8967" max="8967" width="10.625" style="3" bestFit="1" customWidth="1"/>
    <col min="8968" max="8968" width="10" style="3" bestFit="1" customWidth="1"/>
    <col min="8969" max="8969" width="12.5" style="3" bestFit="1" customWidth="1"/>
    <col min="8970" max="8970" width="7.125" style="3" customWidth="1"/>
    <col min="8971" max="8971" width="9.875" style="3" customWidth="1"/>
    <col min="8972" max="8972" width="10.75" style="3" customWidth="1"/>
    <col min="8973" max="8973" width="9.75" style="3" bestFit="1" customWidth="1"/>
    <col min="8974" max="8974" width="6.125" style="3" customWidth="1"/>
    <col min="8975" max="8975" width="9.5" style="3" bestFit="1" customWidth="1"/>
    <col min="8976" max="8976" width="7.75" style="3" customWidth="1"/>
    <col min="8977" max="8977" width="17.125" style="3" bestFit="1" customWidth="1"/>
    <col min="8978" max="8978" width="16.25" style="3" bestFit="1" customWidth="1"/>
    <col min="8979" max="8979" width="11.375" style="3" bestFit="1" customWidth="1"/>
    <col min="8980" max="8980" width="9.625" style="3" customWidth="1"/>
    <col min="8981" max="8981" width="13.25" style="3" bestFit="1" customWidth="1"/>
    <col min="8982" max="8982" width="9.625" style="3" customWidth="1"/>
    <col min="8983" max="9216" width="9" style="3"/>
    <col min="9217" max="9217" width="16.25" style="3" customWidth="1"/>
    <col min="9218" max="9218" width="4.625" style="3" bestFit="1" customWidth="1"/>
    <col min="9219" max="9219" width="26.875" style="3" customWidth="1"/>
    <col min="9220" max="9220" width="12.75" style="3" bestFit="1" customWidth="1"/>
    <col min="9221" max="9221" width="8.625" style="3" bestFit="1" customWidth="1"/>
    <col min="9222" max="9222" width="8.5" style="3" bestFit="1" customWidth="1"/>
    <col min="9223" max="9223" width="10.625" style="3" bestFit="1" customWidth="1"/>
    <col min="9224" max="9224" width="10" style="3" bestFit="1" customWidth="1"/>
    <col min="9225" max="9225" width="12.5" style="3" bestFit="1" customWidth="1"/>
    <col min="9226" max="9226" width="7.125" style="3" customWidth="1"/>
    <col min="9227" max="9227" width="9.875" style="3" customWidth="1"/>
    <col min="9228" max="9228" width="10.75" style="3" customWidth="1"/>
    <col min="9229" max="9229" width="9.75" style="3" bestFit="1" customWidth="1"/>
    <col min="9230" max="9230" width="6.125" style="3" customWidth="1"/>
    <col min="9231" max="9231" width="9.5" style="3" bestFit="1" customWidth="1"/>
    <col min="9232" max="9232" width="7.75" style="3" customWidth="1"/>
    <col min="9233" max="9233" width="17.125" style="3" bestFit="1" customWidth="1"/>
    <col min="9234" max="9234" width="16.25" style="3" bestFit="1" customWidth="1"/>
    <col min="9235" max="9235" width="11.375" style="3" bestFit="1" customWidth="1"/>
    <col min="9236" max="9236" width="9.625" style="3" customWidth="1"/>
    <col min="9237" max="9237" width="13.25" style="3" bestFit="1" customWidth="1"/>
    <col min="9238" max="9238" width="9.625" style="3" customWidth="1"/>
    <col min="9239" max="9472" width="9" style="3"/>
    <col min="9473" max="9473" width="16.25" style="3" customWidth="1"/>
    <col min="9474" max="9474" width="4.625" style="3" bestFit="1" customWidth="1"/>
    <col min="9475" max="9475" width="26.875" style="3" customWidth="1"/>
    <col min="9476" max="9476" width="12.75" style="3" bestFit="1" customWidth="1"/>
    <col min="9477" max="9477" width="8.625" style="3" bestFit="1" customWidth="1"/>
    <col min="9478" max="9478" width="8.5" style="3" bestFit="1" customWidth="1"/>
    <col min="9479" max="9479" width="10.625" style="3" bestFit="1" customWidth="1"/>
    <col min="9480" max="9480" width="10" style="3" bestFit="1" customWidth="1"/>
    <col min="9481" max="9481" width="12.5" style="3" bestFit="1" customWidth="1"/>
    <col min="9482" max="9482" width="7.125" style="3" customWidth="1"/>
    <col min="9483" max="9483" width="9.875" style="3" customWidth="1"/>
    <col min="9484" max="9484" width="10.75" style="3" customWidth="1"/>
    <col min="9485" max="9485" width="9.75" style="3" bestFit="1" customWidth="1"/>
    <col min="9486" max="9486" width="6.125" style="3" customWidth="1"/>
    <col min="9487" max="9487" width="9.5" style="3" bestFit="1" customWidth="1"/>
    <col min="9488" max="9488" width="7.75" style="3" customWidth="1"/>
    <col min="9489" max="9489" width="17.125" style="3" bestFit="1" customWidth="1"/>
    <col min="9490" max="9490" width="16.25" style="3" bestFit="1" customWidth="1"/>
    <col min="9491" max="9491" width="11.375" style="3" bestFit="1" customWidth="1"/>
    <col min="9492" max="9492" width="9.625" style="3" customWidth="1"/>
    <col min="9493" max="9493" width="13.25" style="3" bestFit="1" customWidth="1"/>
    <col min="9494" max="9494" width="9.625" style="3" customWidth="1"/>
    <col min="9495" max="9728" width="9" style="3"/>
    <col min="9729" max="9729" width="16.25" style="3" customWidth="1"/>
    <col min="9730" max="9730" width="4.625" style="3" bestFit="1" customWidth="1"/>
    <col min="9731" max="9731" width="26.875" style="3" customWidth="1"/>
    <col min="9732" max="9732" width="12.75" style="3" bestFit="1" customWidth="1"/>
    <col min="9733" max="9733" width="8.625" style="3" bestFit="1" customWidth="1"/>
    <col min="9734" max="9734" width="8.5" style="3" bestFit="1" customWidth="1"/>
    <col min="9735" max="9735" width="10.625" style="3" bestFit="1" customWidth="1"/>
    <col min="9736" max="9736" width="10" style="3" bestFit="1" customWidth="1"/>
    <col min="9737" max="9737" width="12.5" style="3" bestFit="1" customWidth="1"/>
    <col min="9738" max="9738" width="7.125" style="3" customWidth="1"/>
    <col min="9739" max="9739" width="9.875" style="3" customWidth="1"/>
    <col min="9740" max="9740" width="10.75" style="3" customWidth="1"/>
    <col min="9741" max="9741" width="9.75" style="3" bestFit="1" customWidth="1"/>
    <col min="9742" max="9742" width="6.125" style="3" customWidth="1"/>
    <col min="9743" max="9743" width="9.5" style="3" bestFit="1" customWidth="1"/>
    <col min="9744" max="9744" width="7.75" style="3" customWidth="1"/>
    <col min="9745" max="9745" width="17.125" style="3" bestFit="1" customWidth="1"/>
    <col min="9746" max="9746" width="16.25" style="3" bestFit="1" customWidth="1"/>
    <col min="9747" max="9747" width="11.375" style="3" bestFit="1" customWidth="1"/>
    <col min="9748" max="9748" width="9.625" style="3" customWidth="1"/>
    <col min="9749" max="9749" width="13.25" style="3" bestFit="1" customWidth="1"/>
    <col min="9750" max="9750" width="9.625" style="3" customWidth="1"/>
    <col min="9751" max="9984" width="9" style="3"/>
    <col min="9985" max="9985" width="16.25" style="3" customWidth="1"/>
    <col min="9986" max="9986" width="4.625" style="3" bestFit="1" customWidth="1"/>
    <col min="9987" max="9987" width="26.875" style="3" customWidth="1"/>
    <col min="9988" max="9988" width="12.75" style="3" bestFit="1" customWidth="1"/>
    <col min="9989" max="9989" width="8.625" style="3" bestFit="1" customWidth="1"/>
    <col min="9990" max="9990" width="8.5" style="3" bestFit="1" customWidth="1"/>
    <col min="9991" max="9991" width="10.625" style="3" bestFit="1" customWidth="1"/>
    <col min="9992" max="9992" width="10" style="3" bestFit="1" customWidth="1"/>
    <col min="9993" max="9993" width="12.5" style="3" bestFit="1" customWidth="1"/>
    <col min="9994" max="9994" width="7.125" style="3" customWidth="1"/>
    <col min="9995" max="9995" width="9.875" style="3" customWidth="1"/>
    <col min="9996" max="9996" width="10.75" style="3" customWidth="1"/>
    <col min="9997" max="9997" width="9.75" style="3" bestFit="1" customWidth="1"/>
    <col min="9998" max="9998" width="6.125" style="3" customWidth="1"/>
    <col min="9999" max="9999" width="9.5" style="3" bestFit="1" customWidth="1"/>
    <col min="10000" max="10000" width="7.75" style="3" customWidth="1"/>
    <col min="10001" max="10001" width="17.125" style="3" bestFit="1" customWidth="1"/>
    <col min="10002" max="10002" width="16.25" style="3" bestFit="1" customWidth="1"/>
    <col min="10003" max="10003" width="11.375" style="3" bestFit="1" customWidth="1"/>
    <col min="10004" max="10004" width="9.625" style="3" customWidth="1"/>
    <col min="10005" max="10005" width="13.25" style="3" bestFit="1" customWidth="1"/>
    <col min="10006" max="10006" width="9.625" style="3" customWidth="1"/>
    <col min="10007" max="10240" width="9" style="3"/>
    <col min="10241" max="10241" width="16.25" style="3" customWidth="1"/>
    <col min="10242" max="10242" width="4.625" style="3" bestFit="1" customWidth="1"/>
    <col min="10243" max="10243" width="26.875" style="3" customWidth="1"/>
    <col min="10244" max="10244" width="12.75" style="3" bestFit="1" customWidth="1"/>
    <col min="10245" max="10245" width="8.625" style="3" bestFit="1" customWidth="1"/>
    <col min="10246" max="10246" width="8.5" style="3" bestFit="1" customWidth="1"/>
    <col min="10247" max="10247" width="10.625" style="3" bestFit="1" customWidth="1"/>
    <col min="10248" max="10248" width="10" style="3" bestFit="1" customWidth="1"/>
    <col min="10249" max="10249" width="12.5" style="3" bestFit="1" customWidth="1"/>
    <col min="10250" max="10250" width="7.125" style="3" customWidth="1"/>
    <col min="10251" max="10251" width="9.875" style="3" customWidth="1"/>
    <col min="10252" max="10252" width="10.75" style="3" customWidth="1"/>
    <col min="10253" max="10253" width="9.75" style="3" bestFit="1" customWidth="1"/>
    <col min="10254" max="10254" width="6.125" style="3" customWidth="1"/>
    <col min="10255" max="10255" width="9.5" style="3" bestFit="1" customWidth="1"/>
    <col min="10256" max="10256" width="7.75" style="3" customWidth="1"/>
    <col min="10257" max="10257" width="17.125" style="3" bestFit="1" customWidth="1"/>
    <col min="10258" max="10258" width="16.25" style="3" bestFit="1" customWidth="1"/>
    <col min="10259" max="10259" width="11.375" style="3" bestFit="1" customWidth="1"/>
    <col min="10260" max="10260" width="9.625" style="3" customWidth="1"/>
    <col min="10261" max="10261" width="13.25" style="3" bestFit="1" customWidth="1"/>
    <col min="10262" max="10262" width="9.625" style="3" customWidth="1"/>
    <col min="10263" max="10496" width="9" style="3"/>
    <col min="10497" max="10497" width="16.25" style="3" customWidth="1"/>
    <col min="10498" max="10498" width="4.625" style="3" bestFit="1" customWidth="1"/>
    <col min="10499" max="10499" width="26.875" style="3" customWidth="1"/>
    <col min="10500" max="10500" width="12.75" style="3" bestFit="1" customWidth="1"/>
    <col min="10501" max="10501" width="8.625" style="3" bestFit="1" customWidth="1"/>
    <col min="10502" max="10502" width="8.5" style="3" bestFit="1" customWidth="1"/>
    <col min="10503" max="10503" width="10.625" style="3" bestFit="1" customWidth="1"/>
    <col min="10504" max="10504" width="10" style="3" bestFit="1" customWidth="1"/>
    <col min="10505" max="10505" width="12.5" style="3" bestFit="1" customWidth="1"/>
    <col min="10506" max="10506" width="7.125" style="3" customWidth="1"/>
    <col min="10507" max="10507" width="9.875" style="3" customWidth="1"/>
    <col min="10508" max="10508" width="10.75" style="3" customWidth="1"/>
    <col min="10509" max="10509" width="9.75" style="3" bestFit="1" customWidth="1"/>
    <col min="10510" max="10510" width="6.125" style="3" customWidth="1"/>
    <col min="10511" max="10511" width="9.5" style="3" bestFit="1" customWidth="1"/>
    <col min="10512" max="10512" width="7.75" style="3" customWidth="1"/>
    <col min="10513" max="10513" width="17.125" style="3" bestFit="1" customWidth="1"/>
    <col min="10514" max="10514" width="16.25" style="3" bestFit="1" customWidth="1"/>
    <col min="10515" max="10515" width="11.375" style="3" bestFit="1" customWidth="1"/>
    <col min="10516" max="10516" width="9.625" style="3" customWidth="1"/>
    <col min="10517" max="10517" width="13.25" style="3" bestFit="1" customWidth="1"/>
    <col min="10518" max="10518" width="9.625" style="3" customWidth="1"/>
    <col min="10519" max="10752" width="9" style="3"/>
    <col min="10753" max="10753" width="16.25" style="3" customWidth="1"/>
    <col min="10754" max="10754" width="4.625" style="3" bestFit="1" customWidth="1"/>
    <col min="10755" max="10755" width="26.875" style="3" customWidth="1"/>
    <col min="10756" max="10756" width="12.75" style="3" bestFit="1" customWidth="1"/>
    <col min="10757" max="10757" width="8.625" style="3" bestFit="1" customWidth="1"/>
    <col min="10758" max="10758" width="8.5" style="3" bestFit="1" customWidth="1"/>
    <col min="10759" max="10759" width="10.625" style="3" bestFit="1" customWidth="1"/>
    <col min="10760" max="10760" width="10" style="3" bestFit="1" customWidth="1"/>
    <col min="10761" max="10761" width="12.5" style="3" bestFit="1" customWidth="1"/>
    <col min="10762" max="10762" width="7.125" style="3" customWidth="1"/>
    <col min="10763" max="10763" width="9.875" style="3" customWidth="1"/>
    <col min="10764" max="10764" width="10.75" style="3" customWidth="1"/>
    <col min="10765" max="10765" width="9.75" style="3" bestFit="1" customWidth="1"/>
    <col min="10766" max="10766" width="6.125" style="3" customWidth="1"/>
    <col min="10767" max="10767" width="9.5" style="3" bestFit="1" customWidth="1"/>
    <col min="10768" max="10768" width="7.75" style="3" customWidth="1"/>
    <col min="10769" max="10769" width="17.125" style="3" bestFit="1" customWidth="1"/>
    <col min="10770" max="10770" width="16.25" style="3" bestFit="1" customWidth="1"/>
    <col min="10771" max="10771" width="11.375" style="3" bestFit="1" customWidth="1"/>
    <col min="10772" max="10772" width="9.625" style="3" customWidth="1"/>
    <col min="10773" max="10773" width="13.25" style="3" bestFit="1" customWidth="1"/>
    <col min="10774" max="10774" width="9.625" style="3" customWidth="1"/>
    <col min="10775" max="11008" width="9" style="3"/>
    <col min="11009" max="11009" width="16.25" style="3" customWidth="1"/>
    <col min="11010" max="11010" width="4.625" style="3" bestFit="1" customWidth="1"/>
    <col min="11011" max="11011" width="26.875" style="3" customWidth="1"/>
    <col min="11012" max="11012" width="12.75" style="3" bestFit="1" customWidth="1"/>
    <col min="11013" max="11013" width="8.625" style="3" bestFit="1" customWidth="1"/>
    <col min="11014" max="11014" width="8.5" style="3" bestFit="1" customWidth="1"/>
    <col min="11015" max="11015" width="10.625" style="3" bestFit="1" customWidth="1"/>
    <col min="11016" max="11016" width="10" style="3" bestFit="1" customWidth="1"/>
    <col min="11017" max="11017" width="12.5" style="3" bestFit="1" customWidth="1"/>
    <col min="11018" max="11018" width="7.125" style="3" customWidth="1"/>
    <col min="11019" max="11019" width="9.875" style="3" customWidth="1"/>
    <col min="11020" max="11020" width="10.75" style="3" customWidth="1"/>
    <col min="11021" max="11021" width="9.75" style="3" bestFit="1" customWidth="1"/>
    <col min="11022" max="11022" width="6.125" style="3" customWidth="1"/>
    <col min="11023" max="11023" width="9.5" style="3" bestFit="1" customWidth="1"/>
    <col min="11024" max="11024" width="7.75" style="3" customWidth="1"/>
    <col min="11025" max="11025" width="17.125" style="3" bestFit="1" customWidth="1"/>
    <col min="11026" max="11026" width="16.25" style="3" bestFit="1" customWidth="1"/>
    <col min="11027" max="11027" width="11.375" style="3" bestFit="1" customWidth="1"/>
    <col min="11028" max="11028" width="9.625" style="3" customWidth="1"/>
    <col min="11029" max="11029" width="13.25" style="3" bestFit="1" customWidth="1"/>
    <col min="11030" max="11030" width="9.625" style="3" customWidth="1"/>
    <col min="11031" max="11264" width="9" style="3"/>
    <col min="11265" max="11265" width="16.25" style="3" customWidth="1"/>
    <col min="11266" max="11266" width="4.625" style="3" bestFit="1" customWidth="1"/>
    <col min="11267" max="11267" width="26.875" style="3" customWidth="1"/>
    <col min="11268" max="11268" width="12.75" style="3" bestFit="1" customWidth="1"/>
    <col min="11269" max="11269" width="8.625" style="3" bestFit="1" customWidth="1"/>
    <col min="11270" max="11270" width="8.5" style="3" bestFit="1" customWidth="1"/>
    <col min="11271" max="11271" width="10.625" style="3" bestFit="1" customWidth="1"/>
    <col min="11272" max="11272" width="10" style="3" bestFit="1" customWidth="1"/>
    <col min="11273" max="11273" width="12.5" style="3" bestFit="1" customWidth="1"/>
    <col min="11274" max="11274" width="7.125" style="3" customWidth="1"/>
    <col min="11275" max="11275" width="9.875" style="3" customWidth="1"/>
    <col min="11276" max="11276" width="10.75" style="3" customWidth="1"/>
    <col min="11277" max="11277" width="9.75" style="3" bestFit="1" customWidth="1"/>
    <col min="11278" max="11278" width="6.125" style="3" customWidth="1"/>
    <col min="11279" max="11279" width="9.5" style="3" bestFit="1" customWidth="1"/>
    <col min="11280" max="11280" width="7.75" style="3" customWidth="1"/>
    <col min="11281" max="11281" width="17.125" style="3" bestFit="1" customWidth="1"/>
    <col min="11282" max="11282" width="16.25" style="3" bestFit="1" customWidth="1"/>
    <col min="11283" max="11283" width="11.375" style="3" bestFit="1" customWidth="1"/>
    <col min="11284" max="11284" width="9.625" style="3" customWidth="1"/>
    <col min="11285" max="11285" width="13.25" style="3" bestFit="1" customWidth="1"/>
    <col min="11286" max="11286" width="9.625" style="3" customWidth="1"/>
    <col min="11287" max="11520" width="9" style="3"/>
    <col min="11521" max="11521" width="16.25" style="3" customWidth="1"/>
    <col min="11522" max="11522" width="4.625" style="3" bestFit="1" customWidth="1"/>
    <col min="11523" max="11523" width="26.875" style="3" customWidth="1"/>
    <col min="11524" max="11524" width="12.75" style="3" bestFit="1" customWidth="1"/>
    <col min="11525" max="11525" width="8.625" style="3" bestFit="1" customWidth="1"/>
    <col min="11526" max="11526" width="8.5" style="3" bestFit="1" customWidth="1"/>
    <col min="11527" max="11527" width="10.625" style="3" bestFit="1" customWidth="1"/>
    <col min="11528" max="11528" width="10" style="3" bestFit="1" customWidth="1"/>
    <col min="11529" max="11529" width="12.5" style="3" bestFit="1" customWidth="1"/>
    <col min="11530" max="11530" width="7.125" style="3" customWidth="1"/>
    <col min="11531" max="11531" width="9.875" style="3" customWidth="1"/>
    <col min="11532" max="11532" width="10.75" style="3" customWidth="1"/>
    <col min="11533" max="11533" width="9.75" style="3" bestFit="1" customWidth="1"/>
    <col min="11534" max="11534" width="6.125" style="3" customWidth="1"/>
    <col min="11535" max="11535" width="9.5" style="3" bestFit="1" customWidth="1"/>
    <col min="11536" max="11536" width="7.75" style="3" customWidth="1"/>
    <col min="11537" max="11537" width="17.125" style="3" bestFit="1" customWidth="1"/>
    <col min="11538" max="11538" width="16.25" style="3" bestFit="1" customWidth="1"/>
    <col min="11539" max="11539" width="11.375" style="3" bestFit="1" customWidth="1"/>
    <col min="11540" max="11540" width="9.625" style="3" customWidth="1"/>
    <col min="11541" max="11541" width="13.25" style="3" bestFit="1" customWidth="1"/>
    <col min="11542" max="11542" width="9.625" style="3" customWidth="1"/>
    <col min="11543" max="11776" width="9" style="3"/>
    <col min="11777" max="11777" width="16.25" style="3" customWidth="1"/>
    <col min="11778" max="11778" width="4.625" style="3" bestFit="1" customWidth="1"/>
    <col min="11779" max="11779" width="26.875" style="3" customWidth="1"/>
    <col min="11780" max="11780" width="12.75" style="3" bestFit="1" customWidth="1"/>
    <col min="11781" max="11781" width="8.625" style="3" bestFit="1" customWidth="1"/>
    <col min="11782" max="11782" width="8.5" style="3" bestFit="1" customWidth="1"/>
    <col min="11783" max="11783" width="10.625" style="3" bestFit="1" customWidth="1"/>
    <col min="11784" max="11784" width="10" style="3" bestFit="1" customWidth="1"/>
    <col min="11785" max="11785" width="12.5" style="3" bestFit="1" customWidth="1"/>
    <col min="11786" max="11786" width="7.125" style="3" customWidth="1"/>
    <col min="11787" max="11787" width="9.875" style="3" customWidth="1"/>
    <col min="11788" max="11788" width="10.75" style="3" customWidth="1"/>
    <col min="11789" max="11789" width="9.75" style="3" bestFit="1" customWidth="1"/>
    <col min="11790" max="11790" width="6.125" style="3" customWidth="1"/>
    <col min="11791" max="11791" width="9.5" style="3" bestFit="1" customWidth="1"/>
    <col min="11792" max="11792" width="7.75" style="3" customWidth="1"/>
    <col min="11793" max="11793" width="17.125" style="3" bestFit="1" customWidth="1"/>
    <col min="11794" max="11794" width="16.25" style="3" bestFit="1" customWidth="1"/>
    <col min="11795" max="11795" width="11.375" style="3" bestFit="1" customWidth="1"/>
    <col min="11796" max="11796" width="9.625" style="3" customWidth="1"/>
    <col min="11797" max="11797" width="13.25" style="3" bestFit="1" customWidth="1"/>
    <col min="11798" max="11798" width="9.625" style="3" customWidth="1"/>
    <col min="11799" max="12032" width="9" style="3"/>
    <col min="12033" max="12033" width="16.25" style="3" customWidth="1"/>
    <col min="12034" max="12034" width="4.625" style="3" bestFit="1" customWidth="1"/>
    <col min="12035" max="12035" width="26.875" style="3" customWidth="1"/>
    <col min="12036" max="12036" width="12.75" style="3" bestFit="1" customWidth="1"/>
    <col min="12037" max="12037" width="8.625" style="3" bestFit="1" customWidth="1"/>
    <col min="12038" max="12038" width="8.5" style="3" bestFit="1" customWidth="1"/>
    <col min="12039" max="12039" width="10.625" style="3" bestFit="1" customWidth="1"/>
    <col min="12040" max="12040" width="10" style="3" bestFit="1" customWidth="1"/>
    <col min="12041" max="12041" width="12.5" style="3" bestFit="1" customWidth="1"/>
    <col min="12042" max="12042" width="7.125" style="3" customWidth="1"/>
    <col min="12043" max="12043" width="9.875" style="3" customWidth="1"/>
    <col min="12044" max="12044" width="10.75" style="3" customWidth="1"/>
    <col min="12045" max="12045" width="9.75" style="3" bestFit="1" customWidth="1"/>
    <col min="12046" max="12046" width="6.125" style="3" customWidth="1"/>
    <col min="12047" max="12047" width="9.5" style="3" bestFit="1" customWidth="1"/>
    <col min="12048" max="12048" width="7.75" style="3" customWidth="1"/>
    <col min="12049" max="12049" width="17.125" style="3" bestFit="1" customWidth="1"/>
    <col min="12050" max="12050" width="16.25" style="3" bestFit="1" customWidth="1"/>
    <col min="12051" max="12051" width="11.375" style="3" bestFit="1" customWidth="1"/>
    <col min="12052" max="12052" width="9.625" style="3" customWidth="1"/>
    <col min="12053" max="12053" width="13.25" style="3" bestFit="1" customWidth="1"/>
    <col min="12054" max="12054" width="9.625" style="3" customWidth="1"/>
    <col min="12055" max="12288" width="9" style="3"/>
    <col min="12289" max="12289" width="16.25" style="3" customWidth="1"/>
    <col min="12290" max="12290" width="4.625" style="3" bestFit="1" customWidth="1"/>
    <col min="12291" max="12291" width="26.875" style="3" customWidth="1"/>
    <col min="12292" max="12292" width="12.75" style="3" bestFit="1" customWidth="1"/>
    <col min="12293" max="12293" width="8.625" style="3" bestFit="1" customWidth="1"/>
    <col min="12294" max="12294" width="8.5" style="3" bestFit="1" customWidth="1"/>
    <col min="12295" max="12295" width="10.625" style="3" bestFit="1" customWidth="1"/>
    <col min="12296" max="12296" width="10" style="3" bestFit="1" customWidth="1"/>
    <col min="12297" max="12297" width="12.5" style="3" bestFit="1" customWidth="1"/>
    <col min="12298" max="12298" width="7.125" style="3" customWidth="1"/>
    <col min="12299" max="12299" width="9.875" style="3" customWidth="1"/>
    <col min="12300" max="12300" width="10.75" style="3" customWidth="1"/>
    <col min="12301" max="12301" width="9.75" style="3" bestFit="1" customWidth="1"/>
    <col min="12302" max="12302" width="6.125" style="3" customWidth="1"/>
    <col min="12303" max="12303" width="9.5" style="3" bestFit="1" customWidth="1"/>
    <col min="12304" max="12304" width="7.75" style="3" customWidth="1"/>
    <col min="12305" max="12305" width="17.125" style="3" bestFit="1" customWidth="1"/>
    <col min="12306" max="12306" width="16.25" style="3" bestFit="1" customWidth="1"/>
    <col min="12307" max="12307" width="11.375" style="3" bestFit="1" customWidth="1"/>
    <col min="12308" max="12308" width="9.625" style="3" customWidth="1"/>
    <col min="12309" max="12309" width="13.25" style="3" bestFit="1" customWidth="1"/>
    <col min="12310" max="12310" width="9.625" style="3" customWidth="1"/>
    <col min="12311" max="12544" width="9" style="3"/>
    <col min="12545" max="12545" width="16.25" style="3" customWidth="1"/>
    <col min="12546" max="12546" width="4.625" style="3" bestFit="1" customWidth="1"/>
    <col min="12547" max="12547" width="26.875" style="3" customWidth="1"/>
    <col min="12548" max="12548" width="12.75" style="3" bestFit="1" customWidth="1"/>
    <col min="12549" max="12549" width="8.625" style="3" bestFit="1" customWidth="1"/>
    <col min="12550" max="12550" width="8.5" style="3" bestFit="1" customWidth="1"/>
    <col min="12551" max="12551" width="10.625" style="3" bestFit="1" customWidth="1"/>
    <col min="12552" max="12552" width="10" style="3" bestFit="1" customWidth="1"/>
    <col min="12553" max="12553" width="12.5" style="3" bestFit="1" customWidth="1"/>
    <col min="12554" max="12554" width="7.125" style="3" customWidth="1"/>
    <col min="12555" max="12555" width="9.875" style="3" customWidth="1"/>
    <col min="12556" max="12556" width="10.75" style="3" customWidth="1"/>
    <col min="12557" max="12557" width="9.75" style="3" bestFit="1" customWidth="1"/>
    <col min="12558" max="12558" width="6.125" style="3" customWidth="1"/>
    <col min="12559" max="12559" width="9.5" style="3" bestFit="1" customWidth="1"/>
    <col min="12560" max="12560" width="7.75" style="3" customWidth="1"/>
    <col min="12561" max="12561" width="17.125" style="3" bestFit="1" customWidth="1"/>
    <col min="12562" max="12562" width="16.25" style="3" bestFit="1" customWidth="1"/>
    <col min="12563" max="12563" width="11.375" style="3" bestFit="1" customWidth="1"/>
    <col min="12564" max="12564" width="9.625" style="3" customWidth="1"/>
    <col min="12565" max="12565" width="13.25" style="3" bestFit="1" customWidth="1"/>
    <col min="12566" max="12566" width="9.625" style="3" customWidth="1"/>
    <col min="12567" max="12800" width="9" style="3"/>
    <col min="12801" max="12801" width="16.25" style="3" customWidth="1"/>
    <col min="12802" max="12802" width="4.625" style="3" bestFit="1" customWidth="1"/>
    <col min="12803" max="12803" width="26.875" style="3" customWidth="1"/>
    <col min="12804" max="12804" width="12.75" style="3" bestFit="1" customWidth="1"/>
    <col min="12805" max="12805" width="8.625" style="3" bestFit="1" customWidth="1"/>
    <col min="12806" max="12806" width="8.5" style="3" bestFit="1" customWidth="1"/>
    <col min="12807" max="12807" width="10.625" style="3" bestFit="1" customWidth="1"/>
    <col min="12808" max="12808" width="10" style="3" bestFit="1" customWidth="1"/>
    <col min="12809" max="12809" width="12.5" style="3" bestFit="1" customWidth="1"/>
    <col min="12810" max="12810" width="7.125" style="3" customWidth="1"/>
    <col min="12811" max="12811" width="9.875" style="3" customWidth="1"/>
    <col min="12812" max="12812" width="10.75" style="3" customWidth="1"/>
    <col min="12813" max="12813" width="9.75" style="3" bestFit="1" customWidth="1"/>
    <col min="12814" max="12814" width="6.125" style="3" customWidth="1"/>
    <col min="12815" max="12815" width="9.5" style="3" bestFit="1" customWidth="1"/>
    <col min="12816" max="12816" width="7.75" style="3" customWidth="1"/>
    <col min="12817" max="12817" width="17.125" style="3" bestFit="1" customWidth="1"/>
    <col min="12818" max="12818" width="16.25" style="3" bestFit="1" customWidth="1"/>
    <col min="12819" max="12819" width="11.375" style="3" bestFit="1" customWidth="1"/>
    <col min="12820" max="12820" width="9.625" style="3" customWidth="1"/>
    <col min="12821" max="12821" width="13.25" style="3" bestFit="1" customWidth="1"/>
    <col min="12822" max="12822" width="9.625" style="3" customWidth="1"/>
    <col min="12823" max="13056" width="9" style="3"/>
    <col min="13057" max="13057" width="16.25" style="3" customWidth="1"/>
    <col min="13058" max="13058" width="4.625" style="3" bestFit="1" customWidth="1"/>
    <col min="13059" max="13059" width="26.875" style="3" customWidth="1"/>
    <col min="13060" max="13060" width="12.75" style="3" bestFit="1" customWidth="1"/>
    <col min="13061" max="13061" width="8.625" style="3" bestFit="1" customWidth="1"/>
    <col min="13062" max="13062" width="8.5" style="3" bestFit="1" customWidth="1"/>
    <col min="13063" max="13063" width="10.625" style="3" bestFit="1" customWidth="1"/>
    <col min="13064" max="13064" width="10" style="3" bestFit="1" customWidth="1"/>
    <col min="13065" max="13065" width="12.5" style="3" bestFit="1" customWidth="1"/>
    <col min="13066" max="13066" width="7.125" style="3" customWidth="1"/>
    <col min="13067" max="13067" width="9.875" style="3" customWidth="1"/>
    <col min="13068" max="13068" width="10.75" style="3" customWidth="1"/>
    <col min="13069" max="13069" width="9.75" style="3" bestFit="1" customWidth="1"/>
    <col min="13070" max="13070" width="6.125" style="3" customWidth="1"/>
    <col min="13071" max="13071" width="9.5" style="3" bestFit="1" customWidth="1"/>
    <col min="13072" max="13072" width="7.75" style="3" customWidth="1"/>
    <col min="13073" max="13073" width="17.125" style="3" bestFit="1" customWidth="1"/>
    <col min="13074" max="13074" width="16.25" style="3" bestFit="1" customWidth="1"/>
    <col min="13075" max="13075" width="11.375" style="3" bestFit="1" customWidth="1"/>
    <col min="13076" max="13076" width="9.625" style="3" customWidth="1"/>
    <col min="13077" max="13077" width="13.25" style="3" bestFit="1" customWidth="1"/>
    <col min="13078" max="13078" width="9.625" style="3" customWidth="1"/>
    <col min="13079" max="13312" width="9" style="3"/>
    <col min="13313" max="13313" width="16.25" style="3" customWidth="1"/>
    <col min="13314" max="13314" width="4.625" style="3" bestFit="1" customWidth="1"/>
    <col min="13315" max="13315" width="26.875" style="3" customWidth="1"/>
    <col min="13316" max="13316" width="12.75" style="3" bestFit="1" customWidth="1"/>
    <col min="13317" max="13317" width="8.625" style="3" bestFit="1" customWidth="1"/>
    <col min="13318" max="13318" width="8.5" style="3" bestFit="1" customWidth="1"/>
    <col min="13319" max="13319" width="10.625" style="3" bestFit="1" customWidth="1"/>
    <col min="13320" max="13320" width="10" style="3" bestFit="1" customWidth="1"/>
    <col min="13321" max="13321" width="12.5" style="3" bestFit="1" customWidth="1"/>
    <col min="13322" max="13322" width="7.125" style="3" customWidth="1"/>
    <col min="13323" max="13323" width="9.875" style="3" customWidth="1"/>
    <col min="13324" max="13324" width="10.75" style="3" customWidth="1"/>
    <col min="13325" max="13325" width="9.75" style="3" bestFit="1" customWidth="1"/>
    <col min="13326" max="13326" width="6.125" style="3" customWidth="1"/>
    <col min="13327" max="13327" width="9.5" style="3" bestFit="1" customWidth="1"/>
    <col min="13328" max="13328" width="7.75" style="3" customWidth="1"/>
    <col min="13329" max="13329" width="17.125" style="3" bestFit="1" customWidth="1"/>
    <col min="13330" max="13330" width="16.25" style="3" bestFit="1" customWidth="1"/>
    <col min="13331" max="13331" width="11.375" style="3" bestFit="1" customWidth="1"/>
    <col min="13332" max="13332" width="9.625" style="3" customWidth="1"/>
    <col min="13333" max="13333" width="13.25" style="3" bestFit="1" customWidth="1"/>
    <col min="13334" max="13334" width="9.625" style="3" customWidth="1"/>
    <col min="13335" max="13568" width="9" style="3"/>
    <col min="13569" max="13569" width="16.25" style="3" customWidth="1"/>
    <col min="13570" max="13570" width="4.625" style="3" bestFit="1" customWidth="1"/>
    <col min="13571" max="13571" width="26.875" style="3" customWidth="1"/>
    <col min="13572" max="13572" width="12.75" style="3" bestFit="1" customWidth="1"/>
    <col min="13573" max="13573" width="8.625" style="3" bestFit="1" customWidth="1"/>
    <col min="13574" max="13574" width="8.5" style="3" bestFit="1" customWidth="1"/>
    <col min="13575" max="13575" width="10.625" style="3" bestFit="1" customWidth="1"/>
    <col min="13576" max="13576" width="10" style="3" bestFit="1" customWidth="1"/>
    <col min="13577" max="13577" width="12.5" style="3" bestFit="1" customWidth="1"/>
    <col min="13578" max="13578" width="7.125" style="3" customWidth="1"/>
    <col min="13579" max="13579" width="9.875" style="3" customWidth="1"/>
    <col min="13580" max="13580" width="10.75" style="3" customWidth="1"/>
    <col min="13581" max="13581" width="9.75" style="3" bestFit="1" customWidth="1"/>
    <col min="13582" max="13582" width="6.125" style="3" customWidth="1"/>
    <col min="13583" max="13583" width="9.5" style="3" bestFit="1" customWidth="1"/>
    <col min="13584" max="13584" width="7.75" style="3" customWidth="1"/>
    <col min="13585" max="13585" width="17.125" style="3" bestFit="1" customWidth="1"/>
    <col min="13586" max="13586" width="16.25" style="3" bestFit="1" customWidth="1"/>
    <col min="13587" max="13587" width="11.375" style="3" bestFit="1" customWidth="1"/>
    <col min="13588" max="13588" width="9.625" style="3" customWidth="1"/>
    <col min="13589" max="13589" width="13.25" style="3" bestFit="1" customWidth="1"/>
    <col min="13590" max="13590" width="9.625" style="3" customWidth="1"/>
    <col min="13591" max="13824" width="9" style="3"/>
    <col min="13825" max="13825" width="16.25" style="3" customWidth="1"/>
    <col min="13826" max="13826" width="4.625" style="3" bestFit="1" customWidth="1"/>
    <col min="13827" max="13827" width="26.875" style="3" customWidth="1"/>
    <col min="13828" max="13828" width="12.75" style="3" bestFit="1" customWidth="1"/>
    <col min="13829" max="13829" width="8.625" style="3" bestFit="1" customWidth="1"/>
    <col min="13830" max="13830" width="8.5" style="3" bestFit="1" customWidth="1"/>
    <col min="13831" max="13831" width="10.625" style="3" bestFit="1" customWidth="1"/>
    <col min="13832" max="13832" width="10" style="3" bestFit="1" customWidth="1"/>
    <col min="13833" max="13833" width="12.5" style="3" bestFit="1" customWidth="1"/>
    <col min="13834" max="13834" width="7.125" style="3" customWidth="1"/>
    <col min="13835" max="13835" width="9.875" style="3" customWidth="1"/>
    <col min="13836" max="13836" width="10.75" style="3" customWidth="1"/>
    <col min="13837" max="13837" width="9.75" style="3" bestFit="1" customWidth="1"/>
    <col min="13838" max="13838" width="6.125" style="3" customWidth="1"/>
    <col min="13839" max="13839" width="9.5" style="3" bestFit="1" customWidth="1"/>
    <col min="13840" max="13840" width="7.75" style="3" customWidth="1"/>
    <col min="13841" max="13841" width="17.125" style="3" bestFit="1" customWidth="1"/>
    <col min="13842" max="13842" width="16.25" style="3" bestFit="1" customWidth="1"/>
    <col min="13843" max="13843" width="11.375" style="3" bestFit="1" customWidth="1"/>
    <col min="13844" max="13844" width="9.625" style="3" customWidth="1"/>
    <col min="13845" max="13845" width="13.25" style="3" bestFit="1" customWidth="1"/>
    <col min="13846" max="13846" width="9.625" style="3" customWidth="1"/>
    <col min="13847" max="14080" width="9" style="3"/>
    <col min="14081" max="14081" width="16.25" style="3" customWidth="1"/>
    <col min="14082" max="14082" width="4.625" style="3" bestFit="1" customWidth="1"/>
    <col min="14083" max="14083" width="26.875" style="3" customWidth="1"/>
    <col min="14084" max="14084" width="12.75" style="3" bestFit="1" customWidth="1"/>
    <col min="14085" max="14085" width="8.625" style="3" bestFit="1" customWidth="1"/>
    <col min="14086" max="14086" width="8.5" style="3" bestFit="1" customWidth="1"/>
    <col min="14087" max="14087" width="10.625" style="3" bestFit="1" customWidth="1"/>
    <col min="14088" max="14088" width="10" style="3" bestFit="1" customWidth="1"/>
    <col min="14089" max="14089" width="12.5" style="3" bestFit="1" customWidth="1"/>
    <col min="14090" max="14090" width="7.125" style="3" customWidth="1"/>
    <col min="14091" max="14091" width="9.875" style="3" customWidth="1"/>
    <col min="14092" max="14092" width="10.75" style="3" customWidth="1"/>
    <col min="14093" max="14093" width="9.75" style="3" bestFit="1" customWidth="1"/>
    <col min="14094" max="14094" width="6.125" style="3" customWidth="1"/>
    <col min="14095" max="14095" width="9.5" style="3" bestFit="1" customWidth="1"/>
    <col min="14096" max="14096" width="7.75" style="3" customWidth="1"/>
    <col min="14097" max="14097" width="17.125" style="3" bestFit="1" customWidth="1"/>
    <col min="14098" max="14098" width="16.25" style="3" bestFit="1" customWidth="1"/>
    <col min="14099" max="14099" width="11.375" style="3" bestFit="1" customWidth="1"/>
    <col min="14100" max="14100" width="9.625" style="3" customWidth="1"/>
    <col min="14101" max="14101" width="13.25" style="3" bestFit="1" customWidth="1"/>
    <col min="14102" max="14102" width="9.625" style="3" customWidth="1"/>
    <col min="14103" max="14336" width="9" style="3"/>
    <col min="14337" max="14337" width="16.25" style="3" customWidth="1"/>
    <col min="14338" max="14338" width="4.625" style="3" bestFit="1" customWidth="1"/>
    <col min="14339" max="14339" width="26.875" style="3" customWidth="1"/>
    <col min="14340" max="14340" width="12.75" style="3" bestFit="1" customWidth="1"/>
    <col min="14341" max="14341" width="8.625" style="3" bestFit="1" customWidth="1"/>
    <col min="14342" max="14342" width="8.5" style="3" bestFit="1" customWidth="1"/>
    <col min="14343" max="14343" width="10.625" style="3" bestFit="1" customWidth="1"/>
    <col min="14344" max="14344" width="10" style="3" bestFit="1" customWidth="1"/>
    <col min="14345" max="14345" width="12.5" style="3" bestFit="1" customWidth="1"/>
    <col min="14346" max="14346" width="7.125" style="3" customWidth="1"/>
    <col min="14347" max="14347" width="9.875" style="3" customWidth="1"/>
    <col min="14348" max="14348" width="10.75" style="3" customWidth="1"/>
    <col min="14349" max="14349" width="9.75" style="3" bestFit="1" customWidth="1"/>
    <col min="14350" max="14350" width="6.125" style="3" customWidth="1"/>
    <col min="14351" max="14351" width="9.5" style="3" bestFit="1" customWidth="1"/>
    <col min="14352" max="14352" width="7.75" style="3" customWidth="1"/>
    <col min="14353" max="14353" width="17.125" style="3" bestFit="1" customWidth="1"/>
    <col min="14354" max="14354" width="16.25" style="3" bestFit="1" customWidth="1"/>
    <col min="14355" max="14355" width="11.375" style="3" bestFit="1" customWidth="1"/>
    <col min="14356" max="14356" width="9.625" style="3" customWidth="1"/>
    <col min="14357" max="14357" width="13.25" style="3" bestFit="1" customWidth="1"/>
    <col min="14358" max="14358" width="9.625" style="3" customWidth="1"/>
    <col min="14359" max="14592" width="9" style="3"/>
    <col min="14593" max="14593" width="16.25" style="3" customWidth="1"/>
    <col min="14594" max="14594" width="4.625" style="3" bestFit="1" customWidth="1"/>
    <col min="14595" max="14595" width="26.875" style="3" customWidth="1"/>
    <col min="14596" max="14596" width="12.75" style="3" bestFit="1" customWidth="1"/>
    <col min="14597" max="14597" width="8.625" style="3" bestFit="1" customWidth="1"/>
    <col min="14598" max="14598" width="8.5" style="3" bestFit="1" customWidth="1"/>
    <col min="14599" max="14599" width="10.625" style="3" bestFit="1" customWidth="1"/>
    <col min="14600" max="14600" width="10" style="3" bestFit="1" customWidth="1"/>
    <col min="14601" max="14601" width="12.5" style="3" bestFit="1" customWidth="1"/>
    <col min="14602" max="14602" width="7.125" style="3" customWidth="1"/>
    <col min="14603" max="14603" width="9.875" style="3" customWidth="1"/>
    <col min="14604" max="14604" width="10.75" style="3" customWidth="1"/>
    <col min="14605" max="14605" width="9.75" style="3" bestFit="1" customWidth="1"/>
    <col min="14606" max="14606" width="6.125" style="3" customWidth="1"/>
    <col min="14607" max="14607" width="9.5" style="3" bestFit="1" customWidth="1"/>
    <col min="14608" max="14608" width="7.75" style="3" customWidth="1"/>
    <col min="14609" max="14609" width="17.125" style="3" bestFit="1" customWidth="1"/>
    <col min="14610" max="14610" width="16.25" style="3" bestFit="1" customWidth="1"/>
    <col min="14611" max="14611" width="11.375" style="3" bestFit="1" customWidth="1"/>
    <col min="14612" max="14612" width="9.625" style="3" customWidth="1"/>
    <col min="14613" max="14613" width="13.25" style="3" bestFit="1" customWidth="1"/>
    <col min="14614" max="14614" width="9.625" style="3" customWidth="1"/>
    <col min="14615" max="14848" width="9" style="3"/>
    <col min="14849" max="14849" width="16.25" style="3" customWidth="1"/>
    <col min="14850" max="14850" width="4.625" style="3" bestFit="1" customWidth="1"/>
    <col min="14851" max="14851" width="26.875" style="3" customWidth="1"/>
    <col min="14852" max="14852" width="12.75" style="3" bestFit="1" customWidth="1"/>
    <col min="14853" max="14853" width="8.625" style="3" bestFit="1" customWidth="1"/>
    <col min="14854" max="14854" width="8.5" style="3" bestFit="1" customWidth="1"/>
    <col min="14855" max="14855" width="10.625" style="3" bestFit="1" customWidth="1"/>
    <col min="14856" max="14856" width="10" style="3" bestFit="1" customWidth="1"/>
    <col min="14857" max="14857" width="12.5" style="3" bestFit="1" customWidth="1"/>
    <col min="14858" max="14858" width="7.125" style="3" customWidth="1"/>
    <col min="14859" max="14859" width="9.875" style="3" customWidth="1"/>
    <col min="14860" max="14860" width="10.75" style="3" customWidth="1"/>
    <col min="14861" max="14861" width="9.75" style="3" bestFit="1" customWidth="1"/>
    <col min="14862" max="14862" width="6.125" style="3" customWidth="1"/>
    <col min="14863" max="14863" width="9.5" style="3" bestFit="1" customWidth="1"/>
    <col min="14864" max="14864" width="7.75" style="3" customWidth="1"/>
    <col min="14865" max="14865" width="17.125" style="3" bestFit="1" customWidth="1"/>
    <col min="14866" max="14866" width="16.25" style="3" bestFit="1" customWidth="1"/>
    <col min="14867" max="14867" width="11.375" style="3" bestFit="1" customWidth="1"/>
    <col min="14868" max="14868" width="9.625" style="3" customWidth="1"/>
    <col min="14869" max="14869" width="13.25" style="3" bestFit="1" customWidth="1"/>
    <col min="14870" max="14870" width="9.625" style="3" customWidth="1"/>
    <col min="14871" max="15104" width="9" style="3"/>
    <col min="15105" max="15105" width="16.25" style="3" customWidth="1"/>
    <col min="15106" max="15106" width="4.625" style="3" bestFit="1" customWidth="1"/>
    <col min="15107" max="15107" width="26.875" style="3" customWidth="1"/>
    <col min="15108" max="15108" width="12.75" style="3" bestFit="1" customWidth="1"/>
    <col min="15109" max="15109" width="8.625" style="3" bestFit="1" customWidth="1"/>
    <col min="15110" max="15110" width="8.5" style="3" bestFit="1" customWidth="1"/>
    <col min="15111" max="15111" width="10.625" style="3" bestFit="1" customWidth="1"/>
    <col min="15112" max="15112" width="10" style="3" bestFit="1" customWidth="1"/>
    <col min="15113" max="15113" width="12.5" style="3" bestFit="1" customWidth="1"/>
    <col min="15114" max="15114" width="7.125" style="3" customWidth="1"/>
    <col min="15115" max="15115" width="9.875" style="3" customWidth="1"/>
    <col min="15116" max="15116" width="10.75" style="3" customWidth="1"/>
    <col min="15117" max="15117" width="9.75" style="3" bestFit="1" customWidth="1"/>
    <col min="15118" max="15118" width="6.125" style="3" customWidth="1"/>
    <col min="15119" max="15119" width="9.5" style="3" bestFit="1" customWidth="1"/>
    <col min="15120" max="15120" width="7.75" style="3" customWidth="1"/>
    <col min="15121" max="15121" width="17.125" style="3" bestFit="1" customWidth="1"/>
    <col min="15122" max="15122" width="16.25" style="3" bestFit="1" customWidth="1"/>
    <col min="15123" max="15123" width="11.375" style="3" bestFit="1" customWidth="1"/>
    <col min="15124" max="15124" width="9.625" style="3" customWidth="1"/>
    <col min="15125" max="15125" width="13.25" style="3" bestFit="1" customWidth="1"/>
    <col min="15126" max="15126" width="9.625" style="3" customWidth="1"/>
    <col min="15127" max="15360" width="9" style="3"/>
    <col min="15361" max="15361" width="16.25" style="3" customWidth="1"/>
    <col min="15362" max="15362" width="4.625" style="3" bestFit="1" customWidth="1"/>
    <col min="15363" max="15363" width="26.875" style="3" customWidth="1"/>
    <col min="15364" max="15364" width="12.75" style="3" bestFit="1" customWidth="1"/>
    <col min="15365" max="15365" width="8.625" style="3" bestFit="1" customWidth="1"/>
    <col min="15366" max="15366" width="8.5" style="3" bestFit="1" customWidth="1"/>
    <col min="15367" max="15367" width="10.625" style="3" bestFit="1" customWidth="1"/>
    <col min="15368" max="15368" width="10" style="3" bestFit="1" customWidth="1"/>
    <col min="15369" max="15369" width="12.5" style="3" bestFit="1" customWidth="1"/>
    <col min="15370" max="15370" width="7.125" style="3" customWidth="1"/>
    <col min="15371" max="15371" width="9.875" style="3" customWidth="1"/>
    <col min="15372" max="15372" width="10.75" style="3" customWidth="1"/>
    <col min="15373" max="15373" width="9.75" style="3" bestFit="1" customWidth="1"/>
    <col min="15374" max="15374" width="6.125" style="3" customWidth="1"/>
    <col min="15375" max="15375" width="9.5" style="3" bestFit="1" customWidth="1"/>
    <col min="15376" max="15376" width="7.75" style="3" customWidth="1"/>
    <col min="15377" max="15377" width="17.125" style="3" bestFit="1" customWidth="1"/>
    <col min="15378" max="15378" width="16.25" style="3" bestFit="1" customWidth="1"/>
    <col min="15379" max="15379" width="11.375" style="3" bestFit="1" customWidth="1"/>
    <col min="15380" max="15380" width="9.625" style="3" customWidth="1"/>
    <col min="15381" max="15381" width="13.25" style="3" bestFit="1" customWidth="1"/>
    <col min="15382" max="15382" width="9.625" style="3" customWidth="1"/>
    <col min="15383" max="15616" width="9" style="3"/>
    <col min="15617" max="15617" width="16.25" style="3" customWidth="1"/>
    <col min="15618" max="15618" width="4.625" style="3" bestFit="1" customWidth="1"/>
    <col min="15619" max="15619" width="26.875" style="3" customWidth="1"/>
    <col min="15620" max="15620" width="12.75" style="3" bestFit="1" customWidth="1"/>
    <col min="15621" max="15621" width="8.625" style="3" bestFit="1" customWidth="1"/>
    <col min="15622" max="15622" width="8.5" style="3" bestFit="1" customWidth="1"/>
    <col min="15623" max="15623" width="10.625" style="3" bestFit="1" customWidth="1"/>
    <col min="15624" max="15624" width="10" style="3" bestFit="1" customWidth="1"/>
    <col min="15625" max="15625" width="12.5" style="3" bestFit="1" customWidth="1"/>
    <col min="15626" max="15626" width="7.125" style="3" customWidth="1"/>
    <col min="15627" max="15627" width="9.875" style="3" customWidth="1"/>
    <col min="15628" max="15628" width="10.75" style="3" customWidth="1"/>
    <col min="15629" max="15629" width="9.75" style="3" bestFit="1" customWidth="1"/>
    <col min="15630" max="15630" width="6.125" style="3" customWidth="1"/>
    <col min="15631" max="15631" width="9.5" style="3" bestFit="1" customWidth="1"/>
    <col min="15632" max="15632" width="7.75" style="3" customWidth="1"/>
    <col min="15633" max="15633" width="17.125" style="3" bestFit="1" customWidth="1"/>
    <col min="15634" max="15634" width="16.25" style="3" bestFit="1" customWidth="1"/>
    <col min="15635" max="15635" width="11.375" style="3" bestFit="1" customWidth="1"/>
    <col min="15636" max="15636" width="9.625" style="3" customWidth="1"/>
    <col min="15637" max="15637" width="13.25" style="3" bestFit="1" customWidth="1"/>
    <col min="15638" max="15638" width="9.625" style="3" customWidth="1"/>
    <col min="15639" max="15872" width="9" style="3"/>
    <col min="15873" max="15873" width="16.25" style="3" customWidth="1"/>
    <col min="15874" max="15874" width="4.625" style="3" bestFit="1" customWidth="1"/>
    <col min="15875" max="15875" width="26.875" style="3" customWidth="1"/>
    <col min="15876" max="15876" width="12.75" style="3" bestFit="1" customWidth="1"/>
    <col min="15877" max="15877" width="8.625" style="3" bestFit="1" customWidth="1"/>
    <col min="15878" max="15878" width="8.5" style="3" bestFit="1" customWidth="1"/>
    <col min="15879" max="15879" width="10.625" style="3" bestFit="1" customWidth="1"/>
    <col min="15880" max="15880" width="10" style="3" bestFit="1" customWidth="1"/>
    <col min="15881" max="15881" width="12.5" style="3" bestFit="1" customWidth="1"/>
    <col min="15882" max="15882" width="7.125" style="3" customWidth="1"/>
    <col min="15883" max="15883" width="9.875" style="3" customWidth="1"/>
    <col min="15884" max="15884" width="10.75" style="3" customWidth="1"/>
    <col min="15885" max="15885" width="9.75" style="3" bestFit="1" customWidth="1"/>
    <col min="15886" max="15886" width="6.125" style="3" customWidth="1"/>
    <col min="15887" max="15887" width="9.5" style="3" bestFit="1" customWidth="1"/>
    <col min="15888" max="15888" width="7.75" style="3" customWidth="1"/>
    <col min="15889" max="15889" width="17.125" style="3" bestFit="1" customWidth="1"/>
    <col min="15890" max="15890" width="16.25" style="3" bestFit="1" customWidth="1"/>
    <col min="15891" max="15891" width="11.375" style="3" bestFit="1" customWidth="1"/>
    <col min="15892" max="15892" width="9.625" style="3" customWidth="1"/>
    <col min="15893" max="15893" width="13.25" style="3" bestFit="1" customWidth="1"/>
    <col min="15894" max="15894" width="9.625" style="3" customWidth="1"/>
    <col min="15895" max="16128" width="9" style="3"/>
    <col min="16129" max="16129" width="16.25" style="3" customWidth="1"/>
    <col min="16130" max="16130" width="4.625" style="3" bestFit="1" customWidth="1"/>
    <col min="16131" max="16131" width="26.875" style="3" customWidth="1"/>
    <col min="16132" max="16132" width="12.75" style="3" bestFit="1" customWidth="1"/>
    <col min="16133" max="16133" width="8.625" style="3" bestFit="1" customWidth="1"/>
    <col min="16134" max="16134" width="8.5" style="3" bestFit="1" customWidth="1"/>
    <col min="16135" max="16135" width="10.625" style="3" bestFit="1" customWidth="1"/>
    <col min="16136" max="16136" width="10" style="3" bestFit="1" customWidth="1"/>
    <col min="16137" max="16137" width="12.5" style="3" bestFit="1" customWidth="1"/>
    <col min="16138" max="16138" width="7.125" style="3" customWidth="1"/>
    <col min="16139" max="16139" width="9.875" style="3" customWidth="1"/>
    <col min="16140" max="16140" width="10.75" style="3" customWidth="1"/>
    <col min="16141" max="16141" width="9.75" style="3" bestFit="1" customWidth="1"/>
    <col min="16142" max="16142" width="6.125" style="3" customWidth="1"/>
    <col min="16143" max="16143" width="9.5" style="3" bestFit="1" customWidth="1"/>
    <col min="16144" max="16144" width="7.75" style="3" customWidth="1"/>
    <col min="16145" max="16145" width="17.125" style="3" bestFit="1" customWidth="1"/>
    <col min="16146" max="16146" width="16.25" style="3" bestFit="1" customWidth="1"/>
    <col min="16147" max="16147" width="11.375" style="3" bestFit="1" customWidth="1"/>
    <col min="16148" max="16148" width="9.625" style="3" customWidth="1"/>
    <col min="16149" max="16149" width="13.25" style="3" bestFit="1" customWidth="1"/>
    <col min="16150" max="16150" width="9.625" style="3" customWidth="1"/>
    <col min="16151" max="16384" width="9" style="3"/>
  </cols>
  <sheetData>
    <row r="1" spans="1:22" ht="21" customHeight="1">
      <c r="A1" s="157"/>
      <c r="V1" s="3"/>
    </row>
    <row r="2" spans="1:22" ht="15.75">
      <c r="C2" s="156"/>
      <c r="F2" s="155"/>
      <c r="G2" s="155"/>
      <c r="H2" s="155"/>
      <c r="L2" s="530" t="s">
        <v>1622</v>
      </c>
      <c r="M2" s="7"/>
      <c r="N2" s="7"/>
      <c r="O2" s="7"/>
      <c r="P2" s="7"/>
      <c r="Q2" s="7"/>
      <c r="R2" s="7"/>
      <c r="S2" s="154"/>
      <c r="T2" s="153"/>
      <c r="U2" s="153"/>
      <c r="V2" s="153"/>
    </row>
    <row r="3" spans="1:22" ht="19.5" customHeight="1">
      <c r="A3" s="152" t="s">
        <v>1</v>
      </c>
      <c r="F3" s="10"/>
      <c r="G3" s="547"/>
      <c r="H3" s="547"/>
      <c r="I3" s="10"/>
      <c r="J3" s="547"/>
      <c r="K3" s="547"/>
      <c r="L3" s="547"/>
      <c r="M3" s="547"/>
      <c r="N3" s="547"/>
      <c r="O3" s="547"/>
      <c r="P3" s="547"/>
      <c r="Q3" s="10"/>
      <c r="R3" s="10"/>
      <c r="S3" s="547"/>
      <c r="V3" s="546" t="s">
        <v>2</v>
      </c>
    </row>
    <row r="4" spans="1:22" ht="11.25" customHeight="1" thickBot="1">
      <c r="A4" s="82" t="s">
        <v>3</v>
      </c>
      <c r="B4" s="82" t="s">
        <v>4</v>
      </c>
      <c r="C4" s="114"/>
      <c r="D4" s="82" t="s">
        <v>5</v>
      </c>
      <c r="E4" s="82" t="s">
        <v>6</v>
      </c>
      <c r="F4" s="82"/>
      <c r="G4" s="82"/>
      <c r="H4" s="82"/>
      <c r="I4" s="81" t="s">
        <v>1621</v>
      </c>
      <c r="J4" s="81" t="s">
        <v>1085</v>
      </c>
      <c r="K4" s="516" t="s">
        <v>1620</v>
      </c>
      <c r="L4" s="516" t="s">
        <v>1083</v>
      </c>
      <c r="M4" s="529" t="s">
        <v>1082</v>
      </c>
      <c r="N4" s="528" t="s">
        <v>1081</v>
      </c>
      <c r="O4" s="527"/>
      <c r="P4" s="526"/>
      <c r="Q4" s="81" t="s">
        <v>1080</v>
      </c>
      <c r="R4" s="96" t="s">
        <v>14</v>
      </c>
      <c r="S4" s="96"/>
      <c r="T4" s="96"/>
      <c r="U4" s="525" t="s">
        <v>1079</v>
      </c>
      <c r="V4" s="524" t="s">
        <v>1619</v>
      </c>
    </row>
    <row r="5" spans="1:22" ht="11.25" customHeight="1">
      <c r="A5" s="82"/>
      <c r="B5" s="82"/>
      <c r="C5" s="114"/>
      <c r="D5" s="82"/>
      <c r="E5" s="82"/>
      <c r="F5" s="82"/>
      <c r="G5" s="82"/>
      <c r="H5" s="82"/>
      <c r="I5" s="81"/>
      <c r="J5" s="81"/>
      <c r="K5" s="516"/>
      <c r="L5" s="516"/>
      <c r="M5" s="520"/>
      <c r="N5" s="523" t="s">
        <v>1077</v>
      </c>
      <c r="O5" s="545" t="s">
        <v>18</v>
      </c>
      <c r="P5" s="522" t="s">
        <v>1618</v>
      </c>
      <c r="Q5" s="81"/>
      <c r="R5" s="96"/>
      <c r="S5" s="96"/>
      <c r="T5" s="96"/>
      <c r="U5" s="518"/>
      <c r="V5" s="517"/>
    </row>
    <row r="6" spans="1:22">
      <c r="A6" s="82"/>
      <c r="B6" s="82"/>
      <c r="C6" s="114"/>
      <c r="D6" s="82"/>
      <c r="E6" s="10"/>
      <c r="F6" s="81" t="s">
        <v>1617</v>
      </c>
      <c r="G6" s="81" t="s">
        <v>1616</v>
      </c>
      <c r="H6" s="81" t="s">
        <v>1615</v>
      </c>
      <c r="I6" s="81"/>
      <c r="J6" s="81"/>
      <c r="K6" s="516"/>
      <c r="L6" s="516"/>
      <c r="M6" s="520"/>
      <c r="N6" s="104"/>
      <c r="O6" s="544"/>
      <c r="P6" s="150"/>
      <c r="Q6" s="81"/>
      <c r="R6" s="521" t="s">
        <v>1075</v>
      </c>
      <c r="S6" s="89" t="s">
        <v>1074</v>
      </c>
      <c r="T6" s="89" t="s">
        <v>25</v>
      </c>
      <c r="U6" s="518"/>
      <c r="V6" s="517"/>
    </row>
    <row r="7" spans="1:22">
      <c r="A7" s="82"/>
      <c r="B7" s="82"/>
      <c r="C7" s="114"/>
      <c r="D7" s="82"/>
      <c r="E7" s="10" t="s">
        <v>5</v>
      </c>
      <c r="F7" s="82"/>
      <c r="G7" s="82"/>
      <c r="H7" s="82"/>
      <c r="I7" s="81"/>
      <c r="J7" s="81"/>
      <c r="K7" s="516"/>
      <c r="L7" s="516"/>
      <c r="M7" s="520"/>
      <c r="N7" s="104"/>
      <c r="O7" s="544"/>
      <c r="P7" s="150"/>
      <c r="Q7" s="81"/>
      <c r="R7" s="519"/>
      <c r="S7" s="90"/>
      <c r="T7" s="90"/>
      <c r="U7" s="518"/>
      <c r="V7" s="517"/>
    </row>
    <row r="8" spans="1:22">
      <c r="A8" s="82"/>
      <c r="B8" s="82"/>
      <c r="C8" s="114"/>
      <c r="D8" s="82"/>
      <c r="E8" s="7"/>
      <c r="F8" s="82"/>
      <c r="G8" s="82"/>
      <c r="H8" s="82"/>
      <c r="I8" s="81"/>
      <c r="J8" s="81"/>
      <c r="K8" s="516"/>
      <c r="L8" s="516"/>
      <c r="M8" s="515"/>
      <c r="N8" s="105"/>
      <c r="O8" s="543"/>
      <c r="P8" s="111"/>
      <c r="Q8" s="81"/>
      <c r="R8" s="514"/>
      <c r="S8" s="91"/>
      <c r="T8" s="91"/>
      <c r="U8" s="513"/>
      <c r="V8" s="512"/>
    </row>
    <row r="9" spans="1:22" ht="24" customHeight="1">
      <c r="A9" s="11" t="s">
        <v>1685</v>
      </c>
      <c r="B9" s="13"/>
      <c r="C9" s="542" t="s">
        <v>1684</v>
      </c>
      <c r="D9" s="536" t="s">
        <v>1683</v>
      </c>
      <c r="E9" s="533" t="s">
        <v>1625</v>
      </c>
      <c r="F9" s="536">
        <v>12.776999999999999</v>
      </c>
      <c r="G9" s="536">
        <v>2300</v>
      </c>
      <c r="H9" s="536">
        <v>338</v>
      </c>
      <c r="I9" s="331" t="s">
        <v>431</v>
      </c>
      <c r="J9" s="331">
        <v>10525</v>
      </c>
      <c r="K9" s="535">
        <v>34635</v>
      </c>
      <c r="L9" s="535">
        <v>24000</v>
      </c>
      <c r="M9" s="532" t="s">
        <v>394</v>
      </c>
      <c r="N9" s="534">
        <v>3.15</v>
      </c>
      <c r="O9" s="471">
        <f>IF(N9&gt;0,1/N9*37.7*68.6,"")</f>
        <v>821.02222222222213</v>
      </c>
      <c r="P9" s="533">
        <v>3.09</v>
      </c>
      <c r="Q9" s="331" t="s">
        <v>435</v>
      </c>
      <c r="R9" s="357" t="s">
        <v>427</v>
      </c>
      <c r="S9" s="357" t="s">
        <v>34</v>
      </c>
      <c r="T9" s="357" t="s">
        <v>749</v>
      </c>
      <c r="U9" s="532" t="s">
        <v>749</v>
      </c>
      <c r="V9" s="531">
        <f>IFERROR(IF(N9&lt;P9,"",(ROUNDDOWN(N9/P9*100,0))),"")</f>
        <v>101</v>
      </c>
    </row>
    <row r="10" spans="1:22" ht="24" customHeight="1">
      <c r="A10" s="12"/>
      <c r="B10" s="540"/>
      <c r="C10" s="539"/>
      <c r="D10" s="536" t="s">
        <v>1682</v>
      </c>
      <c r="E10" s="533" t="s">
        <v>1625</v>
      </c>
      <c r="F10" s="536">
        <v>12.776999999999999</v>
      </c>
      <c r="G10" s="536">
        <v>2600</v>
      </c>
      <c r="H10" s="536">
        <v>397</v>
      </c>
      <c r="I10" s="331" t="s">
        <v>431</v>
      </c>
      <c r="J10" s="331">
        <v>10525</v>
      </c>
      <c r="K10" s="535">
        <v>34635</v>
      </c>
      <c r="L10" s="535">
        <v>24000</v>
      </c>
      <c r="M10" s="532" t="s">
        <v>394</v>
      </c>
      <c r="N10" s="534">
        <v>3.1</v>
      </c>
      <c r="O10" s="471">
        <f>IF(N10&gt;0,1/N10*37.7*68.6,"")</f>
        <v>834.26451612903224</v>
      </c>
      <c r="P10" s="533">
        <v>3.09</v>
      </c>
      <c r="Q10" s="331" t="s">
        <v>435</v>
      </c>
      <c r="R10" s="357" t="s">
        <v>427</v>
      </c>
      <c r="S10" s="357" t="s">
        <v>34</v>
      </c>
      <c r="T10" s="357" t="s">
        <v>749</v>
      </c>
      <c r="U10" s="532" t="s">
        <v>749</v>
      </c>
      <c r="V10" s="531">
        <f>IFERROR(IF(N10&lt;P10,"",(ROUNDDOWN(N10/P10*100,0))),"")</f>
        <v>100</v>
      </c>
    </row>
    <row r="11" spans="1:22" ht="24" customHeight="1">
      <c r="A11" s="12"/>
      <c r="B11" s="540"/>
      <c r="C11" s="539"/>
      <c r="D11" s="536" t="s">
        <v>1681</v>
      </c>
      <c r="E11" s="533" t="s">
        <v>1625</v>
      </c>
      <c r="F11" s="536">
        <v>12.776999999999999</v>
      </c>
      <c r="G11" s="536">
        <v>2300</v>
      </c>
      <c r="H11" s="536">
        <v>338</v>
      </c>
      <c r="I11" s="331" t="s">
        <v>431</v>
      </c>
      <c r="J11" s="331">
        <v>10525</v>
      </c>
      <c r="K11" s="535">
        <v>34635</v>
      </c>
      <c r="L11" s="535">
        <v>24000</v>
      </c>
      <c r="M11" s="532" t="s">
        <v>394</v>
      </c>
      <c r="N11" s="534">
        <v>3.15</v>
      </c>
      <c r="O11" s="471">
        <f>IF(N11&gt;0,1/N11*37.7*68.6,"")</f>
        <v>821.02222222222213</v>
      </c>
      <c r="P11" s="533">
        <v>3.09</v>
      </c>
      <c r="Q11" s="331" t="s">
        <v>435</v>
      </c>
      <c r="R11" s="357" t="s">
        <v>427</v>
      </c>
      <c r="S11" s="357" t="s">
        <v>34</v>
      </c>
      <c r="T11" s="357" t="s">
        <v>749</v>
      </c>
      <c r="U11" s="532" t="s">
        <v>749</v>
      </c>
      <c r="V11" s="531">
        <f>IFERROR(IF(N11&lt;P11,"",(ROUNDDOWN(N11/P11*100,0))),"")</f>
        <v>101</v>
      </c>
    </row>
    <row r="12" spans="1:22" ht="24" customHeight="1">
      <c r="A12" s="12"/>
      <c r="B12" s="540"/>
      <c r="C12" s="539"/>
      <c r="D12" s="536" t="s">
        <v>1680</v>
      </c>
      <c r="E12" s="533" t="s">
        <v>1625</v>
      </c>
      <c r="F12" s="536">
        <v>12.776999999999999</v>
      </c>
      <c r="G12" s="536">
        <v>2600</v>
      </c>
      <c r="H12" s="536">
        <v>397</v>
      </c>
      <c r="I12" s="331" t="s">
        <v>431</v>
      </c>
      <c r="J12" s="331">
        <v>10525</v>
      </c>
      <c r="K12" s="535">
        <v>34635</v>
      </c>
      <c r="L12" s="535">
        <v>24000</v>
      </c>
      <c r="M12" s="532" t="s">
        <v>394</v>
      </c>
      <c r="N12" s="534">
        <v>3.1</v>
      </c>
      <c r="O12" s="471">
        <f>IF(N12&gt;0,1/N12*37.7*68.6,"")</f>
        <v>834.26451612903224</v>
      </c>
      <c r="P12" s="533">
        <v>3.09</v>
      </c>
      <c r="Q12" s="331" t="s">
        <v>435</v>
      </c>
      <c r="R12" s="357" t="s">
        <v>427</v>
      </c>
      <c r="S12" s="357" t="s">
        <v>34</v>
      </c>
      <c r="T12" s="357" t="s">
        <v>749</v>
      </c>
      <c r="U12" s="532" t="s">
        <v>749</v>
      </c>
      <c r="V12" s="531">
        <f>IFERROR(IF(N12&lt;P12,"",(ROUNDDOWN(N12/P12*100,0))),"")</f>
        <v>100</v>
      </c>
    </row>
    <row r="13" spans="1:22" ht="24" customHeight="1">
      <c r="A13" s="12"/>
      <c r="B13" s="540"/>
      <c r="C13" s="539"/>
      <c r="D13" s="536" t="s">
        <v>1679</v>
      </c>
      <c r="E13" s="533" t="s">
        <v>1625</v>
      </c>
      <c r="F13" s="536">
        <v>12.776999999999999</v>
      </c>
      <c r="G13" s="536">
        <v>2300</v>
      </c>
      <c r="H13" s="536">
        <v>338</v>
      </c>
      <c r="I13" s="331" t="s">
        <v>431</v>
      </c>
      <c r="J13" s="331">
        <v>10525</v>
      </c>
      <c r="K13" s="535">
        <v>34635</v>
      </c>
      <c r="L13" s="535">
        <v>24000</v>
      </c>
      <c r="M13" s="532" t="s">
        <v>394</v>
      </c>
      <c r="N13" s="534">
        <v>3.15</v>
      </c>
      <c r="O13" s="471">
        <f>IF(N13&gt;0,1/N13*37.7*68.6,"")</f>
        <v>821.02222222222213</v>
      </c>
      <c r="P13" s="533">
        <v>3.09</v>
      </c>
      <c r="Q13" s="331" t="s">
        <v>435</v>
      </c>
      <c r="R13" s="357" t="s">
        <v>427</v>
      </c>
      <c r="S13" s="357" t="s">
        <v>34</v>
      </c>
      <c r="T13" s="357" t="s">
        <v>749</v>
      </c>
      <c r="U13" s="532" t="s">
        <v>749</v>
      </c>
      <c r="V13" s="531">
        <f>IFERROR(IF(N13&lt;P13,"",(ROUNDDOWN(N13/P13*100,0))),"")</f>
        <v>101</v>
      </c>
    </row>
    <row r="14" spans="1:22" ht="24" customHeight="1">
      <c r="A14" s="12"/>
      <c r="B14" s="540"/>
      <c r="C14" s="539"/>
      <c r="D14" s="536" t="s">
        <v>1678</v>
      </c>
      <c r="E14" s="533" t="s">
        <v>1625</v>
      </c>
      <c r="F14" s="536">
        <v>12.776999999999999</v>
      </c>
      <c r="G14" s="536">
        <v>2600</v>
      </c>
      <c r="H14" s="536">
        <v>397</v>
      </c>
      <c r="I14" s="331" t="s">
        <v>431</v>
      </c>
      <c r="J14" s="331">
        <v>10525</v>
      </c>
      <c r="K14" s="535">
        <v>34635</v>
      </c>
      <c r="L14" s="535">
        <v>24000</v>
      </c>
      <c r="M14" s="532" t="s">
        <v>394</v>
      </c>
      <c r="N14" s="534">
        <v>3.1</v>
      </c>
      <c r="O14" s="471">
        <f>IF(N14&gt;0,1/N14*37.7*68.6,"")</f>
        <v>834.26451612903224</v>
      </c>
      <c r="P14" s="533">
        <v>3.09</v>
      </c>
      <c r="Q14" s="331" t="s">
        <v>435</v>
      </c>
      <c r="R14" s="357" t="s">
        <v>427</v>
      </c>
      <c r="S14" s="357" t="s">
        <v>34</v>
      </c>
      <c r="T14" s="357" t="s">
        <v>749</v>
      </c>
      <c r="U14" s="532" t="s">
        <v>749</v>
      </c>
      <c r="V14" s="531">
        <f>IFERROR(IF(N14&lt;P14,"",(ROUNDDOWN(N14/P14*100,0))),"")</f>
        <v>100</v>
      </c>
    </row>
    <row r="15" spans="1:22" ht="24" customHeight="1">
      <c r="A15" s="12"/>
      <c r="B15" s="540"/>
      <c r="C15" s="539"/>
      <c r="D15" s="536" t="s">
        <v>1677</v>
      </c>
      <c r="E15" s="533" t="s">
        <v>1625</v>
      </c>
      <c r="F15" s="536">
        <v>12.776999999999999</v>
      </c>
      <c r="G15" s="536">
        <v>2300</v>
      </c>
      <c r="H15" s="536">
        <v>338</v>
      </c>
      <c r="I15" s="331" t="s">
        <v>431</v>
      </c>
      <c r="J15" s="331">
        <v>10525</v>
      </c>
      <c r="K15" s="535">
        <v>34635</v>
      </c>
      <c r="L15" s="535">
        <v>24000</v>
      </c>
      <c r="M15" s="532" t="s">
        <v>394</v>
      </c>
      <c r="N15" s="534">
        <v>3.05</v>
      </c>
      <c r="O15" s="471">
        <f>IF(N15&gt;0,1/N15*37.7*68.6,"")</f>
        <v>847.94098360655744</v>
      </c>
      <c r="P15" s="533">
        <v>3.09</v>
      </c>
      <c r="Q15" s="331" t="s">
        <v>435</v>
      </c>
      <c r="R15" s="357" t="s">
        <v>427</v>
      </c>
      <c r="S15" s="357" t="s">
        <v>34</v>
      </c>
      <c r="T15" s="357" t="s">
        <v>749</v>
      </c>
      <c r="U15" s="532" t="s">
        <v>749</v>
      </c>
      <c r="V15" s="531" t="str">
        <f>IFERROR(IF(N15&lt;P15,"",(ROUNDDOWN(N15/P15*100,0))),"")</f>
        <v/>
      </c>
    </row>
    <row r="16" spans="1:22" ht="24" customHeight="1">
      <c r="A16" s="12"/>
      <c r="B16" s="540"/>
      <c r="C16" s="539"/>
      <c r="D16" s="536" t="s">
        <v>1676</v>
      </c>
      <c r="E16" s="533" t="s">
        <v>1625</v>
      </c>
      <c r="F16" s="536">
        <v>12.776999999999999</v>
      </c>
      <c r="G16" s="536">
        <v>2600</v>
      </c>
      <c r="H16" s="536">
        <v>397</v>
      </c>
      <c r="I16" s="331" t="s">
        <v>431</v>
      </c>
      <c r="J16" s="331">
        <v>10525</v>
      </c>
      <c r="K16" s="535">
        <v>34635</v>
      </c>
      <c r="L16" s="535">
        <v>24000</v>
      </c>
      <c r="M16" s="532" t="s">
        <v>394</v>
      </c>
      <c r="N16" s="534">
        <v>3</v>
      </c>
      <c r="O16" s="471">
        <f>IF(N16&gt;0,1/N16*37.7*68.6,"")</f>
        <v>862.07333333333327</v>
      </c>
      <c r="P16" s="533">
        <v>3.09</v>
      </c>
      <c r="Q16" s="331" t="s">
        <v>435</v>
      </c>
      <c r="R16" s="357" t="s">
        <v>427</v>
      </c>
      <c r="S16" s="357" t="s">
        <v>34</v>
      </c>
      <c r="T16" s="357" t="s">
        <v>749</v>
      </c>
      <c r="U16" s="532" t="s">
        <v>749</v>
      </c>
      <c r="V16" s="531" t="str">
        <f>IFERROR(IF(N16&lt;P16,"",(ROUNDDOWN(N16/P16*100,0))),"")</f>
        <v/>
      </c>
    </row>
    <row r="17" spans="1:25" ht="24" customHeight="1">
      <c r="A17" s="12"/>
      <c r="B17" s="540"/>
      <c r="C17" s="539"/>
      <c r="D17" s="536" t="s">
        <v>1675</v>
      </c>
      <c r="E17" s="533" t="s">
        <v>1625</v>
      </c>
      <c r="F17" s="536">
        <v>12.776999999999999</v>
      </c>
      <c r="G17" s="536">
        <v>2300</v>
      </c>
      <c r="H17" s="536">
        <v>338</v>
      </c>
      <c r="I17" s="331" t="s">
        <v>431</v>
      </c>
      <c r="J17" s="331">
        <v>10525</v>
      </c>
      <c r="K17" s="535">
        <v>34635</v>
      </c>
      <c r="L17" s="535">
        <v>24000</v>
      </c>
      <c r="M17" s="532" t="s">
        <v>394</v>
      </c>
      <c r="N17" s="534">
        <v>3.05</v>
      </c>
      <c r="O17" s="471">
        <f>IF(N17&gt;0,1/N17*37.7*68.6,"")</f>
        <v>847.94098360655744</v>
      </c>
      <c r="P17" s="533">
        <v>3.09</v>
      </c>
      <c r="Q17" s="331" t="s">
        <v>435</v>
      </c>
      <c r="R17" s="357" t="s">
        <v>427</v>
      </c>
      <c r="S17" s="357" t="s">
        <v>34</v>
      </c>
      <c r="T17" s="357" t="s">
        <v>749</v>
      </c>
      <c r="U17" s="532" t="s">
        <v>749</v>
      </c>
      <c r="V17" s="531" t="str">
        <f>IFERROR(IF(N17&lt;P17,"",(ROUNDDOWN(N17/P17*100,0))),"")</f>
        <v/>
      </c>
    </row>
    <row r="18" spans="1:25" ht="24" customHeight="1">
      <c r="A18" s="12"/>
      <c r="B18" s="540"/>
      <c r="C18" s="539"/>
      <c r="D18" s="536" t="s">
        <v>1674</v>
      </c>
      <c r="E18" s="533" t="s">
        <v>1625</v>
      </c>
      <c r="F18" s="536">
        <v>12.776999999999999</v>
      </c>
      <c r="G18" s="536">
        <v>2600</v>
      </c>
      <c r="H18" s="536">
        <v>397</v>
      </c>
      <c r="I18" s="331" t="s">
        <v>431</v>
      </c>
      <c r="J18" s="331">
        <v>10525</v>
      </c>
      <c r="K18" s="535">
        <v>34635</v>
      </c>
      <c r="L18" s="535">
        <v>24000</v>
      </c>
      <c r="M18" s="532" t="s">
        <v>394</v>
      </c>
      <c r="N18" s="534">
        <v>3</v>
      </c>
      <c r="O18" s="471">
        <f>IF(N18&gt;0,1/N18*37.7*68.6,"")</f>
        <v>862.07333333333327</v>
      </c>
      <c r="P18" s="533">
        <v>3.09</v>
      </c>
      <c r="Q18" s="331" t="s">
        <v>435</v>
      </c>
      <c r="R18" s="357" t="s">
        <v>427</v>
      </c>
      <c r="S18" s="357" t="s">
        <v>34</v>
      </c>
      <c r="T18" s="357" t="s">
        <v>749</v>
      </c>
      <c r="U18" s="532" t="s">
        <v>749</v>
      </c>
      <c r="V18" s="531" t="str">
        <f>IFERROR(IF(N18&lt;P18,"",(ROUNDDOWN(N18/P18*100,0))),"")</f>
        <v/>
      </c>
    </row>
    <row r="19" spans="1:25" ht="24" customHeight="1">
      <c r="A19" s="12"/>
      <c r="B19" s="540"/>
      <c r="C19" s="539"/>
      <c r="D19" s="536" t="s">
        <v>1673</v>
      </c>
      <c r="E19" s="533" t="s">
        <v>1625</v>
      </c>
      <c r="F19" s="536">
        <v>12.776999999999999</v>
      </c>
      <c r="G19" s="536">
        <v>2300</v>
      </c>
      <c r="H19" s="536">
        <v>338</v>
      </c>
      <c r="I19" s="331" t="s">
        <v>431</v>
      </c>
      <c r="J19" s="331">
        <v>10525</v>
      </c>
      <c r="K19" s="535">
        <v>34635</v>
      </c>
      <c r="L19" s="535">
        <v>24000</v>
      </c>
      <c r="M19" s="532" t="s">
        <v>394</v>
      </c>
      <c r="N19" s="534">
        <v>3.05</v>
      </c>
      <c r="O19" s="471">
        <f>IF(N19&gt;0,1/N19*37.7*68.6,"")</f>
        <v>847.94098360655744</v>
      </c>
      <c r="P19" s="533">
        <v>3.09</v>
      </c>
      <c r="Q19" s="331" t="s">
        <v>435</v>
      </c>
      <c r="R19" s="357" t="s">
        <v>427</v>
      </c>
      <c r="S19" s="357" t="s">
        <v>34</v>
      </c>
      <c r="T19" s="357" t="s">
        <v>749</v>
      </c>
      <c r="U19" s="532" t="s">
        <v>749</v>
      </c>
      <c r="V19" s="531" t="str">
        <f>IFERROR(IF(N19&lt;P19,"",(ROUNDDOWN(N19/P19*100,0))),"")</f>
        <v/>
      </c>
    </row>
    <row r="20" spans="1:25" ht="24" customHeight="1">
      <c r="A20" s="12"/>
      <c r="B20" s="540"/>
      <c r="C20" s="539"/>
      <c r="D20" s="536" t="s">
        <v>1672</v>
      </c>
      <c r="E20" s="533" t="s">
        <v>1625</v>
      </c>
      <c r="F20" s="536">
        <v>12.776999999999999</v>
      </c>
      <c r="G20" s="536">
        <v>2600</v>
      </c>
      <c r="H20" s="536">
        <v>397</v>
      </c>
      <c r="I20" s="331" t="s">
        <v>431</v>
      </c>
      <c r="J20" s="331">
        <v>10525</v>
      </c>
      <c r="K20" s="535">
        <v>34635</v>
      </c>
      <c r="L20" s="535">
        <v>24000</v>
      </c>
      <c r="M20" s="532" t="s">
        <v>394</v>
      </c>
      <c r="N20" s="534">
        <v>3</v>
      </c>
      <c r="O20" s="471">
        <f>IF(N20&gt;0,1/N20*37.7*68.6,"")</f>
        <v>862.07333333333327</v>
      </c>
      <c r="P20" s="533">
        <v>3.09</v>
      </c>
      <c r="Q20" s="331" t="s">
        <v>435</v>
      </c>
      <c r="R20" s="357" t="s">
        <v>427</v>
      </c>
      <c r="S20" s="357" t="s">
        <v>34</v>
      </c>
      <c r="T20" s="357" t="s">
        <v>749</v>
      </c>
      <c r="U20" s="532" t="s">
        <v>749</v>
      </c>
      <c r="V20" s="531" t="str">
        <f>IFERROR(IF(N20&lt;P20,"",(ROUNDDOWN(N20/P20*100,0))),"")</f>
        <v/>
      </c>
    </row>
    <row r="21" spans="1:25" ht="24" customHeight="1">
      <c r="A21" s="12"/>
      <c r="B21" s="540"/>
      <c r="C21" s="539"/>
      <c r="D21" s="536" t="s">
        <v>1671</v>
      </c>
      <c r="E21" s="533" t="s">
        <v>1625</v>
      </c>
      <c r="F21" s="536">
        <v>12.776999999999999</v>
      </c>
      <c r="G21" s="536">
        <v>2600</v>
      </c>
      <c r="H21" s="536">
        <v>397</v>
      </c>
      <c r="I21" s="331" t="s">
        <v>431</v>
      </c>
      <c r="J21" s="331">
        <v>19028</v>
      </c>
      <c r="K21" s="535">
        <v>59138</v>
      </c>
      <c r="L21" s="535">
        <v>40000</v>
      </c>
      <c r="M21" s="532" t="s">
        <v>394</v>
      </c>
      <c r="N21" s="534">
        <v>1.84</v>
      </c>
      <c r="O21" s="471">
        <f>IF(N21&gt;0,1/N21*37.7*68.6,"")</f>
        <v>1405.554347826087</v>
      </c>
      <c r="P21" s="533">
        <v>2.0099999999999998</v>
      </c>
      <c r="Q21" s="331" t="s">
        <v>435</v>
      </c>
      <c r="R21" s="357" t="s">
        <v>427</v>
      </c>
      <c r="S21" s="357" t="s">
        <v>868</v>
      </c>
      <c r="T21" s="357" t="s">
        <v>749</v>
      </c>
      <c r="U21" s="532" t="s">
        <v>749</v>
      </c>
      <c r="V21" s="531" t="str">
        <f>IFERROR(IF(N21&lt;P21,"",(ROUNDDOWN(N21/P21*100,0))),"")</f>
        <v/>
      </c>
    </row>
    <row r="22" spans="1:25" ht="24" customHeight="1">
      <c r="A22" s="12"/>
      <c r="B22" s="540"/>
      <c r="C22" s="539"/>
      <c r="D22" s="536" t="s">
        <v>1670</v>
      </c>
      <c r="E22" s="533" t="s">
        <v>1625</v>
      </c>
      <c r="F22" s="536">
        <v>12.776999999999999</v>
      </c>
      <c r="G22" s="536">
        <v>2600</v>
      </c>
      <c r="H22" s="536">
        <v>397</v>
      </c>
      <c r="I22" s="331" t="s">
        <v>431</v>
      </c>
      <c r="J22" s="331">
        <v>19028</v>
      </c>
      <c r="K22" s="535">
        <v>59138</v>
      </c>
      <c r="L22" s="535">
        <v>40000</v>
      </c>
      <c r="M22" s="532" t="s">
        <v>394</v>
      </c>
      <c r="N22" s="534">
        <v>1.84</v>
      </c>
      <c r="O22" s="471">
        <f>IF(N22&gt;0,1/N22*37.7*68.6,"")</f>
        <v>1405.554347826087</v>
      </c>
      <c r="P22" s="533">
        <v>2.0099999999999998</v>
      </c>
      <c r="Q22" s="331" t="s">
        <v>435</v>
      </c>
      <c r="R22" s="357" t="s">
        <v>427</v>
      </c>
      <c r="S22" s="357" t="s">
        <v>868</v>
      </c>
      <c r="T22" s="357" t="s">
        <v>749</v>
      </c>
      <c r="U22" s="532" t="s">
        <v>749</v>
      </c>
      <c r="V22" s="531" t="str">
        <f>IFERROR(IF(N22&lt;P22,"",(ROUNDDOWN(N22/P22*100,0))),"")</f>
        <v/>
      </c>
    </row>
    <row r="23" spans="1:25" ht="24" customHeight="1">
      <c r="A23" s="12"/>
      <c r="B23" s="540"/>
      <c r="C23" s="539"/>
      <c r="D23" s="536" t="s">
        <v>1669</v>
      </c>
      <c r="E23" s="533" t="s">
        <v>1625</v>
      </c>
      <c r="F23" s="536">
        <v>12.776999999999999</v>
      </c>
      <c r="G23" s="536">
        <v>2300</v>
      </c>
      <c r="H23" s="536">
        <v>338</v>
      </c>
      <c r="I23" s="331" t="s">
        <v>431</v>
      </c>
      <c r="J23" s="331">
        <v>8765</v>
      </c>
      <c r="K23" s="535">
        <v>24405</v>
      </c>
      <c r="L23" s="535">
        <v>15530</v>
      </c>
      <c r="M23" s="532" t="s">
        <v>1624</v>
      </c>
      <c r="N23" s="534">
        <v>3.9</v>
      </c>
      <c r="O23" s="471">
        <f>IF(N23&gt;0,1/N23*37.7*68.6,"")</f>
        <v>663.13333333333333</v>
      </c>
      <c r="P23" s="533">
        <v>4.04</v>
      </c>
      <c r="Q23" s="331" t="s">
        <v>435</v>
      </c>
      <c r="R23" s="357" t="s">
        <v>427</v>
      </c>
      <c r="S23" s="357" t="s">
        <v>1635</v>
      </c>
      <c r="T23" s="357" t="s">
        <v>749</v>
      </c>
      <c r="U23" s="532" t="s">
        <v>749</v>
      </c>
      <c r="V23" s="531" t="str">
        <f>IFERROR(IF(N23&lt;P23,"",(ROUNDDOWN(N23/P23*100,0))),"")</f>
        <v/>
      </c>
      <c r="Y23" s="541"/>
    </row>
    <row r="24" spans="1:25" ht="24" customHeight="1">
      <c r="A24" s="12"/>
      <c r="B24" s="540"/>
      <c r="C24" s="539"/>
      <c r="D24" s="536" t="s">
        <v>1668</v>
      </c>
      <c r="E24" s="533" t="s">
        <v>1625</v>
      </c>
      <c r="F24" s="536">
        <v>12.776999999999999</v>
      </c>
      <c r="G24" s="536">
        <v>2300</v>
      </c>
      <c r="H24" s="536">
        <v>338</v>
      </c>
      <c r="I24" s="331" t="s">
        <v>431</v>
      </c>
      <c r="J24" s="331">
        <v>8765</v>
      </c>
      <c r="K24" s="535">
        <v>24405</v>
      </c>
      <c r="L24" s="535">
        <v>15530</v>
      </c>
      <c r="M24" s="532" t="s">
        <v>1624</v>
      </c>
      <c r="N24" s="534">
        <v>3.9</v>
      </c>
      <c r="O24" s="471">
        <f>IF(N24&gt;0,1/N24*37.7*68.6,"")</f>
        <v>663.13333333333333</v>
      </c>
      <c r="P24" s="533">
        <v>4.04</v>
      </c>
      <c r="Q24" s="331" t="s">
        <v>435</v>
      </c>
      <c r="R24" s="357" t="s">
        <v>427</v>
      </c>
      <c r="S24" s="357" t="s">
        <v>1635</v>
      </c>
      <c r="T24" s="357" t="s">
        <v>749</v>
      </c>
      <c r="U24" s="532" t="s">
        <v>749</v>
      </c>
      <c r="V24" s="531" t="str">
        <f>IFERROR(IF(N24&lt;P24,"",(ROUNDDOWN(N24/P24*100,0))),"")</f>
        <v/>
      </c>
      <c r="Y24" s="541"/>
    </row>
    <row r="25" spans="1:25" ht="24" customHeight="1">
      <c r="A25" s="12"/>
      <c r="B25" s="540"/>
      <c r="C25" s="539"/>
      <c r="D25" s="536" t="s">
        <v>1667</v>
      </c>
      <c r="E25" s="533" t="s">
        <v>1625</v>
      </c>
      <c r="F25" s="536">
        <v>12.776999999999999</v>
      </c>
      <c r="G25" s="536">
        <v>2300</v>
      </c>
      <c r="H25" s="536">
        <v>338</v>
      </c>
      <c r="I25" s="331" t="s">
        <v>431</v>
      </c>
      <c r="J25" s="331">
        <v>8765</v>
      </c>
      <c r="K25" s="535">
        <v>24405</v>
      </c>
      <c r="L25" s="535">
        <v>15530</v>
      </c>
      <c r="M25" s="532" t="s">
        <v>1624</v>
      </c>
      <c r="N25" s="534">
        <v>3.9</v>
      </c>
      <c r="O25" s="471">
        <f>IF(N25&gt;0,1/N25*37.7*68.6,"")</f>
        <v>663.13333333333333</v>
      </c>
      <c r="P25" s="533">
        <v>4.04</v>
      </c>
      <c r="Q25" s="331" t="s">
        <v>435</v>
      </c>
      <c r="R25" s="357" t="s">
        <v>427</v>
      </c>
      <c r="S25" s="357" t="s">
        <v>868</v>
      </c>
      <c r="T25" s="357" t="s">
        <v>749</v>
      </c>
      <c r="U25" s="532" t="s">
        <v>749</v>
      </c>
      <c r="V25" s="531" t="str">
        <f>IFERROR(IF(N25&lt;P25,"",(ROUNDDOWN(N25/P25*100,0))),"")</f>
        <v/>
      </c>
      <c r="Y25" s="541"/>
    </row>
    <row r="26" spans="1:25" ht="24" customHeight="1">
      <c r="A26" s="12"/>
      <c r="B26" s="540"/>
      <c r="C26" s="539"/>
      <c r="D26" s="536" t="s">
        <v>1666</v>
      </c>
      <c r="E26" s="533" t="s">
        <v>1625</v>
      </c>
      <c r="F26" s="536">
        <v>12.776999999999999</v>
      </c>
      <c r="G26" s="536">
        <v>2600</v>
      </c>
      <c r="H26" s="536">
        <v>397</v>
      </c>
      <c r="I26" s="331" t="s">
        <v>431</v>
      </c>
      <c r="J26" s="331">
        <v>8765</v>
      </c>
      <c r="K26" s="535">
        <v>24405</v>
      </c>
      <c r="L26" s="535">
        <v>15530</v>
      </c>
      <c r="M26" s="532" t="s">
        <v>1624</v>
      </c>
      <c r="N26" s="534">
        <v>3.8</v>
      </c>
      <c r="O26" s="471">
        <f>IF(N26&gt;0,1/N26*37.7*68.6,"")</f>
        <v>680.5842105263157</v>
      </c>
      <c r="P26" s="533">
        <v>4.04</v>
      </c>
      <c r="Q26" s="331" t="s">
        <v>435</v>
      </c>
      <c r="R26" s="357" t="s">
        <v>427</v>
      </c>
      <c r="S26" s="357" t="s">
        <v>868</v>
      </c>
      <c r="T26" s="357" t="s">
        <v>749</v>
      </c>
      <c r="U26" s="532" t="s">
        <v>749</v>
      </c>
      <c r="V26" s="531" t="str">
        <f>IFERROR(IF(N26&lt;P26,"",(ROUNDDOWN(N26/P26*100,0))),"")</f>
        <v/>
      </c>
    </row>
    <row r="27" spans="1:25" ht="24" customHeight="1">
      <c r="A27" s="12"/>
      <c r="B27" s="540"/>
      <c r="C27" s="539"/>
      <c r="D27" s="536" t="s">
        <v>1666</v>
      </c>
      <c r="E27" s="533" t="s">
        <v>1625</v>
      </c>
      <c r="F27" s="536">
        <v>12.776999999999999</v>
      </c>
      <c r="G27" s="536">
        <v>2600</v>
      </c>
      <c r="H27" s="536">
        <v>397</v>
      </c>
      <c r="I27" s="331" t="s">
        <v>431</v>
      </c>
      <c r="J27" s="331">
        <v>8765</v>
      </c>
      <c r="K27" s="535">
        <v>24405</v>
      </c>
      <c r="L27" s="535">
        <v>15530</v>
      </c>
      <c r="M27" s="532" t="s">
        <v>1624</v>
      </c>
      <c r="N27" s="534">
        <v>3.85</v>
      </c>
      <c r="O27" s="471">
        <f>IF(N27&gt;0,1/N27*37.7*68.6,"")</f>
        <v>671.74545454545444</v>
      </c>
      <c r="P27" s="533">
        <v>4.04</v>
      </c>
      <c r="Q27" s="331" t="s">
        <v>435</v>
      </c>
      <c r="R27" s="357" t="s">
        <v>427</v>
      </c>
      <c r="S27" s="357" t="s">
        <v>868</v>
      </c>
      <c r="T27" s="532" t="s">
        <v>1627</v>
      </c>
      <c r="U27" s="532" t="s">
        <v>749</v>
      </c>
      <c r="V27" s="531" t="str">
        <f>IFERROR(IF(N27&lt;P27,"",(ROUNDDOWN(N27/P27*100,0))),"")</f>
        <v/>
      </c>
      <c r="W27" s="541"/>
    </row>
    <row r="28" spans="1:25" ht="24" customHeight="1">
      <c r="A28" s="12"/>
      <c r="B28" s="540"/>
      <c r="C28" s="539"/>
      <c r="D28" s="536" t="s">
        <v>1665</v>
      </c>
      <c r="E28" s="533" t="s">
        <v>1625</v>
      </c>
      <c r="F28" s="536">
        <v>12.776999999999999</v>
      </c>
      <c r="G28" s="536">
        <v>2300</v>
      </c>
      <c r="H28" s="536">
        <v>338</v>
      </c>
      <c r="I28" s="331" t="s">
        <v>431</v>
      </c>
      <c r="J28" s="331">
        <v>8765</v>
      </c>
      <c r="K28" s="535">
        <v>24405</v>
      </c>
      <c r="L28" s="535">
        <v>15530</v>
      </c>
      <c r="M28" s="532" t="s">
        <v>1624</v>
      </c>
      <c r="N28" s="534">
        <v>3.9</v>
      </c>
      <c r="O28" s="471">
        <f>IF(N28&gt;0,1/N28*37.7*68.6,"")</f>
        <v>663.13333333333333</v>
      </c>
      <c r="P28" s="533">
        <v>4.04</v>
      </c>
      <c r="Q28" s="331" t="s">
        <v>435</v>
      </c>
      <c r="R28" s="357" t="s">
        <v>427</v>
      </c>
      <c r="S28" s="357" t="s">
        <v>868</v>
      </c>
      <c r="T28" s="357" t="s">
        <v>749</v>
      </c>
      <c r="U28" s="532" t="s">
        <v>749</v>
      </c>
      <c r="V28" s="531" t="str">
        <f>IFERROR(IF(N28&lt;P28,"",(ROUNDDOWN(N28/P28*100,0))),"")</f>
        <v/>
      </c>
      <c r="Y28" s="541"/>
    </row>
    <row r="29" spans="1:25" ht="24" customHeight="1">
      <c r="A29" s="12"/>
      <c r="B29" s="540"/>
      <c r="C29" s="539"/>
      <c r="D29" s="536" t="s">
        <v>1664</v>
      </c>
      <c r="E29" s="533" t="s">
        <v>1625</v>
      </c>
      <c r="F29" s="536">
        <v>12.776999999999999</v>
      </c>
      <c r="G29" s="536">
        <v>2600</v>
      </c>
      <c r="H29" s="536">
        <v>397</v>
      </c>
      <c r="I29" s="331" t="s">
        <v>431</v>
      </c>
      <c r="J29" s="331">
        <v>8765</v>
      </c>
      <c r="K29" s="535">
        <v>24405</v>
      </c>
      <c r="L29" s="535">
        <v>15530</v>
      </c>
      <c r="M29" s="532" t="s">
        <v>1624</v>
      </c>
      <c r="N29" s="534">
        <v>3.8</v>
      </c>
      <c r="O29" s="471">
        <f>IF(N29&gt;0,1/N29*37.7*68.6,"")</f>
        <v>680.5842105263157</v>
      </c>
      <c r="P29" s="533">
        <v>4.04</v>
      </c>
      <c r="Q29" s="331" t="s">
        <v>435</v>
      </c>
      <c r="R29" s="357" t="s">
        <v>427</v>
      </c>
      <c r="S29" s="357" t="s">
        <v>868</v>
      </c>
      <c r="T29" s="357" t="s">
        <v>749</v>
      </c>
      <c r="U29" s="532" t="s">
        <v>749</v>
      </c>
      <c r="V29" s="531" t="str">
        <f>IFERROR(IF(N29&lt;P29,"",(ROUNDDOWN(N29/P29*100,0))),"")</f>
        <v/>
      </c>
    </row>
    <row r="30" spans="1:25" ht="24" customHeight="1">
      <c r="A30" s="12"/>
      <c r="B30" s="540"/>
      <c r="C30" s="539"/>
      <c r="D30" s="536" t="s">
        <v>1664</v>
      </c>
      <c r="E30" s="533" t="s">
        <v>1625</v>
      </c>
      <c r="F30" s="536">
        <v>12.776999999999999</v>
      </c>
      <c r="G30" s="536">
        <v>2600</v>
      </c>
      <c r="H30" s="536">
        <v>397</v>
      </c>
      <c r="I30" s="331" t="s">
        <v>431</v>
      </c>
      <c r="J30" s="331">
        <v>8765</v>
      </c>
      <c r="K30" s="535">
        <v>24405</v>
      </c>
      <c r="L30" s="535">
        <v>15530</v>
      </c>
      <c r="M30" s="532" t="s">
        <v>1624</v>
      </c>
      <c r="N30" s="534">
        <v>3.85</v>
      </c>
      <c r="O30" s="471">
        <f>IF(N30&gt;0,1/N30*37.7*68.6,"")</f>
        <v>671.74545454545444</v>
      </c>
      <c r="P30" s="533">
        <v>4.04</v>
      </c>
      <c r="Q30" s="331" t="s">
        <v>435</v>
      </c>
      <c r="R30" s="357" t="s">
        <v>427</v>
      </c>
      <c r="S30" s="357" t="s">
        <v>868</v>
      </c>
      <c r="T30" s="532" t="s">
        <v>1627</v>
      </c>
      <c r="U30" s="532" t="s">
        <v>749</v>
      </c>
      <c r="V30" s="531" t="str">
        <f>IFERROR(IF(N30&lt;P30,"",(ROUNDDOWN(N30/P30*100,0))),"")</f>
        <v/>
      </c>
      <c r="W30" s="541"/>
    </row>
    <row r="31" spans="1:25" ht="24" customHeight="1">
      <c r="A31" s="12"/>
      <c r="B31" s="540"/>
      <c r="C31" s="539"/>
      <c r="D31" s="536" t="s">
        <v>1663</v>
      </c>
      <c r="E31" s="533" t="s">
        <v>1625</v>
      </c>
      <c r="F31" s="536">
        <v>12.776999999999999</v>
      </c>
      <c r="G31" s="536">
        <v>2600</v>
      </c>
      <c r="H31" s="536">
        <v>397</v>
      </c>
      <c r="I31" s="331" t="s">
        <v>431</v>
      </c>
      <c r="J31" s="331">
        <v>19028</v>
      </c>
      <c r="K31" s="535">
        <v>59138</v>
      </c>
      <c r="L31" s="535">
        <v>40000</v>
      </c>
      <c r="M31" s="532" t="s">
        <v>394</v>
      </c>
      <c r="N31" s="534">
        <v>1.84</v>
      </c>
      <c r="O31" s="471">
        <f>IF(N31&gt;0,1/N31*37.7*68.6,"")</f>
        <v>1405.554347826087</v>
      </c>
      <c r="P31" s="533">
        <v>2.0099999999999998</v>
      </c>
      <c r="Q31" s="331" t="s">
        <v>435</v>
      </c>
      <c r="R31" s="357" t="s">
        <v>427</v>
      </c>
      <c r="S31" s="357" t="s">
        <v>868</v>
      </c>
      <c r="T31" s="357" t="s">
        <v>749</v>
      </c>
      <c r="U31" s="532" t="s">
        <v>749</v>
      </c>
      <c r="V31" s="531" t="str">
        <f>IFERROR(IF(N31&lt;P31,"",(ROUNDDOWN(N31/P31*100,0))),"")</f>
        <v/>
      </c>
    </row>
    <row r="32" spans="1:25" ht="24" customHeight="1">
      <c r="A32" s="12"/>
      <c r="B32" s="540"/>
      <c r="C32" s="539"/>
      <c r="D32" s="536" t="s">
        <v>1662</v>
      </c>
      <c r="E32" s="533" t="s">
        <v>1625</v>
      </c>
      <c r="F32" s="536">
        <v>12.776999999999999</v>
      </c>
      <c r="G32" s="536">
        <v>2600</v>
      </c>
      <c r="H32" s="536">
        <v>397</v>
      </c>
      <c r="I32" s="331" t="s">
        <v>431</v>
      </c>
      <c r="J32" s="331">
        <v>19028</v>
      </c>
      <c r="K32" s="535">
        <v>59138</v>
      </c>
      <c r="L32" s="535">
        <v>40000</v>
      </c>
      <c r="M32" s="532" t="s">
        <v>394</v>
      </c>
      <c r="N32" s="534">
        <v>1.84</v>
      </c>
      <c r="O32" s="471">
        <f>IF(N32&gt;0,1/N32*37.7*68.6,"")</f>
        <v>1405.554347826087</v>
      </c>
      <c r="P32" s="533">
        <v>2.0099999999999998</v>
      </c>
      <c r="Q32" s="331" t="s">
        <v>435</v>
      </c>
      <c r="R32" s="357" t="s">
        <v>427</v>
      </c>
      <c r="S32" s="357" t="s">
        <v>868</v>
      </c>
      <c r="T32" s="357" t="s">
        <v>749</v>
      </c>
      <c r="U32" s="532" t="s">
        <v>749</v>
      </c>
      <c r="V32" s="531" t="str">
        <f>IFERROR(IF(N32&lt;P32,"",(ROUNDDOWN(N32/P32*100,0))),"")</f>
        <v/>
      </c>
    </row>
    <row r="33" spans="1:25" ht="24" customHeight="1">
      <c r="A33" s="12"/>
      <c r="B33" s="540"/>
      <c r="C33" s="539"/>
      <c r="D33" s="536" t="s">
        <v>1661</v>
      </c>
      <c r="E33" s="533" t="s">
        <v>1625</v>
      </c>
      <c r="F33" s="536">
        <v>12.776999999999999</v>
      </c>
      <c r="G33" s="536">
        <v>2300</v>
      </c>
      <c r="H33" s="536">
        <v>338</v>
      </c>
      <c r="I33" s="331" t="s">
        <v>431</v>
      </c>
      <c r="J33" s="331">
        <v>8765</v>
      </c>
      <c r="K33" s="535">
        <v>24405</v>
      </c>
      <c r="L33" s="535">
        <v>15530</v>
      </c>
      <c r="M33" s="532" t="s">
        <v>1624</v>
      </c>
      <c r="N33" s="534">
        <v>3.9</v>
      </c>
      <c r="O33" s="471">
        <f>IF(N33&gt;0,1/N33*37.7*68.6,"")</f>
        <v>663.13333333333333</v>
      </c>
      <c r="P33" s="533">
        <v>4.04</v>
      </c>
      <c r="Q33" s="331" t="s">
        <v>435</v>
      </c>
      <c r="R33" s="357" t="s">
        <v>427</v>
      </c>
      <c r="S33" s="357" t="s">
        <v>868</v>
      </c>
      <c r="T33" s="357" t="s">
        <v>749</v>
      </c>
      <c r="U33" s="532" t="s">
        <v>749</v>
      </c>
      <c r="V33" s="531" t="str">
        <f>IFERROR(IF(N33&lt;P33,"",(ROUNDDOWN(N33/P33*100,0))),"")</f>
        <v/>
      </c>
      <c r="Y33" s="541"/>
    </row>
    <row r="34" spans="1:25" ht="24" customHeight="1">
      <c r="A34" s="12"/>
      <c r="B34" s="540"/>
      <c r="C34" s="539"/>
      <c r="D34" s="536" t="s">
        <v>1660</v>
      </c>
      <c r="E34" s="533" t="s">
        <v>1625</v>
      </c>
      <c r="F34" s="536">
        <v>12.776999999999999</v>
      </c>
      <c r="G34" s="536">
        <v>2600</v>
      </c>
      <c r="H34" s="536">
        <v>397</v>
      </c>
      <c r="I34" s="331" t="s">
        <v>431</v>
      </c>
      <c r="J34" s="331">
        <v>8765</v>
      </c>
      <c r="K34" s="535">
        <v>24405</v>
      </c>
      <c r="L34" s="535">
        <v>15530</v>
      </c>
      <c r="M34" s="532" t="s">
        <v>1624</v>
      </c>
      <c r="N34" s="534">
        <v>3.8</v>
      </c>
      <c r="O34" s="471">
        <f>IF(N34&gt;0,1/N34*37.7*68.6,"")</f>
        <v>680.5842105263157</v>
      </c>
      <c r="P34" s="533">
        <v>4.04</v>
      </c>
      <c r="Q34" s="331" t="s">
        <v>435</v>
      </c>
      <c r="R34" s="357" t="s">
        <v>427</v>
      </c>
      <c r="S34" s="357" t="s">
        <v>868</v>
      </c>
      <c r="T34" s="357" t="s">
        <v>749</v>
      </c>
      <c r="U34" s="532" t="s">
        <v>749</v>
      </c>
      <c r="V34" s="531" t="str">
        <f>IFERROR(IF(N34&lt;P34,"",(ROUNDDOWN(N34/P34*100,0))),"")</f>
        <v/>
      </c>
      <c r="Y34" s="541"/>
    </row>
    <row r="35" spans="1:25" ht="24" customHeight="1">
      <c r="A35" s="12"/>
      <c r="B35" s="540"/>
      <c r="C35" s="539"/>
      <c r="D35" s="536" t="s">
        <v>1660</v>
      </c>
      <c r="E35" s="533" t="s">
        <v>1625</v>
      </c>
      <c r="F35" s="536">
        <v>12.776999999999999</v>
      </c>
      <c r="G35" s="536">
        <v>2600</v>
      </c>
      <c r="H35" s="536">
        <v>397</v>
      </c>
      <c r="I35" s="331" t="s">
        <v>431</v>
      </c>
      <c r="J35" s="331">
        <v>8765</v>
      </c>
      <c r="K35" s="535">
        <v>24405</v>
      </c>
      <c r="L35" s="535">
        <v>15530</v>
      </c>
      <c r="M35" s="532" t="s">
        <v>1624</v>
      </c>
      <c r="N35" s="534">
        <v>3.85</v>
      </c>
      <c r="O35" s="471">
        <f>IF(N35&gt;0,1/N35*37.7*68.6,"")</f>
        <v>671.74545454545444</v>
      </c>
      <c r="P35" s="533">
        <v>4.04</v>
      </c>
      <c r="Q35" s="331" t="s">
        <v>435</v>
      </c>
      <c r="R35" s="357" t="s">
        <v>427</v>
      </c>
      <c r="S35" s="357" t="s">
        <v>868</v>
      </c>
      <c r="T35" s="532" t="s">
        <v>1627</v>
      </c>
      <c r="U35" s="532" t="s">
        <v>749</v>
      </c>
      <c r="V35" s="531" t="str">
        <f>IFERROR(IF(N35&lt;P35,"",(ROUNDDOWN(N35/P35*100,0))),"")</f>
        <v/>
      </c>
      <c r="W35" s="541"/>
    </row>
    <row r="36" spans="1:25" ht="24" customHeight="1">
      <c r="A36" s="12"/>
      <c r="B36" s="540"/>
      <c r="C36" s="539"/>
      <c r="D36" s="536" t="s">
        <v>1659</v>
      </c>
      <c r="E36" s="533" t="s">
        <v>1625</v>
      </c>
      <c r="F36" s="536">
        <v>12.776999999999999</v>
      </c>
      <c r="G36" s="536">
        <v>2300</v>
      </c>
      <c r="H36" s="536">
        <v>338</v>
      </c>
      <c r="I36" s="331" t="s">
        <v>445</v>
      </c>
      <c r="J36" s="331">
        <v>8765</v>
      </c>
      <c r="K36" s="535">
        <v>24405</v>
      </c>
      <c r="L36" s="535">
        <v>15530</v>
      </c>
      <c r="M36" s="532" t="s">
        <v>1624</v>
      </c>
      <c r="N36" s="534">
        <v>3.9</v>
      </c>
      <c r="O36" s="471">
        <f>IF(N36&gt;0,1/N36*37.7*68.6,"")</f>
        <v>663.13333333333333</v>
      </c>
      <c r="P36" s="533">
        <v>4.04</v>
      </c>
      <c r="Q36" s="331" t="s">
        <v>435</v>
      </c>
      <c r="R36" s="357" t="s">
        <v>427</v>
      </c>
      <c r="S36" s="357" t="s">
        <v>868</v>
      </c>
      <c r="T36" s="357" t="s">
        <v>749</v>
      </c>
      <c r="U36" s="532" t="s">
        <v>749</v>
      </c>
      <c r="V36" s="531" t="str">
        <f>IFERROR(IF(N36&lt;P36,"",(ROUNDDOWN(N36/P36*100,0))),"")</f>
        <v/>
      </c>
      <c r="Y36" s="541"/>
    </row>
    <row r="37" spans="1:25" ht="24" customHeight="1">
      <c r="A37" s="12"/>
      <c r="B37" s="540"/>
      <c r="C37" s="539"/>
      <c r="D37" s="536" t="s">
        <v>1658</v>
      </c>
      <c r="E37" s="533" t="s">
        <v>1625</v>
      </c>
      <c r="F37" s="536">
        <v>12.776999999999999</v>
      </c>
      <c r="G37" s="536">
        <v>2600</v>
      </c>
      <c r="H37" s="536">
        <v>397</v>
      </c>
      <c r="I37" s="331" t="s">
        <v>431</v>
      </c>
      <c r="J37" s="331">
        <v>8765</v>
      </c>
      <c r="K37" s="535">
        <v>24405</v>
      </c>
      <c r="L37" s="535">
        <v>15530</v>
      </c>
      <c r="M37" s="532" t="s">
        <v>1624</v>
      </c>
      <c r="N37" s="534">
        <v>3.8</v>
      </c>
      <c r="O37" s="471">
        <f>IF(N37&gt;0,1/N37*37.7*68.6,"")</f>
        <v>680.5842105263157</v>
      </c>
      <c r="P37" s="533">
        <v>4.04</v>
      </c>
      <c r="Q37" s="331" t="s">
        <v>435</v>
      </c>
      <c r="R37" s="357" t="s">
        <v>427</v>
      </c>
      <c r="S37" s="357" t="s">
        <v>868</v>
      </c>
      <c r="T37" s="357" t="s">
        <v>749</v>
      </c>
      <c r="U37" s="532" t="s">
        <v>749</v>
      </c>
      <c r="V37" s="531" t="str">
        <f>IFERROR(IF(N37&lt;P37,"",(ROUNDDOWN(N37/P37*100,0))),"")</f>
        <v/>
      </c>
    </row>
    <row r="38" spans="1:25" ht="24" customHeight="1">
      <c r="A38" s="12"/>
      <c r="B38" s="540"/>
      <c r="C38" s="539"/>
      <c r="D38" s="536" t="s">
        <v>1658</v>
      </c>
      <c r="E38" s="533" t="s">
        <v>1625</v>
      </c>
      <c r="F38" s="536">
        <v>12.776999999999999</v>
      </c>
      <c r="G38" s="536">
        <v>2600</v>
      </c>
      <c r="H38" s="536">
        <v>397</v>
      </c>
      <c r="I38" s="331" t="s">
        <v>431</v>
      </c>
      <c r="J38" s="331">
        <v>8765</v>
      </c>
      <c r="K38" s="535">
        <v>24405</v>
      </c>
      <c r="L38" s="535">
        <v>15530</v>
      </c>
      <c r="M38" s="532" t="s">
        <v>1624</v>
      </c>
      <c r="N38" s="534">
        <v>3.85</v>
      </c>
      <c r="O38" s="471">
        <f>IF(N38&gt;0,1/N38*37.7*68.6,"")</f>
        <v>671.74545454545444</v>
      </c>
      <c r="P38" s="533">
        <v>4.04</v>
      </c>
      <c r="Q38" s="331" t="s">
        <v>435</v>
      </c>
      <c r="R38" s="357" t="s">
        <v>427</v>
      </c>
      <c r="S38" s="357" t="s">
        <v>868</v>
      </c>
      <c r="T38" s="336" t="s">
        <v>1657</v>
      </c>
      <c r="U38" s="532" t="s">
        <v>749</v>
      </c>
      <c r="V38" s="531" t="str">
        <f>IFERROR(IF(N38&lt;P38,"",(ROUNDDOWN(N38/P38*100,0))),"")</f>
        <v/>
      </c>
      <c r="W38" s="541"/>
    </row>
    <row r="39" spans="1:25" ht="24" customHeight="1">
      <c r="A39" s="12"/>
      <c r="B39" s="540"/>
      <c r="C39" s="539"/>
      <c r="D39" s="536" t="s">
        <v>1656</v>
      </c>
      <c r="E39" s="533" t="s">
        <v>1625</v>
      </c>
      <c r="F39" s="536">
        <v>12.776999999999999</v>
      </c>
      <c r="G39" s="536">
        <v>2346</v>
      </c>
      <c r="H39" s="536">
        <v>345</v>
      </c>
      <c r="I39" s="331" t="s">
        <v>431</v>
      </c>
      <c r="J39" s="331">
        <v>10525</v>
      </c>
      <c r="K39" s="535">
        <v>34635</v>
      </c>
      <c r="L39" s="535">
        <v>24000</v>
      </c>
      <c r="M39" s="532" t="s">
        <v>394</v>
      </c>
      <c r="N39" s="534">
        <v>3.32</v>
      </c>
      <c r="O39" s="471">
        <f>IF(N39&gt;0,1/N39*37.7*68.6,"")</f>
        <v>778.98192771084348</v>
      </c>
      <c r="P39" s="533">
        <v>3.09</v>
      </c>
      <c r="Q39" s="331" t="s">
        <v>435</v>
      </c>
      <c r="R39" s="357" t="s">
        <v>427</v>
      </c>
      <c r="S39" s="357" t="s">
        <v>34</v>
      </c>
      <c r="T39" s="357" t="s">
        <v>749</v>
      </c>
      <c r="U39" s="532" t="s">
        <v>749</v>
      </c>
      <c r="V39" s="531">
        <f>IFERROR(IF(N39&lt;P39,"",(ROUNDDOWN(N39/P39*100,0))),"")</f>
        <v>107</v>
      </c>
    </row>
    <row r="40" spans="1:25" ht="24" customHeight="1">
      <c r="A40" s="12"/>
      <c r="B40" s="540"/>
      <c r="C40" s="539"/>
      <c r="D40" s="536" t="s">
        <v>1655</v>
      </c>
      <c r="E40" s="533" t="s">
        <v>1625</v>
      </c>
      <c r="F40" s="536">
        <v>12.776999999999999</v>
      </c>
      <c r="G40" s="536">
        <v>2652</v>
      </c>
      <c r="H40" s="536">
        <v>405</v>
      </c>
      <c r="I40" s="331" t="s">
        <v>431</v>
      </c>
      <c r="J40" s="331">
        <v>10525</v>
      </c>
      <c r="K40" s="535">
        <v>34635</v>
      </c>
      <c r="L40" s="535">
        <v>24000</v>
      </c>
      <c r="M40" s="532" t="s">
        <v>394</v>
      </c>
      <c r="N40" s="534">
        <v>3.32</v>
      </c>
      <c r="O40" s="471">
        <f>IF(N40&gt;0,1/N40*37.7*68.6,"")</f>
        <v>778.98192771084348</v>
      </c>
      <c r="P40" s="533">
        <v>3.09</v>
      </c>
      <c r="Q40" s="331" t="s">
        <v>435</v>
      </c>
      <c r="R40" s="357" t="s">
        <v>427</v>
      </c>
      <c r="S40" s="357" t="s">
        <v>34</v>
      </c>
      <c r="T40" s="357" t="s">
        <v>749</v>
      </c>
      <c r="U40" s="532" t="s">
        <v>749</v>
      </c>
      <c r="V40" s="531">
        <f>IFERROR(IF(N40&lt;P40,"",(ROUNDDOWN(N40/P40*100,0))),"")</f>
        <v>107</v>
      </c>
    </row>
    <row r="41" spans="1:25" ht="24" customHeight="1">
      <c r="A41" s="12"/>
      <c r="B41" s="540"/>
      <c r="C41" s="539"/>
      <c r="D41" s="536" t="s">
        <v>1654</v>
      </c>
      <c r="E41" s="533" t="s">
        <v>1625</v>
      </c>
      <c r="F41" s="536">
        <v>12.776999999999999</v>
      </c>
      <c r="G41" s="536">
        <v>2346</v>
      </c>
      <c r="H41" s="536">
        <v>345</v>
      </c>
      <c r="I41" s="331" t="s">
        <v>431</v>
      </c>
      <c r="J41" s="331">
        <v>10525</v>
      </c>
      <c r="K41" s="535">
        <v>34635</v>
      </c>
      <c r="L41" s="535">
        <v>24000</v>
      </c>
      <c r="M41" s="532" t="s">
        <v>394</v>
      </c>
      <c r="N41" s="534">
        <v>3.32</v>
      </c>
      <c r="O41" s="471">
        <f>IF(N41&gt;0,1/N41*37.7*68.6,"")</f>
        <v>778.98192771084348</v>
      </c>
      <c r="P41" s="533">
        <v>3.09</v>
      </c>
      <c r="Q41" s="331" t="s">
        <v>435</v>
      </c>
      <c r="R41" s="357" t="s">
        <v>427</v>
      </c>
      <c r="S41" s="357" t="s">
        <v>34</v>
      </c>
      <c r="T41" s="357" t="s">
        <v>749</v>
      </c>
      <c r="U41" s="532" t="s">
        <v>749</v>
      </c>
      <c r="V41" s="531">
        <f>IFERROR(IF(N41&lt;P41,"",(ROUNDDOWN(N41/P41*100,0))),"")</f>
        <v>107</v>
      </c>
    </row>
    <row r="42" spans="1:25" ht="24" customHeight="1">
      <c r="A42" s="12"/>
      <c r="B42" s="540"/>
      <c r="C42" s="539"/>
      <c r="D42" s="536" t="s">
        <v>1653</v>
      </c>
      <c r="E42" s="533" t="s">
        <v>1625</v>
      </c>
      <c r="F42" s="536">
        <v>12.776999999999999</v>
      </c>
      <c r="G42" s="536">
        <v>2652</v>
      </c>
      <c r="H42" s="536">
        <v>405</v>
      </c>
      <c r="I42" s="331" t="s">
        <v>431</v>
      </c>
      <c r="J42" s="331">
        <v>10525</v>
      </c>
      <c r="K42" s="535">
        <v>34635</v>
      </c>
      <c r="L42" s="535">
        <v>24000</v>
      </c>
      <c r="M42" s="532" t="s">
        <v>394</v>
      </c>
      <c r="N42" s="534">
        <v>3.32</v>
      </c>
      <c r="O42" s="471">
        <f>IF(N42&gt;0,1/N42*37.7*68.6,"")</f>
        <v>778.98192771084348</v>
      </c>
      <c r="P42" s="533">
        <v>3.09</v>
      </c>
      <c r="Q42" s="331" t="s">
        <v>435</v>
      </c>
      <c r="R42" s="357" t="s">
        <v>427</v>
      </c>
      <c r="S42" s="357" t="s">
        <v>34</v>
      </c>
      <c r="T42" s="357" t="s">
        <v>749</v>
      </c>
      <c r="U42" s="532" t="s">
        <v>749</v>
      </c>
      <c r="V42" s="531">
        <f>IFERROR(IF(N42&lt;P42,"",(ROUNDDOWN(N42/P42*100,0))),"")</f>
        <v>107</v>
      </c>
    </row>
    <row r="43" spans="1:25" ht="24" customHeight="1">
      <c r="A43" s="12"/>
      <c r="B43" s="540"/>
      <c r="C43" s="539"/>
      <c r="D43" s="536" t="s">
        <v>1652</v>
      </c>
      <c r="E43" s="533" t="s">
        <v>1625</v>
      </c>
      <c r="F43" s="536">
        <v>12.776999999999999</v>
      </c>
      <c r="G43" s="536">
        <v>2346</v>
      </c>
      <c r="H43" s="536">
        <v>345</v>
      </c>
      <c r="I43" s="331" t="s">
        <v>431</v>
      </c>
      <c r="J43" s="331">
        <v>10525</v>
      </c>
      <c r="K43" s="535">
        <v>34635</v>
      </c>
      <c r="L43" s="535">
        <v>24000</v>
      </c>
      <c r="M43" s="532" t="s">
        <v>394</v>
      </c>
      <c r="N43" s="534">
        <v>3.32</v>
      </c>
      <c r="O43" s="471">
        <f>IF(N43&gt;0,1/N43*37.7*68.6,"")</f>
        <v>778.98192771084348</v>
      </c>
      <c r="P43" s="533">
        <v>3.09</v>
      </c>
      <c r="Q43" s="331" t="s">
        <v>435</v>
      </c>
      <c r="R43" s="357" t="s">
        <v>427</v>
      </c>
      <c r="S43" s="357" t="s">
        <v>34</v>
      </c>
      <c r="T43" s="357" t="s">
        <v>749</v>
      </c>
      <c r="U43" s="532" t="s">
        <v>749</v>
      </c>
      <c r="V43" s="531">
        <f>IFERROR(IF(N43&lt;P43,"",(ROUNDDOWN(N43/P43*100,0))),"")</f>
        <v>107</v>
      </c>
    </row>
    <row r="44" spans="1:25" ht="24" customHeight="1">
      <c r="A44" s="12"/>
      <c r="B44" s="540"/>
      <c r="C44" s="539"/>
      <c r="D44" s="536" t="s">
        <v>1651</v>
      </c>
      <c r="E44" s="533" t="s">
        <v>1625</v>
      </c>
      <c r="F44" s="536">
        <v>12.776999999999999</v>
      </c>
      <c r="G44" s="536">
        <v>2652</v>
      </c>
      <c r="H44" s="536">
        <v>405</v>
      </c>
      <c r="I44" s="331" t="s">
        <v>431</v>
      </c>
      <c r="J44" s="331">
        <v>10525</v>
      </c>
      <c r="K44" s="535">
        <v>34635</v>
      </c>
      <c r="L44" s="535">
        <v>24000</v>
      </c>
      <c r="M44" s="532" t="s">
        <v>394</v>
      </c>
      <c r="N44" s="534">
        <v>3.32</v>
      </c>
      <c r="O44" s="471">
        <f>IF(N44&gt;0,1/N44*37.7*68.6,"")</f>
        <v>778.98192771084348</v>
      </c>
      <c r="P44" s="533">
        <v>3.09</v>
      </c>
      <c r="Q44" s="331" t="s">
        <v>435</v>
      </c>
      <c r="R44" s="357" t="s">
        <v>427</v>
      </c>
      <c r="S44" s="357" t="s">
        <v>34</v>
      </c>
      <c r="T44" s="357" t="s">
        <v>749</v>
      </c>
      <c r="U44" s="532" t="s">
        <v>749</v>
      </c>
      <c r="V44" s="531">
        <f>IFERROR(IF(N44&lt;P44,"",(ROUNDDOWN(N44/P44*100,0))),"")</f>
        <v>107</v>
      </c>
    </row>
    <row r="45" spans="1:25" ht="24" customHeight="1">
      <c r="A45" s="12"/>
      <c r="B45" s="540"/>
      <c r="C45" s="539"/>
      <c r="D45" s="536" t="s">
        <v>1650</v>
      </c>
      <c r="E45" s="533" t="s">
        <v>1625</v>
      </c>
      <c r="F45" s="536">
        <v>12.776999999999999</v>
      </c>
      <c r="G45" s="536">
        <v>2346</v>
      </c>
      <c r="H45" s="536">
        <v>345</v>
      </c>
      <c r="I45" s="331" t="s">
        <v>431</v>
      </c>
      <c r="J45" s="331">
        <v>10525</v>
      </c>
      <c r="K45" s="535">
        <v>34635</v>
      </c>
      <c r="L45" s="535">
        <v>24000</v>
      </c>
      <c r="M45" s="532" t="s">
        <v>394</v>
      </c>
      <c r="N45" s="534">
        <v>3.21</v>
      </c>
      <c r="O45" s="471">
        <f>IF(N45&gt;0,1/N45*37.7*68.6,"")</f>
        <v>805.67601246105914</v>
      </c>
      <c r="P45" s="533">
        <v>3.09</v>
      </c>
      <c r="Q45" s="331" t="s">
        <v>435</v>
      </c>
      <c r="R45" s="357" t="s">
        <v>427</v>
      </c>
      <c r="S45" s="357" t="s">
        <v>34</v>
      </c>
      <c r="T45" s="357" t="s">
        <v>749</v>
      </c>
      <c r="U45" s="532" t="s">
        <v>749</v>
      </c>
      <c r="V45" s="531">
        <f>IFERROR(IF(N45&lt;P45,"",(ROUNDDOWN(N45/P45*100,0))),"")</f>
        <v>103</v>
      </c>
    </row>
    <row r="46" spans="1:25" ht="24" customHeight="1">
      <c r="A46" s="12"/>
      <c r="B46" s="540"/>
      <c r="C46" s="539"/>
      <c r="D46" s="536" t="s">
        <v>1649</v>
      </c>
      <c r="E46" s="533" t="s">
        <v>1625</v>
      </c>
      <c r="F46" s="536">
        <v>12.776999999999999</v>
      </c>
      <c r="G46" s="536">
        <v>2652</v>
      </c>
      <c r="H46" s="536">
        <v>405</v>
      </c>
      <c r="I46" s="331" t="s">
        <v>431</v>
      </c>
      <c r="J46" s="331">
        <v>10525</v>
      </c>
      <c r="K46" s="535">
        <v>34635</v>
      </c>
      <c r="L46" s="535">
        <v>24000</v>
      </c>
      <c r="M46" s="532" t="s">
        <v>394</v>
      </c>
      <c r="N46" s="534">
        <v>3.22</v>
      </c>
      <c r="O46" s="471">
        <f>IF(N46&gt;0,1/N46*37.7*68.6,"")</f>
        <v>803.17391304347814</v>
      </c>
      <c r="P46" s="533">
        <v>3.09</v>
      </c>
      <c r="Q46" s="331" t="s">
        <v>435</v>
      </c>
      <c r="R46" s="357" t="s">
        <v>427</v>
      </c>
      <c r="S46" s="357" t="s">
        <v>34</v>
      </c>
      <c r="T46" s="357" t="s">
        <v>749</v>
      </c>
      <c r="U46" s="532" t="s">
        <v>749</v>
      </c>
      <c r="V46" s="531">
        <f>IFERROR(IF(N46&lt;P46,"",(ROUNDDOWN(N46/P46*100,0))),"")</f>
        <v>104</v>
      </c>
    </row>
    <row r="47" spans="1:25" ht="24" customHeight="1">
      <c r="A47" s="12"/>
      <c r="B47" s="540"/>
      <c r="C47" s="539"/>
      <c r="D47" s="536" t="s">
        <v>1648</v>
      </c>
      <c r="E47" s="533" t="s">
        <v>1625</v>
      </c>
      <c r="F47" s="536">
        <v>12.776999999999999</v>
      </c>
      <c r="G47" s="536">
        <v>2346</v>
      </c>
      <c r="H47" s="536">
        <v>345</v>
      </c>
      <c r="I47" s="331" t="s">
        <v>431</v>
      </c>
      <c r="J47" s="331">
        <v>10525</v>
      </c>
      <c r="K47" s="535">
        <v>34635</v>
      </c>
      <c r="L47" s="535">
        <v>24000</v>
      </c>
      <c r="M47" s="532" t="s">
        <v>394</v>
      </c>
      <c r="N47" s="534">
        <v>3.21</v>
      </c>
      <c r="O47" s="471">
        <f>IF(N47&gt;0,1/N47*37.7*68.6,"")</f>
        <v>805.67601246105914</v>
      </c>
      <c r="P47" s="533">
        <v>3.09</v>
      </c>
      <c r="Q47" s="331" t="s">
        <v>435</v>
      </c>
      <c r="R47" s="357" t="s">
        <v>427</v>
      </c>
      <c r="S47" s="357" t="s">
        <v>34</v>
      </c>
      <c r="T47" s="357" t="s">
        <v>749</v>
      </c>
      <c r="U47" s="532" t="s">
        <v>749</v>
      </c>
      <c r="V47" s="531">
        <f>IFERROR(IF(N47&lt;P47,"",(ROUNDDOWN(N47/P47*100,0))),"")</f>
        <v>103</v>
      </c>
    </row>
    <row r="48" spans="1:25" ht="24" customHeight="1">
      <c r="A48" s="12"/>
      <c r="B48" s="540"/>
      <c r="C48" s="539"/>
      <c r="D48" s="536" t="s">
        <v>1647</v>
      </c>
      <c r="E48" s="533" t="s">
        <v>1625</v>
      </c>
      <c r="F48" s="536">
        <v>12.776999999999999</v>
      </c>
      <c r="G48" s="536">
        <v>2652</v>
      </c>
      <c r="H48" s="536">
        <v>405</v>
      </c>
      <c r="I48" s="331" t="s">
        <v>431</v>
      </c>
      <c r="J48" s="331">
        <v>10525</v>
      </c>
      <c r="K48" s="535">
        <v>34635</v>
      </c>
      <c r="L48" s="535">
        <v>24000</v>
      </c>
      <c r="M48" s="532" t="s">
        <v>394</v>
      </c>
      <c r="N48" s="534">
        <v>3.22</v>
      </c>
      <c r="O48" s="471">
        <f>IF(N48&gt;0,1/N48*37.7*68.6,"")</f>
        <v>803.17391304347814</v>
      </c>
      <c r="P48" s="533">
        <v>3.09</v>
      </c>
      <c r="Q48" s="331" t="s">
        <v>435</v>
      </c>
      <c r="R48" s="357" t="s">
        <v>427</v>
      </c>
      <c r="S48" s="357" t="s">
        <v>34</v>
      </c>
      <c r="T48" s="357" t="s">
        <v>749</v>
      </c>
      <c r="U48" s="532" t="s">
        <v>749</v>
      </c>
      <c r="V48" s="531">
        <f>IFERROR(IF(N48&lt;P48,"",(ROUNDDOWN(N48/P48*100,0))),"")</f>
        <v>104</v>
      </c>
    </row>
    <row r="49" spans="1:22" ht="24" customHeight="1">
      <c r="A49" s="12"/>
      <c r="B49" s="540"/>
      <c r="C49" s="539"/>
      <c r="D49" s="536" t="s">
        <v>1646</v>
      </c>
      <c r="E49" s="533" t="s">
        <v>1625</v>
      </c>
      <c r="F49" s="536">
        <v>12.776999999999999</v>
      </c>
      <c r="G49" s="536">
        <v>2346</v>
      </c>
      <c r="H49" s="536">
        <v>345</v>
      </c>
      <c r="I49" s="331" t="s">
        <v>431</v>
      </c>
      <c r="J49" s="331">
        <v>10525</v>
      </c>
      <c r="K49" s="535">
        <v>34635</v>
      </c>
      <c r="L49" s="535">
        <v>24000</v>
      </c>
      <c r="M49" s="532" t="s">
        <v>394</v>
      </c>
      <c r="N49" s="534">
        <v>3.21</v>
      </c>
      <c r="O49" s="471">
        <f>IF(N49&gt;0,1/N49*37.7*68.6,"")</f>
        <v>805.67601246105914</v>
      </c>
      <c r="P49" s="533">
        <v>3.09</v>
      </c>
      <c r="Q49" s="331" t="s">
        <v>435</v>
      </c>
      <c r="R49" s="357" t="s">
        <v>427</v>
      </c>
      <c r="S49" s="357" t="s">
        <v>34</v>
      </c>
      <c r="T49" s="357" t="s">
        <v>749</v>
      </c>
      <c r="U49" s="532" t="s">
        <v>749</v>
      </c>
      <c r="V49" s="531">
        <f>IFERROR(IF(N49&lt;P49,"",(ROUNDDOWN(N49/P49*100,0))),"")</f>
        <v>103</v>
      </c>
    </row>
    <row r="50" spans="1:22" ht="24" customHeight="1">
      <c r="A50" s="12"/>
      <c r="B50" s="540"/>
      <c r="C50" s="539"/>
      <c r="D50" s="536" t="s">
        <v>1645</v>
      </c>
      <c r="E50" s="533" t="s">
        <v>1625</v>
      </c>
      <c r="F50" s="536">
        <v>12.776999999999999</v>
      </c>
      <c r="G50" s="536">
        <v>2652</v>
      </c>
      <c r="H50" s="536">
        <v>405</v>
      </c>
      <c r="I50" s="331" t="s">
        <v>431</v>
      </c>
      <c r="J50" s="331">
        <v>10525</v>
      </c>
      <c r="K50" s="535">
        <v>34635</v>
      </c>
      <c r="L50" s="535">
        <v>24000</v>
      </c>
      <c r="M50" s="532" t="s">
        <v>394</v>
      </c>
      <c r="N50" s="534">
        <v>3.22</v>
      </c>
      <c r="O50" s="471">
        <f>IF(N50&gt;0,1/N50*37.7*68.6,"")</f>
        <v>803.17391304347814</v>
      </c>
      <c r="P50" s="533">
        <v>3.09</v>
      </c>
      <c r="Q50" s="331" t="s">
        <v>435</v>
      </c>
      <c r="R50" s="357" t="s">
        <v>427</v>
      </c>
      <c r="S50" s="357" t="s">
        <v>34</v>
      </c>
      <c r="T50" s="357" t="s">
        <v>749</v>
      </c>
      <c r="U50" s="532" t="s">
        <v>749</v>
      </c>
      <c r="V50" s="531">
        <f>IFERROR(IF(N50&lt;P50,"",(ROUNDDOWN(N50/P50*100,0))),"")</f>
        <v>104</v>
      </c>
    </row>
    <row r="51" spans="1:22" ht="24" customHeight="1">
      <c r="A51" s="12"/>
      <c r="B51" s="540"/>
      <c r="C51" s="539"/>
      <c r="D51" s="536" t="s">
        <v>1644</v>
      </c>
      <c r="E51" s="533" t="s">
        <v>1625</v>
      </c>
      <c r="F51" s="536">
        <v>12.776999999999999</v>
      </c>
      <c r="G51" s="536">
        <v>2652</v>
      </c>
      <c r="H51" s="536">
        <v>405</v>
      </c>
      <c r="I51" s="331" t="s">
        <v>431</v>
      </c>
      <c r="J51" s="331">
        <v>19028</v>
      </c>
      <c r="K51" s="535">
        <v>59138</v>
      </c>
      <c r="L51" s="535">
        <v>40000</v>
      </c>
      <c r="M51" s="532" t="s">
        <v>394</v>
      </c>
      <c r="N51" s="534">
        <v>1.96</v>
      </c>
      <c r="O51" s="471">
        <f>IF(N51&gt;0,1/N51*37.7*68.6,"")</f>
        <v>1319.5000000000002</v>
      </c>
      <c r="P51" s="533">
        <v>2.0099999999999998</v>
      </c>
      <c r="Q51" s="331" t="s">
        <v>435</v>
      </c>
      <c r="R51" s="357" t="s">
        <v>427</v>
      </c>
      <c r="S51" s="357" t="s">
        <v>868</v>
      </c>
      <c r="T51" s="357" t="s">
        <v>749</v>
      </c>
      <c r="U51" s="532" t="s">
        <v>749</v>
      </c>
      <c r="V51" s="531" t="str">
        <f>IFERROR(IF(N51&lt;P51,"",(ROUNDDOWN(N51/P51*100,0))),"")</f>
        <v/>
      </c>
    </row>
    <row r="52" spans="1:22" ht="24" customHeight="1">
      <c r="A52" s="12"/>
      <c r="B52" s="540"/>
      <c r="C52" s="539"/>
      <c r="D52" s="536" t="s">
        <v>1643</v>
      </c>
      <c r="E52" s="533" t="s">
        <v>1625</v>
      </c>
      <c r="F52" s="536">
        <v>12.776999999999999</v>
      </c>
      <c r="G52" s="536">
        <v>2652</v>
      </c>
      <c r="H52" s="536">
        <v>405</v>
      </c>
      <c r="I52" s="331" t="s">
        <v>431</v>
      </c>
      <c r="J52" s="331">
        <v>19028</v>
      </c>
      <c r="K52" s="535">
        <v>59138</v>
      </c>
      <c r="L52" s="535">
        <v>40000</v>
      </c>
      <c r="M52" s="532" t="s">
        <v>394</v>
      </c>
      <c r="N52" s="534">
        <v>1.96</v>
      </c>
      <c r="O52" s="471">
        <f>IF(N52&gt;0,1/N52*37.7*68.6,"")</f>
        <v>1319.5000000000002</v>
      </c>
      <c r="P52" s="533">
        <v>2.0099999999999998</v>
      </c>
      <c r="Q52" s="331" t="s">
        <v>435</v>
      </c>
      <c r="R52" s="357" t="s">
        <v>427</v>
      </c>
      <c r="S52" s="357" t="s">
        <v>868</v>
      </c>
      <c r="T52" s="357" t="s">
        <v>749</v>
      </c>
      <c r="U52" s="532" t="s">
        <v>749</v>
      </c>
      <c r="V52" s="531" t="str">
        <f>IFERROR(IF(N52&lt;P52,"",(ROUNDDOWN(N52/P52*100,0))),"")</f>
        <v/>
      </c>
    </row>
    <row r="53" spans="1:22" ht="24" customHeight="1">
      <c r="A53" s="12"/>
      <c r="B53" s="540"/>
      <c r="C53" s="539"/>
      <c r="D53" s="536" t="s">
        <v>1642</v>
      </c>
      <c r="E53" s="533" t="s">
        <v>1625</v>
      </c>
      <c r="F53" s="536">
        <v>12.776999999999999</v>
      </c>
      <c r="G53" s="536">
        <v>2652</v>
      </c>
      <c r="H53" s="536">
        <v>405</v>
      </c>
      <c r="I53" s="331" t="s">
        <v>431</v>
      </c>
      <c r="J53" s="331">
        <v>19028</v>
      </c>
      <c r="K53" s="535">
        <v>59138</v>
      </c>
      <c r="L53" s="535">
        <v>40000</v>
      </c>
      <c r="M53" s="532" t="s">
        <v>394</v>
      </c>
      <c r="N53" s="534">
        <v>1.96</v>
      </c>
      <c r="O53" s="471">
        <f>IF(N53&gt;0,1/N53*37.7*68.6,"")</f>
        <v>1319.5000000000002</v>
      </c>
      <c r="P53" s="533">
        <v>2.0099999999999998</v>
      </c>
      <c r="Q53" s="331" t="s">
        <v>435</v>
      </c>
      <c r="R53" s="357" t="s">
        <v>427</v>
      </c>
      <c r="S53" s="357" t="s">
        <v>868</v>
      </c>
      <c r="T53" s="357" t="s">
        <v>749</v>
      </c>
      <c r="U53" s="532" t="s">
        <v>749</v>
      </c>
      <c r="V53" s="531" t="str">
        <f>IFERROR(IF(N53&lt;P53,"",(ROUNDDOWN(N53/P53*100,0))),"")</f>
        <v/>
      </c>
    </row>
    <row r="54" spans="1:22" ht="24" customHeight="1">
      <c r="A54" s="12"/>
      <c r="B54" s="540"/>
      <c r="C54" s="539"/>
      <c r="D54" s="536" t="s">
        <v>1641</v>
      </c>
      <c r="E54" s="533" t="s">
        <v>1625</v>
      </c>
      <c r="F54" s="536">
        <v>12.776999999999999</v>
      </c>
      <c r="G54" s="536">
        <v>2652</v>
      </c>
      <c r="H54" s="536">
        <v>405</v>
      </c>
      <c r="I54" s="331" t="s">
        <v>431</v>
      </c>
      <c r="J54" s="331">
        <v>19028</v>
      </c>
      <c r="K54" s="535">
        <v>59138</v>
      </c>
      <c r="L54" s="535">
        <v>40000</v>
      </c>
      <c r="M54" s="532" t="s">
        <v>394</v>
      </c>
      <c r="N54" s="534">
        <v>1.96</v>
      </c>
      <c r="O54" s="471">
        <f>IF(N54&gt;0,1/N54*37.7*68.6,"")</f>
        <v>1319.5000000000002</v>
      </c>
      <c r="P54" s="533">
        <v>2.0099999999999998</v>
      </c>
      <c r="Q54" s="331" t="s">
        <v>435</v>
      </c>
      <c r="R54" s="357" t="s">
        <v>427</v>
      </c>
      <c r="S54" s="357" t="s">
        <v>868</v>
      </c>
      <c r="T54" s="357" t="s">
        <v>749</v>
      </c>
      <c r="U54" s="532" t="s">
        <v>749</v>
      </c>
      <c r="V54" s="531" t="str">
        <f>IFERROR(IF(N54&lt;P54,"",(ROUNDDOWN(N54/P54*100,0))),"")</f>
        <v/>
      </c>
    </row>
    <row r="55" spans="1:22" ht="24" customHeight="1">
      <c r="A55" s="12"/>
      <c r="B55" s="540"/>
      <c r="C55" s="539"/>
      <c r="D55" s="536" t="s">
        <v>1640</v>
      </c>
      <c r="E55" s="533" t="s">
        <v>1625</v>
      </c>
      <c r="F55" s="536">
        <v>12.776999999999999</v>
      </c>
      <c r="G55" s="536">
        <v>2346</v>
      </c>
      <c r="H55" s="536">
        <v>345</v>
      </c>
      <c r="I55" s="331" t="s">
        <v>431</v>
      </c>
      <c r="J55" s="331">
        <v>8688</v>
      </c>
      <c r="K55" s="535">
        <v>19887</v>
      </c>
      <c r="L55" s="535">
        <v>11089</v>
      </c>
      <c r="M55" s="532" t="s">
        <v>1639</v>
      </c>
      <c r="N55" s="534">
        <v>4.25</v>
      </c>
      <c r="O55" s="471">
        <f>IF(N55&gt;0,1/N55*37.7*68.6,"")</f>
        <v>608.52235294117645</v>
      </c>
      <c r="P55" s="533">
        <v>4.1500000000000004</v>
      </c>
      <c r="Q55" s="331" t="s">
        <v>435</v>
      </c>
      <c r="R55" s="357" t="s">
        <v>427</v>
      </c>
      <c r="S55" s="357" t="s">
        <v>1635</v>
      </c>
      <c r="T55" s="357" t="s">
        <v>749</v>
      </c>
      <c r="U55" s="532" t="s">
        <v>749</v>
      </c>
      <c r="V55" s="531">
        <f>IFERROR(IF(N55&lt;P55,"",(ROUNDDOWN(N55/P55*100,0))),"")</f>
        <v>102</v>
      </c>
    </row>
    <row r="56" spans="1:22" ht="24" customHeight="1">
      <c r="A56" s="12"/>
      <c r="B56" s="540"/>
      <c r="C56" s="539"/>
      <c r="D56" s="536" t="s">
        <v>1638</v>
      </c>
      <c r="E56" s="533" t="s">
        <v>1625</v>
      </c>
      <c r="F56" s="536">
        <v>12.776999999999999</v>
      </c>
      <c r="G56" s="536">
        <v>2346</v>
      </c>
      <c r="H56" s="536">
        <v>345</v>
      </c>
      <c r="I56" s="331" t="s">
        <v>431</v>
      </c>
      <c r="J56" s="331">
        <v>8765</v>
      </c>
      <c r="K56" s="535">
        <v>24405</v>
      </c>
      <c r="L56" s="535">
        <v>15530</v>
      </c>
      <c r="M56" s="532" t="s">
        <v>1624</v>
      </c>
      <c r="N56" s="534">
        <v>4.18</v>
      </c>
      <c r="O56" s="471">
        <f>IF(N56&gt;0,1/N56*37.7*68.6,"")</f>
        <v>618.71291866028719</v>
      </c>
      <c r="P56" s="533">
        <v>4.04</v>
      </c>
      <c r="Q56" s="331" t="s">
        <v>435</v>
      </c>
      <c r="R56" s="357" t="s">
        <v>427</v>
      </c>
      <c r="S56" s="357" t="s">
        <v>1635</v>
      </c>
      <c r="T56" s="357" t="s">
        <v>749</v>
      </c>
      <c r="U56" s="532" t="s">
        <v>749</v>
      </c>
      <c r="V56" s="531">
        <f>IFERROR(IF(N56&lt;P56,"",(ROUNDDOWN(N56/P56*100,0))),"")</f>
        <v>103</v>
      </c>
    </row>
    <row r="57" spans="1:22" ht="24" customHeight="1">
      <c r="A57" s="12"/>
      <c r="B57" s="540"/>
      <c r="C57" s="539"/>
      <c r="D57" s="536" t="s">
        <v>1638</v>
      </c>
      <c r="E57" s="533" t="s">
        <v>1625</v>
      </c>
      <c r="F57" s="536">
        <v>12.776999999999999</v>
      </c>
      <c r="G57" s="536">
        <v>2346</v>
      </c>
      <c r="H57" s="536">
        <v>345</v>
      </c>
      <c r="I57" s="331" t="s">
        <v>431</v>
      </c>
      <c r="J57" s="331">
        <v>8765</v>
      </c>
      <c r="K57" s="535">
        <v>24405</v>
      </c>
      <c r="L57" s="535">
        <v>15530</v>
      </c>
      <c r="M57" s="532" t="s">
        <v>1624</v>
      </c>
      <c r="N57" s="534">
        <v>4.0999999999999996</v>
      </c>
      <c r="O57" s="471">
        <f>IF(N57&gt;0,1/N57*37.7*68.6,"")</f>
        <v>630.78536585365862</v>
      </c>
      <c r="P57" s="533">
        <v>4.04</v>
      </c>
      <c r="Q57" s="331" t="s">
        <v>435</v>
      </c>
      <c r="R57" s="357" t="s">
        <v>427</v>
      </c>
      <c r="S57" s="357" t="s">
        <v>1635</v>
      </c>
      <c r="T57" s="532" t="s">
        <v>1627</v>
      </c>
      <c r="U57" s="532" t="s">
        <v>749</v>
      </c>
      <c r="V57" s="531">
        <f>IFERROR(IF(N57&lt;P57,"",(ROUNDDOWN(N57/P57*100,0))),"")</f>
        <v>101</v>
      </c>
    </row>
    <row r="58" spans="1:22" ht="24" customHeight="1">
      <c r="A58" s="12"/>
      <c r="B58" s="540"/>
      <c r="C58" s="539"/>
      <c r="D58" s="536" t="s">
        <v>1637</v>
      </c>
      <c r="E58" s="533" t="s">
        <v>1625</v>
      </c>
      <c r="F58" s="536">
        <v>12.776999999999999</v>
      </c>
      <c r="G58" s="536">
        <v>2346</v>
      </c>
      <c r="H58" s="536">
        <v>345</v>
      </c>
      <c r="I58" s="331" t="s">
        <v>431</v>
      </c>
      <c r="J58" s="331">
        <v>8765</v>
      </c>
      <c r="K58" s="535">
        <v>24405</v>
      </c>
      <c r="L58" s="535">
        <v>15530</v>
      </c>
      <c r="M58" s="532" t="s">
        <v>1624</v>
      </c>
      <c r="N58" s="534">
        <v>4.18</v>
      </c>
      <c r="O58" s="471">
        <f>IF(N58&gt;0,1/N58*37.7*68.6,"")</f>
        <v>618.71291866028719</v>
      </c>
      <c r="P58" s="533">
        <v>4.04</v>
      </c>
      <c r="Q58" s="331" t="s">
        <v>435</v>
      </c>
      <c r="R58" s="357" t="s">
        <v>427</v>
      </c>
      <c r="S58" s="357" t="s">
        <v>1635</v>
      </c>
      <c r="T58" s="532" t="s">
        <v>749</v>
      </c>
      <c r="U58" s="532" t="s">
        <v>749</v>
      </c>
      <c r="V58" s="531">
        <f>IFERROR(IF(N58&lt;P58,"",(ROUNDDOWN(N58/P58*100,0))),"")</f>
        <v>103</v>
      </c>
    </row>
    <row r="59" spans="1:22" ht="24" customHeight="1">
      <c r="A59" s="12"/>
      <c r="B59" s="540"/>
      <c r="C59" s="539"/>
      <c r="D59" s="536" t="s">
        <v>1637</v>
      </c>
      <c r="E59" s="533" t="s">
        <v>1625</v>
      </c>
      <c r="F59" s="536">
        <v>12.776999999999999</v>
      </c>
      <c r="G59" s="536">
        <v>2346</v>
      </c>
      <c r="H59" s="536">
        <v>345</v>
      </c>
      <c r="I59" s="331" t="s">
        <v>431</v>
      </c>
      <c r="J59" s="331">
        <v>8765</v>
      </c>
      <c r="K59" s="535">
        <v>24405</v>
      </c>
      <c r="L59" s="535">
        <v>15530</v>
      </c>
      <c r="M59" s="532" t="s">
        <v>1624</v>
      </c>
      <c r="N59" s="534">
        <v>4.0999999999999996</v>
      </c>
      <c r="O59" s="471">
        <f>IF(N59&gt;0,1/N59*37.7*68.6,"")</f>
        <v>630.78536585365862</v>
      </c>
      <c r="P59" s="533">
        <v>4.04</v>
      </c>
      <c r="Q59" s="331" t="s">
        <v>435</v>
      </c>
      <c r="R59" s="357" t="s">
        <v>427</v>
      </c>
      <c r="S59" s="357" t="s">
        <v>1635</v>
      </c>
      <c r="T59" s="532" t="s">
        <v>1627</v>
      </c>
      <c r="U59" s="532" t="s">
        <v>749</v>
      </c>
      <c r="V59" s="531">
        <f>IFERROR(IF(N59&lt;P59,"",(ROUNDDOWN(N59/P59*100,0))),"")</f>
        <v>101</v>
      </c>
    </row>
    <row r="60" spans="1:22" ht="24" customHeight="1">
      <c r="A60" s="12"/>
      <c r="B60" s="540"/>
      <c r="C60" s="539"/>
      <c r="D60" s="536" t="s">
        <v>1636</v>
      </c>
      <c r="E60" s="533" t="s">
        <v>1625</v>
      </c>
      <c r="F60" s="536">
        <v>12.776999999999999</v>
      </c>
      <c r="G60" s="536">
        <v>2652</v>
      </c>
      <c r="H60" s="536">
        <v>405</v>
      </c>
      <c r="I60" s="331" t="s">
        <v>431</v>
      </c>
      <c r="J60" s="331">
        <v>8765</v>
      </c>
      <c r="K60" s="535">
        <v>24405</v>
      </c>
      <c r="L60" s="535">
        <v>15530</v>
      </c>
      <c r="M60" s="532" t="s">
        <v>1624</v>
      </c>
      <c r="N60" s="534">
        <v>4.18</v>
      </c>
      <c r="O60" s="471">
        <f>IF(N60&gt;0,1/N60*37.7*68.6,"")</f>
        <v>618.71291866028719</v>
      </c>
      <c r="P60" s="533">
        <v>4.04</v>
      </c>
      <c r="Q60" s="331" t="s">
        <v>435</v>
      </c>
      <c r="R60" s="357" t="s">
        <v>427</v>
      </c>
      <c r="S60" s="357" t="s">
        <v>1635</v>
      </c>
      <c r="T60" s="532" t="s">
        <v>749</v>
      </c>
      <c r="U60" s="532" t="s">
        <v>749</v>
      </c>
      <c r="V60" s="531">
        <f>IFERROR(IF(N60&lt;P60,"",(ROUNDDOWN(N60/P60*100,0))),"")</f>
        <v>103</v>
      </c>
    </row>
    <row r="61" spans="1:22" ht="24" customHeight="1">
      <c r="A61" s="12"/>
      <c r="B61" s="540"/>
      <c r="C61" s="539"/>
      <c r="D61" s="536" t="s">
        <v>1634</v>
      </c>
      <c r="E61" s="533" t="s">
        <v>1625</v>
      </c>
      <c r="F61" s="536">
        <v>12.776999999999999</v>
      </c>
      <c r="G61" s="536">
        <v>2346</v>
      </c>
      <c r="H61" s="536">
        <v>345</v>
      </c>
      <c r="I61" s="331" t="s">
        <v>431</v>
      </c>
      <c r="J61" s="331">
        <v>8765</v>
      </c>
      <c r="K61" s="535">
        <v>24405</v>
      </c>
      <c r="L61" s="535">
        <v>15530</v>
      </c>
      <c r="M61" s="532" t="s">
        <v>1624</v>
      </c>
      <c r="N61" s="534">
        <v>4.18</v>
      </c>
      <c r="O61" s="471">
        <f>IF(N61&gt;0,1/N61*37.7*68.6,"")</f>
        <v>618.71291866028719</v>
      </c>
      <c r="P61" s="533">
        <v>4.04</v>
      </c>
      <c r="Q61" s="331" t="s">
        <v>435</v>
      </c>
      <c r="R61" s="357" t="s">
        <v>427</v>
      </c>
      <c r="S61" s="357" t="s">
        <v>868</v>
      </c>
      <c r="T61" s="532" t="s">
        <v>749</v>
      </c>
      <c r="U61" s="532" t="s">
        <v>749</v>
      </c>
      <c r="V61" s="531">
        <f>IFERROR(IF(N61&lt;P61,"",(ROUNDDOWN(N61/P61*100,0))),"")</f>
        <v>103</v>
      </c>
    </row>
    <row r="62" spans="1:22" ht="24" customHeight="1">
      <c r="A62" s="12"/>
      <c r="B62" s="540"/>
      <c r="C62" s="539"/>
      <c r="D62" s="536" t="s">
        <v>1634</v>
      </c>
      <c r="E62" s="533" t="s">
        <v>1625</v>
      </c>
      <c r="F62" s="536">
        <v>12.776999999999999</v>
      </c>
      <c r="G62" s="536">
        <v>2346</v>
      </c>
      <c r="H62" s="536">
        <v>345</v>
      </c>
      <c r="I62" s="331" t="s">
        <v>431</v>
      </c>
      <c r="J62" s="331">
        <v>8765</v>
      </c>
      <c r="K62" s="535">
        <v>24405</v>
      </c>
      <c r="L62" s="535">
        <v>15530</v>
      </c>
      <c r="M62" s="532" t="s">
        <v>1624</v>
      </c>
      <c r="N62" s="534">
        <v>4.0999999999999996</v>
      </c>
      <c r="O62" s="471">
        <f>IF(N62&gt;0,1/N62*37.7*68.6,"")</f>
        <v>630.78536585365862</v>
      </c>
      <c r="P62" s="533">
        <v>4.04</v>
      </c>
      <c r="Q62" s="331" t="s">
        <v>435</v>
      </c>
      <c r="R62" s="357" t="s">
        <v>427</v>
      </c>
      <c r="S62" s="357" t="s">
        <v>868</v>
      </c>
      <c r="T62" s="532" t="s">
        <v>1627</v>
      </c>
      <c r="U62" s="532" t="s">
        <v>749</v>
      </c>
      <c r="V62" s="531">
        <f>IFERROR(IF(N62&lt;P62,"",(ROUNDDOWN(N62/P62*100,0))),"")</f>
        <v>101</v>
      </c>
    </row>
    <row r="63" spans="1:22" ht="24" customHeight="1">
      <c r="A63" s="12"/>
      <c r="B63" s="540"/>
      <c r="C63" s="539"/>
      <c r="D63" s="536" t="s">
        <v>1633</v>
      </c>
      <c r="E63" s="533" t="s">
        <v>1625</v>
      </c>
      <c r="F63" s="536">
        <v>12.776999999999999</v>
      </c>
      <c r="G63" s="536">
        <v>2652</v>
      </c>
      <c r="H63" s="536">
        <v>405</v>
      </c>
      <c r="I63" s="331" t="s">
        <v>431</v>
      </c>
      <c r="J63" s="331">
        <v>8765</v>
      </c>
      <c r="K63" s="535">
        <v>24405</v>
      </c>
      <c r="L63" s="535">
        <v>15530</v>
      </c>
      <c r="M63" s="532" t="s">
        <v>1624</v>
      </c>
      <c r="N63" s="534">
        <v>4.18</v>
      </c>
      <c r="O63" s="471">
        <f>IF(N63&gt;0,1/N63*37.7*68.6,"")</f>
        <v>618.71291866028719</v>
      </c>
      <c r="P63" s="533">
        <v>4.04</v>
      </c>
      <c r="Q63" s="331" t="s">
        <v>435</v>
      </c>
      <c r="R63" s="357" t="s">
        <v>427</v>
      </c>
      <c r="S63" s="357" t="s">
        <v>868</v>
      </c>
      <c r="T63" s="532" t="s">
        <v>749</v>
      </c>
      <c r="U63" s="532" t="s">
        <v>749</v>
      </c>
      <c r="V63" s="531">
        <f>IFERROR(IF(N63&lt;P63,"",(ROUNDDOWN(N63/P63*100,0))),"")</f>
        <v>103</v>
      </c>
    </row>
    <row r="64" spans="1:22" ht="24" customHeight="1">
      <c r="A64" s="12"/>
      <c r="B64" s="540"/>
      <c r="C64" s="539"/>
      <c r="D64" s="536" t="s">
        <v>1633</v>
      </c>
      <c r="E64" s="533" t="s">
        <v>1625</v>
      </c>
      <c r="F64" s="536">
        <v>12.776999999999999</v>
      </c>
      <c r="G64" s="536">
        <v>2652</v>
      </c>
      <c r="H64" s="536">
        <v>405</v>
      </c>
      <c r="I64" s="331" t="s">
        <v>431</v>
      </c>
      <c r="J64" s="331">
        <v>8765</v>
      </c>
      <c r="K64" s="535">
        <v>24405</v>
      </c>
      <c r="L64" s="535">
        <v>15530</v>
      </c>
      <c r="M64" s="532" t="s">
        <v>1624</v>
      </c>
      <c r="N64" s="534">
        <v>4.1100000000000003</v>
      </c>
      <c r="O64" s="471">
        <f>IF(N64&gt;0,1/N64*37.7*68.6,"")</f>
        <v>629.25060827250604</v>
      </c>
      <c r="P64" s="533">
        <v>4.04</v>
      </c>
      <c r="Q64" s="331" t="s">
        <v>435</v>
      </c>
      <c r="R64" s="357" t="s">
        <v>427</v>
      </c>
      <c r="S64" s="357" t="s">
        <v>868</v>
      </c>
      <c r="T64" s="532" t="s">
        <v>1627</v>
      </c>
      <c r="U64" s="532" t="s">
        <v>749</v>
      </c>
      <c r="V64" s="531">
        <f>IFERROR(IF(N64&lt;P64,"",(ROUNDDOWN(N64/P64*100,0))),"")</f>
        <v>101</v>
      </c>
    </row>
    <row r="65" spans="1:22" ht="24" customHeight="1">
      <c r="A65" s="12"/>
      <c r="B65" s="540"/>
      <c r="C65" s="539"/>
      <c r="D65" s="536" t="s">
        <v>1633</v>
      </c>
      <c r="E65" s="533" t="s">
        <v>1625</v>
      </c>
      <c r="F65" s="536">
        <v>12.776999999999999</v>
      </c>
      <c r="G65" s="536">
        <v>2652</v>
      </c>
      <c r="H65" s="536">
        <v>405</v>
      </c>
      <c r="I65" s="331" t="s">
        <v>431</v>
      </c>
      <c r="J65" s="331">
        <v>8765</v>
      </c>
      <c r="K65" s="535">
        <v>24405</v>
      </c>
      <c r="L65" s="535">
        <v>15530</v>
      </c>
      <c r="M65" s="532" t="s">
        <v>1624</v>
      </c>
      <c r="N65" s="534">
        <v>4.16</v>
      </c>
      <c r="O65" s="471">
        <f>IF(N65&gt;0,1/N65*37.7*68.6,"")</f>
        <v>621.6875</v>
      </c>
      <c r="P65" s="533">
        <v>4.04</v>
      </c>
      <c r="Q65" s="331" t="s">
        <v>435</v>
      </c>
      <c r="R65" s="357" t="s">
        <v>427</v>
      </c>
      <c r="S65" s="357" t="s">
        <v>868</v>
      </c>
      <c r="T65" s="532" t="s">
        <v>1623</v>
      </c>
      <c r="U65" s="532" t="s">
        <v>749</v>
      </c>
      <c r="V65" s="531">
        <f>IFERROR(IF(N65&lt;P65,"",(ROUNDDOWN(N65/P65*100,0))),"")</f>
        <v>102</v>
      </c>
    </row>
    <row r="66" spans="1:22" ht="24" customHeight="1">
      <c r="A66" s="12"/>
      <c r="B66" s="540"/>
      <c r="C66" s="539"/>
      <c r="D66" s="536" t="s">
        <v>1632</v>
      </c>
      <c r="E66" s="533" t="s">
        <v>1625</v>
      </c>
      <c r="F66" s="536">
        <v>12.776999999999999</v>
      </c>
      <c r="G66" s="536">
        <v>2346</v>
      </c>
      <c r="H66" s="536">
        <v>345</v>
      </c>
      <c r="I66" s="331" t="s">
        <v>431</v>
      </c>
      <c r="J66" s="331">
        <v>8765</v>
      </c>
      <c r="K66" s="535">
        <v>24405</v>
      </c>
      <c r="L66" s="535">
        <v>15530</v>
      </c>
      <c r="M66" s="532" t="s">
        <v>1624</v>
      </c>
      <c r="N66" s="534">
        <v>4.18</v>
      </c>
      <c r="O66" s="471">
        <f>IF(N66&gt;0,1/N66*37.7*68.6,"")</f>
        <v>618.71291866028719</v>
      </c>
      <c r="P66" s="533">
        <v>4.04</v>
      </c>
      <c r="Q66" s="331" t="s">
        <v>435</v>
      </c>
      <c r="R66" s="357" t="s">
        <v>427</v>
      </c>
      <c r="S66" s="357" t="s">
        <v>868</v>
      </c>
      <c r="T66" s="532" t="s">
        <v>749</v>
      </c>
      <c r="U66" s="532" t="s">
        <v>749</v>
      </c>
      <c r="V66" s="531">
        <f>IFERROR(IF(N66&lt;P66,"",(ROUNDDOWN(N66/P66*100,0))),"")</f>
        <v>103</v>
      </c>
    </row>
    <row r="67" spans="1:22" ht="24" customHeight="1">
      <c r="A67" s="12"/>
      <c r="B67" s="540"/>
      <c r="C67" s="539"/>
      <c r="D67" s="536" t="s">
        <v>1632</v>
      </c>
      <c r="E67" s="533" t="s">
        <v>1625</v>
      </c>
      <c r="F67" s="536">
        <v>12.776999999999999</v>
      </c>
      <c r="G67" s="536">
        <v>2346</v>
      </c>
      <c r="H67" s="536">
        <v>345</v>
      </c>
      <c r="I67" s="331" t="s">
        <v>431</v>
      </c>
      <c r="J67" s="331">
        <v>8765</v>
      </c>
      <c r="K67" s="535">
        <v>24405</v>
      </c>
      <c r="L67" s="535">
        <v>15530</v>
      </c>
      <c r="M67" s="532" t="s">
        <v>1624</v>
      </c>
      <c r="N67" s="534">
        <v>4.0999999999999996</v>
      </c>
      <c r="O67" s="471">
        <f>IF(N67&gt;0,1/N67*37.7*68.6,"")</f>
        <v>630.78536585365862</v>
      </c>
      <c r="P67" s="533">
        <v>4.04</v>
      </c>
      <c r="Q67" s="331" t="s">
        <v>435</v>
      </c>
      <c r="R67" s="357" t="s">
        <v>427</v>
      </c>
      <c r="S67" s="357" t="s">
        <v>868</v>
      </c>
      <c r="T67" s="532" t="s">
        <v>1627</v>
      </c>
      <c r="U67" s="532" t="s">
        <v>749</v>
      </c>
      <c r="V67" s="531">
        <f>IFERROR(IF(N67&lt;P67,"",(ROUNDDOWN(N67/P67*100,0))),"")</f>
        <v>101</v>
      </c>
    </row>
    <row r="68" spans="1:22" ht="24" customHeight="1">
      <c r="A68" s="12"/>
      <c r="B68" s="540"/>
      <c r="C68" s="539"/>
      <c r="D68" s="536" t="s">
        <v>1631</v>
      </c>
      <c r="E68" s="533" t="s">
        <v>1625</v>
      </c>
      <c r="F68" s="536">
        <v>12.776999999999999</v>
      </c>
      <c r="G68" s="536">
        <v>2652</v>
      </c>
      <c r="H68" s="536">
        <v>405</v>
      </c>
      <c r="I68" s="331" t="s">
        <v>431</v>
      </c>
      <c r="J68" s="331">
        <v>8765</v>
      </c>
      <c r="K68" s="535">
        <v>24405</v>
      </c>
      <c r="L68" s="535">
        <v>15530</v>
      </c>
      <c r="M68" s="532" t="s">
        <v>1624</v>
      </c>
      <c r="N68" s="534">
        <v>4.18</v>
      </c>
      <c r="O68" s="471">
        <f>IF(N68&gt;0,1/N68*37.7*68.6,"")</f>
        <v>618.71291866028719</v>
      </c>
      <c r="P68" s="533">
        <v>4.04</v>
      </c>
      <c r="Q68" s="331" t="s">
        <v>435</v>
      </c>
      <c r="R68" s="357" t="s">
        <v>427</v>
      </c>
      <c r="S68" s="357" t="s">
        <v>868</v>
      </c>
      <c r="T68" s="532" t="s">
        <v>749</v>
      </c>
      <c r="U68" s="532" t="s">
        <v>749</v>
      </c>
      <c r="V68" s="531">
        <f>IFERROR(IF(N68&lt;P68,"",(ROUNDDOWN(N68/P68*100,0))),"")</f>
        <v>103</v>
      </c>
    </row>
    <row r="69" spans="1:22" ht="24" customHeight="1">
      <c r="A69" s="12"/>
      <c r="B69" s="540"/>
      <c r="C69" s="539"/>
      <c r="D69" s="536" t="s">
        <v>1631</v>
      </c>
      <c r="E69" s="533" t="s">
        <v>1625</v>
      </c>
      <c r="F69" s="536">
        <v>12.776999999999999</v>
      </c>
      <c r="G69" s="536">
        <v>2652</v>
      </c>
      <c r="H69" s="536">
        <v>405</v>
      </c>
      <c r="I69" s="331" t="s">
        <v>431</v>
      </c>
      <c r="J69" s="331">
        <v>8765</v>
      </c>
      <c r="K69" s="535">
        <v>24405</v>
      </c>
      <c r="L69" s="535">
        <v>15530</v>
      </c>
      <c r="M69" s="532" t="s">
        <v>1624</v>
      </c>
      <c r="N69" s="534">
        <v>4.1100000000000003</v>
      </c>
      <c r="O69" s="471">
        <f>IF(N69&gt;0,1/N69*37.7*68.6,"")</f>
        <v>629.25060827250604</v>
      </c>
      <c r="P69" s="533">
        <v>4.04</v>
      </c>
      <c r="Q69" s="331" t="s">
        <v>435</v>
      </c>
      <c r="R69" s="357" t="s">
        <v>427</v>
      </c>
      <c r="S69" s="357" t="s">
        <v>868</v>
      </c>
      <c r="T69" s="532" t="s">
        <v>1627</v>
      </c>
      <c r="U69" s="532" t="s">
        <v>749</v>
      </c>
      <c r="V69" s="531">
        <f>IFERROR(IF(N69&lt;P69,"",(ROUNDDOWN(N69/P69*100,0))),"")</f>
        <v>101</v>
      </c>
    </row>
    <row r="70" spans="1:22" ht="24" customHeight="1">
      <c r="A70" s="12"/>
      <c r="B70" s="540"/>
      <c r="C70" s="539"/>
      <c r="D70" s="536" t="s">
        <v>1631</v>
      </c>
      <c r="E70" s="533" t="s">
        <v>1625</v>
      </c>
      <c r="F70" s="536">
        <v>12.776999999999999</v>
      </c>
      <c r="G70" s="536">
        <v>2652</v>
      </c>
      <c r="H70" s="536">
        <v>405</v>
      </c>
      <c r="I70" s="331" t="s">
        <v>431</v>
      </c>
      <c r="J70" s="331">
        <v>8765</v>
      </c>
      <c r="K70" s="535">
        <v>24405</v>
      </c>
      <c r="L70" s="535">
        <v>15530</v>
      </c>
      <c r="M70" s="532" t="s">
        <v>1624</v>
      </c>
      <c r="N70" s="534">
        <v>4.16</v>
      </c>
      <c r="O70" s="471">
        <f>IF(N70&gt;0,1/N70*37.7*68.6,"")</f>
        <v>621.6875</v>
      </c>
      <c r="P70" s="533">
        <v>4.04</v>
      </c>
      <c r="Q70" s="331" t="s">
        <v>435</v>
      </c>
      <c r="R70" s="357" t="s">
        <v>427</v>
      </c>
      <c r="S70" s="357" t="s">
        <v>868</v>
      </c>
      <c r="T70" s="532" t="s">
        <v>1623</v>
      </c>
      <c r="U70" s="532" t="s">
        <v>749</v>
      </c>
      <c r="V70" s="531">
        <f>IFERROR(IF(N70&lt;P70,"",(ROUNDDOWN(N70/P70*100,0))),"")</f>
        <v>102</v>
      </c>
    </row>
    <row r="71" spans="1:22" ht="24" customHeight="1">
      <c r="A71" s="12"/>
      <c r="B71" s="540"/>
      <c r="C71" s="539"/>
      <c r="D71" s="536" t="s">
        <v>1630</v>
      </c>
      <c r="E71" s="533" t="s">
        <v>1625</v>
      </c>
      <c r="F71" s="536">
        <v>12.776999999999999</v>
      </c>
      <c r="G71" s="536">
        <v>2346</v>
      </c>
      <c r="H71" s="536">
        <v>345</v>
      </c>
      <c r="I71" s="331" t="s">
        <v>431</v>
      </c>
      <c r="J71" s="331">
        <v>8765</v>
      </c>
      <c r="K71" s="535">
        <v>24405</v>
      </c>
      <c r="L71" s="535">
        <v>15530</v>
      </c>
      <c r="M71" s="532" t="s">
        <v>1624</v>
      </c>
      <c r="N71" s="534">
        <v>4.18</v>
      </c>
      <c r="O71" s="471">
        <f>IF(N71&gt;0,1/N71*37.7*68.6,"")</f>
        <v>618.71291866028719</v>
      </c>
      <c r="P71" s="533">
        <v>4.04</v>
      </c>
      <c r="Q71" s="331" t="s">
        <v>435</v>
      </c>
      <c r="R71" s="357" t="s">
        <v>427</v>
      </c>
      <c r="S71" s="357" t="s">
        <v>868</v>
      </c>
      <c r="T71" s="532" t="s">
        <v>749</v>
      </c>
      <c r="U71" s="532" t="s">
        <v>749</v>
      </c>
      <c r="V71" s="531">
        <f>IFERROR(IF(N71&lt;P71,"",(ROUNDDOWN(N71/P71*100,0))),"")</f>
        <v>103</v>
      </c>
    </row>
    <row r="72" spans="1:22" ht="24" customHeight="1">
      <c r="A72" s="12"/>
      <c r="B72" s="540"/>
      <c r="C72" s="539"/>
      <c r="D72" s="536" t="s">
        <v>1630</v>
      </c>
      <c r="E72" s="533" t="s">
        <v>1625</v>
      </c>
      <c r="F72" s="536">
        <v>12.776999999999999</v>
      </c>
      <c r="G72" s="536">
        <v>2346</v>
      </c>
      <c r="H72" s="536">
        <v>345</v>
      </c>
      <c r="I72" s="331" t="s">
        <v>431</v>
      </c>
      <c r="J72" s="331">
        <v>8765</v>
      </c>
      <c r="K72" s="535">
        <v>24405</v>
      </c>
      <c r="L72" s="535">
        <v>15530</v>
      </c>
      <c r="M72" s="532" t="s">
        <v>1624</v>
      </c>
      <c r="N72" s="534">
        <v>4.0999999999999996</v>
      </c>
      <c r="O72" s="471">
        <f>IF(N72&gt;0,1/N72*37.7*68.6,"")</f>
        <v>630.78536585365862</v>
      </c>
      <c r="P72" s="533">
        <v>4.04</v>
      </c>
      <c r="Q72" s="331" t="s">
        <v>435</v>
      </c>
      <c r="R72" s="357" t="s">
        <v>427</v>
      </c>
      <c r="S72" s="357" t="s">
        <v>868</v>
      </c>
      <c r="T72" s="532" t="s">
        <v>1627</v>
      </c>
      <c r="U72" s="532" t="s">
        <v>749</v>
      </c>
      <c r="V72" s="531">
        <f>IFERROR(IF(N72&lt;P72,"",(ROUNDDOWN(N72/P72*100,0))),"")</f>
        <v>101</v>
      </c>
    </row>
    <row r="73" spans="1:22" ht="24" customHeight="1">
      <c r="A73" s="12"/>
      <c r="B73" s="540"/>
      <c r="C73" s="539"/>
      <c r="D73" s="536" t="s">
        <v>1629</v>
      </c>
      <c r="E73" s="533" t="s">
        <v>1625</v>
      </c>
      <c r="F73" s="536">
        <v>12.776999999999999</v>
      </c>
      <c r="G73" s="536">
        <v>2652</v>
      </c>
      <c r="H73" s="536">
        <v>405</v>
      </c>
      <c r="I73" s="331" t="s">
        <v>431</v>
      </c>
      <c r="J73" s="331">
        <v>8765</v>
      </c>
      <c r="K73" s="535">
        <v>24405</v>
      </c>
      <c r="L73" s="535">
        <v>15530</v>
      </c>
      <c r="M73" s="532" t="s">
        <v>1624</v>
      </c>
      <c r="N73" s="534">
        <v>4.18</v>
      </c>
      <c r="O73" s="471">
        <f>IF(N73&gt;0,1/N73*37.7*68.6,"")</f>
        <v>618.71291866028719</v>
      </c>
      <c r="P73" s="533">
        <v>4.04</v>
      </c>
      <c r="Q73" s="331" t="s">
        <v>435</v>
      </c>
      <c r="R73" s="357" t="s">
        <v>427</v>
      </c>
      <c r="S73" s="357" t="s">
        <v>868</v>
      </c>
      <c r="T73" s="532" t="s">
        <v>749</v>
      </c>
      <c r="U73" s="532" t="s">
        <v>749</v>
      </c>
      <c r="V73" s="531">
        <f>IFERROR(IF(N73&lt;P73,"",(ROUNDDOWN(N73/P73*100,0))),"")</f>
        <v>103</v>
      </c>
    </row>
    <row r="74" spans="1:22" ht="24" customHeight="1">
      <c r="A74" s="12"/>
      <c r="B74" s="540"/>
      <c r="C74" s="539"/>
      <c r="D74" s="536" t="s">
        <v>1629</v>
      </c>
      <c r="E74" s="533" t="s">
        <v>1625</v>
      </c>
      <c r="F74" s="536">
        <v>12.776999999999999</v>
      </c>
      <c r="G74" s="536">
        <v>2652</v>
      </c>
      <c r="H74" s="536">
        <v>405</v>
      </c>
      <c r="I74" s="331" t="s">
        <v>431</v>
      </c>
      <c r="J74" s="331">
        <v>8765</v>
      </c>
      <c r="K74" s="535">
        <v>24405</v>
      </c>
      <c r="L74" s="535">
        <v>15530</v>
      </c>
      <c r="M74" s="532" t="s">
        <v>1624</v>
      </c>
      <c r="N74" s="534">
        <v>4.1100000000000003</v>
      </c>
      <c r="O74" s="471">
        <f>IF(N74&gt;0,1/N74*37.7*68.6,"")</f>
        <v>629.25060827250604</v>
      </c>
      <c r="P74" s="533">
        <v>4.04</v>
      </c>
      <c r="Q74" s="331" t="s">
        <v>435</v>
      </c>
      <c r="R74" s="357" t="s">
        <v>427</v>
      </c>
      <c r="S74" s="357" t="s">
        <v>868</v>
      </c>
      <c r="T74" s="532" t="s">
        <v>1627</v>
      </c>
      <c r="U74" s="532" t="s">
        <v>749</v>
      </c>
      <c r="V74" s="531">
        <f>IFERROR(IF(N74&lt;P74,"",(ROUNDDOWN(N74/P74*100,0))),"")</f>
        <v>101</v>
      </c>
    </row>
    <row r="75" spans="1:22" ht="24" customHeight="1">
      <c r="A75" s="12"/>
      <c r="B75" s="540"/>
      <c r="C75" s="539"/>
      <c r="D75" s="536" t="s">
        <v>1629</v>
      </c>
      <c r="E75" s="533" t="s">
        <v>1625</v>
      </c>
      <c r="F75" s="536">
        <v>12.776999999999999</v>
      </c>
      <c r="G75" s="536">
        <v>2652</v>
      </c>
      <c r="H75" s="536">
        <v>405</v>
      </c>
      <c r="I75" s="331" t="s">
        <v>431</v>
      </c>
      <c r="J75" s="331">
        <v>8765</v>
      </c>
      <c r="K75" s="535">
        <v>24405</v>
      </c>
      <c r="L75" s="535">
        <v>15530</v>
      </c>
      <c r="M75" s="532" t="s">
        <v>1624</v>
      </c>
      <c r="N75" s="534">
        <v>4.16</v>
      </c>
      <c r="O75" s="471">
        <f>IF(N75&gt;0,1/N75*37.7*68.6,"")</f>
        <v>621.6875</v>
      </c>
      <c r="P75" s="533">
        <v>4.04</v>
      </c>
      <c r="Q75" s="331" t="s">
        <v>435</v>
      </c>
      <c r="R75" s="357" t="s">
        <v>427</v>
      </c>
      <c r="S75" s="357" t="s">
        <v>868</v>
      </c>
      <c r="T75" s="532" t="s">
        <v>1623</v>
      </c>
      <c r="U75" s="532" t="s">
        <v>749</v>
      </c>
      <c r="V75" s="531">
        <f>IFERROR(IF(N75&lt;P75,"",(ROUNDDOWN(N75/P75*100,0))),"")</f>
        <v>102</v>
      </c>
    </row>
    <row r="76" spans="1:22" ht="24" customHeight="1">
      <c r="A76" s="12"/>
      <c r="B76" s="540"/>
      <c r="C76" s="539"/>
      <c r="D76" s="536" t="s">
        <v>1628</v>
      </c>
      <c r="E76" s="533" t="s">
        <v>1625</v>
      </c>
      <c r="F76" s="536">
        <v>12.776999999999999</v>
      </c>
      <c r="G76" s="536">
        <v>2346</v>
      </c>
      <c r="H76" s="536">
        <v>345</v>
      </c>
      <c r="I76" s="331" t="s">
        <v>445</v>
      </c>
      <c r="J76" s="331">
        <v>8765</v>
      </c>
      <c r="K76" s="535">
        <v>24405</v>
      </c>
      <c r="L76" s="535">
        <v>15530</v>
      </c>
      <c r="M76" s="532" t="s">
        <v>1624</v>
      </c>
      <c r="N76" s="534">
        <v>4.18</v>
      </c>
      <c r="O76" s="471">
        <f>IF(N76&gt;0,1/N76*37.7*68.6,"")</f>
        <v>618.71291866028719</v>
      </c>
      <c r="P76" s="533">
        <v>4.04</v>
      </c>
      <c r="Q76" s="331" t="s">
        <v>435</v>
      </c>
      <c r="R76" s="357" t="s">
        <v>427</v>
      </c>
      <c r="S76" s="357" t="s">
        <v>868</v>
      </c>
      <c r="T76" s="532" t="s">
        <v>749</v>
      </c>
      <c r="U76" s="532" t="s">
        <v>749</v>
      </c>
      <c r="V76" s="531">
        <f>IFERROR(IF(N76&lt;P76,"",(ROUNDDOWN(N76/P76*100,0))),"")</f>
        <v>103</v>
      </c>
    </row>
    <row r="77" spans="1:22" ht="24" customHeight="1">
      <c r="A77" s="12"/>
      <c r="B77" s="540"/>
      <c r="C77" s="539"/>
      <c r="D77" s="536" t="s">
        <v>1628</v>
      </c>
      <c r="E77" s="533" t="s">
        <v>1625</v>
      </c>
      <c r="F77" s="536">
        <v>12.776999999999999</v>
      </c>
      <c r="G77" s="536">
        <v>2346</v>
      </c>
      <c r="H77" s="536">
        <v>345</v>
      </c>
      <c r="I77" s="331" t="s">
        <v>445</v>
      </c>
      <c r="J77" s="331">
        <v>8765</v>
      </c>
      <c r="K77" s="535">
        <v>24405</v>
      </c>
      <c r="L77" s="535">
        <v>15530</v>
      </c>
      <c r="M77" s="532" t="s">
        <v>1624</v>
      </c>
      <c r="N77" s="534">
        <v>4.0999999999999996</v>
      </c>
      <c r="O77" s="471">
        <f>IF(N77&gt;0,1/N77*37.7*68.6,"")</f>
        <v>630.78536585365862</v>
      </c>
      <c r="P77" s="533">
        <v>4.04</v>
      </c>
      <c r="Q77" s="331" t="s">
        <v>435</v>
      </c>
      <c r="R77" s="357" t="s">
        <v>427</v>
      </c>
      <c r="S77" s="357" t="s">
        <v>868</v>
      </c>
      <c r="T77" s="532" t="s">
        <v>1627</v>
      </c>
      <c r="U77" s="532" t="s">
        <v>749</v>
      </c>
      <c r="V77" s="531">
        <f>IFERROR(IF(N77&lt;P77,"",(ROUNDDOWN(N77/P77*100,0))),"")</f>
        <v>101</v>
      </c>
    </row>
    <row r="78" spans="1:22" ht="24" customHeight="1">
      <c r="A78" s="12"/>
      <c r="B78" s="540"/>
      <c r="C78" s="539"/>
      <c r="D78" s="536" t="s">
        <v>1626</v>
      </c>
      <c r="E78" s="533" t="s">
        <v>1625</v>
      </c>
      <c r="F78" s="536">
        <v>12.776999999999999</v>
      </c>
      <c r="G78" s="536">
        <v>2652</v>
      </c>
      <c r="H78" s="536">
        <v>405</v>
      </c>
      <c r="I78" s="331" t="s">
        <v>431</v>
      </c>
      <c r="J78" s="331">
        <v>8765</v>
      </c>
      <c r="K78" s="535">
        <v>24405</v>
      </c>
      <c r="L78" s="535">
        <v>15530</v>
      </c>
      <c r="M78" s="532" t="s">
        <v>1624</v>
      </c>
      <c r="N78" s="534">
        <v>4.18</v>
      </c>
      <c r="O78" s="471">
        <f>IF(N78&gt;0,1/N78*37.7*68.6,"")</f>
        <v>618.71291866028719</v>
      </c>
      <c r="P78" s="533">
        <v>4.04</v>
      </c>
      <c r="Q78" s="331" t="s">
        <v>435</v>
      </c>
      <c r="R78" s="357" t="s">
        <v>427</v>
      </c>
      <c r="S78" s="357" t="s">
        <v>868</v>
      </c>
      <c r="T78" s="532" t="s">
        <v>749</v>
      </c>
      <c r="U78" s="532" t="s">
        <v>749</v>
      </c>
      <c r="V78" s="531">
        <f>IFERROR(IF(N78&lt;P78,"",(ROUNDDOWN(N78/P78*100,0))),"")</f>
        <v>103</v>
      </c>
    </row>
    <row r="79" spans="1:22" ht="24" customHeight="1">
      <c r="A79" s="12"/>
      <c r="B79" s="540"/>
      <c r="C79" s="539"/>
      <c r="D79" s="536" t="s">
        <v>1626</v>
      </c>
      <c r="E79" s="533" t="s">
        <v>1625</v>
      </c>
      <c r="F79" s="536">
        <v>12.776999999999999</v>
      </c>
      <c r="G79" s="536">
        <v>2652</v>
      </c>
      <c r="H79" s="536">
        <v>405</v>
      </c>
      <c r="I79" s="331" t="s">
        <v>431</v>
      </c>
      <c r="J79" s="331">
        <v>8765</v>
      </c>
      <c r="K79" s="535">
        <v>24405</v>
      </c>
      <c r="L79" s="535">
        <v>15530</v>
      </c>
      <c r="M79" s="532" t="s">
        <v>1624</v>
      </c>
      <c r="N79" s="534">
        <v>4.1100000000000003</v>
      </c>
      <c r="O79" s="471">
        <f>IF(N79&gt;0,1/N79*37.7*68.6,"")</f>
        <v>629.25060827250604</v>
      </c>
      <c r="P79" s="533">
        <v>4.04</v>
      </c>
      <c r="Q79" s="331" t="s">
        <v>435</v>
      </c>
      <c r="R79" s="357" t="s">
        <v>427</v>
      </c>
      <c r="S79" s="357" t="s">
        <v>868</v>
      </c>
      <c r="T79" s="532" t="s">
        <v>1627</v>
      </c>
      <c r="U79" s="532" t="s">
        <v>749</v>
      </c>
      <c r="V79" s="531">
        <f>IFERROR(IF(N79&lt;P79,"",(ROUNDDOWN(N79/P79*100,0))),"")</f>
        <v>101</v>
      </c>
    </row>
    <row r="80" spans="1:22" ht="24" customHeight="1">
      <c r="A80" s="14"/>
      <c r="B80" s="538"/>
      <c r="C80" s="537"/>
      <c r="D80" s="536" t="s">
        <v>1626</v>
      </c>
      <c r="E80" s="533" t="s">
        <v>1625</v>
      </c>
      <c r="F80" s="536">
        <v>12.776999999999999</v>
      </c>
      <c r="G80" s="536">
        <v>2652</v>
      </c>
      <c r="H80" s="536">
        <v>405</v>
      </c>
      <c r="I80" s="331" t="s">
        <v>431</v>
      </c>
      <c r="J80" s="331">
        <v>8765</v>
      </c>
      <c r="K80" s="535">
        <v>24405</v>
      </c>
      <c r="L80" s="535">
        <v>15530</v>
      </c>
      <c r="M80" s="532" t="s">
        <v>1624</v>
      </c>
      <c r="N80" s="534">
        <v>4.16</v>
      </c>
      <c r="O80" s="471">
        <f>IF(N80&gt;0,1/N80*37.7*68.6,"")</f>
        <v>621.6875</v>
      </c>
      <c r="P80" s="533">
        <v>4.04</v>
      </c>
      <c r="Q80" s="331" t="s">
        <v>435</v>
      </c>
      <c r="R80" s="357" t="s">
        <v>427</v>
      </c>
      <c r="S80" s="357" t="s">
        <v>868</v>
      </c>
      <c r="T80" s="532" t="s">
        <v>1623</v>
      </c>
      <c r="U80" s="532" t="s">
        <v>749</v>
      </c>
      <c r="V80" s="531">
        <f>IFERROR(IF(N80&lt;P80,"",(ROUNDDOWN(N80/P80*100,0))),"")</f>
        <v>102</v>
      </c>
    </row>
    <row r="82" spans="1:25" s="454" customFormat="1" ht="12">
      <c r="A82" s="410"/>
      <c r="B82" s="410"/>
      <c r="C82" s="410" t="s">
        <v>1448</v>
      </c>
      <c r="D82" s="460"/>
      <c r="E82" s="455"/>
      <c r="F82" s="455"/>
      <c r="G82" s="455"/>
      <c r="H82" s="455"/>
      <c r="I82" s="455"/>
      <c r="J82" s="455"/>
      <c r="K82" s="455"/>
      <c r="L82" s="455"/>
      <c r="M82" s="455"/>
      <c r="N82" s="459"/>
      <c r="O82" s="458"/>
      <c r="P82" s="457"/>
      <c r="Q82" s="456"/>
      <c r="R82" s="455"/>
      <c r="S82" s="455"/>
      <c r="T82" s="455"/>
      <c r="U82" s="455"/>
      <c r="V82" s="455"/>
      <c r="Y82" s="3"/>
    </row>
    <row r="83" spans="1:25" s="454" customFormat="1" ht="12">
      <c r="A83" s="410"/>
      <c r="B83" s="410"/>
      <c r="C83" s="410" t="s">
        <v>1447</v>
      </c>
      <c r="D83" s="460"/>
      <c r="E83" s="455"/>
      <c r="F83" s="455"/>
      <c r="G83" s="455"/>
      <c r="H83" s="455"/>
      <c r="I83" s="455"/>
      <c r="J83" s="455"/>
      <c r="K83" s="455"/>
      <c r="L83" s="455"/>
      <c r="M83" s="455"/>
      <c r="N83" s="459"/>
      <c r="O83" s="458"/>
      <c r="P83" s="457"/>
      <c r="Q83" s="456"/>
      <c r="R83" s="455"/>
      <c r="S83" s="455"/>
      <c r="T83" s="455"/>
      <c r="U83" s="455"/>
      <c r="V83" s="455"/>
      <c r="Y83" s="3"/>
    </row>
    <row r="85" spans="1:25" ht="12">
      <c r="Y85" s="454"/>
    </row>
    <row r="86" spans="1:25" ht="12">
      <c r="Y86" s="454"/>
    </row>
  </sheetData>
  <sheetProtection selectLockedCells="1"/>
  <mergeCells count="24">
    <mergeCell ref="G6:G8"/>
    <mergeCell ref="H6:H8"/>
    <mergeCell ref="R6:R8"/>
    <mergeCell ref="S6:S8"/>
    <mergeCell ref="J4:J8"/>
    <mergeCell ref="K4:K8"/>
    <mergeCell ref="L4:L8"/>
    <mergeCell ref="M4:M8"/>
    <mergeCell ref="S2:V2"/>
    <mergeCell ref="T6:T8"/>
    <mergeCell ref="N4:P4"/>
    <mergeCell ref="Q4:Q8"/>
    <mergeCell ref="R4:T5"/>
    <mergeCell ref="U4:U8"/>
    <mergeCell ref="A4:A8"/>
    <mergeCell ref="B4:C8"/>
    <mergeCell ref="D4:D8"/>
    <mergeCell ref="E4:H5"/>
    <mergeCell ref="I4:I8"/>
    <mergeCell ref="V4:V8"/>
    <mergeCell ref="N5:N8"/>
    <mergeCell ref="O5:O8"/>
    <mergeCell ref="P5:P8"/>
    <mergeCell ref="F6:F8"/>
  </mergeCells>
  <phoneticPr fontId="8"/>
  <printOptions horizontalCentered="1"/>
  <pageMargins left="0.39370078740157483" right="0.39370078740157483" top="0.39370078740157483" bottom="0.39370078740157483" header="0.19685039370078741" footer="0.39370078740157483"/>
  <pageSetup paperSize="9" scale="82" fitToHeight="0" orientation="landscape" horizontalDpi="400" verticalDpi="400" r:id="rId1"/>
  <headerFooter alignWithMargins="0">
    <oddHeader>&amp;R様式3-4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16</vt:i4>
      </vt:variant>
    </vt:vector>
  </HeadingPairs>
  <TitlesOfParts>
    <vt:vector size="24" baseType="lpstr">
      <vt:lpstr>Fuso</vt:lpstr>
      <vt:lpstr>Hino</vt:lpstr>
      <vt:lpstr>Isuzu</vt:lpstr>
      <vt:lpstr>Mazda</vt:lpstr>
      <vt:lpstr>Nissan</vt:lpstr>
      <vt:lpstr>Toyota</vt:lpstr>
      <vt:lpstr>UD</vt:lpstr>
      <vt:lpstr>Volvo</vt:lpstr>
      <vt:lpstr>Fuso!Print_Area</vt:lpstr>
      <vt:lpstr>Hino!Print_Area</vt:lpstr>
      <vt:lpstr>Isuzu!Print_Area</vt:lpstr>
      <vt:lpstr>Mazda!Print_Area</vt:lpstr>
      <vt:lpstr>Nissan!Print_Area</vt:lpstr>
      <vt:lpstr>Toyota!Print_Area</vt:lpstr>
      <vt:lpstr>UD!Print_Area</vt:lpstr>
      <vt:lpstr>Volvo!Print_Area</vt:lpstr>
      <vt:lpstr>Fuso!Print_Titles</vt:lpstr>
      <vt:lpstr>Hino!Print_Titles</vt:lpstr>
      <vt:lpstr>Isuzu!Print_Titles</vt:lpstr>
      <vt:lpstr>Mazda!Print_Titles</vt:lpstr>
      <vt:lpstr>Nissan!Print_Titles</vt:lpstr>
      <vt:lpstr>Toyota!Print_Titles</vt:lpstr>
      <vt:lpstr>UD!Print_Titles</vt:lpstr>
      <vt:lpstr>Volvo!Print_Titles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基準課</dc:creator>
  <cp:lastModifiedBy>　</cp:lastModifiedBy>
  <dcterms:created xsi:type="dcterms:W3CDTF">2023-10-02T01:08:21Z</dcterms:created>
  <dcterms:modified xsi:type="dcterms:W3CDTF">2024-03-28T06:50:39Z</dcterms:modified>
</cp:coreProperties>
</file>