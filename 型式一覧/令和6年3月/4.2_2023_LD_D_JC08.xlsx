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W:\01_重要文書フォルダ（保存期間１年以上）\04_燃費班\16_HP公表（燃費評価、低排認定）\1_３月公表（自動車燃費一覧、燃費ランキング）\R6.3\5～13○\"/>
    </mc:Choice>
  </mc:AlternateContent>
  <xr:revisionPtr revIDLastSave="0" documentId="8_{A4F3E681-536B-49B9-BC18-C2A37180B9B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itsubishi" sheetId="2" r:id="rId1"/>
    <sheet name="Mazda" sheetId="3" r:id="rId2"/>
  </sheets>
  <externalReferences>
    <externalReference r:id="rId3"/>
    <externalReference r:id="rId4"/>
    <externalReference r:id="rId5"/>
  </externalReferences>
  <definedNames>
    <definedName name="_xlnm._FilterDatabase" localSheetId="1" hidden="1">Mazda!$A$8:$U$19</definedName>
    <definedName name="_xlnm._FilterDatabase" localSheetId="0" hidden="1">Mitsubishi!$A$8:$U$9</definedName>
    <definedName name="Module1.社内配布用印刷">[1]!Module1.社内配布用印刷</definedName>
    <definedName name="Module1.提出用印刷">[1]!Module1.提出用印刷</definedName>
    <definedName name="_xlnm.Print_Area" localSheetId="1">Mazda!$A$2:$U$22</definedName>
    <definedName name="_xlnm.Print_Area" localSheetId="0">Mitsubishi!$A$2:$U$20</definedName>
    <definedName name="_xlnm.Print_Titles" localSheetId="1">Mazda!$3:$8</definedName>
    <definedName name="_xlnm.Print_Titles" localSheetId="0">Mitsubishi!$3:$8</definedName>
    <definedName name="_xlnm.Print_Titles">[2]乗用・ＲＶ車!$1:$7</definedName>
    <definedName name="っｄ">[3]!社内配布用印刷</definedName>
    <definedName name="社内配布用印刷">[3]!社内配布用印刷</definedName>
    <definedName name="新型構変選択">[1]!新型構変選択</definedName>
    <definedName name="製作者選択">[1]!製作者選択</definedName>
    <definedName name="提出用印刷">[3]!提出用印刷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3" l="1"/>
  <c r="L9" i="3"/>
  <c r="M9" i="3"/>
  <c r="T9" i="3" s="1"/>
  <c r="N9" i="3"/>
  <c r="U9" i="3" s="1"/>
  <c r="I10" i="3"/>
  <c r="L10" i="3"/>
  <c r="M10" i="3"/>
  <c r="T10" i="3" s="1"/>
  <c r="N10" i="3"/>
  <c r="U10" i="3" s="1"/>
  <c r="I11" i="3"/>
  <c r="L11" i="3"/>
  <c r="M11" i="3"/>
  <c r="N11" i="3"/>
  <c r="U11" i="3" s="1"/>
  <c r="T11" i="3"/>
  <c r="I12" i="3"/>
  <c r="L12" i="3"/>
  <c r="M12" i="3"/>
  <c r="T12" i="3" s="1"/>
  <c r="N12" i="3"/>
  <c r="U12" i="3" s="1"/>
  <c r="I13" i="3"/>
  <c r="L13" i="3"/>
  <c r="M13" i="3"/>
  <c r="T13" i="3" s="1"/>
  <c r="N13" i="3"/>
  <c r="U13" i="3" s="1"/>
  <c r="I14" i="3"/>
  <c r="L14" i="3"/>
  <c r="M14" i="3"/>
  <c r="T14" i="3" s="1"/>
  <c r="N14" i="3"/>
  <c r="U14" i="3"/>
  <c r="I15" i="3"/>
  <c r="L15" i="3"/>
  <c r="M15" i="3"/>
  <c r="N15" i="3"/>
  <c r="U15" i="3" s="1"/>
  <c r="T15" i="3"/>
  <c r="I16" i="3"/>
  <c r="L16" i="3"/>
  <c r="M16" i="3"/>
  <c r="N16" i="3"/>
  <c r="U16" i="3" s="1"/>
  <c r="T16" i="3"/>
  <c r="I17" i="3"/>
  <c r="L17" i="3"/>
  <c r="M17" i="3"/>
  <c r="T17" i="3" s="1"/>
  <c r="N17" i="3"/>
  <c r="U17" i="3" s="1"/>
  <c r="I18" i="3"/>
  <c r="L18" i="3"/>
  <c r="M18" i="3"/>
  <c r="T18" i="3" s="1"/>
  <c r="N18" i="3"/>
  <c r="U18" i="3" s="1"/>
  <c r="I19" i="3"/>
  <c r="L19" i="3"/>
  <c r="M19" i="3"/>
  <c r="N19" i="3"/>
  <c r="U19" i="3" s="1"/>
  <c r="T19" i="3"/>
  <c r="N9" i="2"/>
  <c r="U9" i="2" s="1"/>
  <c r="M9" i="2"/>
  <c r="T9" i="2" s="1"/>
  <c r="L9" i="2"/>
</calcChain>
</file>

<file path=xl/sharedStrings.xml><?xml version="1.0" encoding="utf-8"?>
<sst xmlns="http://schemas.openxmlformats.org/spreadsheetml/2006/main" count="168" uniqueCount="85">
  <si>
    <r>
      <t>当</t>
    </r>
    <r>
      <rPr>
        <sz val="8"/>
        <rFont val="ＭＳ Ｐゴシック"/>
        <family val="3"/>
        <charset val="128"/>
      </rPr>
      <t>該自動車の製造又は輸入の事業を行う者の氏名又は名称　</t>
    </r>
  </si>
  <si>
    <t>三菱自動車工業株式会社</t>
    <phoneticPr fontId="6"/>
  </si>
  <si>
    <t>ディーゼル乗用車</t>
    <rPh sb="5" eb="7">
      <t>ジョウヨウ</t>
    </rPh>
    <phoneticPr fontId="6"/>
  </si>
  <si>
    <t>メーカー入力欄</t>
    <rPh sb="4" eb="6">
      <t>ニュウリョク</t>
    </rPh>
    <rPh sb="6" eb="7">
      <t>ラン</t>
    </rPh>
    <phoneticPr fontId="6"/>
  </si>
  <si>
    <r>
      <t>車</t>
    </r>
    <r>
      <rPr>
        <sz val="8"/>
        <rFont val="ＭＳ Ｐゴシック"/>
        <family val="3"/>
        <charset val="128"/>
      </rPr>
      <t>名</t>
    </r>
    <rPh sb="0" eb="2">
      <t>シャメイ</t>
    </rPh>
    <phoneticPr fontId="6"/>
  </si>
  <si>
    <r>
      <t>通</t>
    </r>
    <r>
      <rPr>
        <sz val="8"/>
        <rFont val="ＭＳ Ｐゴシック"/>
        <family val="3"/>
        <charset val="128"/>
      </rPr>
      <t>称名</t>
    </r>
  </si>
  <si>
    <r>
      <t>原</t>
    </r>
    <r>
      <rPr>
        <sz val="8"/>
        <rFont val="ＭＳ Ｐゴシック"/>
        <family val="3"/>
        <charset val="128"/>
      </rPr>
      <t>動機</t>
    </r>
  </si>
  <si>
    <t>変速装置の
型式及び変速段数</t>
    <rPh sb="0" eb="2">
      <t>ヘンソク</t>
    </rPh>
    <rPh sb="2" eb="4">
      <t>ソウチ</t>
    </rPh>
    <rPh sb="6" eb="8">
      <t>カタシキ</t>
    </rPh>
    <rPh sb="8" eb="9">
      <t>オヨ</t>
    </rPh>
    <rPh sb="10" eb="12">
      <t>ヘンソク</t>
    </rPh>
    <rPh sb="12" eb="14">
      <t>ダンスウ</t>
    </rPh>
    <phoneticPr fontId="6"/>
  </si>
  <si>
    <r>
      <t>車</t>
    </r>
    <r>
      <rPr>
        <sz val="8"/>
        <rFont val="ＭＳ Ｐゴシック"/>
        <family val="3"/>
        <charset val="128"/>
      </rPr>
      <t>両重量
（</t>
    </r>
    <r>
      <rPr>
        <sz val="8"/>
        <rFont val="Arial"/>
        <family val="2"/>
      </rPr>
      <t>kg</t>
    </r>
    <r>
      <rPr>
        <sz val="8"/>
        <rFont val="ＭＳ Ｐゴシック"/>
        <family val="3"/>
        <charset val="128"/>
      </rPr>
      <t>）</t>
    </r>
    <phoneticPr fontId="6"/>
  </si>
  <si>
    <r>
      <t>乗</t>
    </r>
    <r>
      <rPr>
        <sz val="8"/>
        <rFont val="ＭＳ Ｐゴシック"/>
        <family val="3"/>
        <charset val="128"/>
      </rPr>
      <t>車定員
（名）</t>
    </r>
    <rPh sb="0" eb="2">
      <t>ジョウシャ</t>
    </rPh>
    <rPh sb="2" eb="4">
      <t>テイイン</t>
    </rPh>
    <rPh sb="6" eb="7">
      <t>メイ</t>
    </rPh>
    <phoneticPr fontId="6"/>
  </si>
  <si>
    <t>主要燃費
改善対策</t>
    <rPh sb="0" eb="2">
      <t>シュヨウ</t>
    </rPh>
    <rPh sb="2" eb="4">
      <t>ネンピ</t>
    </rPh>
    <rPh sb="5" eb="7">
      <t>カイゼン</t>
    </rPh>
    <rPh sb="7" eb="9">
      <t>タイサク</t>
    </rPh>
    <phoneticPr fontId="6"/>
  </si>
  <si>
    <r>
      <rPr>
        <sz val="8"/>
        <rFont val="ＭＳ Ｐゴシック"/>
        <family val="3"/>
        <charset val="128"/>
      </rPr>
      <t>そ</t>
    </r>
    <r>
      <rPr>
        <sz val="8"/>
        <rFont val="ＭＳ Ｐゴシック"/>
        <family val="3"/>
        <charset val="128"/>
      </rPr>
      <t>の他燃費値の異なる要因</t>
    </r>
    <rPh sb="2" eb="3">
      <t>タ</t>
    </rPh>
    <rPh sb="3" eb="5">
      <t>ネンピ</t>
    </rPh>
    <rPh sb="5" eb="6">
      <t>チ</t>
    </rPh>
    <rPh sb="7" eb="8">
      <t>コト</t>
    </rPh>
    <rPh sb="10" eb="12">
      <t>ヨウイン</t>
    </rPh>
    <phoneticPr fontId="6"/>
  </si>
  <si>
    <r>
      <t>（</t>
    </r>
    <r>
      <rPr>
        <sz val="8"/>
        <rFont val="ＭＳ Ｐゴシック"/>
        <family val="3"/>
        <charset val="128"/>
      </rPr>
      <t>参考）</t>
    </r>
    <rPh sb="1" eb="3">
      <t>サンコウ</t>
    </rPh>
    <phoneticPr fontId="6"/>
  </si>
  <si>
    <t>平成27年度
燃費基準
達成・向上
達成レベル</t>
    <rPh sb="0" eb="2">
      <t>ヘイセイ</t>
    </rPh>
    <rPh sb="4" eb="6">
      <t>ネンド</t>
    </rPh>
    <rPh sb="7" eb="9">
      <t>ネンピ</t>
    </rPh>
    <rPh sb="9" eb="11">
      <t>キジュン</t>
    </rPh>
    <rPh sb="12" eb="14">
      <t>タッセイ</t>
    </rPh>
    <rPh sb="15" eb="17">
      <t>コウジョウ</t>
    </rPh>
    <rPh sb="18" eb="20">
      <t>タッセイ</t>
    </rPh>
    <phoneticPr fontId="6"/>
  </si>
  <si>
    <t>令和２年度
燃費基準
達成・向上
達成レベル</t>
    <rPh sb="0" eb="1">
      <t>レイ</t>
    </rPh>
    <rPh sb="1" eb="2">
      <t>カズ</t>
    </rPh>
    <rPh sb="3" eb="5">
      <t>ネンド</t>
    </rPh>
    <rPh sb="5" eb="7">
      <t>ヘイネンド</t>
    </rPh>
    <rPh sb="6" eb="8">
      <t>ネンピ</t>
    </rPh>
    <rPh sb="8" eb="10">
      <t>キジュン</t>
    </rPh>
    <rPh sb="11" eb="13">
      <t>タッセイ</t>
    </rPh>
    <rPh sb="14" eb="16">
      <t>コウジョウ</t>
    </rPh>
    <rPh sb="17" eb="19">
      <t>タッセイ</t>
    </rPh>
    <phoneticPr fontId="6"/>
  </si>
  <si>
    <r>
      <rPr>
        <sz val="8"/>
        <color rgb="FF0070C0"/>
        <rFont val="ＭＳ Ｐゴシック"/>
        <family val="3"/>
        <charset val="128"/>
      </rPr>
      <t>車両重量
（</t>
    </r>
    <r>
      <rPr>
        <sz val="8"/>
        <color rgb="FF0070C0"/>
        <rFont val="Arial"/>
        <family val="2"/>
      </rPr>
      <t>kg</t>
    </r>
    <r>
      <rPr>
        <sz val="8"/>
        <color rgb="FF0070C0"/>
        <rFont val="ＭＳ Ｐゴシック"/>
        <family val="3"/>
        <charset val="128"/>
      </rPr>
      <t xml:space="preserve">）
</t>
    </r>
    <r>
      <rPr>
        <sz val="8"/>
        <color rgb="FF0070C0"/>
        <rFont val="Arial"/>
        <family val="2"/>
      </rPr>
      <t>1</t>
    </r>
    <r>
      <rPr>
        <sz val="8"/>
        <color rgb="FF0070C0"/>
        <rFont val="ＭＳ Ｐゴシック"/>
        <family val="3"/>
        <charset val="128"/>
      </rPr>
      <t>車種のみ
または
複数の場合最小</t>
    </r>
    <rPh sb="11" eb="13">
      <t>シャシュ</t>
    </rPh>
    <rPh sb="20" eb="22">
      <t>フクスウ</t>
    </rPh>
    <rPh sb="23" eb="25">
      <t>バアイ</t>
    </rPh>
    <rPh sb="25" eb="27">
      <t>サイショウ</t>
    </rPh>
    <phoneticPr fontId="6"/>
  </si>
  <si>
    <r>
      <rPr>
        <sz val="8"/>
        <color rgb="FF0070C0"/>
        <rFont val="ＭＳ Ｐゴシック"/>
        <family val="3"/>
        <charset val="128"/>
      </rPr>
      <t>車両重量
（</t>
    </r>
    <r>
      <rPr>
        <sz val="8"/>
        <color rgb="FF0070C0"/>
        <rFont val="Arial"/>
        <family val="2"/>
      </rPr>
      <t>kg</t>
    </r>
    <r>
      <rPr>
        <sz val="8"/>
        <color rgb="FF0070C0"/>
        <rFont val="ＭＳ Ｐゴシック"/>
        <family val="3"/>
        <charset val="128"/>
      </rPr>
      <t>）
最大
（1車種のみの場合記入不要）</t>
    </r>
    <rPh sb="10" eb="12">
      <t>サイダイ</t>
    </rPh>
    <rPh sb="15" eb="16">
      <t>シャ</t>
    </rPh>
    <rPh sb="16" eb="17">
      <t>シュ</t>
    </rPh>
    <rPh sb="20" eb="22">
      <t>バアイ</t>
    </rPh>
    <rPh sb="22" eb="24">
      <t>キニュウ</t>
    </rPh>
    <rPh sb="24" eb="26">
      <t>フヨウ</t>
    </rPh>
    <phoneticPr fontId="6"/>
  </si>
  <si>
    <r>
      <t>燃</t>
    </r>
    <r>
      <rPr>
        <sz val="8"/>
        <rFont val="ＭＳ Ｐゴシック"/>
        <family val="3"/>
        <charset val="128"/>
      </rPr>
      <t>費値
（</t>
    </r>
    <r>
      <rPr>
        <sz val="8"/>
        <rFont val="Arial"/>
        <family val="2"/>
      </rPr>
      <t>km/L</t>
    </r>
    <r>
      <rPr>
        <sz val="8"/>
        <rFont val="ＭＳ Ｐゴシック"/>
        <family val="3"/>
        <charset val="128"/>
      </rPr>
      <t>）</t>
    </r>
    <rPh sb="0" eb="2">
      <t>ネンピ</t>
    </rPh>
    <rPh sb="2" eb="3">
      <t>チ</t>
    </rPh>
    <phoneticPr fontId="6"/>
  </si>
  <si>
    <r>
      <t>1</t>
    </r>
    <r>
      <rPr>
        <sz val="8"/>
        <rFont val="Arial"/>
        <family val="2"/>
      </rPr>
      <t>km</t>
    </r>
    <r>
      <rPr>
        <sz val="8"/>
        <rFont val="ＭＳ Ｐゴシック"/>
        <family val="3"/>
        <charset val="128"/>
      </rPr>
      <t xml:space="preserve">走行
における
</t>
    </r>
    <r>
      <rPr>
        <sz val="8"/>
        <rFont val="Arial"/>
        <family val="2"/>
      </rPr>
      <t>CO2</t>
    </r>
    <r>
      <rPr>
        <sz val="8"/>
        <rFont val="ＭＳ Ｐゴシック"/>
        <family val="3"/>
        <charset val="128"/>
      </rPr>
      <t>排出量
（</t>
    </r>
    <r>
      <rPr>
        <sz val="8"/>
        <rFont val="Arial"/>
        <family val="2"/>
      </rPr>
      <t>g-CO2/km</t>
    </r>
    <r>
      <rPr>
        <sz val="8"/>
        <rFont val="ＭＳ Ｐゴシック"/>
        <family val="3"/>
        <charset val="128"/>
      </rPr>
      <t>）</t>
    </r>
    <rPh sb="14" eb="16">
      <t>ハイシュツ</t>
    </rPh>
    <rPh sb="16" eb="17">
      <t>リョウ</t>
    </rPh>
    <phoneticPr fontId="6"/>
  </si>
  <si>
    <r>
      <rPr>
        <sz val="8"/>
        <rFont val="ＭＳ Ｐゴシック"/>
        <family val="3"/>
        <charset val="128"/>
      </rPr>
      <t>令和２年度
燃費基準
相当値
（</t>
    </r>
    <r>
      <rPr>
        <sz val="8"/>
        <rFont val="Arial"/>
        <family val="2"/>
      </rPr>
      <t>km/L</t>
    </r>
    <r>
      <rPr>
        <sz val="8"/>
        <rFont val="ＭＳ Ｐゴシック"/>
        <family val="3"/>
        <charset val="128"/>
      </rPr>
      <t>）</t>
    </r>
    <rPh sb="0" eb="1">
      <t>レイ</t>
    </rPh>
    <rPh sb="1" eb="2">
      <t>カズ</t>
    </rPh>
    <rPh sb="3" eb="5">
      <t>ネンド</t>
    </rPh>
    <rPh sb="5" eb="7">
      <t>ヘイネンド</t>
    </rPh>
    <rPh sb="6" eb="8">
      <t>ネンピ</t>
    </rPh>
    <rPh sb="8" eb="10">
      <t>キジュン</t>
    </rPh>
    <rPh sb="11" eb="13">
      <t>ソウトウ</t>
    </rPh>
    <rPh sb="13" eb="14">
      <t>チ</t>
    </rPh>
    <phoneticPr fontId="6"/>
  </si>
  <si>
    <r>
      <t>型</t>
    </r>
    <r>
      <rPr>
        <sz val="8"/>
        <rFont val="ＭＳ Ｐゴシック"/>
        <family val="3"/>
        <charset val="128"/>
      </rPr>
      <t>式</t>
    </r>
  </si>
  <si>
    <t>類別区分番号</t>
    <rPh sb="0" eb="2">
      <t>ルイベツ</t>
    </rPh>
    <rPh sb="2" eb="4">
      <t>クブン</t>
    </rPh>
    <rPh sb="4" eb="6">
      <t>バンゴウ</t>
    </rPh>
    <phoneticPr fontId="6"/>
  </si>
  <si>
    <r>
      <rPr>
        <sz val="8"/>
        <rFont val="ＭＳ Ｐゴシック"/>
        <family val="3"/>
        <charset val="128"/>
      </rPr>
      <t>総</t>
    </r>
    <r>
      <rPr>
        <sz val="8"/>
        <rFont val="ＭＳ Ｐゴシック"/>
        <family val="3"/>
        <charset val="128"/>
      </rPr>
      <t>排気量
（</t>
    </r>
    <r>
      <rPr>
        <sz val="8"/>
        <rFont val="Arial"/>
        <family val="2"/>
      </rPr>
      <t>L</t>
    </r>
    <r>
      <rPr>
        <sz val="8"/>
        <rFont val="ＭＳ Ｐゴシック"/>
        <family val="3"/>
        <charset val="128"/>
      </rPr>
      <t>）</t>
    </r>
    <rPh sb="1" eb="2">
      <t>ハイ</t>
    </rPh>
    <rPh sb="2" eb="3">
      <t>キ</t>
    </rPh>
    <rPh sb="3" eb="4">
      <t>リョウ</t>
    </rPh>
    <phoneticPr fontId="6"/>
  </si>
  <si>
    <t>主要排出
ガス対策</t>
    <phoneticPr fontId="6"/>
  </si>
  <si>
    <t>駆動
形式</t>
    <rPh sb="3" eb="5">
      <t>ケイシキ</t>
    </rPh>
    <phoneticPr fontId="6"/>
  </si>
  <si>
    <r>
      <t>そ</t>
    </r>
    <r>
      <rPr>
        <sz val="8"/>
        <rFont val="ＭＳ Ｐゴシック"/>
        <family val="3"/>
        <charset val="128"/>
      </rPr>
      <t>の他</t>
    </r>
  </si>
  <si>
    <t>低排出ガス
認定レベル</t>
    <rPh sb="6" eb="8">
      <t>ニンテイ</t>
    </rPh>
    <phoneticPr fontId="6"/>
  </si>
  <si>
    <t>三菱</t>
    <rPh sb="0" eb="2">
      <t>ミツビシ</t>
    </rPh>
    <phoneticPr fontId="6"/>
  </si>
  <si>
    <t>デリカ</t>
  </si>
  <si>
    <t>3DA-CV1W</t>
    <phoneticPr fontId="6"/>
  </si>
  <si>
    <t>4N14</t>
    <phoneticPr fontId="6"/>
  </si>
  <si>
    <t>D,P,FI,
TC,IC,CN</t>
    <phoneticPr fontId="6"/>
  </si>
  <si>
    <t>EGR,CCO,
DF,SCR</t>
    <phoneticPr fontId="6"/>
  </si>
  <si>
    <t>A</t>
  </si>
  <si>
    <r>
      <t>＜</t>
    </r>
    <r>
      <rPr>
        <sz val="8"/>
        <rFont val="ＭＳ Ｐゴシック"/>
        <family val="3"/>
        <charset val="128"/>
      </rPr>
      <t>記入要領＞</t>
    </r>
    <rPh sb="1" eb="3">
      <t>キニュウ</t>
    </rPh>
    <rPh sb="3" eb="5">
      <t>ヨウリョウ</t>
    </rPh>
    <phoneticPr fontId="6"/>
  </si>
  <si>
    <r>
      <t>２</t>
    </r>
    <r>
      <rPr>
        <sz val="8"/>
        <rFont val="ＭＳ Ｐゴシック"/>
        <family val="3"/>
        <charset val="128"/>
      </rPr>
      <t>．一つの通称名に複数の型式がある場合は、通称名は大枠に一つ記入。</t>
    </r>
    <phoneticPr fontId="6"/>
  </si>
  <si>
    <r>
      <t>３</t>
    </r>
    <r>
      <rPr>
        <sz val="8"/>
        <rFont val="ＭＳ Ｐゴシック"/>
        <family val="3"/>
        <charset val="128"/>
      </rPr>
      <t>．「</t>
    </r>
    <r>
      <rPr>
        <sz val="8"/>
        <rFont val="Arial"/>
        <family val="2"/>
      </rPr>
      <t>CO2</t>
    </r>
    <r>
      <rPr>
        <sz val="8"/>
        <rFont val="ＭＳ Ｐゴシック"/>
        <family val="3"/>
        <charset val="128"/>
      </rPr>
      <t>排出量」については既に計算式が入力されているため、入力は不要。欄を追加する場合はセルの内容をコピーする。</t>
    </r>
    <rPh sb="6" eb="8">
      <t>ハイシュツ</t>
    </rPh>
    <rPh sb="8" eb="9">
      <t>リョウ</t>
    </rPh>
    <rPh sb="15" eb="16">
      <t>スデ</t>
    </rPh>
    <rPh sb="17" eb="19">
      <t>ケイサン</t>
    </rPh>
    <rPh sb="19" eb="20">
      <t>シキ</t>
    </rPh>
    <rPh sb="21" eb="23">
      <t>ニュウリョク</t>
    </rPh>
    <rPh sb="31" eb="33">
      <t>ニュウリョク</t>
    </rPh>
    <rPh sb="34" eb="36">
      <t>フヨウ</t>
    </rPh>
    <rPh sb="37" eb="38">
      <t>ラン</t>
    </rPh>
    <rPh sb="39" eb="41">
      <t>ツイカ</t>
    </rPh>
    <rPh sb="43" eb="45">
      <t>バアイ</t>
    </rPh>
    <rPh sb="49" eb="51">
      <t>ナイヨウ</t>
    </rPh>
    <phoneticPr fontId="6"/>
  </si>
  <si>
    <r>
      <t>４</t>
    </r>
    <r>
      <rPr>
        <sz val="8"/>
        <rFont val="ＭＳ Ｐゴシック"/>
        <family val="3"/>
        <charset val="128"/>
      </rPr>
      <t>．</t>
    </r>
    <r>
      <rPr>
        <sz val="8"/>
        <rFont val="Arial"/>
        <family val="2"/>
      </rPr>
      <t>OEM</t>
    </r>
    <r>
      <rPr>
        <sz val="8"/>
        <rFont val="ＭＳ Ｐゴシック"/>
        <family val="3"/>
        <charset val="128"/>
      </rPr>
      <t>生産車については、通称名の前に※印及び番号を付記し、表の外に</t>
    </r>
    <r>
      <rPr>
        <sz val="8"/>
        <rFont val="Arial"/>
        <family val="2"/>
      </rPr>
      <t>OEM</t>
    </r>
    <r>
      <rPr>
        <sz val="8"/>
        <rFont val="ＭＳ Ｐゴシック"/>
        <family val="3"/>
        <charset val="128"/>
      </rPr>
      <t>製造事業者名を記載する。</t>
    </r>
    <rPh sb="43" eb="44">
      <t>メイ</t>
    </rPh>
    <phoneticPr fontId="6"/>
  </si>
  <si>
    <r>
      <t>５</t>
    </r>
    <r>
      <rPr>
        <sz val="8"/>
        <rFont val="ＭＳ Ｐゴシック"/>
        <family val="3"/>
        <charset val="128"/>
      </rPr>
      <t>．「その他」について、以下に留意し記載する。</t>
    </r>
    <phoneticPr fontId="6"/>
  </si>
  <si>
    <r>
      <t>　</t>
    </r>
    <r>
      <rPr>
        <sz val="8"/>
        <rFont val="ＭＳ Ｐゴシック"/>
        <family val="3"/>
        <charset val="128"/>
      </rPr>
      <t>①燃費の異なる要因と関係のない事項は記入しない。</t>
    </r>
    <phoneticPr fontId="6"/>
  </si>
  <si>
    <r>
      <t>　</t>
    </r>
    <r>
      <rPr>
        <sz val="8"/>
        <rFont val="ＭＳ Ｐゴシック"/>
        <family val="3"/>
        <charset val="128"/>
      </rPr>
      <t>②製造事業者等独自の固有名詞の使用は極力避け、一般的な用語を使用する。適当な一般用語がない場合は、欄外に固有名詞の用語説明を付す。</t>
    </r>
    <rPh sb="2" eb="4">
      <t>セイゾウ</t>
    </rPh>
    <rPh sb="4" eb="7">
      <t>ジギョウシャ</t>
    </rPh>
    <rPh sb="7" eb="8">
      <t>トウ</t>
    </rPh>
    <phoneticPr fontId="6"/>
  </si>
  <si>
    <r>
      <t>６</t>
    </r>
    <r>
      <rPr>
        <sz val="8"/>
        <rFont val="ＭＳ Ｐゴシック"/>
        <family val="3"/>
        <charset val="128"/>
      </rPr>
      <t>．欄外に次の注記を行う。</t>
    </r>
    <phoneticPr fontId="6"/>
  </si>
  <si>
    <r>
      <t>「</t>
    </r>
    <r>
      <rPr>
        <sz val="8"/>
        <rFont val="ＭＳ Ｐゴシック"/>
        <family val="3"/>
        <charset val="128"/>
      </rPr>
      <t>（注）「燃費基準相当値」の欄には、燃費基準値をディーゼル車用に換算した値を記載しています。」</t>
    </r>
    <rPh sb="2" eb="3">
      <t>チュウ</t>
    </rPh>
    <rPh sb="5" eb="7">
      <t>ネンピ</t>
    </rPh>
    <rPh sb="7" eb="9">
      <t>キジュン</t>
    </rPh>
    <rPh sb="9" eb="12">
      <t>ソウトウチ</t>
    </rPh>
    <rPh sb="14" eb="15">
      <t>ラン</t>
    </rPh>
    <phoneticPr fontId="6"/>
  </si>
  <si>
    <r>
      <t>目</t>
    </r>
    <r>
      <rPr>
        <sz val="8"/>
        <rFont val="ＭＳ Ｐゴシック"/>
        <family val="3"/>
        <charset val="128"/>
      </rPr>
      <t>標年度（平成</t>
    </r>
    <r>
      <rPr>
        <sz val="8"/>
        <rFont val="Arial"/>
        <family val="2"/>
      </rPr>
      <t>27</t>
    </r>
    <r>
      <rPr>
        <sz val="8"/>
        <rFont val="ＭＳ Ｐゴシック"/>
        <family val="3"/>
        <charset val="128"/>
      </rPr>
      <t>年度</t>
    </r>
    <r>
      <rPr>
        <sz val="8"/>
        <rFont val="Arial"/>
        <family val="2"/>
      </rPr>
      <t>/</t>
    </r>
    <r>
      <rPr>
        <sz val="8"/>
        <rFont val="ＭＳ Ｐゴシック"/>
        <family val="3"/>
        <charset val="128"/>
      </rPr>
      <t>令和２年度）</t>
    </r>
    <rPh sb="12" eb="14">
      <t>レイワ</t>
    </rPh>
    <rPh sb="15" eb="17">
      <t>ネンド</t>
    </rPh>
    <phoneticPr fontId="6"/>
  </si>
  <si>
    <r>
      <t>J</t>
    </r>
    <r>
      <rPr>
        <sz val="8"/>
        <rFont val="Arial"/>
        <family val="2"/>
      </rPr>
      <t>C08</t>
    </r>
    <r>
      <rPr>
        <sz val="8"/>
        <rFont val="ＭＳ Ｐゴシック"/>
        <family val="3"/>
        <charset val="128"/>
      </rPr>
      <t>モード</t>
    </r>
    <phoneticPr fontId="6"/>
  </si>
  <si>
    <r>
      <t>平</t>
    </r>
    <r>
      <rPr>
        <sz val="8"/>
        <rFont val="ＭＳ Ｐゴシック"/>
        <family val="3"/>
        <charset val="128"/>
      </rPr>
      <t>成</t>
    </r>
    <r>
      <rPr>
        <sz val="8"/>
        <rFont val="Arial"/>
        <family val="2"/>
      </rPr>
      <t>27</t>
    </r>
    <r>
      <rPr>
        <sz val="8"/>
        <rFont val="ＭＳ Ｐゴシック"/>
        <family val="3"/>
        <charset val="128"/>
      </rPr>
      <t>年度
燃費基準
相当値
（</t>
    </r>
    <r>
      <rPr>
        <sz val="8"/>
        <rFont val="Arial"/>
        <family val="2"/>
      </rPr>
      <t>km/L</t>
    </r>
    <r>
      <rPr>
        <sz val="8"/>
        <rFont val="ＭＳ Ｐゴシック"/>
        <family val="3"/>
        <charset val="128"/>
      </rPr>
      <t>）</t>
    </r>
    <rPh sb="0" eb="2">
      <t>ヘイセイ</t>
    </rPh>
    <rPh sb="4" eb="6">
      <t>ネンド</t>
    </rPh>
    <rPh sb="7" eb="9">
      <t>ネンピ</t>
    </rPh>
    <rPh sb="9" eb="11">
      <t>キジュン</t>
    </rPh>
    <rPh sb="12" eb="14">
      <t>ソウトウ</t>
    </rPh>
    <rPh sb="14" eb="15">
      <t>チ</t>
    </rPh>
    <phoneticPr fontId="6"/>
  </si>
  <si>
    <r>
      <t>0201</t>
    </r>
    <r>
      <rPr>
        <sz val="8"/>
        <color indexed="8"/>
        <rFont val="ＭＳ Ｐゴシック"/>
        <family val="3"/>
        <charset val="128"/>
      </rPr>
      <t>～</t>
    </r>
    <r>
      <rPr>
        <sz val="8"/>
        <color indexed="8"/>
        <rFont val="Arial"/>
        <family val="2"/>
      </rPr>
      <t>0229</t>
    </r>
    <phoneticPr fontId="6"/>
  </si>
  <si>
    <r>
      <t>8AT(E</t>
    </r>
    <r>
      <rPr>
        <sz val="8"/>
        <color indexed="8"/>
        <rFont val="ＭＳ Ｐゴシック"/>
        <family val="3"/>
        <charset val="128"/>
      </rPr>
      <t>･</t>
    </r>
    <r>
      <rPr>
        <sz val="8"/>
        <color indexed="8"/>
        <rFont val="Arial"/>
        <family val="2"/>
      </rPr>
      <t>LTC)</t>
    </r>
    <phoneticPr fontId="6"/>
  </si>
  <si>
    <r>
      <t>1930</t>
    </r>
    <r>
      <rPr>
        <sz val="8"/>
        <color indexed="8"/>
        <rFont val="ＭＳ Ｐゴシック"/>
        <family val="3"/>
        <charset val="128"/>
      </rPr>
      <t>～</t>
    </r>
    <r>
      <rPr>
        <sz val="8"/>
        <color indexed="8"/>
        <rFont val="Arial"/>
        <family val="2"/>
      </rPr>
      <t>1980</t>
    </r>
    <phoneticPr fontId="6"/>
  </si>
  <si>
    <r>
      <t>7</t>
    </r>
    <r>
      <rPr>
        <sz val="8"/>
        <color indexed="8"/>
        <rFont val="ＭＳ Ｐゴシック"/>
        <family val="3"/>
        <charset val="128"/>
      </rPr>
      <t>～</t>
    </r>
    <r>
      <rPr>
        <sz val="8"/>
        <color indexed="8"/>
        <rFont val="Arial"/>
        <family val="2"/>
      </rPr>
      <t>8</t>
    </r>
    <phoneticPr fontId="6"/>
  </si>
  <si>
    <r>
      <t>１</t>
    </r>
    <r>
      <rPr>
        <sz val="8"/>
        <rFont val="ＭＳ Ｐゴシック"/>
        <family val="3"/>
        <charset val="128"/>
      </rPr>
      <t>．</t>
    </r>
    <r>
      <rPr>
        <sz val="8"/>
        <rFont val="Arial"/>
        <family val="2"/>
      </rPr>
      <t>JC</t>
    </r>
    <r>
      <rPr>
        <sz val="8"/>
        <rFont val="ＭＳ Ｐゴシック"/>
        <family val="3"/>
        <charset val="128"/>
      </rPr>
      <t>０８燃費値欄及び</t>
    </r>
    <r>
      <rPr>
        <sz val="8"/>
        <rFont val="Arial"/>
        <family val="2"/>
      </rPr>
      <t>CO2</t>
    </r>
    <r>
      <rPr>
        <sz val="8"/>
        <rFont val="ＭＳ Ｐゴシック"/>
        <family val="3"/>
        <charset val="128"/>
      </rPr>
      <t>排出量の文字ポイントは</t>
    </r>
    <r>
      <rPr>
        <sz val="8"/>
        <rFont val="Arial"/>
        <family val="2"/>
      </rPr>
      <t>10</t>
    </r>
    <r>
      <rPr>
        <sz val="8"/>
        <rFont val="ＭＳ Ｐゴシック"/>
        <family val="3"/>
        <charset val="128"/>
      </rPr>
      <t>ポイント、それ以外は</t>
    </r>
    <r>
      <rPr>
        <sz val="8"/>
        <rFont val="Arial"/>
        <family val="2"/>
      </rPr>
      <t>8</t>
    </r>
    <r>
      <rPr>
        <sz val="8"/>
        <rFont val="ＭＳ Ｐゴシック"/>
        <family val="3"/>
        <charset val="128"/>
      </rPr>
      <t>ポイントで記入。</t>
    </r>
    <rPh sb="6" eb="8">
      <t>ネンピ</t>
    </rPh>
    <rPh sb="8" eb="9">
      <t>チ</t>
    </rPh>
    <rPh sb="9" eb="10">
      <t>ラン</t>
    </rPh>
    <rPh sb="10" eb="11">
      <t>オヨ</t>
    </rPh>
    <rPh sb="15" eb="17">
      <t>ハイシュツ</t>
    </rPh>
    <rPh sb="17" eb="18">
      <t>リョウ</t>
    </rPh>
    <rPh sb="19" eb="21">
      <t>モジ</t>
    </rPh>
    <rPh sb="35" eb="37">
      <t>イガイ</t>
    </rPh>
    <rPh sb="44" eb="46">
      <t>キニュウ</t>
    </rPh>
    <phoneticPr fontId="6"/>
  </si>
  <si>
    <t>（注）「燃費基準相当値」の欄には、燃費基準値をディーゼル車用に換算した値を記載しています。</t>
  </si>
  <si>
    <t>CCO+EGR+DF</t>
  </si>
  <si>
    <t>I,D,FI,TC,IC,P,EP,CN</t>
  </si>
  <si>
    <t>6又は7</t>
  </si>
  <si>
    <t>6AT(E･LTC)</t>
  </si>
  <si>
    <t>SH</t>
  </si>
  <si>
    <t>0525,0526,0527,0528,
0529,0530,0531,0532,
0533,0534,0535,0536</t>
  </si>
  <si>
    <t>3DA-KG2P</t>
  </si>
  <si>
    <t>F</t>
  </si>
  <si>
    <t>0425,0426,0427,0428,
0429,0430,0431,0432,
0433,0434,0435,0436</t>
  </si>
  <si>
    <t>CX-8</t>
  </si>
  <si>
    <t>I,D,FI,TC,IC,P,EP,CN,AM</t>
  </si>
  <si>
    <t>8AT(E)</t>
  </si>
  <si>
    <t>T3</t>
  </si>
  <si>
    <t>0106</t>
  </si>
  <si>
    <t>3DA-KH3P</t>
  </si>
  <si>
    <t>0101,0102,0103,0104,
0105</t>
  </si>
  <si>
    <t>R</t>
  </si>
  <si>
    <t>0001,0002,0003,0004</t>
  </si>
  <si>
    <t>CX-60</t>
  </si>
  <si>
    <t>0659,0660,0661,0662,
0663,0664</t>
    <phoneticPr fontId="6"/>
  </si>
  <si>
    <t>3DA-KF2P</t>
  </si>
  <si>
    <t>0560</t>
    <phoneticPr fontId="6"/>
  </si>
  <si>
    <t>0557,0558,0559</t>
    <phoneticPr fontId="6"/>
  </si>
  <si>
    <t>MAZDA CX-5</t>
    <phoneticPr fontId="6"/>
  </si>
  <si>
    <t>S5</t>
  </si>
  <si>
    <t>0201,0202,0203,0204,
0205,0206,0207,0208,
0209,0210,0211,0212,
0213,0214,0215,0216</t>
    <phoneticPr fontId="6"/>
  </si>
  <si>
    <t>3DA-DJ5AS</t>
  </si>
  <si>
    <t>0251,0252,0253,0254,
0255,0256,0257,0258,
0259,0260,0261,0262,
0263,0264,0265,0266</t>
    <phoneticPr fontId="6"/>
  </si>
  <si>
    <t>3DA-DJ5FS</t>
  </si>
  <si>
    <t>6MT</t>
  </si>
  <si>
    <t>MAZDA 2</t>
  </si>
  <si>
    <t>マツダ</t>
  </si>
  <si>
    <t>マツダ株式会社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</si>
</sst>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0"/>
    <numFmt numFmtId="177" formatCode="0.0"/>
    <numFmt numFmtId="178" formatCode="0_);[Red]\(0\)"/>
    <numFmt numFmtId="179" formatCode="0_ "/>
    <numFmt numFmtId="180" formatCode="0.0_ "/>
  </numFmts>
  <fonts count="17" x14ac:knownFonts="1">
    <font>
      <sz val="11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b/>
      <u/>
      <sz val="12"/>
      <name val="Arial"/>
      <family val="2"/>
    </font>
    <font>
      <sz val="8"/>
      <name val="Arial"/>
      <family val="2"/>
    </font>
    <font>
      <sz val="12"/>
      <name val="Arial"/>
      <family val="2"/>
    </font>
    <font>
      <sz val="8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2"/>
      <name val="Arial"/>
      <family val="2"/>
    </font>
    <font>
      <sz val="8"/>
      <color rgb="FF0070C0"/>
      <name val="Arial"/>
      <family val="2"/>
    </font>
    <font>
      <sz val="8"/>
      <color rgb="FF0070C0"/>
      <name val="ＭＳ Ｐゴシック"/>
      <family val="3"/>
      <charset val="128"/>
    </font>
    <font>
      <b/>
      <sz val="10"/>
      <name val="Arial"/>
      <family val="2"/>
    </font>
    <font>
      <b/>
      <sz val="10"/>
      <color theme="1"/>
      <name val="Arial"/>
      <family val="2"/>
    </font>
    <font>
      <sz val="8"/>
      <color theme="1"/>
      <name val="ＭＳ Ｐゴシック"/>
      <family val="3"/>
      <charset val="128"/>
    </font>
    <font>
      <sz val="8"/>
      <color theme="1"/>
      <name val="Arial"/>
      <family val="2"/>
    </font>
    <font>
      <sz val="8"/>
      <color indexed="8"/>
      <name val="ＭＳ Ｐゴシック"/>
      <family val="3"/>
      <charset val="128"/>
    </font>
    <font>
      <sz val="8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1" fillId="0" borderId="0"/>
  </cellStyleXfs>
  <cellXfs count="168">
    <xf numFmtId="0" fontId="0" fillId="0" borderId="0" xfId="0">
      <alignment vertical="center"/>
    </xf>
    <xf numFmtId="0" fontId="2" fillId="0" borderId="0" xfId="1" applyFont="1" applyFill="1" applyBorder="1"/>
    <xf numFmtId="0" fontId="3" fillId="0" borderId="0" xfId="1" applyFont="1" applyFill="1" applyBorder="1"/>
    <xf numFmtId="0" fontId="3" fillId="2" borderId="0" xfId="1" applyFont="1" applyFill="1" applyBorder="1"/>
    <xf numFmtId="0" fontId="4" fillId="0" borderId="0" xfId="1" applyFont="1" applyFill="1" applyBorder="1" applyAlignment="1">
      <alignment horizontal="right"/>
    </xf>
    <xf numFmtId="0" fontId="3" fillId="0" borderId="0" xfId="1" applyFont="1" applyFill="1"/>
    <xf numFmtId="0" fontId="4" fillId="0" borderId="0" xfId="1" applyFont="1" applyFill="1" applyBorder="1"/>
    <xf numFmtId="0" fontId="3" fillId="0" borderId="1" xfId="1" applyFont="1" applyFill="1" applyBorder="1"/>
    <xf numFmtId="0" fontId="3" fillId="0" borderId="1" xfId="1" applyFont="1" applyFill="1" applyBorder="1" applyAlignment="1" applyProtection="1">
      <protection locked="0"/>
    </xf>
    <xf numFmtId="0" fontId="7" fillId="0" borderId="0" xfId="1" applyFont="1" applyFill="1" applyBorder="1" applyAlignment="1"/>
    <xf numFmtId="0" fontId="8" fillId="0" borderId="0" xfId="1" applyFont="1" applyFill="1" applyBorder="1" applyAlignment="1"/>
    <xf numFmtId="0" fontId="3" fillId="0" borderId="0" xfId="1" applyFont="1" applyFill="1" applyAlignment="1">
      <alignment horizontal="right"/>
    </xf>
    <xf numFmtId="0" fontId="5" fillId="0" borderId="3" xfId="1" applyFont="1" applyFill="1" applyBorder="1" applyAlignment="1">
      <alignment horizontal="centerContinuous"/>
    </xf>
    <xf numFmtId="0" fontId="3" fillId="0" borderId="4" xfId="1" applyFont="1" applyFill="1" applyBorder="1" applyAlignment="1">
      <alignment horizontal="centerContinuous"/>
    </xf>
    <xf numFmtId="178" fontId="11" fillId="4" borderId="30" xfId="1" applyNumberFormat="1" applyFont="1" applyFill="1" applyBorder="1" applyAlignment="1">
      <alignment horizontal="center" vertical="center" wrapText="1"/>
    </xf>
    <xf numFmtId="177" fontId="11" fillId="4" borderId="29" xfId="0" quotePrefix="1" applyNumberFormat="1" applyFont="1" applyFill="1" applyBorder="1" applyAlignment="1" applyProtection="1">
      <alignment horizontal="center" vertical="center" wrapText="1"/>
      <protection locked="0"/>
    </xf>
    <xf numFmtId="177" fontId="11" fillId="4" borderId="28" xfId="0" quotePrefix="1" applyNumberFormat="1" applyFont="1" applyFill="1" applyBorder="1" applyAlignment="1" applyProtection="1">
      <alignment horizontal="center" vertical="center" wrapText="1"/>
      <protection locked="0"/>
    </xf>
    <xf numFmtId="179" fontId="3" fillId="4" borderId="31" xfId="0" applyNumberFormat="1" applyFont="1" applyFill="1" applyBorder="1" applyAlignment="1">
      <alignment horizontal="center" vertical="center"/>
    </xf>
    <xf numFmtId="179" fontId="3" fillId="4" borderId="28" xfId="0" applyNumberFormat="1" applyFont="1" applyFill="1" applyBorder="1" applyAlignment="1">
      <alignment horizontal="center" vertical="center"/>
    </xf>
    <xf numFmtId="0" fontId="3" fillId="0" borderId="7" xfId="1" applyFont="1" applyFill="1" applyBorder="1"/>
    <xf numFmtId="0" fontId="3" fillId="0" borderId="0" xfId="0" applyFont="1" applyFill="1" applyBorder="1" applyAlignment="1"/>
    <xf numFmtId="0" fontId="3" fillId="0" borderId="0" xfId="0" applyFont="1" applyFill="1" applyAlignment="1"/>
    <xf numFmtId="0" fontId="13" fillId="0" borderId="28" xfId="0" applyFont="1" applyFill="1" applyBorder="1" applyAlignment="1" applyProtection="1">
      <alignment vertical="center"/>
      <protection locked="0"/>
    </xf>
    <xf numFmtId="0" fontId="14" fillId="0" borderId="3" xfId="0" applyFont="1" applyFill="1" applyBorder="1" applyAlignment="1" applyProtection="1">
      <alignment vertical="center"/>
      <protection locked="0"/>
    </xf>
    <xf numFmtId="0" fontId="14" fillId="0" borderId="4" xfId="0" applyFont="1" applyFill="1" applyBorder="1" applyAlignment="1" applyProtection="1">
      <alignment horizontal="left" vertical="center"/>
      <protection locked="0"/>
    </xf>
    <xf numFmtId="0" fontId="14" fillId="0" borderId="28" xfId="0" applyFont="1" applyFill="1" applyBorder="1" applyAlignment="1" applyProtection="1">
      <alignment horizontal="left" vertical="center"/>
      <protection locked="0"/>
    </xf>
    <xf numFmtId="49" fontId="14" fillId="0" borderId="28" xfId="0" applyNumberFormat="1" applyFont="1" applyFill="1" applyBorder="1" applyAlignment="1" applyProtection="1">
      <alignment vertical="center" wrapText="1"/>
      <protection locked="0"/>
    </xf>
    <xf numFmtId="0" fontId="14" fillId="0" borderId="28" xfId="0" applyFont="1" applyFill="1" applyBorder="1" applyAlignment="1" applyProtection="1">
      <alignment horizontal="center" vertical="center"/>
      <protection locked="0"/>
    </xf>
    <xf numFmtId="176" fontId="14" fillId="0" borderId="28" xfId="0" applyNumberFormat="1" applyFont="1" applyFill="1" applyBorder="1" applyAlignment="1" applyProtection="1">
      <alignment horizontal="center" vertical="center"/>
      <protection locked="0"/>
    </xf>
    <xf numFmtId="0" fontId="14" fillId="0" borderId="28" xfId="0" applyFont="1" applyFill="1" applyBorder="1" applyAlignment="1" applyProtection="1">
      <alignment horizontal="center" vertical="center" wrapText="1"/>
      <protection locked="0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177" fontId="12" fillId="0" borderId="29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3" xfId="0" applyFont="1" applyFill="1" applyBorder="1" applyAlignment="1" applyProtection="1">
      <alignment horizontal="center" vertical="center"/>
      <protection locked="0"/>
    </xf>
    <xf numFmtId="3" fontId="3" fillId="0" borderId="28" xfId="0" applyNumberFormat="1" applyFont="1" applyFill="1" applyBorder="1" applyAlignment="1" applyProtection="1">
      <alignment horizontal="center" vertical="center"/>
      <protection locked="0"/>
    </xf>
    <xf numFmtId="0" fontId="9" fillId="0" borderId="11" xfId="0" applyFont="1" applyFill="1" applyBorder="1" applyAlignment="1">
      <alignment horizontal="center" vertical="center" wrapText="1"/>
    </xf>
    <xf numFmtId="0" fontId="9" fillId="0" borderId="24" xfId="0" applyFont="1" applyFill="1" applyBorder="1" applyAlignment="1">
      <alignment horizontal="center" vertical="center" wrapText="1"/>
    </xf>
    <xf numFmtId="0" fontId="3" fillId="0" borderId="15" xfId="1" applyFont="1" applyFill="1" applyBorder="1" applyAlignment="1">
      <alignment horizontal="center" vertical="center" wrapText="1"/>
    </xf>
    <xf numFmtId="0" fontId="3" fillId="0" borderId="20" xfId="1" applyFont="1" applyFill="1" applyBorder="1" applyAlignment="1">
      <alignment horizontal="center" vertical="center"/>
    </xf>
    <xf numFmtId="0" fontId="3" fillId="0" borderId="25" xfId="1" applyFont="1" applyFill="1" applyBorder="1" applyAlignment="1">
      <alignment horizontal="center" vertical="center"/>
    </xf>
    <xf numFmtId="0" fontId="3" fillId="0" borderId="16" xfId="1" applyFont="1" applyFill="1" applyBorder="1" applyAlignment="1">
      <alignment horizontal="center" vertical="center" wrapText="1"/>
    </xf>
    <xf numFmtId="0" fontId="3" fillId="0" borderId="21" xfId="1" applyFont="1" applyFill="1" applyBorder="1" applyAlignment="1">
      <alignment horizontal="center" vertical="center" wrapText="1"/>
    </xf>
    <xf numFmtId="0" fontId="3" fillId="0" borderId="26" xfId="1" applyFont="1" applyFill="1" applyBorder="1" applyAlignment="1">
      <alignment horizontal="center" vertical="center" wrapText="1"/>
    </xf>
    <xf numFmtId="0" fontId="3" fillId="0" borderId="17" xfId="1" applyFont="1" applyFill="1" applyBorder="1" applyAlignment="1">
      <alignment horizontal="center" vertical="center" wrapText="1"/>
    </xf>
    <xf numFmtId="0" fontId="3" fillId="4" borderId="8" xfId="1" applyFont="1" applyFill="1" applyBorder="1" applyAlignment="1">
      <alignment horizontal="center" vertical="center" wrapText="1"/>
    </xf>
    <xf numFmtId="0" fontId="3" fillId="4" borderId="22" xfId="1" applyFont="1" applyFill="1" applyBorder="1" applyAlignment="1">
      <alignment horizontal="center" vertical="center"/>
    </xf>
    <xf numFmtId="0" fontId="3" fillId="4" borderId="13" xfId="1" applyFont="1" applyFill="1" applyBorder="1" applyAlignment="1">
      <alignment horizontal="center" vertical="center"/>
    </xf>
    <xf numFmtId="0" fontId="3" fillId="0" borderId="5" xfId="1" applyFont="1" applyFill="1" applyBorder="1" applyAlignment="1">
      <alignment horizontal="center" vertical="center"/>
    </xf>
    <xf numFmtId="0" fontId="3" fillId="0" borderId="11" xfId="1" applyFont="1" applyFill="1" applyBorder="1" applyAlignment="1">
      <alignment horizontal="center" vertical="center"/>
    </xf>
    <xf numFmtId="0" fontId="3" fillId="0" borderId="24" xfId="1" applyFont="1" applyFill="1" applyBorder="1" applyAlignment="1">
      <alignment horizontal="center" vertical="center"/>
    </xf>
    <xf numFmtId="0" fontId="5" fillId="0" borderId="9" xfId="1" applyFont="1" applyFill="1" applyBorder="1" applyAlignment="1">
      <alignment horizontal="center" vertical="center" wrapText="1"/>
    </xf>
    <xf numFmtId="0" fontId="5" fillId="0" borderId="23" xfId="1" applyFont="1" applyFill="1" applyBorder="1" applyAlignment="1">
      <alignment horizontal="center" vertical="center"/>
    </xf>
    <xf numFmtId="0" fontId="5" fillId="0" borderId="18" xfId="1" applyFont="1" applyFill="1" applyBorder="1" applyAlignment="1">
      <alignment horizontal="center" vertical="center"/>
    </xf>
    <xf numFmtId="0" fontId="3" fillId="3" borderId="6" xfId="1" applyFont="1" applyFill="1" applyBorder="1" applyAlignment="1">
      <alignment horizontal="center"/>
    </xf>
    <xf numFmtId="0" fontId="3" fillId="3" borderId="7" xfId="1" applyFont="1" applyFill="1" applyBorder="1" applyAlignment="1">
      <alignment horizontal="center"/>
    </xf>
    <xf numFmtId="0" fontId="3" fillId="3" borderId="8" xfId="1" applyFont="1" applyFill="1" applyBorder="1" applyAlignment="1">
      <alignment horizontal="center"/>
    </xf>
    <xf numFmtId="0" fontId="5" fillId="0" borderId="5" xfId="1" applyFont="1" applyFill="1" applyBorder="1" applyAlignment="1">
      <alignment horizontal="center" vertical="center" wrapText="1"/>
    </xf>
    <xf numFmtId="0" fontId="5" fillId="0" borderId="11" xfId="1" applyFont="1" applyFill="1" applyBorder="1" applyAlignment="1">
      <alignment horizontal="center" vertical="center"/>
    </xf>
    <xf numFmtId="0" fontId="5" fillId="0" borderId="24" xfId="1" applyFont="1" applyFill="1" applyBorder="1" applyAlignment="1">
      <alignment horizontal="center" vertical="center"/>
    </xf>
    <xf numFmtId="0" fontId="5" fillId="0" borderId="6" xfId="1" applyFont="1" applyFill="1" applyBorder="1" applyAlignment="1">
      <alignment horizontal="center" shrinkToFit="1"/>
    </xf>
    <xf numFmtId="0" fontId="3" fillId="0" borderId="7" xfId="1" applyFont="1" applyFill="1" applyBorder="1" applyAlignment="1">
      <alignment horizontal="center" shrinkToFit="1"/>
    </xf>
    <xf numFmtId="0" fontId="3" fillId="0" borderId="8" xfId="1" applyFont="1" applyFill="1" applyBorder="1" applyAlignment="1">
      <alignment horizontal="center" shrinkToFit="1"/>
    </xf>
    <xf numFmtId="0" fontId="3" fillId="0" borderId="14" xfId="1" applyFont="1" applyFill="1" applyBorder="1" applyAlignment="1">
      <alignment horizontal="center" shrinkToFit="1"/>
    </xf>
    <xf numFmtId="0" fontId="3" fillId="0" borderId="1" xfId="1" applyFont="1" applyFill="1" applyBorder="1" applyAlignment="1">
      <alignment horizontal="center" shrinkToFit="1"/>
    </xf>
    <xf numFmtId="0" fontId="3" fillId="0" borderId="13" xfId="1" applyFont="1" applyFill="1" applyBorder="1" applyAlignment="1">
      <alignment horizontal="center" shrinkToFit="1"/>
    </xf>
    <xf numFmtId="0" fontId="3" fillId="0" borderId="9" xfId="1" applyFont="1" applyFill="1" applyBorder="1" applyAlignment="1">
      <alignment horizontal="center"/>
    </xf>
    <xf numFmtId="0" fontId="3" fillId="0" borderId="18" xfId="1" applyFont="1" applyFill="1" applyBorder="1" applyAlignment="1">
      <alignment horizontal="center"/>
    </xf>
    <xf numFmtId="0" fontId="5" fillId="0" borderId="10" xfId="1" applyFont="1" applyFill="1" applyBorder="1" applyAlignment="1">
      <alignment horizontal="center" vertical="center" wrapText="1"/>
    </xf>
    <xf numFmtId="0" fontId="3" fillId="0" borderId="19" xfId="1" applyFont="1" applyFill="1" applyBorder="1" applyAlignment="1">
      <alignment horizontal="center" vertical="center"/>
    </xf>
    <xf numFmtId="0" fontId="3" fillId="0" borderId="27" xfId="1" applyFont="1" applyFill="1" applyBorder="1" applyAlignment="1">
      <alignment horizontal="center" vertical="center"/>
    </xf>
    <xf numFmtId="0" fontId="5" fillId="0" borderId="1" xfId="1" applyFont="1" applyFill="1" applyBorder="1" applyAlignment="1" applyProtection="1">
      <protection locked="0"/>
    </xf>
    <xf numFmtId="0" fontId="3" fillId="0" borderId="2" xfId="1" applyFont="1" applyFill="1" applyBorder="1" applyAlignment="1">
      <alignment horizontal="right"/>
    </xf>
    <xf numFmtId="0" fontId="3" fillId="0" borderId="6" xfId="1" applyFont="1" applyFill="1" applyBorder="1" applyAlignment="1">
      <alignment horizontal="center" vertical="center"/>
    </xf>
    <xf numFmtId="0" fontId="3" fillId="0" borderId="7" xfId="1" applyFont="1" applyFill="1" applyBorder="1" applyAlignment="1">
      <alignment horizontal="center" vertical="center"/>
    </xf>
    <xf numFmtId="0" fontId="3" fillId="0" borderId="12" xfId="1" applyFont="1" applyFill="1" applyBorder="1" applyAlignment="1">
      <alignment horizontal="center" vertical="center"/>
    </xf>
    <xf numFmtId="0" fontId="3" fillId="0" borderId="0" xfId="1" applyFont="1" applyFill="1" applyBorder="1" applyAlignment="1">
      <alignment horizontal="center" vertical="center"/>
    </xf>
    <xf numFmtId="0" fontId="3" fillId="0" borderId="14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7" xfId="1" applyFont="1" applyFill="1" applyBorder="1" applyAlignment="1">
      <alignment horizontal="center"/>
    </xf>
    <xf numFmtId="0" fontId="3" fillId="0" borderId="1" xfId="1" applyFont="1" applyFill="1" applyBorder="1" applyAlignment="1">
      <alignment horizontal="center"/>
    </xf>
    <xf numFmtId="0" fontId="3" fillId="0" borderId="8" xfId="1" applyFont="1" applyFill="1" applyBorder="1" applyAlignment="1">
      <alignment horizontal="center"/>
    </xf>
    <xf numFmtId="0" fontId="3" fillId="0" borderId="13" xfId="1" applyFont="1" applyFill="1" applyBorder="1" applyAlignment="1">
      <alignment horizontal="center"/>
    </xf>
    <xf numFmtId="0" fontId="3" fillId="0" borderId="8" xfId="1" applyFont="1" applyFill="1" applyBorder="1" applyAlignment="1">
      <alignment horizontal="center" vertical="center"/>
    </xf>
    <xf numFmtId="0" fontId="3" fillId="0" borderId="13" xfId="1" applyFont="1" applyFill="1" applyBorder="1" applyAlignment="1">
      <alignment horizontal="center" vertical="center"/>
    </xf>
    <xf numFmtId="0" fontId="3" fillId="0" borderId="5" xfId="1" applyFont="1" applyFill="1" applyBorder="1" applyAlignment="1">
      <alignment horizontal="center" vertical="center" wrapText="1"/>
    </xf>
    <xf numFmtId="0" fontId="3" fillId="0" borderId="6" xfId="1" applyFont="1" applyFill="1" applyBorder="1" applyAlignment="1">
      <alignment horizontal="center" vertical="center" wrapText="1"/>
    </xf>
    <xf numFmtId="0" fontId="5" fillId="0" borderId="5" xfId="1" applyFont="1" applyFill="1" applyBorder="1" applyAlignment="1">
      <alignment horizontal="center" vertical="center"/>
    </xf>
    <xf numFmtId="0" fontId="3" fillId="0" borderId="0" xfId="1" applyFont="1"/>
    <xf numFmtId="0" fontId="3" fillId="0" borderId="0" xfId="0" applyFont="1" applyAlignment="1"/>
    <xf numFmtId="0" fontId="3" fillId="2" borderId="0" xfId="1" applyFont="1" applyFill="1"/>
    <xf numFmtId="0" fontId="3" fillId="0" borderId="7" xfId="1" applyFont="1" applyBorder="1"/>
    <xf numFmtId="3" fontId="3" fillId="0" borderId="28" xfId="0" applyNumberFormat="1" applyFont="1" applyBorder="1" applyAlignment="1" applyProtection="1">
      <alignment horizontal="center" vertical="center"/>
      <protection locked="0"/>
    </xf>
    <xf numFmtId="0" fontId="3" fillId="4" borderId="3" xfId="1" applyFont="1" applyFill="1" applyBorder="1" applyAlignment="1" applyProtection="1">
      <alignment horizontal="center" vertical="center"/>
      <protection locked="0"/>
    </xf>
    <xf numFmtId="0" fontId="3" fillId="4" borderId="28" xfId="1" applyFont="1" applyFill="1" applyBorder="1" applyAlignment="1" applyProtection="1">
      <alignment horizontal="left" vertical="center"/>
      <protection locked="0"/>
    </xf>
    <xf numFmtId="0" fontId="3" fillId="4" borderId="28" xfId="1" applyFont="1" applyFill="1" applyBorder="1" applyAlignment="1" applyProtection="1">
      <alignment horizontal="center" vertical="center"/>
      <protection locked="0"/>
    </xf>
    <xf numFmtId="178" fontId="11" fillId="4" borderId="32" xfId="1" applyNumberFormat="1" applyFont="1" applyFill="1" applyBorder="1" applyAlignment="1">
      <alignment horizontal="center" vertical="center" wrapText="1"/>
    </xf>
    <xf numFmtId="180" fontId="11" fillId="4" borderId="33" xfId="1" applyNumberFormat="1" applyFont="1" applyFill="1" applyBorder="1" applyAlignment="1">
      <alignment horizontal="center" vertical="center"/>
    </xf>
    <xf numFmtId="0" fontId="3" fillId="4" borderId="30" xfId="1" applyFont="1" applyFill="1" applyBorder="1" applyAlignment="1">
      <alignment horizontal="center" vertical="center"/>
    </xf>
    <xf numFmtId="0" fontId="3" fillId="4" borderId="3" xfId="0" applyFont="1" applyFill="1" applyBorder="1" applyAlignment="1" applyProtection="1">
      <alignment horizontal="center" vertical="center" wrapText="1"/>
      <protection locked="0"/>
    </xf>
    <xf numFmtId="0" fontId="3" fillId="5" borderId="24" xfId="1" applyFont="1" applyFill="1" applyBorder="1" applyAlignment="1">
      <alignment horizontal="center" vertical="center"/>
    </xf>
    <xf numFmtId="0" fontId="3" fillId="5" borderId="28" xfId="2" applyFont="1" applyFill="1" applyBorder="1" applyAlignment="1">
      <alignment horizontal="center" vertical="center" wrapText="1"/>
    </xf>
    <xf numFmtId="49" fontId="3" fillId="5" borderId="28" xfId="2" applyNumberFormat="1" applyFont="1" applyFill="1" applyBorder="1" applyAlignment="1">
      <alignment horizontal="center" vertical="center" wrapText="1"/>
    </xf>
    <xf numFmtId="0" fontId="3" fillId="0" borderId="28" xfId="1" applyFont="1" applyBorder="1" applyAlignment="1">
      <alignment vertical="center" wrapText="1"/>
    </xf>
    <xf numFmtId="0" fontId="3" fillId="5" borderId="24" xfId="1" applyFont="1" applyFill="1" applyBorder="1" applyAlignment="1">
      <alignment vertical="center"/>
    </xf>
    <xf numFmtId="0" fontId="3" fillId="5" borderId="13" xfId="1" applyFont="1" applyFill="1" applyBorder="1" applyAlignment="1">
      <alignment vertical="center"/>
    </xf>
    <xf numFmtId="0" fontId="3" fillId="5" borderId="14" xfId="1" applyFont="1" applyFill="1" applyBorder="1" applyAlignment="1">
      <alignment horizontal="center" vertical="center"/>
    </xf>
    <xf numFmtId="180" fontId="11" fillId="4" borderId="25" xfId="1" applyNumberFormat="1" applyFont="1" applyFill="1" applyBorder="1" applyAlignment="1">
      <alignment horizontal="center" vertical="center"/>
    </xf>
    <xf numFmtId="0" fontId="3" fillId="5" borderId="8" xfId="1" applyFont="1" applyFill="1" applyBorder="1" applyAlignment="1">
      <alignment vertical="center"/>
    </xf>
    <xf numFmtId="0" fontId="3" fillId="5" borderId="6" xfId="1" applyFont="1" applyFill="1" applyBorder="1" applyAlignment="1">
      <alignment horizontal="center" vertical="center"/>
    </xf>
    <xf numFmtId="0" fontId="3" fillId="5" borderId="11" xfId="1" applyFont="1" applyFill="1" applyBorder="1" applyAlignment="1">
      <alignment vertical="center"/>
    </xf>
    <xf numFmtId="0" fontId="3" fillId="5" borderId="22" xfId="1" applyFont="1" applyFill="1" applyBorder="1" applyAlignment="1">
      <alignment vertical="center"/>
    </xf>
    <xf numFmtId="0" fontId="3" fillId="5" borderId="12" xfId="1" applyFont="1" applyFill="1" applyBorder="1" applyAlignment="1">
      <alignment horizontal="center" vertical="center"/>
    </xf>
    <xf numFmtId="49" fontId="3" fillId="0" borderId="28" xfId="1" applyNumberFormat="1" applyFont="1" applyBorder="1" applyAlignment="1">
      <alignment vertical="center" wrapText="1"/>
    </xf>
    <xf numFmtId="0" fontId="3" fillId="5" borderId="5" xfId="1" applyFont="1" applyFill="1" applyBorder="1" applyAlignment="1">
      <alignment vertical="center"/>
    </xf>
    <xf numFmtId="0" fontId="9" fillId="0" borderId="24" xfId="0" applyFont="1" applyBorder="1" applyAlignment="1">
      <alignment horizontal="center" vertical="center" wrapText="1"/>
    </xf>
    <xf numFmtId="0" fontId="3" fillId="0" borderId="24" xfId="1" applyFont="1" applyBorder="1" applyAlignment="1">
      <alignment horizontal="center" vertical="center"/>
    </xf>
    <xf numFmtId="0" fontId="3" fillId="0" borderId="27" xfId="1" applyFont="1" applyBorder="1" applyAlignment="1">
      <alignment horizontal="center" vertical="center"/>
    </xf>
    <xf numFmtId="0" fontId="5" fillId="0" borderId="18" xfId="1" applyFont="1" applyBorder="1" applyAlignment="1">
      <alignment horizontal="center" vertical="center"/>
    </xf>
    <xf numFmtId="0" fontId="5" fillId="0" borderId="24" xfId="1" applyFont="1" applyBorder="1" applyAlignment="1">
      <alignment horizontal="center" vertical="center"/>
    </xf>
    <xf numFmtId="0" fontId="3" fillId="0" borderId="25" xfId="1" applyFont="1" applyBorder="1" applyAlignment="1">
      <alignment horizontal="center" vertical="center"/>
    </xf>
    <xf numFmtId="0" fontId="3" fillId="0" borderId="26" xfId="1" applyFont="1" applyBorder="1" applyAlignment="1">
      <alignment horizontal="center" vertical="center" wrapText="1"/>
    </xf>
    <xf numFmtId="0" fontId="3" fillId="0" borderId="14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 wrapText="1"/>
    </xf>
    <xf numFmtId="0" fontId="3" fillId="0" borderId="11" xfId="1" applyFont="1" applyBorder="1" applyAlignment="1">
      <alignment horizontal="center" vertical="center"/>
    </xf>
    <xf numFmtId="0" fontId="3" fillId="0" borderId="19" xfId="1" applyFont="1" applyBorder="1" applyAlignment="1">
      <alignment horizontal="center" vertical="center"/>
    </xf>
    <xf numFmtId="0" fontId="5" fillId="0" borderId="23" xfId="1" applyFont="1" applyBorder="1" applyAlignment="1">
      <alignment horizontal="center" vertical="center"/>
    </xf>
    <xf numFmtId="0" fontId="5" fillId="0" borderId="11" xfId="1" applyFont="1" applyBorder="1" applyAlignment="1">
      <alignment horizontal="center" vertical="center"/>
    </xf>
    <xf numFmtId="0" fontId="3" fillId="0" borderId="20" xfId="1" applyFont="1" applyBorder="1" applyAlignment="1">
      <alignment horizontal="center" vertical="center"/>
    </xf>
    <xf numFmtId="0" fontId="3" fillId="0" borderId="21" xfId="1" applyFont="1" applyBorder="1" applyAlignment="1">
      <alignment horizontal="center" vertical="center" wrapText="1"/>
    </xf>
    <xf numFmtId="0" fontId="3" fillId="0" borderId="12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5" fillId="0" borderId="9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/>
    </xf>
    <xf numFmtId="0" fontId="3" fillId="0" borderId="18" xfId="1" applyFont="1" applyBorder="1" applyAlignment="1">
      <alignment horizontal="center"/>
    </xf>
    <xf numFmtId="0" fontId="3" fillId="0" borderId="13" xfId="1" applyFont="1" applyBorder="1" applyAlignment="1">
      <alignment horizontal="center" shrinkToFit="1"/>
    </xf>
    <xf numFmtId="0" fontId="3" fillId="0" borderId="1" xfId="1" applyFont="1" applyBorder="1" applyAlignment="1">
      <alignment horizontal="center" shrinkToFit="1"/>
    </xf>
    <xf numFmtId="0" fontId="3" fillId="0" borderId="14" xfId="1" applyFont="1" applyBorder="1" applyAlignment="1">
      <alignment horizontal="center" shrinkToFit="1"/>
    </xf>
    <xf numFmtId="0" fontId="3" fillId="0" borderId="17" xfId="1" applyFont="1" applyBorder="1" applyAlignment="1">
      <alignment horizontal="center" vertical="center" wrapText="1"/>
    </xf>
    <xf numFmtId="0" fontId="3" fillId="0" borderId="16" xfId="1" applyFont="1" applyBorder="1" applyAlignment="1">
      <alignment horizontal="center" vertical="center" wrapText="1"/>
    </xf>
    <xf numFmtId="0" fontId="3" fillId="0" borderId="15" xfId="1" applyFont="1" applyBorder="1" applyAlignment="1">
      <alignment horizontal="center" vertical="center" wrapText="1"/>
    </xf>
    <xf numFmtId="0" fontId="3" fillId="0" borderId="13" xfId="1" applyFont="1" applyBorder="1" applyAlignment="1">
      <alignment horizontal="center" vertical="center"/>
    </xf>
    <xf numFmtId="0" fontId="3" fillId="0" borderId="13" xfId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5" fillId="0" borderId="10" xfId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/>
    </xf>
    <xf numFmtId="0" fontId="3" fillId="0" borderId="8" xfId="1" applyFont="1" applyBorder="1" applyAlignment="1">
      <alignment horizontal="center" shrinkToFit="1"/>
    </xf>
    <xf numFmtId="0" fontId="3" fillId="0" borderId="7" xfId="1" applyFont="1" applyBorder="1" applyAlignment="1">
      <alignment horizontal="center" shrinkToFit="1"/>
    </xf>
    <xf numFmtId="0" fontId="5" fillId="0" borderId="6" xfId="1" applyFont="1" applyBorder="1" applyAlignment="1">
      <alignment horizontal="center" shrinkToFit="1"/>
    </xf>
    <xf numFmtId="0" fontId="3" fillId="0" borderId="6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0" fontId="3" fillId="0" borderId="8" xfId="1" applyFont="1" applyBorder="1" applyAlignment="1">
      <alignment horizontal="center"/>
    </xf>
    <xf numFmtId="0" fontId="3" fillId="0" borderId="7" xfId="1" applyFont="1" applyBorder="1" applyAlignment="1">
      <alignment horizontal="center"/>
    </xf>
    <xf numFmtId="0" fontId="3" fillId="0" borderId="7" xfId="1" applyFont="1" applyBorder="1" applyAlignment="1">
      <alignment horizontal="center" vertical="center"/>
    </xf>
    <xf numFmtId="0" fontId="3" fillId="0" borderId="4" xfId="1" applyFont="1" applyBorder="1" applyAlignment="1">
      <alignment horizontal="centerContinuous"/>
    </xf>
    <xf numFmtId="0" fontId="5" fillId="0" borderId="3" xfId="1" applyFont="1" applyBorder="1" applyAlignment="1">
      <alignment horizontal="centerContinuous"/>
    </xf>
    <xf numFmtId="0" fontId="3" fillId="0" borderId="2" xfId="1" applyFont="1" applyBorder="1" applyAlignment="1">
      <alignment horizontal="right"/>
    </xf>
    <xf numFmtId="0" fontId="3" fillId="0" borderId="0" xfId="1" applyFont="1" applyAlignment="1">
      <alignment horizontal="right"/>
    </xf>
    <xf numFmtId="0" fontId="3" fillId="0" borderId="1" xfId="1" applyFont="1" applyBorder="1"/>
    <xf numFmtId="0" fontId="8" fillId="0" borderId="0" xfId="1" applyFont="1"/>
    <xf numFmtId="0" fontId="7" fillId="0" borderId="0" xfId="1" applyFont="1"/>
    <xf numFmtId="0" fontId="3" fillId="0" borderId="1" xfId="1" applyFont="1" applyBorder="1" applyProtection="1">
      <protection locked="0"/>
    </xf>
    <xf numFmtId="0" fontId="4" fillId="0" borderId="0" xfId="1" applyFont="1"/>
    <xf numFmtId="0" fontId="4" fillId="0" borderId="0" xfId="1" applyFont="1" applyAlignment="1">
      <alignment horizontal="right"/>
    </xf>
    <xf numFmtId="0" fontId="2" fillId="0" borderId="0" xfId="1" applyFont="1"/>
  </cellXfs>
  <cellStyles count="3">
    <cellStyle name="標準" xfId="0" builtinId="0"/>
    <cellStyle name="標準 2" xfId="1" xr:uid="{00000000-0005-0000-0000-000001000000}"/>
    <cellStyle name="標準_H14ﾍﾞｰｽ" xfId="2" xr:uid="{1F88BFD1-10CB-456C-8935-8D21F499F0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XF1\&#35469;&#35388;&#65319;\&#21407;&#30000;\&#20055;&#29992;&#65293;&#29123;&#36027;&#20844;&#34920;&#29992;&#32025;99.8.27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03399\&#35519;&#26619;&#22577;&#21578;\Eudora\Tanaka\attach\P(g%5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03399\&#24115;&#31080;\eudora\tanaka\attach\&#29123;&#36027;&#20844;&#34920;(&#27083;&#22793;&#12289;&#22269;&#29987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乗用－燃費公表用紙99.8.27"/>
      <sheetName val="DATA"/>
      <sheetName val="C3_N DC改造投資"/>
      <sheetName val="CPS Gr分担表"/>
    </sheetNames>
    <definedNames>
      <definedName name="Module1.社内配布用印刷"/>
      <definedName name="Module1.提出用印刷"/>
      <definedName name="新型構変選択"/>
      <definedName name="製作者選択"/>
    </defined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乗用・ＲＶ車"/>
      <sheetName val="乗用_ＲＶ車"/>
    </sheetNames>
    <sheetDataSet>
      <sheetData sheetId="0" refreshError="1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燃費公表(構変、国産)"/>
      <sheetName val="ＴＦ関連Ｐｒｊ日程表"/>
      <sheetName val="Sheet1"/>
      <sheetName val="海事局（１０７）"/>
      <sheetName val="航空局（１８）"/>
      <sheetName val="自動車交通局（４７）"/>
      <sheetName val="総合政策局航空局（１）"/>
      <sheetName val="鉄道局（４）"/>
      <sheetName val="ＦＴＲ連結採算"/>
      <sheetName val="VN12-2陣"/>
      <sheetName val="WLTP結果シート"/>
    </sheetNames>
    <definedNames>
      <definedName name="社内配布用印刷"/>
      <definedName name="提出用印刷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25"/>
    <pageSetUpPr fitToPage="1"/>
  </sheetPr>
  <dimension ref="A1:X20"/>
  <sheetViews>
    <sheetView tabSelected="1" view="pageBreakPreview" topLeftCell="C1" zoomScaleNormal="100" zoomScaleSheetLayoutView="100" workbookViewId="0">
      <selection activeCell="A3" sqref="A3"/>
    </sheetView>
  </sheetViews>
  <sheetFormatPr defaultRowHeight="11.25" x14ac:dyDescent="0.2"/>
  <cols>
    <col min="1" max="1" width="15.875" style="2" customWidth="1"/>
    <col min="2" max="2" width="3.875" style="2" bestFit="1" customWidth="1"/>
    <col min="3" max="3" width="38.25" style="2" customWidth="1"/>
    <col min="4" max="4" width="13.875" style="2" bestFit="1" customWidth="1"/>
    <col min="5" max="5" width="13" style="3" bestFit="1" customWidth="1"/>
    <col min="6" max="6" width="13.125" style="2" bestFit="1" customWidth="1"/>
    <col min="7" max="7" width="7" style="2" customWidth="1"/>
    <col min="8" max="8" width="12.125" style="2" bestFit="1" customWidth="1"/>
    <col min="9" max="9" width="10.5" style="2" bestFit="1" customWidth="1"/>
    <col min="10" max="10" width="7" style="2" bestFit="1" customWidth="1"/>
    <col min="11" max="11" width="5.875" style="2" bestFit="1" customWidth="1"/>
    <col min="12" max="12" width="8.75" style="2" bestFit="1" customWidth="1"/>
    <col min="13" max="14" width="8.5" style="2" bestFit="1" customWidth="1"/>
    <col min="15" max="15" width="14.375" style="2" bestFit="1" customWidth="1"/>
    <col min="16" max="16" width="10" style="2" bestFit="1" customWidth="1"/>
    <col min="17" max="17" width="6" style="2" customWidth="1"/>
    <col min="18" max="18" width="19.375" style="2" customWidth="1"/>
    <col min="19" max="19" width="11" style="2" bestFit="1" customWidth="1"/>
    <col min="20" max="21" width="8.25" style="2" bestFit="1" customWidth="1"/>
    <col min="22" max="22" width="8.875" style="2"/>
    <col min="23" max="24" width="10.625" style="20" customWidth="1"/>
    <col min="25" max="256" width="8.875" style="2"/>
    <col min="257" max="257" width="15.875" style="2" customWidth="1"/>
    <col min="258" max="258" width="3.875" style="2" bestFit="1" customWidth="1"/>
    <col min="259" max="259" width="38.25" style="2" customWidth="1"/>
    <col min="260" max="260" width="13.875" style="2" bestFit="1" customWidth="1"/>
    <col min="261" max="261" width="13" style="2" bestFit="1" customWidth="1"/>
    <col min="262" max="262" width="13.125" style="2" bestFit="1" customWidth="1"/>
    <col min="263" max="263" width="7" style="2" customWidth="1"/>
    <col min="264" max="264" width="12.125" style="2" bestFit="1" customWidth="1"/>
    <col min="265" max="265" width="10.5" style="2" bestFit="1" customWidth="1"/>
    <col min="266" max="266" width="7" style="2" bestFit="1" customWidth="1"/>
    <col min="267" max="267" width="5.875" style="2" bestFit="1" customWidth="1"/>
    <col min="268" max="268" width="8.75" style="2" bestFit="1" customWidth="1"/>
    <col min="269" max="270" width="8.5" style="2" bestFit="1" customWidth="1"/>
    <col min="271" max="271" width="14.375" style="2" bestFit="1" customWidth="1"/>
    <col min="272" max="272" width="10" style="2" bestFit="1" customWidth="1"/>
    <col min="273" max="273" width="6" style="2" customWidth="1"/>
    <col min="274" max="274" width="19.375" style="2" customWidth="1"/>
    <col min="275" max="275" width="11" style="2" bestFit="1" customWidth="1"/>
    <col min="276" max="277" width="8.25" style="2" bestFit="1" customWidth="1"/>
    <col min="278" max="512" width="8.875" style="2"/>
    <col min="513" max="513" width="15.875" style="2" customWidth="1"/>
    <col min="514" max="514" width="3.875" style="2" bestFit="1" customWidth="1"/>
    <col min="515" max="515" width="38.25" style="2" customWidth="1"/>
    <col min="516" max="516" width="13.875" style="2" bestFit="1" customWidth="1"/>
    <col min="517" max="517" width="13" style="2" bestFit="1" customWidth="1"/>
    <col min="518" max="518" width="13.125" style="2" bestFit="1" customWidth="1"/>
    <col min="519" max="519" width="7" style="2" customWidth="1"/>
    <col min="520" max="520" width="12.125" style="2" bestFit="1" customWidth="1"/>
    <col min="521" max="521" width="10.5" style="2" bestFit="1" customWidth="1"/>
    <col min="522" max="522" width="7" style="2" bestFit="1" customWidth="1"/>
    <col min="523" max="523" width="5.875" style="2" bestFit="1" customWidth="1"/>
    <col min="524" max="524" width="8.75" style="2" bestFit="1" customWidth="1"/>
    <col min="525" max="526" width="8.5" style="2" bestFit="1" customWidth="1"/>
    <col min="527" max="527" width="14.375" style="2" bestFit="1" customWidth="1"/>
    <col min="528" max="528" width="10" style="2" bestFit="1" customWidth="1"/>
    <col min="529" max="529" width="6" style="2" customWidth="1"/>
    <col min="530" max="530" width="19.375" style="2" customWidth="1"/>
    <col min="531" max="531" width="11" style="2" bestFit="1" customWidth="1"/>
    <col min="532" max="533" width="8.25" style="2" bestFit="1" customWidth="1"/>
    <col min="534" max="768" width="8.875" style="2"/>
    <col min="769" max="769" width="15.875" style="2" customWidth="1"/>
    <col min="770" max="770" width="3.875" style="2" bestFit="1" customWidth="1"/>
    <col min="771" max="771" width="38.25" style="2" customWidth="1"/>
    <col min="772" max="772" width="13.875" style="2" bestFit="1" customWidth="1"/>
    <col min="773" max="773" width="13" style="2" bestFit="1" customWidth="1"/>
    <col min="774" max="774" width="13.125" style="2" bestFit="1" customWidth="1"/>
    <col min="775" max="775" width="7" style="2" customWidth="1"/>
    <col min="776" max="776" width="12.125" style="2" bestFit="1" customWidth="1"/>
    <col min="777" max="777" width="10.5" style="2" bestFit="1" customWidth="1"/>
    <col min="778" max="778" width="7" style="2" bestFit="1" customWidth="1"/>
    <col min="779" max="779" width="5.875" style="2" bestFit="1" customWidth="1"/>
    <col min="780" max="780" width="8.75" style="2" bestFit="1" customWidth="1"/>
    <col min="781" max="782" width="8.5" style="2" bestFit="1" customWidth="1"/>
    <col min="783" max="783" width="14.375" style="2" bestFit="1" customWidth="1"/>
    <col min="784" max="784" width="10" style="2" bestFit="1" customWidth="1"/>
    <col min="785" max="785" width="6" style="2" customWidth="1"/>
    <col min="786" max="786" width="19.375" style="2" customWidth="1"/>
    <col min="787" max="787" width="11" style="2" bestFit="1" customWidth="1"/>
    <col min="788" max="789" width="8.25" style="2" bestFit="1" customWidth="1"/>
    <col min="790" max="1024" width="8.875" style="2"/>
    <col min="1025" max="1025" width="15.875" style="2" customWidth="1"/>
    <col min="1026" max="1026" width="3.875" style="2" bestFit="1" customWidth="1"/>
    <col min="1027" max="1027" width="38.25" style="2" customWidth="1"/>
    <col min="1028" max="1028" width="13.875" style="2" bestFit="1" customWidth="1"/>
    <col min="1029" max="1029" width="13" style="2" bestFit="1" customWidth="1"/>
    <col min="1030" max="1030" width="13.125" style="2" bestFit="1" customWidth="1"/>
    <col min="1031" max="1031" width="7" style="2" customWidth="1"/>
    <col min="1032" max="1032" width="12.125" style="2" bestFit="1" customWidth="1"/>
    <col min="1033" max="1033" width="10.5" style="2" bestFit="1" customWidth="1"/>
    <col min="1034" max="1034" width="7" style="2" bestFit="1" customWidth="1"/>
    <col min="1035" max="1035" width="5.875" style="2" bestFit="1" customWidth="1"/>
    <col min="1036" max="1036" width="8.75" style="2" bestFit="1" customWidth="1"/>
    <col min="1037" max="1038" width="8.5" style="2" bestFit="1" customWidth="1"/>
    <col min="1039" max="1039" width="14.375" style="2" bestFit="1" customWidth="1"/>
    <col min="1040" max="1040" width="10" style="2" bestFit="1" customWidth="1"/>
    <col min="1041" max="1041" width="6" style="2" customWidth="1"/>
    <col min="1042" max="1042" width="19.375" style="2" customWidth="1"/>
    <col min="1043" max="1043" width="11" style="2" bestFit="1" customWidth="1"/>
    <col min="1044" max="1045" width="8.25" style="2" bestFit="1" customWidth="1"/>
    <col min="1046" max="1280" width="8.875" style="2"/>
    <col min="1281" max="1281" width="15.875" style="2" customWidth="1"/>
    <col min="1282" max="1282" width="3.875" style="2" bestFit="1" customWidth="1"/>
    <col min="1283" max="1283" width="38.25" style="2" customWidth="1"/>
    <col min="1284" max="1284" width="13.875" style="2" bestFit="1" customWidth="1"/>
    <col min="1285" max="1285" width="13" style="2" bestFit="1" customWidth="1"/>
    <col min="1286" max="1286" width="13.125" style="2" bestFit="1" customWidth="1"/>
    <col min="1287" max="1287" width="7" style="2" customWidth="1"/>
    <col min="1288" max="1288" width="12.125" style="2" bestFit="1" customWidth="1"/>
    <col min="1289" max="1289" width="10.5" style="2" bestFit="1" customWidth="1"/>
    <col min="1290" max="1290" width="7" style="2" bestFit="1" customWidth="1"/>
    <col min="1291" max="1291" width="5.875" style="2" bestFit="1" customWidth="1"/>
    <col min="1292" max="1292" width="8.75" style="2" bestFit="1" customWidth="1"/>
    <col min="1293" max="1294" width="8.5" style="2" bestFit="1" customWidth="1"/>
    <col min="1295" max="1295" width="14.375" style="2" bestFit="1" customWidth="1"/>
    <col min="1296" max="1296" width="10" style="2" bestFit="1" customWidth="1"/>
    <col min="1297" max="1297" width="6" style="2" customWidth="1"/>
    <col min="1298" max="1298" width="19.375" style="2" customWidth="1"/>
    <col min="1299" max="1299" width="11" style="2" bestFit="1" customWidth="1"/>
    <col min="1300" max="1301" width="8.25" style="2" bestFit="1" customWidth="1"/>
    <col min="1302" max="1536" width="8.875" style="2"/>
    <col min="1537" max="1537" width="15.875" style="2" customWidth="1"/>
    <col min="1538" max="1538" width="3.875" style="2" bestFit="1" customWidth="1"/>
    <col min="1539" max="1539" width="38.25" style="2" customWidth="1"/>
    <col min="1540" max="1540" width="13.875" style="2" bestFit="1" customWidth="1"/>
    <col min="1541" max="1541" width="13" style="2" bestFit="1" customWidth="1"/>
    <col min="1542" max="1542" width="13.125" style="2" bestFit="1" customWidth="1"/>
    <col min="1543" max="1543" width="7" style="2" customWidth="1"/>
    <col min="1544" max="1544" width="12.125" style="2" bestFit="1" customWidth="1"/>
    <col min="1545" max="1545" width="10.5" style="2" bestFit="1" customWidth="1"/>
    <col min="1546" max="1546" width="7" style="2" bestFit="1" customWidth="1"/>
    <col min="1547" max="1547" width="5.875" style="2" bestFit="1" customWidth="1"/>
    <col min="1548" max="1548" width="8.75" style="2" bestFit="1" customWidth="1"/>
    <col min="1549" max="1550" width="8.5" style="2" bestFit="1" customWidth="1"/>
    <col min="1551" max="1551" width="14.375" style="2" bestFit="1" customWidth="1"/>
    <col min="1552" max="1552" width="10" style="2" bestFit="1" customWidth="1"/>
    <col min="1553" max="1553" width="6" style="2" customWidth="1"/>
    <col min="1554" max="1554" width="19.375" style="2" customWidth="1"/>
    <col min="1555" max="1555" width="11" style="2" bestFit="1" customWidth="1"/>
    <col min="1556" max="1557" width="8.25" style="2" bestFit="1" customWidth="1"/>
    <col min="1558" max="1792" width="8.875" style="2"/>
    <col min="1793" max="1793" width="15.875" style="2" customWidth="1"/>
    <col min="1794" max="1794" width="3.875" style="2" bestFit="1" customWidth="1"/>
    <col min="1795" max="1795" width="38.25" style="2" customWidth="1"/>
    <col min="1796" max="1796" width="13.875" style="2" bestFit="1" customWidth="1"/>
    <col min="1797" max="1797" width="13" style="2" bestFit="1" customWidth="1"/>
    <col min="1798" max="1798" width="13.125" style="2" bestFit="1" customWidth="1"/>
    <col min="1799" max="1799" width="7" style="2" customWidth="1"/>
    <col min="1800" max="1800" width="12.125" style="2" bestFit="1" customWidth="1"/>
    <col min="1801" max="1801" width="10.5" style="2" bestFit="1" customWidth="1"/>
    <col min="1802" max="1802" width="7" style="2" bestFit="1" customWidth="1"/>
    <col min="1803" max="1803" width="5.875" style="2" bestFit="1" customWidth="1"/>
    <col min="1804" max="1804" width="8.75" style="2" bestFit="1" customWidth="1"/>
    <col min="1805" max="1806" width="8.5" style="2" bestFit="1" customWidth="1"/>
    <col min="1807" max="1807" width="14.375" style="2" bestFit="1" customWidth="1"/>
    <col min="1808" max="1808" width="10" style="2" bestFit="1" customWidth="1"/>
    <col min="1809" max="1809" width="6" style="2" customWidth="1"/>
    <col min="1810" max="1810" width="19.375" style="2" customWidth="1"/>
    <col min="1811" max="1811" width="11" style="2" bestFit="1" customWidth="1"/>
    <col min="1812" max="1813" width="8.25" style="2" bestFit="1" customWidth="1"/>
    <col min="1814" max="2048" width="8.875" style="2"/>
    <col min="2049" max="2049" width="15.875" style="2" customWidth="1"/>
    <col min="2050" max="2050" width="3.875" style="2" bestFit="1" customWidth="1"/>
    <col min="2051" max="2051" width="38.25" style="2" customWidth="1"/>
    <col min="2052" max="2052" width="13.875" style="2" bestFit="1" customWidth="1"/>
    <col min="2053" max="2053" width="13" style="2" bestFit="1" customWidth="1"/>
    <col min="2054" max="2054" width="13.125" style="2" bestFit="1" customWidth="1"/>
    <col min="2055" max="2055" width="7" style="2" customWidth="1"/>
    <col min="2056" max="2056" width="12.125" style="2" bestFit="1" customWidth="1"/>
    <col min="2057" max="2057" width="10.5" style="2" bestFit="1" customWidth="1"/>
    <col min="2058" max="2058" width="7" style="2" bestFit="1" customWidth="1"/>
    <col min="2059" max="2059" width="5.875" style="2" bestFit="1" customWidth="1"/>
    <col min="2060" max="2060" width="8.75" style="2" bestFit="1" customWidth="1"/>
    <col min="2061" max="2062" width="8.5" style="2" bestFit="1" customWidth="1"/>
    <col min="2063" max="2063" width="14.375" style="2" bestFit="1" customWidth="1"/>
    <col min="2064" max="2064" width="10" style="2" bestFit="1" customWidth="1"/>
    <col min="2065" max="2065" width="6" style="2" customWidth="1"/>
    <col min="2066" max="2066" width="19.375" style="2" customWidth="1"/>
    <col min="2067" max="2067" width="11" style="2" bestFit="1" customWidth="1"/>
    <col min="2068" max="2069" width="8.25" style="2" bestFit="1" customWidth="1"/>
    <col min="2070" max="2304" width="8.875" style="2"/>
    <col min="2305" max="2305" width="15.875" style="2" customWidth="1"/>
    <col min="2306" max="2306" width="3.875" style="2" bestFit="1" customWidth="1"/>
    <col min="2307" max="2307" width="38.25" style="2" customWidth="1"/>
    <col min="2308" max="2308" width="13.875" style="2" bestFit="1" customWidth="1"/>
    <col min="2309" max="2309" width="13" style="2" bestFit="1" customWidth="1"/>
    <col min="2310" max="2310" width="13.125" style="2" bestFit="1" customWidth="1"/>
    <col min="2311" max="2311" width="7" style="2" customWidth="1"/>
    <col min="2312" max="2312" width="12.125" style="2" bestFit="1" customWidth="1"/>
    <col min="2313" max="2313" width="10.5" style="2" bestFit="1" customWidth="1"/>
    <col min="2314" max="2314" width="7" style="2" bestFit="1" customWidth="1"/>
    <col min="2315" max="2315" width="5.875" style="2" bestFit="1" customWidth="1"/>
    <col min="2316" max="2316" width="8.75" style="2" bestFit="1" customWidth="1"/>
    <col min="2317" max="2318" width="8.5" style="2" bestFit="1" customWidth="1"/>
    <col min="2319" max="2319" width="14.375" style="2" bestFit="1" customWidth="1"/>
    <col min="2320" max="2320" width="10" style="2" bestFit="1" customWidth="1"/>
    <col min="2321" max="2321" width="6" style="2" customWidth="1"/>
    <col min="2322" max="2322" width="19.375" style="2" customWidth="1"/>
    <col min="2323" max="2323" width="11" style="2" bestFit="1" customWidth="1"/>
    <col min="2324" max="2325" width="8.25" style="2" bestFit="1" customWidth="1"/>
    <col min="2326" max="2560" width="8.875" style="2"/>
    <col min="2561" max="2561" width="15.875" style="2" customWidth="1"/>
    <col min="2562" max="2562" width="3.875" style="2" bestFit="1" customWidth="1"/>
    <col min="2563" max="2563" width="38.25" style="2" customWidth="1"/>
    <col min="2564" max="2564" width="13.875" style="2" bestFit="1" customWidth="1"/>
    <col min="2565" max="2565" width="13" style="2" bestFit="1" customWidth="1"/>
    <col min="2566" max="2566" width="13.125" style="2" bestFit="1" customWidth="1"/>
    <col min="2567" max="2567" width="7" style="2" customWidth="1"/>
    <col min="2568" max="2568" width="12.125" style="2" bestFit="1" customWidth="1"/>
    <col min="2569" max="2569" width="10.5" style="2" bestFit="1" customWidth="1"/>
    <col min="2570" max="2570" width="7" style="2" bestFit="1" customWidth="1"/>
    <col min="2571" max="2571" width="5.875" style="2" bestFit="1" customWidth="1"/>
    <col min="2572" max="2572" width="8.75" style="2" bestFit="1" customWidth="1"/>
    <col min="2573" max="2574" width="8.5" style="2" bestFit="1" customWidth="1"/>
    <col min="2575" max="2575" width="14.375" style="2" bestFit="1" customWidth="1"/>
    <col min="2576" max="2576" width="10" style="2" bestFit="1" customWidth="1"/>
    <col min="2577" max="2577" width="6" style="2" customWidth="1"/>
    <col min="2578" max="2578" width="19.375" style="2" customWidth="1"/>
    <col min="2579" max="2579" width="11" style="2" bestFit="1" customWidth="1"/>
    <col min="2580" max="2581" width="8.25" style="2" bestFit="1" customWidth="1"/>
    <col min="2582" max="2816" width="8.875" style="2"/>
    <col min="2817" max="2817" width="15.875" style="2" customWidth="1"/>
    <col min="2818" max="2818" width="3.875" style="2" bestFit="1" customWidth="1"/>
    <col min="2819" max="2819" width="38.25" style="2" customWidth="1"/>
    <col min="2820" max="2820" width="13.875" style="2" bestFit="1" customWidth="1"/>
    <col min="2821" max="2821" width="13" style="2" bestFit="1" customWidth="1"/>
    <col min="2822" max="2822" width="13.125" style="2" bestFit="1" customWidth="1"/>
    <col min="2823" max="2823" width="7" style="2" customWidth="1"/>
    <col min="2824" max="2824" width="12.125" style="2" bestFit="1" customWidth="1"/>
    <col min="2825" max="2825" width="10.5" style="2" bestFit="1" customWidth="1"/>
    <col min="2826" max="2826" width="7" style="2" bestFit="1" customWidth="1"/>
    <col min="2827" max="2827" width="5.875" style="2" bestFit="1" customWidth="1"/>
    <col min="2828" max="2828" width="8.75" style="2" bestFit="1" customWidth="1"/>
    <col min="2829" max="2830" width="8.5" style="2" bestFit="1" customWidth="1"/>
    <col min="2831" max="2831" width="14.375" style="2" bestFit="1" customWidth="1"/>
    <col min="2832" max="2832" width="10" style="2" bestFit="1" customWidth="1"/>
    <col min="2833" max="2833" width="6" style="2" customWidth="1"/>
    <col min="2834" max="2834" width="19.375" style="2" customWidth="1"/>
    <col min="2835" max="2835" width="11" style="2" bestFit="1" customWidth="1"/>
    <col min="2836" max="2837" width="8.25" style="2" bestFit="1" customWidth="1"/>
    <col min="2838" max="3072" width="8.875" style="2"/>
    <col min="3073" max="3073" width="15.875" style="2" customWidth="1"/>
    <col min="3074" max="3074" width="3.875" style="2" bestFit="1" customWidth="1"/>
    <col min="3075" max="3075" width="38.25" style="2" customWidth="1"/>
    <col min="3076" max="3076" width="13.875" style="2" bestFit="1" customWidth="1"/>
    <col min="3077" max="3077" width="13" style="2" bestFit="1" customWidth="1"/>
    <col min="3078" max="3078" width="13.125" style="2" bestFit="1" customWidth="1"/>
    <col min="3079" max="3079" width="7" style="2" customWidth="1"/>
    <col min="3080" max="3080" width="12.125" style="2" bestFit="1" customWidth="1"/>
    <col min="3081" max="3081" width="10.5" style="2" bestFit="1" customWidth="1"/>
    <col min="3082" max="3082" width="7" style="2" bestFit="1" customWidth="1"/>
    <col min="3083" max="3083" width="5.875" style="2" bestFit="1" customWidth="1"/>
    <col min="3084" max="3084" width="8.75" style="2" bestFit="1" customWidth="1"/>
    <col min="3085" max="3086" width="8.5" style="2" bestFit="1" customWidth="1"/>
    <col min="3087" max="3087" width="14.375" style="2" bestFit="1" customWidth="1"/>
    <col min="3088" max="3088" width="10" style="2" bestFit="1" customWidth="1"/>
    <col min="3089" max="3089" width="6" style="2" customWidth="1"/>
    <col min="3090" max="3090" width="19.375" style="2" customWidth="1"/>
    <col min="3091" max="3091" width="11" style="2" bestFit="1" customWidth="1"/>
    <col min="3092" max="3093" width="8.25" style="2" bestFit="1" customWidth="1"/>
    <col min="3094" max="3328" width="8.875" style="2"/>
    <col min="3329" max="3329" width="15.875" style="2" customWidth="1"/>
    <col min="3330" max="3330" width="3.875" style="2" bestFit="1" customWidth="1"/>
    <col min="3331" max="3331" width="38.25" style="2" customWidth="1"/>
    <col min="3332" max="3332" width="13.875" style="2" bestFit="1" customWidth="1"/>
    <col min="3333" max="3333" width="13" style="2" bestFit="1" customWidth="1"/>
    <col min="3334" max="3334" width="13.125" style="2" bestFit="1" customWidth="1"/>
    <col min="3335" max="3335" width="7" style="2" customWidth="1"/>
    <col min="3336" max="3336" width="12.125" style="2" bestFit="1" customWidth="1"/>
    <col min="3337" max="3337" width="10.5" style="2" bestFit="1" customWidth="1"/>
    <col min="3338" max="3338" width="7" style="2" bestFit="1" customWidth="1"/>
    <col min="3339" max="3339" width="5.875" style="2" bestFit="1" customWidth="1"/>
    <col min="3340" max="3340" width="8.75" style="2" bestFit="1" customWidth="1"/>
    <col min="3341" max="3342" width="8.5" style="2" bestFit="1" customWidth="1"/>
    <col min="3343" max="3343" width="14.375" style="2" bestFit="1" customWidth="1"/>
    <col min="3344" max="3344" width="10" style="2" bestFit="1" customWidth="1"/>
    <col min="3345" max="3345" width="6" style="2" customWidth="1"/>
    <col min="3346" max="3346" width="19.375" style="2" customWidth="1"/>
    <col min="3347" max="3347" width="11" style="2" bestFit="1" customWidth="1"/>
    <col min="3348" max="3349" width="8.25" style="2" bestFit="1" customWidth="1"/>
    <col min="3350" max="3584" width="8.875" style="2"/>
    <col min="3585" max="3585" width="15.875" style="2" customWidth="1"/>
    <col min="3586" max="3586" width="3.875" style="2" bestFit="1" customWidth="1"/>
    <col min="3587" max="3587" width="38.25" style="2" customWidth="1"/>
    <col min="3588" max="3588" width="13.875" style="2" bestFit="1" customWidth="1"/>
    <col min="3589" max="3589" width="13" style="2" bestFit="1" customWidth="1"/>
    <col min="3590" max="3590" width="13.125" style="2" bestFit="1" customWidth="1"/>
    <col min="3591" max="3591" width="7" style="2" customWidth="1"/>
    <col min="3592" max="3592" width="12.125" style="2" bestFit="1" customWidth="1"/>
    <col min="3593" max="3593" width="10.5" style="2" bestFit="1" customWidth="1"/>
    <col min="3594" max="3594" width="7" style="2" bestFit="1" customWidth="1"/>
    <col min="3595" max="3595" width="5.875" style="2" bestFit="1" customWidth="1"/>
    <col min="3596" max="3596" width="8.75" style="2" bestFit="1" customWidth="1"/>
    <col min="3597" max="3598" width="8.5" style="2" bestFit="1" customWidth="1"/>
    <col min="3599" max="3599" width="14.375" style="2" bestFit="1" customWidth="1"/>
    <col min="3600" max="3600" width="10" style="2" bestFit="1" customWidth="1"/>
    <col min="3601" max="3601" width="6" style="2" customWidth="1"/>
    <col min="3602" max="3602" width="19.375" style="2" customWidth="1"/>
    <col min="3603" max="3603" width="11" style="2" bestFit="1" customWidth="1"/>
    <col min="3604" max="3605" width="8.25" style="2" bestFit="1" customWidth="1"/>
    <col min="3606" max="3840" width="8.875" style="2"/>
    <col min="3841" max="3841" width="15.875" style="2" customWidth="1"/>
    <col min="3842" max="3842" width="3.875" style="2" bestFit="1" customWidth="1"/>
    <col min="3843" max="3843" width="38.25" style="2" customWidth="1"/>
    <col min="3844" max="3844" width="13.875" style="2" bestFit="1" customWidth="1"/>
    <col min="3845" max="3845" width="13" style="2" bestFit="1" customWidth="1"/>
    <col min="3846" max="3846" width="13.125" style="2" bestFit="1" customWidth="1"/>
    <col min="3847" max="3847" width="7" style="2" customWidth="1"/>
    <col min="3848" max="3848" width="12.125" style="2" bestFit="1" customWidth="1"/>
    <col min="3849" max="3849" width="10.5" style="2" bestFit="1" customWidth="1"/>
    <col min="3850" max="3850" width="7" style="2" bestFit="1" customWidth="1"/>
    <col min="3851" max="3851" width="5.875" style="2" bestFit="1" customWidth="1"/>
    <col min="3852" max="3852" width="8.75" style="2" bestFit="1" customWidth="1"/>
    <col min="3853" max="3854" width="8.5" style="2" bestFit="1" customWidth="1"/>
    <col min="3855" max="3855" width="14.375" style="2" bestFit="1" customWidth="1"/>
    <col min="3856" max="3856" width="10" style="2" bestFit="1" customWidth="1"/>
    <col min="3857" max="3857" width="6" style="2" customWidth="1"/>
    <col min="3858" max="3858" width="19.375" style="2" customWidth="1"/>
    <col min="3859" max="3859" width="11" style="2" bestFit="1" customWidth="1"/>
    <col min="3860" max="3861" width="8.25" style="2" bestFit="1" customWidth="1"/>
    <col min="3862" max="4096" width="8.875" style="2"/>
    <col min="4097" max="4097" width="15.875" style="2" customWidth="1"/>
    <col min="4098" max="4098" width="3.875" style="2" bestFit="1" customWidth="1"/>
    <col min="4099" max="4099" width="38.25" style="2" customWidth="1"/>
    <col min="4100" max="4100" width="13.875" style="2" bestFit="1" customWidth="1"/>
    <col min="4101" max="4101" width="13" style="2" bestFit="1" customWidth="1"/>
    <col min="4102" max="4102" width="13.125" style="2" bestFit="1" customWidth="1"/>
    <col min="4103" max="4103" width="7" style="2" customWidth="1"/>
    <col min="4104" max="4104" width="12.125" style="2" bestFit="1" customWidth="1"/>
    <col min="4105" max="4105" width="10.5" style="2" bestFit="1" customWidth="1"/>
    <col min="4106" max="4106" width="7" style="2" bestFit="1" customWidth="1"/>
    <col min="4107" max="4107" width="5.875" style="2" bestFit="1" customWidth="1"/>
    <col min="4108" max="4108" width="8.75" style="2" bestFit="1" customWidth="1"/>
    <col min="4109" max="4110" width="8.5" style="2" bestFit="1" customWidth="1"/>
    <col min="4111" max="4111" width="14.375" style="2" bestFit="1" customWidth="1"/>
    <col min="4112" max="4112" width="10" style="2" bestFit="1" customWidth="1"/>
    <col min="4113" max="4113" width="6" style="2" customWidth="1"/>
    <col min="4114" max="4114" width="19.375" style="2" customWidth="1"/>
    <col min="4115" max="4115" width="11" style="2" bestFit="1" customWidth="1"/>
    <col min="4116" max="4117" width="8.25" style="2" bestFit="1" customWidth="1"/>
    <col min="4118" max="4352" width="8.875" style="2"/>
    <col min="4353" max="4353" width="15.875" style="2" customWidth="1"/>
    <col min="4354" max="4354" width="3.875" style="2" bestFit="1" customWidth="1"/>
    <col min="4355" max="4355" width="38.25" style="2" customWidth="1"/>
    <col min="4356" max="4356" width="13.875" style="2" bestFit="1" customWidth="1"/>
    <col min="4357" max="4357" width="13" style="2" bestFit="1" customWidth="1"/>
    <col min="4358" max="4358" width="13.125" style="2" bestFit="1" customWidth="1"/>
    <col min="4359" max="4359" width="7" style="2" customWidth="1"/>
    <col min="4360" max="4360" width="12.125" style="2" bestFit="1" customWidth="1"/>
    <col min="4361" max="4361" width="10.5" style="2" bestFit="1" customWidth="1"/>
    <col min="4362" max="4362" width="7" style="2" bestFit="1" customWidth="1"/>
    <col min="4363" max="4363" width="5.875" style="2" bestFit="1" customWidth="1"/>
    <col min="4364" max="4364" width="8.75" style="2" bestFit="1" customWidth="1"/>
    <col min="4365" max="4366" width="8.5" style="2" bestFit="1" customWidth="1"/>
    <col min="4367" max="4367" width="14.375" style="2" bestFit="1" customWidth="1"/>
    <col min="4368" max="4368" width="10" style="2" bestFit="1" customWidth="1"/>
    <col min="4369" max="4369" width="6" style="2" customWidth="1"/>
    <col min="4370" max="4370" width="19.375" style="2" customWidth="1"/>
    <col min="4371" max="4371" width="11" style="2" bestFit="1" customWidth="1"/>
    <col min="4372" max="4373" width="8.25" style="2" bestFit="1" customWidth="1"/>
    <col min="4374" max="4608" width="8.875" style="2"/>
    <col min="4609" max="4609" width="15.875" style="2" customWidth="1"/>
    <col min="4610" max="4610" width="3.875" style="2" bestFit="1" customWidth="1"/>
    <col min="4611" max="4611" width="38.25" style="2" customWidth="1"/>
    <col min="4612" max="4612" width="13.875" style="2" bestFit="1" customWidth="1"/>
    <col min="4613" max="4613" width="13" style="2" bestFit="1" customWidth="1"/>
    <col min="4614" max="4614" width="13.125" style="2" bestFit="1" customWidth="1"/>
    <col min="4615" max="4615" width="7" style="2" customWidth="1"/>
    <col min="4616" max="4616" width="12.125" style="2" bestFit="1" customWidth="1"/>
    <col min="4617" max="4617" width="10.5" style="2" bestFit="1" customWidth="1"/>
    <col min="4618" max="4618" width="7" style="2" bestFit="1" customWidth="1"/>
    <col min="4619" max="4619" width="5.875" style="2" bestFit="1" customWidth="1"/>
    <col min="4620" max="4620" width="8.75" style="2" bestFit="1" customWidth="1"/>
    <col min="4621" max="4622" width="8.5" style="2" bestFit="1" customWidth="1"/>
    <col min="4623" max="4623" width="14.375" style="2" bestFit="1" customWidth="1"/>
    <col min="4624" max="4624" width="10" style="2" bestFit="1" customWidth="1"/>
    <col min="4625" max="4625" width="6" style="2" customWidth="1"/>
    <col min="4626" max="4626" width="19.375" style="2" customWidth="1"/>
    <col min="4627" max="4627" width="11" style="2" bestFit="1" customWidth="1"/>
    <col min="4628" max="4629" width="8.25" style="2" bestFit="1" customWidth="1"/>
    <col min="4630" max="4864" width="8.875" style="2"/>
    <col min="4865" max="4865" width="15.875" style="2" customWidth="1"/>
    <col min="4866" max="4866" width="3.875" style="2" bestFit="1" customWidth="1"/>
    <col min="4867" max="4867" width="38.25" style="2" customWidth="1"/>
    <col min="4868" max="4868" width="13.875" style="2" bestFit="1" customWidth="1"/>
    <col min="4869" max="4869" width="13" style="2" bestFit="1" customWidth="1"/>
    <col min="4870" max="4870" width="13.125" style="2" bestFit="1" customWidth="1"/>
    <col min="4871" max="4871" width="7" style="2" customWidth="1"/>
    <col min="4872" max="4872" width="12.125" style="2" bestFit="1" customWidth="1"/>
    <col min="4873" max="4873" width="10.5" style="2" bestFit="1" customWidth="1"/>
    <col min="4874" max="4874" width="7" style="2" bestFit="1" customWidth="1"/>
    <col min="4875" max="4875" width="5.875" style="2" bestFit="1" customWidth="1"/>
    <col min="4876" max="4876" width="8.75" style="2" bestFit="1" customWidth="1"/>
    <col min="4877" max="4878" width="8.5" style="2" bestFit="1" customWidth="1"/>
    <col min="4879" max="4879" width="14.375" style="2" bestFit="1" customWidth="1"/>
    <col min="4880" max="4880" width="10" style="2" bestFit="1" customWidth="1"/>
    <col min="4881" max="4881" width="6" style="2" customWidth="1"/>
    <col min="4882" max="4882" width="19.375" style="2" customWidth="1"/>
    <col min="4883" max="4883" width="11" style="2" bestFit="1" customWidth="1"/>
    <col min="4884" max="4885" width="8.25" style="2" bestFit="1" customWidth="1"/>
    <col min="4886" max="5120" width="8.875" style="2"/>
    <col min="5121" max="5121" width="15.875" style="2" customWidth="1"/>
    <col min="5122" max="5122" width="3.875" style="2" bestFit="1" customWidth="1"/>
    <col min="5123" max="5123" width="38.25" style="2" customWidth="1"/>
    <col min="5124" max="5124" width="13.875" style="2" bestFit="1" customWidth="1"/>
    <col min="5125" max="5125" width="13" style="2" bestFit="1" customWidth="1"/>
    <col min="5126" max="5126" width="13.125" style="2" bestFit="1" customWidth="1"/>
    <col min="5127" max="5127" width="7" style="2" customWidth="1"/>
    <col min="5128" max="5128" width="12.125" style="2" bestFit="1" customWidth="1"/>
    <col min="5129" max="5129" width="10.5" style="2" bestFit="1" customWidth="1"/>
    <col min="5130" max="5130" width="7" style="2" bestFit="1" customWidth="1"/>
    <col min="5131" max="5131" width="5.875" style="2" bestFit="1" customWidth="1"/>
    <col min="5132" max="5132" width="8.75" style="2" bestFit="1" customWidth="1"/>
    <col min="5133" max="5134" width="8.5" style="2" bestFit="1" customWidth="1"/>
    <col min="5135" max="5135" width="14.375" style="2" bestFit="1" customWidth="1"/>
    <col min="5136" max="5136" width="10" style="2" bestFit="1" customWidth="1"/>
    <col min="5137" max="5137" width="6" style="2" customWidth="1"/>
    <col min="5138" max="5138" width="19.375" style="2" customWidth="1"/>
    <col min="5139" max="5139" width="11" style="2" bestFit="1" customWidth="1"/>
    <col min="5140" max="5141" width="8.25" style="2" bestFit="1" customWidth="1"/>
    <col min="5142" max="5376" width="8.875" style="2"/>
    <col min="5377" max="5377" width="15.875" style="2" customWidth="1"/>
    <col min="5378" max="5378" width="3.875" style="2" bestFit="1" customWidth="1"/>
    <col min="5379" max="5379" width="38.25" style="2" customWidth="1"/>
    <col min="5380" max="5380" width="13.875" style="2" bestFit="1" customWidth="1"/>
    <col min="5381" max="5381" width="13" style="2" bestFit="1" customWidth="1"/>
    <col min="5382" max="5382" width="13.125" style="2" bestFit="1" customWidth="1"/>
    <col min="5383" max="5383" width="7" style="2" customWidth="1"/>
    <col min="5384" max="5384" width="12.125" style="2" bestFit="1" customWidth="1"/>
    <col min="5385" max="5385" width="10.5" style="2" bestFit="1" customWidth="1"/>
    <col min="5386" max="5386" width="7" style="2" bestFit="1" customWidth="1"/>
    <col min="5387" max="5387" width="5.875" style="2" bestFit="1" customWidth="1"/>
    <col min="5388" max="5388" width="8.75" style="2" bestFit="1" customWidth="1"/>
    <col min="5389" max="5390" width="8.5" style="2" bestFit="1" customWidth="1"/>
    <col min="5391" max="5391" width="14.375" style="2" bestFit="1" customWidth="1"/>
    <col min="5392" max="5392" width="10" style="2" bestFit="1" customWidth="1"/>
    <col min="5393" max="5393" width="6" style="2" customWidth="1"/>
    <col min="5394" max="5394" width="19.375" style="2" customWidth="1"/>
    <col min="5395" max="5395" width="11" style="2" bestFit="1" customWidth="1"/>
    <col min="5396" max="5397" width="8.25" style="2" bestFit="1" customWidth="1"/>
    <col min="5398" max="5632" width="8.875" style="2"/>
    <col min="5633" max="5633" width="15.875" style="2" customWidth="1"/>
    <col min="5634" max="5634" width="3.875" style="2" bestFit="1" customWidth="1"/>
    <col min="5635" max="5635" width="38.25" style="2" customWidth="1"/>
    <col min="5636" max="5636" width="13.875" style="2" bestFit="1" customWidth="1"/>
    <col min="5637" max="5637" width="13" style="2" bestFit="1" customWidth="1"/>
    <col min="5638" max="5638" width="13.125" style="2" bestFit="1" customWidth="1"/>
    <col min="5639" max="5639" width="7" style="2" customWidth="1"/>
    <col min="5640" max="5640" width="12.125" style="2" bestFit="1" customWidth="1"/>
    <col min="5641" max="5641" width="10.5" style="2" bestFit="1" customWidth="1"/>
    <col min="5642" max="5642" width="7" style="2" bestFit="1" customWidth="1"/>
    <col min="5643" max="5643" width="5.875" style="2" bestFit="1" customWidth="1"/>
    <col min="5644" max="5644" width="8.75" style="2" bestFit="1" customWidth="1"/>
    <col min="5645" max="5646" width="8.5" style="2" bestFit="1" customWidth="1"/>
    <col min="5647" max="5647" width="14.375" style="2" bestFit="1" customWidth="1"/>
    <col min="5648" max="5648" width="10" style="2" bestFit="1" customWidth="1"/>
    <col min="5649" max="5649" width="6" style="2" customWidth="1"/>
    <col min="5650" max="5650" width="19.375" style="2" customWidth="1"/>
    <col min="5651" max="5651" width="11" style="2" bestFit="1" customWidth="1"/>
    <col min="5652" max="5653" width="8.25" style="2" bestFit="1" customWidth="1"/>
    <col min="5654" max="5888" width="8.875" style="2"/>
    <col min="5889" max="5889" width="15.875" style="2" customWidth="1"/>
    <col min="5890" max="5890" width="3.875" style="2" bestFit="1" customWidth="1"/>
    <col min="5891" max="5891" width="38.25" style="2" customWidth="1"/>
    <col min="5892" max="5892" width="13.875" style="2" bestFit="1" customWidth="1"/>
    <col min="5893" max="5893" width="13" style="2" bestFit="1" customWidth="1"/>
    <col min="5894" max="5894" width="13.125" style="2" bestFit="1" customWidth="1"/>
    <col min="5895" max="5895" width="7" style="2" customWidth="1"/>
    <col min="5896" max="5896" width="12.125" style="2" bestFit="1" customWidth="1"/>
    <col min="5897" max="5897" width="10.5" style="2" bestFit="1" customWidth="1"/>
    <col min="5898" max="5898" width="7" style="2" bestFit="1" customWidth="1"/>
    <col min="5899" max="5899" width="5.875" style="2" bestFit="1" customWidth="1"/>
    <col min="5900" max="5900" width="8.75" style="2" bestFit="1" customWidth="1"/>
    <col min="5901" max="5902" width="8.5" style="2" bestFit="1" customWidth="1"/>
    <col min="5903" max="5903" width="14.375" style="2" bestFit="1" customWidth="1"/>
    <col min="5904" max="5904" width="10" style="2" bestFit="1" customWidth="1"/>
    <col min="5905" max="5905" width="6" style="2" customWidth="1"/>
    <col min="5906" max="5906" width="19.375" style="2" customWidth="1"/>
    <col min="5907" max="5907" width="11" style="2" bestFit="1" customWidth="1"/>
    <col min="5908" max="5909" width="8.25" style="2" bestFit="1" customWidth="1"/>
    <col min="5910" max="6144" width="8.875" style="2"/>
    <col min="6145" max="6145" width="15.875" style="2" customWidth="1"/>
    <col min="6146" max="6146" width="3.875" style="2" bestFit="1" customWidth="1"/>
    <col min="6147" max="6147" width="38.25" style="2" customWidth="1"/>
    <col min="6148" max="6148" width="13.875" style="2" bestFit="1" customWidth="1"/>
    <col min="6149" max="6149" width="13" style="2" bestFit="1" customWidth="1"/>
    <col min="6150" max="6150" width="13.125" style="2" bestFit="1" customWidth="1"/>
    <col min="6151" max="6151" width="7" style="2" customWidth="1"/>
    <col min="6152" max="6152" width="12.125" style="2" bestFit="1" customWidth="1"/>
    <col min="6153" max="6153" width="10.5" style="2" bestFit="1" customWidth="1"/>
    <col min="6154" max="6154" width="7" style="2" bestFit="1" customWidth="1"/>
    <col min="6155" max="6155" width="5.875" style="2" bestFit="1" customWidth="1"/>
    <col min="6156" max="6156" width="8.75" style="2" bestFit="1" customWidth="1"/>
    <col min="6157" max="6158" width="8.5" style="2" bestFit="1" customWidth="1"/>
    <col min="6159" max="6159" width="14.375" style="2" bestFit="1" customWidth="1"/>
    <col min="6160" max="6160" width="10" style="2" bestFit="1" customWidth="1"/>
    <col min="6161" max="6161" width="6" style="2" customWidth="1"/>
    <col min="6162" max="6162" width="19.375" style="2" customWidth="1"/>
    <col min="6163" max="6163" width="11" style="2" bestFit="1" customWidth="1"/>
    <col min="6164" max="6165" width="8.25" style="2" bestFit="1" customWidth="1"/>
    <col min="6166" max="6400" width="8.875" style="2"/>
    <col min="6401" max="6401" width="15.875" style="2" customWidth="1"/>
    <col min="6402" max="6402" width="3.875" style="2" bestFit="1" customWidth="1"/>
    <col min="6403" max="6403" width="38.25" style="2" customWidth="1"/>
    <col min="6404" max="6404" width="13.875" style="2" bestFit="1" customWidth="1"/>
    <col min="6405" max="6405" width="13" style="2" bestFit="1" customWidth="1"/>
    <col min="6406" max="6406" width="13.125" style="2" bestFit="1" customWidth="1"/>
    <col min="6407" max="6407" width="7" style="2" customWidth="1"/>
    <col min="6408" max="6408" width="12.125" style="2" bestFit="1" customWidth="1"/>
    <col min="6409" max="6409" width="10.5" style="2" bestFit="1" customWidth="1"/>
    <col min="6410" max="6410" width="7" style="2" bestFit="1" customWidth="1"/>
    <col min="6411" max="6411" width="5.875" style="2" bestFit="1" customWidth="1"/>
    <col min="6412" max="6412" width="8.75" style="2" bestFit="1" customWidth="1"/>
    <col min="6413" max="6414" width="8.5" style="2" bestFit="1" customWidth="1"/>
    <col min="6415" max="6415" width="14.375" style="2" bestFit="1" customWidth="1"/>
    <col min="6416" max="6416" width="10" style="2" bestFit="1" customWidth="1"/>
    <col min="6417" max="6417" width="6" style="2" customWidth="1"/>
    <col min="6418" max="6418" width="19.375" style="2" customWidth="1"/>
    <col min="6419" max="6419" width="11" style="2" bestFit="1" customWidth="1"/>
    <col min="6420" max="6421" width="8.25" style="2" bestFit="1" customWidth="1"/>
    <col min="6422" max="6656" width="8.875" style="2"/>
    <col min="6657" max="6657" width="15.875" style="2" customWidth="1"/>
    <col min="6658" max="6658" width="3.875" style="2" bestFit="1" customWidth="1"/>
    <col min="6659" max="6659" width="38.25" style="2" customWidth="1"/>
    <col min="6660" max="6660" width="13.875" style="2" bestFit="1" customWidth="1"/>
    <col min="6661" max="6661" width="13" style="2" bestFit="1" customWidth="1"/>
    <col min="6662" max="6662" width="13.125" style="2" bestFit="1" customWidth="1"/>
    <col min="6663" max="6663" width="7" style="2" customWidth="1"/>
    <col min="6664" max="6664" width="12.125" style="2" bestFit="1" customWidth="1"/>
    <col min="6665" max="6665" width="10.5" style="2" bestFit="1" customWidth="1"/>
    <col min="6666" max="6666" width="7" style="2" bestFit="1" customWidth="1"/>
    <col min="6667" max="6667" width="5.875" style="2" bestFit="1" customWidth="1"/>
    <col min="6668" max="6668" width="8.75" style="2" bestFit="1" customWidth="1"/>
    <col min="6669" max="6670" width="8.5" style="2" bestFit="1" customWidth="1"/>
    <col min="6671" max="6671" width="14.375" style="2" bestFit="1" customWidth="1"/>
    <col min="6672" max="6672" width="10" style="2" bestFit="1" customWidth="1"/>
    <col min="6673" max="6673" width="6" style="2" customWidth="1"/>
    <col min="6674" max="6674" width="19.375" style="2" customWidth="1"/>
    <col min="6675" max="6675" width="11" style="2" bestFit="1" customWidth="1"/>
    <col min="6676" max="6677" width="8.25" style="2" bestFit="1" customWidth="1"/>
    <col min="6678" max="6912" width="8.875" style="2"/>
    <col min="6913" max="6913" width="15.875" style="2" customWidth="1"/>
    <col min="6914" max="6914" width="3.875" style="2" bestFit="1" customWidth="1"/>
    <col min="6915" max="6915" width="38.25" style="2" customWidth="1"/>
    <col min="6916" max="6916" width="13.875" style="2" bestFit="1" customWidth="1"/>
    <col min="6917" max="6917" width="13" style="2" bestFit="1" customWidth="1"/>
    <col min="6918" max="6918" width="13.125" style="2" bestFit="1" customWidth="1"/>
    <col min="6919" max="6919" width="7" style="2" customWidth="1"/>
    <col min="6920" max="6920" width="12.125" style="2" bestFit="1" customWidth="1"/>
    <col min="6921" max="6921" width="10.5" style="2" bestFit="1" customWidth="1"/>
    <col min="6922" max="6922" width="7" style="2" bestFit="1" customWidth="1"/>
    <col min="6923" max="6923" width="5.875" style="2" bestFit="1" customWidth="1"/>
    <col min="6924" max="6924" width="8.75" style="2" bestFit="1" customWidth="1"/>
    <col min="6925" max="6926" width="8.5" style="2" bestFit="1" customWidth="1"/>
    <col min="6927" max="6927" width="14.375" style="2" bestFit="1" customWidth="1"/>
    <col min="6928" max="6928" width="10" style="2" bestFit="1" customWidth="1"/>
    <col min="6929" max="6929" width="6" style="2" customWidth="1"/>
    <col min="6930" max="6930" width="19.375" style="2" customWidth="1"/>
    <col min="6931" max="6931" width="11" style="2" bestFit="1" customWidth="1"/>
    <col min="6932" max="6933" width="8.25" style="2" bestFit="1" customWidth="1"/>
    <col min="6934" max="7168" width="8.875" style="2"/>
    <col min="7169" max="7169" width="15.875" style="2" customWidth="1"/>
    <col min="7170" max="7170" width="3.875" style="2" bestFit="1" customWidth="1"/>
    <col min="7171" max="7171" width="38.25" style="2" customWidth="1"/>
    <col min="7172" max="7172" width="13.875" style="2" bestFit="1" customWidth="1"/>
    <col min="7173" max="7173" width="13" style="2" bestFit="1" customWidth="1"/>
    <col min="7174" max="7174" width="13.125" style="2" bestFit="1" customWidth="1"/>
    <col min="7175" max="7175" width="7" style="2" customWidth="1"/>
    <col min="7176" max="7176" width="12.125" style="2" bestFit="1" customWidth="1"/>
    <col min="7177" max="7177" width="10.5" style="2" bestFit="1" customWidth="1"/>
    <col min="7178" max="7178" width="7" style="2" bestFit="1" customWidth="1"/>
    <col min="7179" max="7179" width="5.875" style="2" bestFit="1" customWidth="1"/>
    <col min="7180" max="7180" width="8.75" style="2" bestFit="1" customWidth="1"/>
    <col min="7181" max="7182" width="8.5" style="2" bestFit="1" customWidth="1"/>
    <col min="7183" max="7183" width="14.375" style="2" bestFit="1" customWidth="1"/>
    <col min="7184" max="7184" width="10" style="2" bestFit="1" customWidth="1"/>
    <col min="7185" max="7185" width="6" style="2" customWidth="1"/>
    <col min="7186" max="7186" width="19.375" style="2" customWidth="1"/>
    <col min="7187" max="7187" width="11" style="2" bestFit="1" customWidth="1"/>
    <col min="7188" max="7189" width="8.25" style="2" bestFit="1" customWidth="1"/>
    <col min="7190" max="7424" width="8.875" style="2"/>
    <col min="7425" max="7425" width="15.875" style="2" customWidth="1"/>
    <col min="7426" max="7426" width="3.875" style="2" bestFit="1" customWidth="1"/>
    <col min="7427" max="7427" width="38.25" style="2" customWidth="1"/>
    <col min="7428" max="7428" width="13.875" style="2" bestFit="1" customWidth="1"/>
    <col min="7429" max="7429" width="13" style="2" bestFit="1" customWidth="1"/>
    <col min="7430" max="7430" width="13.125" style="2" bestFit="1" customWidth="1"/>
    <col min="7431" max="7431" width="7" style="2" customWidth="1"/>
    <col min="7432" max="7432" width="12.125" style="2" bestFit="1" customWidth="1"/>
    <col min="7433" max="7433" width="10.5" style="2" bestFit="1" customWidth="1"/>
    <col min="7434" max="7434" width="7" style="2" bestFit="1" customWidth="1"/>
    <col min="7435" max="7435" width="5.875" style="2" bestFit="1" customWidth="1"/>
    <col min="7436" max="7436" width="8.75" style="2" bestFit="1" customWidth="1"/>
    <col min="7437" max="7438" width="8.5" style="2" bestFit="1" customWidth="1"/>
    <col min="7439" max="7439" width="14.375" style="2" bestFit="1" customWidth="1"/>
    <col min="7440" max="7440" width="10" style="2" bestFit="1" customWidth="1"/>
    <col min="7441" max="7441" width="6" style="2" customWidth="1"/>
    <col min="7442" max="7442" width="19.375" style="2" customWidth="1"/>
    <col min="7443" max="7443" width="11" style="2" bestFit="1" customWidth="1"/>
    <col min="7444" max="7445" width="8.25" style="2" bestFit="1" customWidth="1"/>
    <col min="7446" max="7680" width="8.875" style="2"/>
    <col min="7681" max="7681" width="15.875" style="2" customWidth="1"/>
    <col min="7682" max="7682" width="3.875" style="2" bestFit="1" customWidth="1"/>
    <col min="7683" max="7683" width="38.25" style="2" customWidth="1"/>
    <col min="7684" max="7684" width="13.875" style="2" bestFit="1" customWidth="1"/>
    <col min="7685" max="7685" width="13" style="2" bestFit="1" customWidth="1"/>
    <col min="7686" max="7686" width="13.125" style="2" bestFit="1" customWidth="1"/>
    <col min="7687" max="7687" width="7" style="2" customWidth="1"/>
    <col min="7688" max="7688" width="12.125" style="2" bestFit="1" customWidth="1"/>
    <col min="7689" max="7689" width="10.5" style="2" bestFit="1" customWidth="1"/>
    <col min="7690" max="7690" width="7" style="2" bestFit="1" customWidth="1"/>
    <col min="7691" max="7691" width="5.875" style="2" bestFit="1" customWidth="1"/>
    <col min="7692" max="7692" width="8.75" style="2" bestFit="1" customWidth="1"/>
    <col min="7693" max="7694" width="8.5" style="2" bestFit="1" customWidth="1"/>
    <col min="7695" max="7695" width="14.375" style="2" bestFit="1" customWidth="1"/>
    <col min="7696" max="7696" width="10" style="2" bestFit="1" customWidth="1"/>
    <col min="7697" max="7697" width="6" style="2" customWidth="1"/>
    <col min="7698" max="7698" width="19.375" style="2" customWidth="1"/>
    <col min="7699" max="7699" width="11" style="2" bestFit="1" customWidth="1"/>
    <col min="7700" max="7701" width="8.25" style="2" bestFit="1" customWidth="1"/>
    <col min="7702" max="7936" width="8.875" style="2"/>
    <col min="7937" max="7937" width="15.875" style="2" customWidth="1"/>
    <col min="7938" max="7938" width="3.875" style="2" bestFit="1" customWidth="1"/>
    <col min="7939" max="7939" width="38.25" style="2" customWidth="1"/>
    <col min="7940" max="7940" width="13.875" style="2" bestFit="1" customWidth="1"/>
    <col min="7941" max="7941" width="13" style="2" bestFit="1" customWidth="1"/>
    <col min="7942" max="7942" width="13.125" style="2" bestFit="1" customWidth="1"/>
    <col min="7943" max="7943" width="7" style="2" customWidth="1"/>
    <col min="7944" max="7944" width="12.125" style="2" bestFit="1" customWidth="1"/>
    <col min="7945" max="7945" width="10.5" style="2" bestFit="1" customWidth="1"/>
    <col min="7946" max="7946" width="7" style="2" bestFit="1" customWidth="1"/>
    <col min="7947" max="7947" width="5.875" style="2" bestFit="1" customWidth="1"/>
    <col min="7948" max="7948" width="8.75" style="2" bestFit="1" customWidth="1"/>
    <col min="7949" max="7950" width="8.5" style="2" bestFit="1" customWidth="1"/>
    <col min="7951" max="7951" width="14.375" style="2" bestFit="1" customWidth="1"/>
    <col min="7952" max="7952" width="10" style="2" bestFit="1" customWidth="1"/>
    <col min="7953" max="7953" width="6" style="2" customWidth="1"/>
    <col min="7954" max="7954" width="19.375" style="2" customWidth="1"/>
    <col min="7955" max="7955" width="11" style="2" bestFit="1" customWidth="1"/>
    <col min="7956" max="7957" width="8.25" style="2" bestFit="1" customWidth="1"/>
    <col min="7958" max="8192" width="8.875" style="2"/>
    <col min="8193" max="8193" width="15.875" style="2" customWidth="1"/>
    <col min="8194" max="8194" width="3.875" style="2" bestFit="1" customWidth="1"/>
    <col min="8195" max="8195" width="38.25" style="2" customWidth="1"/>
    <col min="8196" max="8196" width="13.875" style="2" bestFit="1" customWidth="1"/>
    <col min="8197" max="8197" width="13" style="2" bestFit="1" customWidth="1"/>
    <col min="8198" max="8198" width="13.125" style="2" bestFit="1" customWidth="1"/>
    <col min="8199" max="8199" width="7" style="2" customWidth="1"/>
    <col min="8200" max="8200" width="12.125" style="2" bestFit="1" customWidth="1"/>
    <col min="8201" max="8201" width="10.5" style="2" bestFit="1" customWidth="1"/>
    <col min="8202" max="8202" width="7" style="2" bestFit="1" customWidth="1"/>
    <col min="8203" max="8203" width="5.875" style="2" bestFit="1" customWidth="1"/>
    <col min="8204" max="8204" width="8.75" style="2" bestFit="1" customWidth="1"/>
    <col min="8205" max="8206" width="8.5" style="2" bestFit="1" customWidth="1"/>
    <col min="8207" max="8207" width="14.375" style="2" bestFit="1" customWidth="1"/>
    <col min="8208" max="8208" width="10" style="2" bestFit="1" customWidth="1"/>
    <col min="8209" max="8209" width="6" style="2" customWidth="1"/>
    <col min="8210" max="8210" width="19.375" style="2" customWidth="1"/>
    <col min="8211" max="8211" width="11" style="2" bestFit="1" customWidth="1"/>
    <col min="8212" max="8213" width="8.25" style="2" bestFit="1" customWidth="1"/>
    <col min="8214" max="8448" width="8.875" style="2"/>
    <col min="8449" max="8449" width="15.875" style="2" customWidth="1"/>
    <col min="8450" max="8450" width="3.875" style="2" bestFit="1" customWidth="1"/>
    <col min="8451" max="8451" width="38.25" style="2" customWidth="1"/>
    <col min="8452" max="8452" width="13.875" style="2" bestFit="1" customWidth="1"/>
    <col min="8453" max="8453" width="13" style="2" bestFit="1" customWidth="1"/>
    <col min="8454" max="8454" width="13.125" style="2" bestFit="1" customWidth="1"/>
    <col min="8455" max="8455" width="7" style="2" customWidth="1"/>
    <col min="8456" max="8456" width="12.125" style="2" bestFit="1" customWidth="1"/>
    <col min="8457" max="8457" width="10.5" style="2" bestFit="1" customWidth="1"/>
    <col min="8458" max="8458" width="7" style="2" bestFit="1" customWidth="1"/>
    <col min="8459" max="8459" width="5.875" style="2" bestFit="1" customWidth="1"/>
    <col min="8460" max="8460" width="8.75" style="2" bestFit="1" customWidth="1"/>
    <col min="8461" max="8462" width="8.5" style="2" bestFit="1" customWidth="1"/>
    <col min="8463" max="8463" width="14.375" style="2" bestFit="1" customWidth="1"/>
    <col min="8464" max="8464" width="10" style="2" bestFit="1" customWidth="1"/>
    <col min="8465" max="8465" width="6" style="2" customWidth="1"/>
    <col min="8466" max="8466" width="19.375" style="2" customWidth="1"/>
    <col min="8467" max="8467" width="11" style="2" bestFit="1" customWidth="1"/>
    <col min="8468" max="8469" width="8.25" style="2" bestFit="1" customWidth="1"/>
    <col min="8470" max="8704" width="8.875" style="2"/>
    <col min="8705" max="8705" width="15.875" style="2" customWidth="1"/>
    <col min="8706" max="8706" width="3.875" style="2" bestFit="1" customWidth="1"/>
    <col min="8707" max="8707" width="38.25" style="2" customWidth="1"/>
    <col min="8708" max="8708" width="13.875" style="2" bestFit="1" customWidth="1"/>
    <col min="8709" max="8709" width="13" style="2" bestFit="1" customWidth="1"/>
    <col min="8710" max="8710" width="13.125" style="2" bestFit="1" customWidth="1"/>
    <col min="8711" max="8711" width="7" style="2" customWidth="1"/>
    <col min="8712" max="8712" width="12.125" style="2" bestFit="1" customWidth="1"/>
    <col min="8713" max="8713" width="10.5" style="2" bestFit="1" customWidth="1"/>
    <col min="8714" max="8714" width="7" style="2" bestFit="1" customWidth="1"/>
    <col min="8715" max="8715" width="5.875" style="2" bestFit="1" customWidth="1"/>
    <col min="8716" max="8716" width="8.75" style="2" bestFit="1" customWidth="1"/>
    <col min="8717" max="8718" width="8.5" style="2" bestFit="1" customWidth="1"/>
    <col min="8719" max="8719" width="14.375" style="2" bestFit="1" customWidth="1"/>
    <col min="8720" max="8720" width="10" style="2" bestFit="1" customWidth="1"/>
    <col min="8721" max="8721" width="6" style="2" customWidth="1"/>
    <col min="8722" max="8722" width="19.375" style="2" customWidth="1"/>
    <col min="8723" max="8723" width="11" style="2" bestFit="1" customWidth="1"/>
    <col min="8724" max="8725" width="8.25" style="2" bestFit="1" customWidth="1"/>
    <col min="8726" max="8960" width="8.875" style="2"/>
    <col min="8961" max="8961" width="15.875" style="2" customWidth="1"/>
    <col min="8962" max="8962" width="3.875" style="2" bestFit="1" customWidth="1"/>
    <col min="8963" max="8963" width="38.25" style="2" customWidth="1"/>
    <col min="8964" max="8964" width="13.875" style="2" bestFit="1" customWidth="1"/>
    <col min="8965" max="8965" width="13" style="2" bestFit="1" customWidth="1"/>
    <col min="8966" max="8966" width="13.125" style="2" bestFit="1" customWidth="1"/>
    <col min="8967" max="8967" width="7" style="2" customWidth="1"/>
    <col min="8968" max="8968" width="12.125" style="2" bestFit="1" customWidth="1"/>
    <col min="8969" max="8969" width="10.5" style="2" bestFit="1" customWidth="1"/>
    <col min="8970" max="8970" width="7" style="2" bestFit="1" customWidth="1"/>
    <col min="8971" max="8971" width="5.875" style="2" bestFit="1" customWidth="1"/>
    <col min="8972" max="8972" width="8.75" style="2" bestFit="1" customWidth="1"/>
    <col min="8973" max="8974" width="8.5" style="2" bestFit="1" customWidth="1"/>
    <col min="8975" max="8975" width="14.375" style="2" bestFit="1" customWidth="1"/>
    <col min="8976" max="8976" width="10" style="2" bestFit="1" customWidth="1"/>
    <col min="8977" max="8977" width="6" style="2" customWidth="1"/>
    <col min="8978" max="8978" width="19.375" style="2" customWidth="1"/>
    <col min="8979" max="8979" width="11" style="2" bestFit="1" customWidth="1"/>
    <col min="8980" max="8981" width="8.25" style="2" bestFit="1" customWidth="1"/>
    <col min="8982" max="9216" width="8.875" style="2"/>
    <col min="9217" max="9217" width="15.875" style="2" customWidth="1"/>
    <col min="9218" max="9218" width="3.875" style="2" bestFit="1" customWidth="1"/>
    <col min="9219" max="9219" width="38.25" style="2" customWidth="1"/>
    <col min="9220" max="9220" width="13.875" style="2" bestFit="1" customWidth="1"/>
    <col min="9221" max="9221" width="13" style="2" bestFit="1" customWidth="1"/>
    <col min="9222" max="9222" width="13.125" style="2" bestFit="1" customWidth="1"/>
    <col min="9223" max="9223" width="7" style="2" customWidth="1"/>
    <col min="9224" max="9224" width="12.125" style="2" bestFit="1" customWidth="1"/>
    <col min="9225" max="9225" width="10.5" style="2" bestFit="1" customWidth="1"/>
    <col min="9226" max="9226" width="7" style="2" bestFit="1" customWidth="1"/>
    <col min="9227" max="9227" width="5.875" style="2" bestFit="1" customWidth="1"/>
    <col min="9228" max="9228" width="8.75" style="2" bestFit="1" customWidth="1"/>
    <col min="9229" max="9230" width="8.5" style="2" bestFit="1" customWidth="1"/>
    <col min="9231" max="9231" width="14.375" style="2" bestFit="1" customWidth="1"/>
    <col min="9232" max="9232" width="10" style="2" bestFit="1" customWidth="1"/>
    <col min="9233" max="9233" width="6" style="2" customWidth="1"/>
    <col min="9234" max="9234" width="19.375" style="2" customWidth="1"/>
    <col min="9235" max="9235" width="11" style="2" bestFit="1" customWidth="1"/>
    <col min="9236" max="9237" width="8.25" style="2" bestFit="1" customWidth="1"/>
    <col min="9238" max="9472" width="8.875" style="2"/>
    <col min="9473" max="9473" width="15.875" style="2" customWidth="1"/>
    <col min="9474" max="9474" width="3.875" style="2" bestFit="1" customWidth="1"/>
    <col min="9475" max="9475" width="38.25" style="2" customWidth="1"/>
    <col min="9476" max="9476" width="13.875" style="2" bestFit="1" customWidth="1"/>
    <col min="9477" max="9477" width="13" style="2" bestFit="1" customWidth="1"/>
    <col min="9478" max="9478" width="13.125" style="2" bestFit="1" customWidth="1"/>
    <col min="9479" max="9479" width="7" style="2" customWidth="1"/>
    <col min="9480" max="9480" width="12.125" style="2" bestFit="1" customWidth="1"/>
    <col min="9481" max="9481" width="10.5" style="2" bestFit="1" customWidth="1"/>
    <col min="9482" max="9482" width="7" style="2" bestFit="1" customWidth="1"/>
    <col min="9483" max="9483" width="5.875" style="2" bestFit="1" customWidth="1"/>
    <col min="9484" max="9484" width="8.75" style="2" bestFit="1" customWidth="1"/>
    <col min="9485" max="9486" width="8.5" style="2" bestFit="1" customWidth="1"/>
    <col min="9487" max="9487" width="14.375" style="2" bestFit="1" customWidth="1"/>
    <col min="9488" max="9488" width="10" style="2" bestFit="1" customWidth="1"/>
    <col min="9489" max="9489" width="6" style="2" customWidth="1"/>
    <col min="9490" max="9490" width="19.375" style="2" customWidth="1"/>
    <col min="9491" max="9491" width="11" style="2" bestFit="1" customWidth="1"/>
    <col min="9492" max="9493" width="8.25" style="2" bestFit="1" customWidth="1"/>
    <col min="9494" max="9728" width="8.875" style="2"/>
    <col min="9729" max="9729" width="15.875" style="2" customWidth="1"/>
    <col min="9730" max="9730" width="3.875" style="2" bestFit="1" customWidth="1"/>
    <col min="9731" max="9731" width="38.25" style="2" customWidth="1"/>
    <col min="9732" max="9732" width="13.875" style="2" bestFit="1" customWidth="1"/>
    <col min="9733" max="9733" width="13" style="2" bestFit="1" customWidth="1"/>
    <col min="9734" max="9734" width="13.125" style="2" bestFit="1" customWidth="1"/>
    <col min="9735" max="9735" width="7" style="2" customWidth="1"/>
    <col min="9736" max="9736" width="12.125" style="2" bestFit="1" customWidth="1"/>
    <col min="9737" max="9737" width="10.5" style="2" bestFit="1" customWidth="1"/>
    <col min="9738" max="9738" width="7" style="2" bestFit="1" customWidth="1"/>
    <col min="9739" max="9739" width="5.875" style="2" bestFit="1" customWidth="1"/>
    <col min="9740" max="9740" width="8.75" style="2" bestFit="1" customWidth="1"/>
    <col min="9741" max="9742" width="8.5" style="2" bestFit="1" customWidth="1"/>
    <col min="9743" max="9743" width="14.375" style="2" bestFit="1" customWidth="1"/>
    <col min="9744" max="9744" width="10" style="2" bestFit="1" customWidth="1"/>
    <col min="9745" max="9745" width="6" style="2" customWidth="1"/>
    <col min="9746" max="9746" width="19.375" style="2" customWidth="1"/>
    <col min="9747" max="9747" width="11" style="2" bestFit="1" customWidth="1"/>
    <col min="9748" max="9749" width="8.25" style="2" bestFit="1" customWidth="1"/>
    <col min="9750" max="9984" width="8.875" style="2"/>
    <col min="9985" max="9985" width="15.875" style="2" customWidth="1"/>
    <col min="9986" max="9986" width="3.875" style="2" bestFit="1" customWidth="1"/>
    <col min="9987" max="9987" width="38.25" style="2" customWidth="1"/>
    <col min="9988" max="9988" width="13.875" style="2" bestFit="1" customWidth="1"/>
    <col min="9989" max="9989" width="13" style="2" bestFit="1" customWidth="1"/>
    <col min="9990" max="9990" width="13.125" style="2" bestFit="1" customWidth="1"/>
    <col min="9991" max="9991" width="7" style="2" customWidth="1"/>
    <col min="9992" max="9992" width="12.125" style="2" bestFit="1" customWidth="1"/>
    <col min="9993" max="9993" width="10.5" style="2" bestFit="1" customWidth="1"/>
    <col min="9994" max="9994" width="7" style="2" bestFit="1" customWidth="1"/>
    <col min="9995" max="9995" width="5.875" style="2" bestFit="1" customWidth="1"/>
    <col min="9996" max="9996" width="8.75" style="2" bestFit="1" customWidth="1"/>
    <col min="9997" max="9998" width="8.5" style="2" bestFit="1" customWidth="1"/>
    <col min="9999" max="9999" width="14.375" style="2" bestFit="1" customWidth="1"/>
    <col min="10000" max="10000" width="10" style="2" bestFit="1" customWidth="1"/>
    <col min="10001" max="10001" width="6" style="2" customWidth="1"/>
    <col min="10002" max="10002" width="19.375" style="2" customWidth="1"/>
    <col min="10003" max="10003" width="11" style="2" bestFit="1" customWidth="1"/>
    <col min="10004" max="10005" width="8.25" style="2" bestFit="1" customWidth="1"/>
    <col min="10006" max="10240" width="8.875" style="2"/>
    <col min="10241" max="10241" width="15.875" style="2" customWidth="1"/>
    <col min="10242" max="10242" width="3.875" style="2" bestFit="1" customWidth="1"/>
    <col min="10243" max="10243" width="38.25" style="2" customWidth="1"/>
    <col min="10244" max="10244" width="13.875" style="2" bestFit="1" customWidth="1"/>
    <col min="10245" max="10245" width="13" style="2" bestFit="1" customWidth="1"/>
    <col min="10246" max="10246" width="13.125" style="2" bestFit="1" customWidth="1"/>
    <col min="10247" max="10247" width="7" style="2" customWidth="1"/>
    <col min="10248" max="10248" width="12.125" style="2" bestFit="1" customWidth="1"/>
    <col min="10249" max="10249" width="10.5" style="2" bestFit="1" customWidth="1"/>
    <col min="10250" max="10250" width="7" style="2" bestFit="1" customWidth="1"/>
    <col min="10251" max="10251" width="5.875" style="2" bestFit="1" customWidth="1"/>
    <col min="10252" max="10252" width="8.75" style="2" bestFit="1" customWidth="1"/>
    <col min="10253" max="10254" width="8.5" style="2" bestFit="1" customWidth="1"/>
    <col min="10255" max="10255" width="14.375" style="2" bestFit="1" customWidth="1"/>
    <col min="10256" max="10256" width="10" style="2" bestFit="1" customWidth="1"/>
    <col min="10257" max="10257" width="6" style="2" customWidth="1"/>
    <col min="10258" max="10258" width="19.375" style="2" customWidth="1"/>
    <col min="10259" max="10259" width="11" style="2" bestFit="1" customWidth="1"/>
    <col min="10260" max="10261" width="8.25" style="2" bestFit="1" customWidth="1"/>
    <col min="10262" max="10496" width="8.875" style="2"/>
    <col min="10497" max="10497" width="15.875" style="2" customWidth="1"/>
    <col min="10498" max="10498" width="3.875" style="2" bestFit="1" customWidth="1"/>
    <col min="10499" max="10499" width="38.25" style="2" customWidth="1"/>
    <col min="10500" max="10500" width="13.875" style="2" bestFit="1" customWidth="1"/>
    <col min="10501" max="10501" width="13" style="2" bestFit="1" customWidth="1"/>
    <col min="10502" max="10502" width="13.125" style="2" bestFit="1" customWidth="1"/>
    <col min="10503" max="10503" width="7" style="2" customWidth="1"/>
    <col min="10504" max="10504" width="12.125" style="2" bestFit="1" customWidth="1"/>
    <col min="10505" max="10505" width="10.5" style="2" bestFit="1" customWidth="1"/>
    <col min="10506" max="10506" width="7" style="2" bestFit="1" customWidth="1"/>
    <col min="10507" max="10507" width="5.875" style="2" bestFit="1" customWidth="1"/>
    <col min="10508" max="10508" width="8.75" style="2" bestFit="1" customWidth="1"/>
    <col min="10509" max="10510" width="8.5" style="2" bestFit="1" customWidth="1"/>
    <col min="10511" max="10511" width="14.375" style="2" bestFit="1" customWidth="1"/>
    <col min="10512" max="10512" width="10" style="2" bestFit="1" customWidth="1"/>
    <col min="10513" max="10513" width="6" style="2" customWidth="1"/>
    <col min="10514" max="10514" width="19.375" style="2" customWidth="1"/>
    <col min="10515" max="10515" width="11" style="2" bestFit="1" customWidth="1"/>
    <col min="10516" max="10517" width="8.25" style="2" bestFit="1" customWidth="1"/>
    <col min="10518" max="10752" width="8.875" style="2"/>
    <col min="10753" max="10753" width="15.875" style="2" customWidth="1"/>
    <col min="10754" max="10754" width="3.875" style="2" bestFit="1" customWidth="1"/>
    <col min="10755" max="10755" width="38.25" style="2" customWidth="1"/>
    <col min="10756" max="10756" width="13.875" style="2" bestFit="1" customWidth="1"/>
    <col min="10757" max="10757" width="13" style="2" bestFit="1" customWidth="1"/>
    <col min="10758" max="10758" width="13.125" style="2" bestFit="1" customWidth="1"/>
    <col min="10759" max="10759" width="7" style="2" customWidth="1"/>
    <col min="10760" max="10760" width="12.125" style="2" bestFit="1" customWidth="1"/>
    <col min="10761" max="10761" width="10.5" style="2" bestFit="1" customWidth="1"/>
    <col min="10762" max="10762" width="7" style="2" bestFit="1" customWidth="1"/>
    <col min="10763" max="10763" width="5.875" style="2" bestFit="1" customWidth="1"/>
    <col min="10764" max="10764" width="8.75" style="2" bestFit="1" customWidth="1"/>
    <col min="10765" max="10766" width="8.5" style="2" bestFit="1" customWidth="1"/>
    <col min="10767" max="10767" width="14.375" style="2" bestFit="1" customWidth="1"/>
    <col min="10768" max="10768" width="10" style="2" bestFit="1" customWidth="1"/>
    <col min="10769" max="10769" width="6" style="2" customWidth="1"/>
    <col min="10770" max="10770" width="19.375" style="2" customWidth="1"/>
    <col min="10771" max="10771" width="11" style="2" bestFit="1" customWidth="1"/>
    <col min="10772" max="10773" width="8.25" style="2" bestFit="1" customWidth="1"/>
    <col min="10774" max="11008" width="8.875" style="2"/>
    <col min="11009" max="11009" width="15.875" style="2" customWidth="1"/>
    <col min="11010" max="11010" width="3.875" style="2" bestFit="1" customWidth="1"/>
    <col min="11011" max="11011" width="38.25" style="2" customWidth="1"/>
    <col min="11012" max="11012" width="13.875" style="2" bestFit="1" customWidth="1"/>
    <col min="11013" max="11013" width="13" style="2" bestFit="1" customWidth="1"/>
    <col min="11014" max="11014" width="13.125" style="2" bestFit="1" customWidth="1"/>
    <col min="11015" max="11015" width="7" style="2" customWidth="1"/>
    <col min="11016" max="11016" width="12.125" style="2" bestFit="1" customWidth="1"/>
    <col min="11017" max="11017" width="10.5" style="2" bestFit="1" customWidth="1"/>
    <col min="11018" max="11018" width="7" style="2" bestFit="1" customWidth="1"/>
    <col min="11019" max="11019" width="5.875" style="2" bestFit="1" customWidth="1"/>
    <col min="11020" max="11020" width="8.75" style="2" bestFit="1" customWidth="1"/>
    <col min="11021" max="11022" width="8.5" style="2" bestFit="1" customWidth="1"/>
    <col min="11023" max="11023" width="14.375" style="2" bestFit="1" customWidth="1"/>
    <col min="11024" max="11024" width="10" style="2" bestFit="1" customWidth="1"/>
    <col min="11025" max="11025" width="6" style="2" customWidth="1"/>
    <col min="11026" max="11026" width="19.375" style="2" customWidth="1"/>
    <col min="11027" max="11027" width="11" style="2" bestFit="1" customWidth="1"/>
    <col min="11028" max="11029" width="8.25" style="2" bestFit="1" customWidth="1"/>
    <col min="11030" max="11264" width="8.875" style="2"/>
    <col min="11265" max="11265" width="15.875" style="2" customWidth="1"/>
    <col min="11266" max="11266" width="3.875" style="2" bestFit="1" customWidth="1"/>
    <col min="11267" max="11267" width="38.25" style="2" customWidth="1"/>
    <col min="11268" max="11268" width="13.875" style="2" bestFit="1" customWidth="1"/>
    <col min="11269" max="11269" width="13" style="2" bestFit="1" customWidth="1"/>
    <col min="11270" max="11270" width="13.125" style="2" bestFit="1" customWidth="1"/>
    <col min="11271" max="11271" width="7" style="2" customWidth="1"/>
    <col min="11272" max="11272" width="12.125" style="2" bestFit="1" customWidth="1"/>
    <col min="11273" max="11273" width="10.5" style="2" bestFit="1" customWidth="1"/>
    <col min="11274" max="11274" width="7" style="2" bestFit="1" customWidth="1"/>
    <col min="11275" max="11275" width="5.875" style="2" bestFit="1" customWidth="1"/>
    <col min="11276" max="11276" width="8.75" style="2" bestFit="1" customWidth="1"/>
    <col min="11277" max="11278" width="8.5" style="2" bestFit="1" customWidth="1"/>
    <col min="11279" max="11279" width="14.375" style="2" bestFit="1" customWidth="1"/>
    <col min="11280" max="11280" width="10" style="2" bestFit="1" customWidth="1"/>
    <col min="11281" max="11281" width="6" style="2" customWidth="1"/>
    <col min="11282" max="11282" width="19.375" style="2" customWidth="1"/>
    <col min="11283" max="11283" width="11" style="2" bestFit="1" customWidth="1"/>
    <col min="11284" max="11285" width="8.25" style="2" bestFit="1" customWidth="1"/>
    <col min="11286" max="11520" width="8.875" style="2"/>
    <col min="11521" max="11521" width="15.875" style="2" customWidth="1"/>
    <col min="11522" max="11522" width="3.875" style="2" bestFit="1" customWidth="1"/>
    <col min="11523" max="11523" width="38.25" style="2" customWidth="1"/>
    <col min="11524" max="11524" width="13.875" style="2" bestFit="1" customWidth="1"/>
    <col min="11525" max="11525" width="13" style="2" bestFit="1" customWidth="1"/>
    <col min="11526" max="11526" width="13.125" style="2" bestFit="1" customWidth="1"/>
    <col min="11527" max="11527" width="7" style="2" customWidth="1"/>
    <col min="11528" max="11528" width="12.125" style="2" bestFit="1" customWidth="1"/>
    <col min="11529" max="11529" width="10.5" style="2" bestFit="1" customWidth="1"/>
    <col min="11530" max="11530" width="7" style="2" bestFit="1" customWidth="1"/>
    <col min="11531" max="11531" width="5.875" style="2" bestFit="1" customWidth="1"/>
    <col min="11532" max="11532" width="8.75" style="2" bestFit="1" customWidth="1"/>
    <col min="11533" max="11534" width="8.5" style="2" bestFit="1" customWidth="1"/>
    <col min="11535" max="11535" width="14.375" style="2" bestFit="1" customWidth="1"/>
    <col min="11536" max="11536" width="10" style="2" bestFit="1" customWidth="1"/>
    <col min="11537" max="11537" width="6" style="2" customWidth="1"/>
    <col min="11538" max="11538" width="19.375" style="2" customWidth="1"/>
    <col min="11539" max="11539" width="11" style="2" bestFit="1" customWidth="1"/>
    <col min="11540" max="11541" width="8.25" style="2" bestFit="1" customWidth="1"/>
    <col min="11542" max="11776" width="8.875" style="2"/>
    <col min="11777" max="11777" width="15.875" style="2" customWidth="1"/>
    <col min="11778" max="11778" width="3.875" style="2" bestFit="1" customWidth="1"/>
    <col min="11779" max="11779" width="38.25" style="2" customWidth="1"/>
    <col min="11780" max="11780" width="13.875" style="2" bestFit="1" customWidth="1"/>
    <col min="11781" max="11781" width="13" style="2" bestFit="1" customWidth="1"/>
    <col min="11782" max="11782" width="13.125" style="2" bestFit="1" customWidth="1"/>
    <col min="11783" max="11783" width="7" style="2" customWidth="1"/>
    <col min="11784" max="11784" width="12.125" style="2" bestFit="1" customWidth="1"/>
    <col min="11785" max="11785" width="10.5" style="2" bestFit="1" customWidth="1"/>
    <col min="11786" max="11786" width="7" style="2" bestFit="1" customWidth="1"/>
    <col min="11787" max="11787" width="5.875" style="2" bestFit="1" customWidth="1"/>
    <col min="11788" max="11788" width="8.75" style="2" bestFit="1" customWidth="1"/>
    <col min="11789" max="11790" width="8.5" style="2" bestFit="1" customWidth="1"/>
    <col min="11791" max="11791" width="14.375" style="2" bestFit="1" customWidth="1"/>
    <col min="11792" max="11792" width="10" style="2" bestFit="1" customWidth="1"/>
    <col min="11793" max="11793" width="6" style="2" customWidth="1"/>
    <col min="11794" max="11794" width="19.375" style="2" customWidth="1"/>
    <col min="11795" max="11795" width="11" style="2" bestFit="1" customWidth="1"/>
    <col min="11796" max="11797" width="8.25" style="2" bestFit="1" customWidth="1"/>
    <col min="11798" max="12032" width="8.875" style="2"/>
    <col min="12033" max="12033" width="15.875" style="2" customWidth="1"/>
    <col min="12034" max="12034" width="3.875" style="2" bestFit="1" customWidth="1"/>
    <col min="12035" max="12035" width="38.25" style="2" customWidth="1"/>
    <col min="12036" max="12036" width="13.875" style="2" bestFit="1" customWidth="1"/>
    <col min="12037" max="12037" width="13" style="2" bestFit="1" customWidth="1"/>
    <col min="12038" max="12038" width="13.125" style="2" bestFit="1" customWidth="1"/>
    <col min="12039" max="12039" width="7" style="2" customWidth="1"/>
    <col min="12040" max="12040" width="12.125" style="2" bestFit="1" customWidth="1"/>
    <col min="12041" max="12041" width="10.5" style="2" bestFit="1" customWidth="1"/>
    <col min="12042" max="12042" width="7" style="2" bestFit="1" customWidth="1"/>
    <col min="12043" max="12043" width="5.875" style="2" bestFit="1" customWidth="1"/>
    <col min="12044" max="12044" width="8.75" style="2" bestFit="1" customWidth="1"/>
    <col min="12045" max="12046" width="8.5" style="2" bestFit="1" customWidth="1"/>
    <col min="12047" max="12047" width="14.375" style="2" bestFit="1" customWidth="1"/>
    <col min="12048" max="12048" width="10" style="2" bestFit="1" customWidth="1"/>
    <col min="12049" max="12049" width="6" style="2" customWidth="1"/>
    <col min="12050" max="12050" width="19.375" style="2" customWidth="1"/>
    <col min="12051" max="12051" width="11" style="2" bestFit="1" customWidth="1"/>
    <col min="12052" max="12053" width="8.25" style="2" bestFit="1" customWidth="1"/>
    <col min="12054" max="12288" width="8.875" style="2"/>
    <col min="12289" max="12289" width="15.875" style="2" customWidth="1"/>
    <col min="12290" max="12290" width="3.875" style="2" bestFit="1" customWidth="1"/>
    <col min="12291" max="12291" width="38.25" style="2" customWidth="1"/>
    <col min="12292" max="12292" width="13.875" style="2" bestFit="1" customWidth="1"/>
    <col min="12293" max="12293" width="13" style="2" bestFit="1" customWidth="1"/>
    <col min="12294" max="12294" width="13.125" style="2" bestFit="1" customWidth="1"/>
    <col min="12295" max="12295" width="7" style="2" customWidth="1"/>
    <col min="12296" max="12296" width="12.125" style="2" bestFit="1" customWidth="1"/>
    <col min="12297" max="12297" width="10.5" style="2" bestFit="1" customWidth="1"/>
    <col min="12298" max="12298" width="7" style="2" bestFit="1" customWidth="1"/>
    <col min="12299" max="12299" width="5.875" style="2" bestFit="1" customWidth="1"/>
    <col min="12300" max="12300" width="8.75" style="2" bestFit="1" customWidth="1"/>
    <col min="12301" max="12302" width="8.5" style="2" bestFit="1" customWidth="1"/>
    <col min="12303" max="12303" width="14.375" style="2" bestFit="1" customWidth="1"/>
    <col min="12304" max="12304" width="10" style="2" bestFit="1" customWidth="1"/>
    <col min="12305" max="12305" width="6" style="2" customWidth="1"/>
    <col min="12306" max="12306" width="19.375" style="2" customWidth="1"/>
    <col min="12307" max="12307" width="11" style="2" bestFit="1" customWidth="1"/>
    <col min="12308" max="12309" width="8.25" style="2" bestFit="1" customWidth="1"/>
    <col min="12310" max="12544" width="8.875" style="2"/>
    <col min="12545" max="12545" width="15.875" style="2" customWidth="1"/>
    <col min="12546" max="12546" width="3.875" style="2" bestFit="1" customWidth="1"/>
    <col min="12547" max="12547" width="38.25" style="2" customWidth="1"/>
    <col min="12548" max="12548" width="13.875" style="2" bestFit="1" customWidth="1"/>
    <col min="12549" max="12549" width="13" style="2" bestFit="1" customWidth="1"/>
    <col min="12550" max="12550" width="13.125" style="2" bestFit="1" customWidth="1"/>
    <col min="12551" max="12551" width="7" style="2" customWidth="1"/>
    <col min="12552" max="12552" width="12.125" style="2" bestFit="1" customWidth="1"/>
    <col min="12553" max="12553" width="10.5" style="2" bestFit="1" customWidth="1"/>
    <col min="12554" max="12554" width="7" style="2" bestFit="1" customWidth="1"/>
    <col min="12555" max="12555" width="5.875" style="2" bestFit="1" customWidth="1"/>
    <col min="12556" max="12556" width="8.75" style="2" bestFit="1" customWidth="1"/>
    <col min="12557" max="12558" width="8.5" style="2" bestFit="1" customWidth="1"/>
    <col min="12559" max="12559" width="14.375" style="2" bestFit="1" customWidth="1"/>
    <col min="12560" max="12560" width="10" style="2" bestFit="1" customWidth="1"/>
    <col min="12561" max="12561" width="6" style="2" customWidth="1"/>
    <col min="12562" max="12562" width="19.375" style="2" customWidth="1"/>
    <col min="12563" max="12563" width="11" style="2" bestFit="1" customWidth="1"/>
    <col min="12564" max="12565" width="8.25" style="2" bestFit="1" customWidth="1"/>
    <col min="12566" max="12800" width="8.875" style="2"/>
    <col min="12801" max="12801" width="15.875" style="2" customWidth="1"/>
    <col min="12802" max="12802" width="3.875" style="2" bestFit="1" customWidth="1"/>
    <col min="12803" max="12803" width="38.25" style="2" customWidth="1"/>
    <col min="12804" max="12804" width="13.875" style="2" bestFit="1" customWidth="1"/>
    <col min="12805" max="12805" width="13" style="2" bestFit="1" customWidth="1"/>
    <col min="12806" max="12806" width="13.125" style="2" bestFit="1" customWidth="1"/>
    <col min="12807" max="12807" width="7" style="2" customWidth="1"/>
    <col min="12808" max="12808" width="12.125" style="2" bestFit="1" customWidth="1"/>
    <col min="12809" max="12809" width="10.5" style="2" bestFit="1" customWidth="1"/>
    <col min="12810" max="12810" width="7" style="2" bestFit="1" customWidth="1"/>
    <col min="12811" max="12811" width="5.875" style="2" bestFit="1" customWidth="1"/>
    <col min="12812" max="12812" width="8.75" style="2" bestFit="1" customWidth="1"/>
    <col min="12813" max="12814" width="8.5" style="2" bestFit="1" customWidth="1"/>
    <col min="12815" max="12815" width="14.375" style="2" bestFit="1" customWidth="1"/>
    <col min="12816" max="12816" width="10" style="2" bestFit="1" customWidth="1"/>
    <col min="12817" max="12817" width="6" style="2" customWidth="1"/>
    <col min="12818" max="12818" width="19.375" style="2" customWidth="1"/>
    <col min="12819" max="12819" width="11" style="2" bestFit="1" customWidth="1"/>
    <col min="12820" max="12821" width="8.25" style="2" bestFit="1" customWidth="1"/>
    <col min="12822" max="13056" width="8.875" style="2"/>
    <col min="13057" max="13057" width="15.875" style="2" customWidth="1"/>
    <col min="13058" max="13058" width="3.875" style="2" bestFit="1" customWidth="1"/>
    <col min="13059" max="13059" width="38.25" style="2" customWidth="1"/>
    <col min="13060" max="13060" width="13.875" style="2" bestFit="1" customWidth="1"/>
    <col min="13061" max="13061" width="13" style="2" bestFit="1" customWidth="1"/>
    <col min="13062" max="13062" width="13.125" style="2" bestFit="1" customWidth="1"/>
    <col min="13063" max="13063" width="7" style="2" customWidth="1"/>
    <col min="13064" max="13064" width="12.125" style="2" bestFit="1" customWidth="1"/>
    <col min="13065" max="13065" width="10.5" style="2" bestFit="1" customWidth="1"/>
    <col min="13066" max="13066" width="7" style="2" bestFit="1" customWidth="1"/>
    <col min="13067" max="13067" width="5.875" style="2" bestFit="1" customWidth="1"/>
    <col min="13068" max="13068" width="8.75" style="2" bestFit="1" customWidth="1"/>
    <col min="13069" max="13070" width="8.5" style="2" bestFit="1" customWidth="1"/>
    <col min="13071" max="13071" width="14.375" style="2" bestFit="1" customWidth="1"/>
    <col min="13072" max="13072" width="10" style="2" bestFit="1" customWidth="1"/>
    <col min="13073" max="13073" width="6" style="2" customWidth="1"/>
    <col min="13074" max="13074" width="19.375" style="2" customWidth="1"/>
    <col min="13075" max="13075" width="11" style="2" bestFit="1" customWidth="1"/>
    <col min="13076" max="13077" width="8.25" style="2" bestFit="1" customWidth="1"/>
    <col min="13078" max="13312" width="8.875" style="2"/>
    <col min="13313" max="13313" width="15.875" style="2" customWidth="1"/>
    <col min="13314" max="13314" width="3.875" style="2" bestFit="1" customWidth="1"/>
    <col min="13315" max="13315" width="38.25" style="2" customWidth="1"/>
    <col min="13316" max="13316" width="13.875" style="2" bestFit="1" customWidth="1"/>
    <col min="13317" max="13317" width="13" style="2" bestFit="1" customWidth="1"/>
    <col min="13318" max="13318" width="13.125" style="2" bestFit="1" customWidth="1"/>
    <col min="13319" max="13319" width="7" style="2" customWidth="1"/>
    <col min="13320" max="13320" width="12.125" style="2" bestFit="1" customWidth="1"/>
    <col min="13321" max="13321" width="10.5" style="2" bestFit="1" customWidth="1"/>
    <col min="13322" max="13322" width="7" style="2" bestFit="1" customWidth="1"/>
    <col min="13323" max="13323" width="5.875" style="2" bestFit="1" customWidth="1"/>
    <col min="13324" max="13324" width="8.75" style="2" bestFit="1" customWidth="1"/>
    <col min="13325" max="13326" width="8.5" style="2" bestFit="1" customWidth="1"/>
    <col min="13327" max="13327" width="14.375" style="2" bestFit="1" customWidth="1"/>
    <col min="13328" max="13328" width="10" style="2" bestFit="1" customWidth="1"/>
    <col min="13329" max="13329" width="6" style="2" customWidth="1"/>
    <col min="13330" max="13330" width="19.375" style="2" customWidth="1"/>
    <col min="13331" max="13331" width="11" style="2" bestFit="1" customWidth="1"/>
    <col min="13332" max="13333" width="8.25" style="2" bestFit="1" customWidth="1"/>
    <col min="13334" max="13568" width="8.875" style="2"/>
    <col min="13569" max="13569" width="15.875" style="2" customWidth="1"/>
    <col min="13570" max="13570" width="3.875" style="2" bestFit="1" customWidth="1"/>
    <col min="13571" max="13571" width="38.25" style="2" customWidth="1"/>
    <col min="13572" max="13572" width="13.875" style="2" bestFit="1" customWidth="1"/>
    <col min="13573" max="13573" width="13" style="2" bestFit="1" customWidth="1"/>
    <col min="13574" max="13574" width="13.125" style="2" bestFit="1" customWidth="1"/>
    <col min="13575" max="13575" width="7" style="2" customWidth="1"/>
    <col min="13576" max="13576" width="12.125" style="2" bestFit="1" customWidth="1"/>
    <col min="13577" max="13577" width="10.5" style="2" bestFit="1" customWidth="1"/>
    <col min="13578" max="13578" width="7" style="2" bestFit="1" customWidth="1"/>
    <col min="13579" max="13579" width="5.875" style="2" bestFit="1" customWidth="1"/>
    <col min="13580" max="13580" width="8.75" style="2" bestFit="1" customWidth="1"/>
    <col min="13581" max="13582" width="8.5" style="2" bestFit="1" customWidth="1"/>
    <col min="13583" max="13583" width="14.375" style="2" bestFit="1" customWidth="1"/>
    <col min="13584" max="13584" width="10" style="2" bestFit="1" customWidth="1"/>
    <col min="13585" max="13585" width="6" style="2" customWidth="1"/>
    <col min="13586" max="13586" width="19.375" style="2" customWidth="1"/>
    <col min="13587" max="13587" width="11" style="2" bestFit="1" customWidth="1"/>
    <col min="13588" max="13589" width="8.25" style="2" bestFit="1" customWidth="1"/>
    <col min="13590" max="13824" width="8.875" style="2"/>
    <col min="13825" max="13825" width="15.875" style="2" customWidth="1"/>
    <col min="13826" max="13826" width="3.875" style="2" bestFit="1" customWidth="1"/>
    <col min="13827" max="13827" width="38.25" style="2" customWidth="1"/>
    <col min="13828" max="13828" width="13.875" style="2" bestFit="1" customWidth="1"/>
    <col min="13829" max="13829" width="13" style="2" bestFit="1" customWidth="1"/>
    <col min="13830" max="13830" width="13.125" style="2" bestFit="1" customWidth="1"/>
    <col min="13831" max="13831" width="7" style="2" customWidth="1"/>
    <col min="13832" max="13832" width="12.125" style="2" bestFit="1" customWidth="1"/>
    <col min="13833" max="13833" width="10.5" style="2" bestFit="1" customWidth="1"/>
    <col min="13834" max="13834" width="7" style="2" bestFit="1" customWidth="1"/>
    <col min="13835" max="13835" width="5.875" style="2" bestFit="1" customWidth="1"/>
    <col min="13836" max="13836" width="8.75" style="2" bestFit="1" customWidth="1"/>
    <col min="13837" max="13838" width="8.5" style="2" bestFit="1" customWidth="1"/>
    <col min="13839" max="13839" width="14.375" style="2" bestFit="1" customWidth="1"/>
    <col min="13840" max="13840" width="10" style="2" bestFit="1" customWidth="1"/>
    <col min="13841" max="13841" width="6" style="2" customWidth="1"/>
    <col min="13842" max="13842" width="19.375" style="2" customWidth="1"/>
    <col min="13843" max="13843" width="11" style="2" bestFit="1" customWidth="1"/>
    <col min="13844" max="13845" width="8.25" style="2" bestFit="1" customWidth="1"/>
    <col min="13846" max="14080" width="8.875" style="2"/>
    <col min="14081" max="14081" width="15.875" style="2" customWidth="1"/>
    <col min="14082" max="14082" width="3.875" style="2" bestFit="1" customWidth="1"/>
    <col min="14083" max="14083" width="38.25" style="2" customWidth="1"/>
    <col min="14084" max="14084" width="13.875" style="2" bestFit="1" customWidth="1"/>
    <col min="14085" max="14085" width="13" style="2" bestFit="1" customWidth="1"/>
    <col min="14086" max="14086" width="13.125" style="2" bestFit="1" customWidth="1"/>
    <col min="14087" max="14087" width="7" style="2" customWidth="1"/>
    <col min="14088" max="14088" width="12.125" style="2" bestFit="1" customWidth="1"/>
    <col min="14089" max="14089" width="10.5" style="2" bestFit="1" customWidth="1"/>
    <col min="14090" max="14090" width="7" style="2" bestFit="1" customWidth="1"/>
    <col min="14091" max="14091" width="5.875" style="2" bestFit="1" customWidth="1"/>
    <col min="14092" max="14092" width="8.75" style="2" bestFit="1" customWidth="1"/>
    <col min="14093" max="14094" width="8.5" style="2" bestFit="1" customWidth="1"/>
    <col min="14095" max="14095" width="14.375" style="2" bestFit="1" customWidth="1"/>
    <col min="14096" max="14096" width="10" style="2" bestFit="1" customWidth="1"/>
    <col min="14097" max="14097" width="6" style="2" customWidth="1"/>
    <col min="14098" max="14098" width="19.375" style="2" customWidth="1"/>
    <col min="14099" max="14099" width="11" style="2" bestFit="1" customWidth="1"/>
    <col min="14100" max="14101" width="8.25" style="2" bestFit="1" customWidth="1"/>
    <col min="14102" max="14336" width="8.875" style="2"/>
    <col min="14337" max="14337" width="15.875" style="2" customWidth="1"/>
    <col min="14338" max="14338" width="3.875" style="2" bestFit="1" customWidth="1"/>
    <col min="14339" max="14339" width="38.25" style="2" customWidth="1"/>
    <col min="14340" max="14340" width="13.875" style="2" bestFit="1" customWidth="1"/>
    <col min="14341" max="14341" width="13" style="2" bestFit="1" customWidth="1"/>
    <col min="14342" max="14342" width="13.125" style="2" bestFit="1" customWidth="1"/>
    <col min="14343" max="14343" width="7" style="2" customWidth="1"/>
    <col min="14344" max="14344" width="12.125" style="2" bestFit="1" customWidth="1"/>
    <col min="14345" max="14345" width="10.5" style="2" bestFit="1" customWidth="1"/>
    <col min="14346" max="14346" width="7" style="2" bestFit="1" customWidth="1"/>
    <col min="14347" max="14347" width="5.875" style="2" bestFit="1" customWidth="1"/>
    <col min="14348" max="14348" width="8.75" style="2" bestFit="1" customWidth="1"/>
    <col min="14349" max="14350" width="8.5" style="2" bestFit="1" customWidth="1"/>
    <col min="14351" max="14351" width="14.375" style="2" bestFit="1" customWidth="1"/>
    <col min="14352" max="14352" width="10" style="2" bestFit="1" customWidth="1"/>
    <col min="14353" max="14353" width="6" style="2" customWidth="1"/>
    <col min="14354" max="14354" width="19.375" style="2" customWidth="1"/>
    <col min="14355" max="14355" width="11" style="2" bestFit="1" customWidth="1"/>
    <col min="14356" max="14357" width="8.25" style="2" bestFit="1" customWidth="1"/>
    <col min="14358" max="14592" width="8.875" style="2"/>
    <col min="14593" max="14593" width="15.875" style="2" customWidth="1"/>
    <col min="14594" max="14594" width="3.875" style="2" bestFit="1" customWidth="1"/>
    <col min="14595" max="14595" width="38.25" style="2" customWidth="1"/>
    <col min="14596" max="14596" width="13.875" style="2" bestFit="1" customWidth="1"/>
    <col min="14597" max="14597" width="13" style="2" bestFit="1" customWidth="1"/>
    <col min="14598" max="14598" width="13.125" style="2" bestFit="1" customWidth="1"/>
    <col min="14599" max="14599" width="7" style="2" customWidth="1"/>
    <col min="14600" max="14600" width="12.125" style="2" bestFit="1" customWidth="1"/>
    <col min="14601" max="14601" width="10.5" style="2" bestFit="1" customWidth="1"/>
    <col min="14602" max="14602" width="7" style="2" bestFit="1" customWidth="1"/>
    <col min="14603" max="14603" width="5.875" style="2" bestFit="1" customWidth="1"/>
    <col min="14604" max="14604" width="8.75" style="2" bestFit="1" customWidth="1"/>
    <col min="14605" max="14606" width="8.5" style="2" bestFit="1" customWidth="1"/>
    <col min="14607" max="14607" width="14.375" style="2" bestFit="1" customWidth="1"/>
    <col min="14608" max="14608" width="10" style="2" bestFit="1" customWidth="1"/>
    <col min="14609" max="14609" width="6" style="2" customWidth="1"/>
    <col min="14610" max="14610" width="19.375" style="2" customWidth="1"/>
    <col min="14611" max="14611" width="11" style="2" bestFit="1" customWidth="1"/>
    <col min="14612" max="14613" width="8.25" style="2" bestFit="1" customWidth="1"/>
    <col min="14614" max="14848" width="8.875" style="2"/>
    <col min="14849" max="14849" width="15.875" style="2" customWidth="1"/>
    <col min="14850" max="14850" width="3.875" style="2" bestFit="1" customWidth="1"/>
    <col min="14851" max="14851" width="38.25" style="2" customWidth="1"/>
    <col min="14852" max="14852" width="13.875" style="2" bestFit="1" customWidth="1"/>
    <col min="14853" max="14853" width="13" style="2" bestFit="1" customWidth="1"/>
    <col min="14854" max="14854" width="13.125" style="2" bestFit="1" customWidth="1"/>
    <col min="14855" max="14855" width="7" style="2" customWidth="1"/>
    <col min="14856" max="14856" width="12.125" style="2" bestFit="1" customWidth="1"/>
    <col min="14857" max="14857" width="10.5" style="2" bestFit="1" customWidth="1"/>
    <col min="14858" max="14858" width="7" style="2" bestFit="1" customWidth="1"/>
    <col min="14859" max="14859" width="5.875" style="2" bestFit="1" customWidth="1"/>
    <col min="14860" max="14860" width="8.75" style="2" bestFit="1" customWidth="1"/>
    <col min="14861" max="14862" width="8.5" style="2" bestFit="1" customWidth="1"/>
    <col min="14863" max="14863" width="14.375" style="2" bestFit="1" customWidth="1"/>
    <col min="14864" max="14864" width="10" style="2" bestFit="1" customWidth="1"/>
    <col min="14865" max="14865" width="6" style="2" customWidth="1"/>
    <col min="14866" max="14866" width="19.375" style="2" customWidth="1"/>
    <col min="14867" max="14867" width="11" style="2" bestFit="1" customWidth="1"/>
    <col min="14868" max="14869" width="8.25" style="2" bestFit="1" customWidth="1"/>
    <col min="14870" max="15104" width="8.875" style="2"/>
    <col min="15105" max="15105" width="15.875" style="2" customWidth="1"/>
    <col min="15106" max="15106" width="3.875" style="2" bestFit="1" customWidth="1"/>
    <col min="15107" max="15107" width="38.25" style="2" customWidth="1"/>
    <col min="15108" max="15108" width="13.875" style="2" bestFit="1" customWidth="1"/>
    <col min="15109" max="15109" width="13" style="2" bestFit="1" customWidth="1"/>
    <col min="15110" max="15110" width="13.125" style="2" bestFit="1" customWidth="1"/>
    <col min="15111" max="15111" width="7" style="2" customWidth="1"/>
    <col min="15112" max="15112" width="12.125" style="2" bestFit="1" customWidth="1"/>
    <col min="15113" max="15113" width="10.5" style="2" bestFit="1" customWidth="1"/>
    <col min="15114" max="15114" width="7" style="2" bestFit="1" customWidth="1"/>
    <col min="15115" max="15115" width="5.875" style="2" bestFit="1" customWidth="1"/>
    <col min="15116" max="15116" width="8.75" style="2" bestFit="1" customWidth="1"/>
    <col min="15117" max="15118" width="8.5" style="2" bestFit="1" customWidth="1"/>
    <col min="15119" max="15119" width="14.375" style="2" bestFit="1" customWidth="1"/>
    <col min="15120" max="15120" width="10" style="2" bestFit="1" customWidth="1"/>
    <col min="15121" max="15121" width="6" style="2" customWidth="1"/>
    <col min="15122" max="15122" width="19.375" style="2" customWidth="1"/>
    <col min="15123" max="15123" width="11" style="2" bestFit="1" customWidth="1"/>
    <col min="15124" max="15125" width="8.25" style="2" bestFit="1" customWidth="1"/>
    <col min="15126" max="15360" width="8.875" style="2"/>
    <col min="15361" max="15361" width="15.875" style="2" customWidth="1"/>
    <col min="15362" max="15362" width="3.875" style="2" bestFit="1" customWidth="1"/>
    <col min="15363" max="15363" width="38.25" style="2" customWidth="1"/>
    <col min="15364" max="15364" width="13.875" style="2" bestFit="1" customWidth="1"/>
    <col min="15365" max="15365" width="13" style="2" bestFit="1" customWidth="1"/>
    <col min="15366" max="15366" width="13.125" style="2" bestFit="1" customWidth="1"/>
    <col min="15367" max="15367" width="7" style="2" customWidth="1"/>
    <col min="15368" max="15368" width="12.125" style="2" bestFit="1" customWidth="1"/>
    <col min="15369" max="15369" width="10.5" style="2" bestFit="1" customWidth="1"/>
    <col min="15370" max="15370" width="7" style="2" bestFit="1" customWidth="1"/>
    <col min="15371" max="15371" width="5.875" style="2" bestFit="1" customWidth="1"/>
    <col min="15372" max="15372" width="8.75" style="2" bestFit="1" customWidth="1"/>
    <col min="15373" max="15374" width="8.5" style="2" bestFit="1" customWidth="1"/>
    <col min="15375" max="15375" width="14.375" style="2" bestFit="1" customWidth="1"/>
    <col min="15376" max="15376" width="10" style="2" bestFit="1" customWidth="1"/>
    <col min="15377" max="15377" width="6" style="2" customWidth="1"/>
    <col min="15378" max="15378" width="19.375" style="2" customWidth="1"/>
    <col min="15379" max="15379" width="11" style="2" bestFit="1" customWidth="1"/>
    <col min="15380" max="15381" width="8.25" style="2" bestFit="1" customWidth="1"/>
    <col min="15382" max="15616" width="8.875" style="2"/>
    <col min="15617" max="15617" width="15.875" style="2" customWidth="1"/>
    <col min="15618" max="15618" width="3.875" style="2" bestFit="1" customWidth="1"/>
    <col min="15619" max="15619" width="38.25" style="2" customWidth="1"/>
    <col min="15620" max="15620" width="13.875" style="2" bestFit="1" customWidth="1"/>
    <col min="15621" max="15621" width="13" style="2" bestFit="1" customWidth="1"/>
    <col min="15622" max="15622" width="13.125" style="2" bestFit="1" customWidth="1"/>
    <col min="15623" max="15623" width="7" style="2" customWidth="1"/>
    <col min="15624" max="15624" width="12.125" style="2" bestFit="1" customWidth="1"/>
    <col min="15625" max="15625" width="10.5" style="2" bestFit="1" customWidth="1"/>
    <col min="15626" max="15626" width="7" style="2" bestFit="1" customWidth="1"/>
    <col min="15627" max="15627" width="5.875" style="2" bestFit="1" customWidth="1"/>
    <col min="15628" max="15628" width="8.75" style="2" bestFit="1" customWidth="1"/>
    <col min="15629" max="15630" width="8.5" style="2" bestFit="1" customWidth="1"/>
    <col min="15631" max="15631" width="14.375" style="2" bestFit="1" customWidth="1"/>
    <col min="15632" max="15632" width="10" style="2" bestFit="1" customWidth="1"/>
    <col min="15633" max="15633" width="6" style="2" customWidth="1"/>
    <col min="15634" max="15634" width="19.375" style="2" customWidth="1"/>
    <col min="15635" max="15635" width="11" style="2" bestFit="1" customWidth="1"/>
    <col min="15636" max="15637" width="8.25" style="2" bestFit="1" customWidth="1"/>
    <col min="15638" max="15872" width="8.875" style="2"/>
    <col min="15873" max="15873" width="15.875" style="2" customWidth="1"/>
    <col min="15874" max="15874" width="3.875" style="2" bestFit="1" customWidth="1"/>
    <col min="15875" max="15875" width="38.25" style="2" customWidth="1"/>
    <col min="15876" max="15876" width="13.875" style="2" bestFit="1" customWidth="1"/>
    <col min="15877" max="15877" width="13" style="2" bestFit="1" customWidth="1"/>
    <col min="15878" max="15878" width="13.125" style="2" bestFit="1" customWidth="1"/>
    <col min="15879" max="15879" width="7" style="2" customWidth="1"/>
    <col min="15880" max="15880" width="12.125" style="2" bestFit="1" customWidth="1"/>
    <col min="15881" max="15881" width="10.5" style="2" bestFit="1" customWidth="1"/>
    <col min="15882" max="15882" width="7" style="2" bestFit="1" customWidth="1"/>
    <col min="15883" max="15883" width="5.875" style="2" bestFit="1" customWidth="1"/>
    <col min="15884" max="15884" width="8.75" style="2" bestFit="1" customWidth="1"/>
    <col min="15885" max="15886" width="8.5" style="2" bestFit="1" customWidth="1"/>
    <col min="15887" max="15887" width="14.375" style="2" bestFit="1" customWidth="1"/>
    <col min="15888" max="15888" width="10" style="2" bestFit="1" customWidth="1"/>
    <col min="15889" max="15889" width="6" style="2" customWidth="1"/>
    <col min="15890" max="15890" width="19.375" style="2" customWidth="1"/>
    <col min="15891" max="15891" width="11" style="2" bestFit="1" customWidth="1"/>
    <col min="15892" max="15893" width="8.25" style="2" bestFit="1" customWidth="1"/>
    <col min="15894" max="16128" width="8.875" style="2"/>
    <col min="16129" max="16129" width="15.875" style="2" customWidth="1"/>
    <col min="16130" max="16130" width="3.875" style="2" bestFit="1" customWidth="1"/>
    <col min="16131" max="16131" width="38.25" style="2" customWidth="1"/>
    <col min="16132" max="16132" width="13.875" style="2" bestFit="1" customWidth="1"/>
    <col min="16133" max="16133" width="13" style="2" bestFit="1" customWidth="1"/>
    <col min="16134" max="16134" width="13.125" style="2" bestFit="1" customWidth="1"/>
    <col min="16135" max="16135" width="7" style="2" customWidth="1"/>
    <col min="16136" max="16136" width="12.125" style="2" bestFit="1" customWidth="1"/>
    <col min="16137" max="16137" width="10.5" style="2" bestFit="1" customWidth="1"/>
    <col min="16138" max="16138" width="7" style="2" bestFit="1" customWidth="1"/>
    <col min="16139" max="16139" width="5.875" style="2" bestFit="1" customWidth="1"/>
    <col min="16140" max="16140" width="8.75" style="2" bestFit="1" customWidth="1"/>
    <col min="16141" max="16142" width="8.5" style="2" bestFit="1" customWidth="1"/>
    <col min="16143" max="16143" width="14.375" style="2" bestFit="1" customWidth="1"/>
    <col min="16144" max="16144" width="10" style="2" bestFit="1" customWidth="1"/>
    <col min="16145" max="16145" width="6" style="2" customWidth="1"/>
    <col min="16146" max="16146" width="19.375" style="2" customWidth="1"/>
    <col min="16147" max="16147" width="11" style="2" bestFit="1" customWidth="1"/>
    <col min="16148" max="16149" width="8.25" style="2" bestFit="1" customWidth="1"/>
    <col min="16150" max="16384" width="8.875" style="2"/>
  </cols>
  <sheetData>
    <row r="1" spans="1:24" ht="21.75" customHeight="1" x14ac:dyDescent="0.25">
      <c r="A1" s="1"/>
      <c r="B1" s="1"/>
      <c r="Q1" s="4"/>
    </row>
    <row r="2" spans="1:24" s="5" customFormat="1" ht="15" x14ac:dyDescent="0.2">
      <c r="A2" s="2"/>
      <c r="B2" s="2"/>
      <c r="C2" s="2"/>
      <c r="F2" s="6"/>
      <c r="I2" s="2"/>
      <c r="J2" s="7" t="s">
        <v>0</v>
      </c>
      <c r="K2" s="7"/>
      <c r="L2" s="7"/>
      <c r="M2" s="7"/>
      <c r="N2" s="7"/>
      <c r="O2" s="7"/>
      <c r="P2" s="7"/>
      <c r="Q2" s="8"/>
      <c r="R2" s="69" t="s">
        <v>1</v>
      </c>
      <c r="S2" s="69"/>
      <c r="T2" s="69"/>
      <c r="U2" s="69"/>
      <c r="W2" s="21"/>
      <c r="X2" s="21"/>
    </row>
    <row r="3" spans="1:24" s="5" customFormat="1" ht="23.25" customHeight="1" x14ac:dyDescent="0.25">
      <c r="A3" s="9" t="s">
        <v>2</v>
      </c>
      <c r="B3" s="10"/>
      <c r="C3" s="2"/>
      <c r="F3" s="2"/>
      <c r="G3" s="2"/>
      <c r="H3" s="2"/>
      <c r="I3" s="2"/>
      <c r="J3" s="7"/>
      <c r="K3" s="2"/>
      <c r="L3" s="2"/>
      <c r="M3" s="2"/>
      <c r="N3" s="2"/>
      <c r="O3" s="2"/>
      <c r="Q3" s="11"/>
      <c r="R3" s="70" t="s">
        <v>43</v>
      </c>
      <c r="S3" s="70"/>
      <c r="T3" s="70"/>
      <c r="U3" s="70"/>
      <c r="W3" s="12" t="s">
        <v>3</v>
      </c>
      <c r="X3" s="13"/>
    </row>
    <row r="4" spans="1:24" s="5" customFormat="1" ht="14.25" customHeight="1" thickBot="1" x14ac:dyDescent="0.25">
      <c r="A4" s="46" t="s">
        <v>4</v>
      </c>
      <c r="B4" s="71" t="s">
        <v>5</v>
      </c>
      <c r="C4" s="72"/>
      <c r="D4" s="77"/>
      <c r="E4" s="79"/>
      <c r="F4" s="71" t="s">
        <v>6</v>
      </c>
      <c r="G4" s="81"/>
      <c r="H4" s="55" t="s">
        <v>7</v>
      </c>
      <c r="I4" s="83" t="s">
        <v>8</v>
      </c>
      <c r="J4" s="84" t="s">
        <v>9</v>
      </c>
      <c r="K4" s="52" t="s">
        <v>44</v>
      </c>
      <c r="L4" s="53"/>
      <c r="M4" s="53"/>
      <c r="N4" s="54"/>
      <c r="O4" s="55" t="s">
        <v>10</v>
      </c>
      <c r="P4" s="58" t="s">
        <v>11</v>
      </c>
      <c r="Q4" s="59"/>
      <c r="R4" s="60"/>
      <c r="S4" s="64" t="s">
        <v>12</v>
      </c>
      <c r="T4" s="66" t="s">
        <v>13</v>
      </c>
      <c r="U4" s="55" t="s">
        <v>14</v>
      </c>
      <c r="W4" s="34" t="s">
        <v>15</v>
      </c>
      <c r="X4" s="34" t="s">
        <v>16</v>
      </c>
    </row>
    <row r="5" spans="1:24" s="5" customFormat="1" ht="11.25" customHeight="1" x14ac:dyDescent="0.2">
      <c r="A5" s="47"/>
      <c r="B5" s="73"/>
      <c r="C5" s="74"/>
      <c r="D5" s="78"/>
      <c r="E5" s="80"/>
      <c r="F5" s="75"/>
      <c r="G5" s="82"/>
      <c r="H5" s="47"/>
      <c r="I5" s="47"/>
      <c r="J5" s="73"/>
      <c r="K5" s="36" t="s">
        <v>17</v>
      </c>
      <c r="L5" s="39" t="s">
        <v>18</v>
      </c>
      <c r="M5" s="42" t="s">
        <v>45</v>
      </c>
      <c r="N5" s="43" t="s">
        <v>19</v>
      </c>
      <c r="O5" s="56"/>
      <c r="P5" s="61"/>
      <c r="Q5" s="62"/>
      <c r="R5" s="63"/>
      <c r="S5" s="65"/>
      <c r="T5" s="67"/>
      <c r="U5" s="47"/>
      <c r="W5" s="34"/>
      <c r="X5" s="34"/>
    </row>
    <row r="6" spans="1:24" s="5" customFormat="1" x14ac:dyDescent="0.2">
      <c r="A6" s="47"/>
      <c r="B6" s="73"/>
      <c r="C6" s="74"/>
      <c r="D6" s="46" t="s">
        <v>20</v>
      </c>
      <c r="E6" s="85" t="s">
        <v>21</v>
      </c>
      <c r="F6" s="46" t="s">
        <v>20</v>
      </c>
      <c r="G6" s="83" t="s">
        <v>22</v>
      </c>
      <c r="H6" s="47"/>
      <c r="I6" s="47"/>
      <c r="J6" s="73"/>
      <c r="K6" s="37"/>
      <c r="L6" s="40"/>
      <c r="M6" s="37"/>
      <c r="N6" s="44"/>
      <c r="O6" s="56"/>
      <c r="P6" s="55" t="s">
        <v>23</v>
      </c>
      <c r="Q6" s="55" t="s">
        <v>24</v>
      </c>
      <c r="R6" s="46" t="s">
        <v>25</v>
      </c>
      <c r="S6" s="49" t="s">
        <v>26</v>
      </c>
      <c r="T6" s="67"/>
      <c r="U6" s="47"/>
      <c r="W6" s="34"/>
      <c r="X6" s="34"/>
    </row>
    <row r="7" spans="1:24" s="5" customFormat="1" x14ac:dyDescent="0.2">
      <c r="A7" s="47"/>
      <c r="B7" s="73"/>
      <c r="C7" s="74"/>
      <c r="D7" s="47"/>
      <c r="E7" s="47"/>
      <c r="F7" s="47"/>
      <c r="G7" s="47"/>
      <c r="H7" s="47"/>
      <c r="I7" s="47"/>
      <c r="J7" s="73"/>
      <c r="K7" s="37"/>
      <c r="L7" s="40"/>
      <c r="M7" s="37"/>
      <c r="N7" s="44"/>
      <c r="O7" s="56"/>
      <c r="P7" s="56"/>
      <c r="Q7" s="56"/>
      <c r="R7" s="47"/>
      <c r="S7" s="50"/>
      <c r="T7" s="67"/>
      <c r="U7" s="47"/>
      <c r="W7" s="34"/>
      <c r="X7" s="34"/>
    </row>
    <row r="8" spans="1:24" s="5" customFormat="1" x14ac:dyDescent="0.2">
      <c r="A8" s="48"/>
      <c r="B8" s="75"/>
      <c r="C8" s="76"/>
      <c r="D8" s="48"/>
      <c r="E8" s="48"/>
      <c r="F8" s="48"/>
      <c r="G8" s="48"/>
      <c r="H8" s="48"/>
      <c r="I8" s="48"/>
      <c r="J8" s="75"/>
      <c r="K8" s="38"/>
      <c r="L8" s="41"/>
      <c r="M8" s="38"/>
      <c r="N8" s="45"/>
      <c r="O8" s="57"/>
      <c r="P8" s="57"/>
      <c r="Q8" s="57"/>
      <c r="R8" s="48"/>
      <c r="S8" s="51"/>
      <c r="T8" s="68"/>
      <c r="U8" s="48"/>
      <c r="W8" s="35"/>
      <c r="X8" s="35"/>
    </row>
    <row r="9" spans="1:24" s="5" customFormat="1" ht="24" customHeight="1" x14ac:dyDescent="0.2">
      <c r="A9" s="22" t="s">
        <v>27</v>
      </c>
      <c r="B9" s="23"/>
      <c r="C9" s="24" t="s">
        <v>28</v>
      </c>
      <c r="D9" s="25" t="s">
        <v>29</v>
      </c>
      <c r="E9" s="26" t="s">
        <v>46</v>
      </c>
      <c r="F9" s="27" t="s">
        <v>30</v>
      </c>
      <c r="G9" s="28">
        <v>2.2669999999999999</v>
      </c>
      <c r="H9" s="27" t="s">
        <v>47</v>
      </c>
      <c r="I9" s="29" t="s">
        <v>48</v>
      </c>
      <c r="J9" s="30" t="s">
        <v>49</v>
      </c>
      <c r="K9" s="31">
        <v>13.6</v>
      </c>
      <c r="L9" s="14">
        <f>IF(K9&gt;0,1/K9*37.7*68.6,"")</f>
        <v>190.16323529411767</v>
      </c>
      <c r="M9" s="15">
        <f>IFERROR(VALUE(IF(W9="","",ROUNDUP(IF(W9&gt;=2271,"7.4",IF(W9&gt;=2101,"8.7",IF(W9&gt;=1991,"9.4",IF(W9&gt;=1871,"10.2",IF(W9&gt;=1761,"11.1",IF(W9&gt;=1651,"12.2",IF(W9&gt;=1531,"13.2",IF(W9&gt;=1421,"14.4",IF(W9&gt;=1311,"15.8",IF(W9&gt;=1196,"17.2",IF(W9&gt;=1081,"18.7",IF(W9&gt;=971,"20.5",IF(W9&gt;=856,"20.8",IF(W9&gt;=741,"21.0",IF(W9&gt;=601,"21.8","22.5")))))))))))))))*1.1,1))),"")</f>
        <v>11.299999999999999</v>
      </c>
      <c r="N9" s="16">
        <f>IFERROR(VALUE(IF(W9="","",ROUNDUP(IF(W9&gt;=2271,"10.6",IF(W9&gt;=2101,"11.9",IF(W9&gt;=1991,"12.7",IF(W9&gt;=1871,"13.5",IF(W9&gt;=1761,"14.4",IF(W9&gt;=1651,"15.4",IF(W9&gt;=1531,"16.5",IF(W9&gt;=1421,"17.6",IF(W9&gt;=1311,"19.0",IF(W9&gt;=1196,"20.3",IF(W9&gt;=1081,"21.8",IF(W9&gt;=971,"23.4",IF(W9&gt;=856,"23.7",IF(W9&gt;=741,"24.5","24.6"))))))))))))))*1.1,1))),"")</f>
        <v>14.9</v>
      </c>
      <c r="O9" s="29" t="s">
        <v>31</v>
      </c>
      <c r="P9" s="29" t="s">
        <v>32</v>
      </c>
      <c r="Q9" s="27" t="s">
        <v>33</v>
      </c>
      <c r="R9" s="27"/>
      <c r="S9" s="32"/>
      <c r="T9" s="17">
        <f>IFERROR(IF(K9&lt;M9,"",(ROUNDDOWN(K9/M9*100,0))),"")</f>
        <v>120</v>
      </c>
      <c r="U9" s="18" t="str">
        <f>IFERROR(IF(K9&lt;N9,"",(ROUNDDOWN(K9/N9*100,0))),"")</f>
        <v/>
      </c>
      <c r="W9" s="33">
        <v>1930</v>
      </c>
      <c r="X9" s="33">
        <v>1980</v>
      </c>
    </row>
    <row r="10" spans="1:24" s="5" customFormat="1" ht="24" customHeight="1" x14ac:dyDescent="0.2">
      <c r="A10" s="2"/>
      <c r="D10" s="2"/>
      <c r="E10" s="2"/>
      <c r="F10" s="2"/>
      <c r="G10" s="2"/>
      <c r="H10" s="2"/>
      <c r="I10" s="2"/>
      <c r="J10" s="19"/>
      <c r="K10" s="2"/>
      <c r="L10" s="2"/>
      <c r="M10" s="2"/>
      <c r="N10" s="2"/>
      <c r="O10" s="2"/>
      <c r="P10" s="2"/>
      <c r="Q10" s="2"/>
      <c r="R10" s="2"/>
      <c r="W10" s="20"/>
      <c r="X10" s="20"/>
    </row>
    <row r="11" spans="1:24" ht="10.5" customHeight="1" x14ac:dyDescent="0.2">
      <c r="B11" s="5" t="s">
        <v>34</v>
      </c>
      <c r="C11" s="5"/>
      <c r="E11" s="2"/>
    </row>
    <row r="12" spans="1:24" ht="10.5" customHeight="1" x14ac:dyDescent="0.2">
      <c r="B12" s="5" t="s">
        <v>50</v>
      </c>
      <c r="C12" s="5"/>
      <c r="E12" s="2"/>
    </row>
    <row r="13" spans="1:24" ht="10.5" customHeight="1" x14ac:dyDescent="0.2">
      <c r="B13" s="2" t="s">
        <v>35</v>
      </c>
      <c r="C13" s="5"/>
      <c r="E13" s="2"/>
    </row>
    <row r="14" spans="1:24" ht="10.5" customHeight="1" x14ac:dyDescent="0.2">
      <c r="B14" s="2" t="s">
        <v>36</v>
      </c>
      <c r="E14" s="2"/>
    </row>
    <row r="15" spans="1:24" ht="10.5" customHeight="1" x14ac:dyDescent="0.2">
      <c r="B15" s="2" t="s">
        <v>37</v>
      </c>
      <c r="E15" s="2"/>
    </row>
    <row r="16" spans="1:24" ht="10.5" customHeight="1" x14ac:dyDescent="0.2">
      <c r="B16" s="2" t="s">
        <v>38</v>
      </c>
      <c r="E16" s="2"/>
    </row>
    <row r="17" spans="2:5" ht="10.5" customHeight="1" x14ac:dyDescent="0.2">
      <c r="B17" s="2" t="s">
        <v>39</v>
      </c>
      <c r="E17" s="2"/>
    </row>
    <row r="18" spans="2:5" ht="10.5" customHeight="1" x14ac:dyDescent="0.2">
      <c r="B18" s="2" t="s">
        <v>40</v>
      </c>
      <c r="E18" s="2"/>
    </row>
    <row r="19" spans="2:5" ht="10.5" customHeight="1" x14ac:dyDescent="0.2">
      <c r="B19" s="2" t="s">
        <v>41</v>
      </c>
      <c r="E19" s="2"/>
    </row>
    <row r="20" spans="2:5" ht="10.5" customHeight="1" x14ac:dyDescent="0.2">
      <c r="C20" s="2" t="s">
        <v>42</v>
      </c>
      <c r="E20" s="2"/>
    </row>
  </sheetData>
  <sheetProtection selectLockedCells="1"/>
  <mergeCells count="30">
    <mergeCell ref="R2:U2"/>
    <mergeCell ref="R3:U3"/>
    <mergeCell ref="A4:A8"/>
    <mergeCell ref="B4:C8"/>
    <mergeCell ref="D4:D5"/>
    <mergeCell ref="E4:E5"/>
    <mergeCell ref="F4:G5"/>
    <mergeCell ref="H4:H8"/>
    <mergeCell ref="I4:I8"/>
    <mergeCell ref="J4:J8"/>
    <mergeCell ref="Q6:Q8"/>
    <mergeCell ref="D6:D8"/>
    <mergeCell ref="E6:E8"/>
    <mergeCell ref="F6:F8"/>
    <mergeCell ref="G6:G8"/>
    <mergeCell ref="W4:W8"/>
    <mergeCell ref="X4:X8"/>
    <mergeCell ref="K5:K8"/>
    <mergeCell ref="L5:L8"/>
    <mergeCell ref="M5:M8"/>
    <mergeCell ref="N5:N8"/>
    <mergeCell ref="R6:R8"/>
    <mergeCell ref="S6:S8"/>
    <mergeCell ref="K4:N4"/>
    <mergeCell ref="O4:O8"/>
    <mergeCell ref="P4:R5"/>
    <mergeCell ref="S4:S5"/>
    <mergeCell ref="T4:T8"/>
    <mergeCell ref="U4:U8"/>
    <mergeCell ref="P6:P8"/>
  </mergeCells>
  <phoneticPr fontId="6"/>
  <printOptions horizontalCentered="1"/>
  <pageMargins left="0.39370078740157483" right="0.39370078740157483" top="0.39370078740157483" bottom="0.39370078740157483" header="0.19685039370078741" footer="0.39370078740157483"/>
  <pageSetup paperSize="9" scale="58" firstPageNumber="0" fitToHeight="0" orientation="landscape" r:id="rId1"/>
  <headerFooter alignWithMargins="0">
    <oddHeader>&amp;R様式1-7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0C6D5-7662-414E-B7CD-85A70C21573D}">
  <sheetPr>
    <tabColor indexed="25"/>
    <pageSetUpPr fitToPage="1"/>
  </sheetPr>
  <dimension ref="A1:X22"/>
  <sheetViews>
    <sheetView view="pageBreakPreview" topLeftCell="D1" zoomScaleNormal="100" zoomScaleSheetLayoutView="100" workbookViewId="0">
      <selection activeCell="A3" sqref="A3"/>
    </sheetView>
  </sheetViews>
  <sheetFormatPr defaultRowHeight="11.25" x14ac:dyDescent="0.2"/>
  <cols>
    <col min="1" max="1" width="15.875" style="86" customWidth="1"/>
    <col min="2" max="2" width="3.875" style="86" bestFit="1" customWidth="1"/>
    <col min="3" max="3" width="38.25" style="86" customWidth="1"/>
    <col min="4" max="4" width="13.875" style="86" bestFit="1" customWidth="1"/>
    <col min="5" max="5" width="16.25" style="88" bestFit="1" customWidth="1"/>
    <col min="6" max="6" width="13.125" style="86" bestFit="1" customWidth="1"/>
    <col min="7" max="7" width="7" style="86" customWidth="1"/>
    <col min="8" max="8" width="12.125" style="86" bestFit="1" customWidth="1"/>
    <col min="9" max="9" width="10.5" style="86" bestFit="1" customWidth="1"/>
    <col min="10" max="10" width="7" style="86" bestFit="1" customWidth="1"/>
    <col min="11" max="11" width="5.875" style="86" bestFit="1" customWidth="1"/>
    <col min="12" max="12" width="8.75" style="86" bestFit="1" customWidth="1"/>
    <col min="13" max="14" width="8.5" style="86" bestFit="1" customWidth="1"/>
    <col min="15" max="15" width="17.875" style="86" bestFit="1" customWidth="1"/>
    <col min="16" max="16" width="11.375" style="86" bestFit="1" customWidth="1"/>
    <col min="17" max="17" width="6" style="86" customWidth="1"/>
    <col min="18" max="18" width="19.375" style="86" customWidth="1"/>
    <col min="19" max="19" width="11" style="86" bestFit="1" customWidth="1"/>
    <col min="20" max="21" width="8.25" style="86" bestFit="1" customWidth="1"/>
    <col min="22" max="22" width="9" style="86"/>
    <col min="23" max="24" width="10.625" style="87" customWidth="1"/>
    <col min="25" max="256" width="9" style="86"/>
    <col min="257" max="257" width="15.875" style="86" customWidth="1"/>
    <col min="258" max="258" width="3.875" style="86" bestFit="1" customWidth="1"/>
    <col min="259" max="259" width="38.25" style="86" customWidth="1"/>
    <col min="260" max="260" width="13.875" style="86" bestFit="1" customWidth="1"/>
    <col min="261" max="261" width="13" style="86" bestFit="1" customWidth="1"/>
    <col min="262" max="262" width="13.125" style="86" bestFit="1" customWidth="1"/>
    <col min="263" max="263" width="7" style="86" customWidth="1"/>
    <col min="264" max="264" width="12.125" style="86" bestFit="1" customWidth="1"/>
    <col min="265" max="265" width="10.5" style="86" bestFit="1" customWidth="1"/>
    <col min="266" max="266" width="7" style="86" bestFit="1" customWidth="1"/>
    <col min="267" max="267" width="5.875" style="86" bestFit="1" customWidth="1"/>
    <col min="268" max="268" width="8.75" style="86" bestFit="1" customWidth="1"/>
    <col min="269" max="270" width="8.5" style="86" bestFit="1" customWidth="1"/>
    <col min="271" max="271" width="14.375" style="86" bestFit="1" customWidth="1"/>
    <col min="272" max="272" width="10" style="86" bestFit="1" customWidth="1"/>
    <col min="273" max="273" width="6" style="86" customWidth="1"/>
    <col min="274" max="274" width="19.375" style="86" customWidth="1"/>
    <col min="275" max="275" width="11" style="86" bestFit="1" customWidth="1"/>
    <col min="276" max="277" width="8.25" style="86" bestFit="1" customWidth="1"/>
    <col min="278" max="512" width="9" style="86"/>
    <col min="513" max="513" width="15.875" style="86" customWidth="1"/>
    <col min="514" max="514" width="3.875" style="86" bestFit="1" customWidth="1"/>
    <col min="515" max="515" width="38.25" style="86" customWidth="1"/>
    <col min="516" max="516" width="13.875" style="86" bestFit="1" customWidth="1"/>
    <col min="517" max="517" width="13" style="86" bestFit="1" customWidth="1"/>
    <col min="518" max="518" width="13.125" style="86" bestFit="1" customWidth="1"/>
    <col min="519" max="519" width="7" style="86" customWidth="1"/>
    <col min="520" max="520" width="12.125" style="86" bestFit="1" customWidth="1"/>
    <col min="521" max="521" width="10.5" style="86" bestFit="1" customWidth="1"/>
    <col min="522" max="522" width="7" style="86" bestFit="1" customWidth="1"/>
    <col min="523" max="523" width="5.875" style="86" bestFit="1" customWidth="1"/>
    <col min="524" max="524" width="8.75" style="86" bestFit="1" customWidth="1"/>
    <col min="525" max="526" width="8.5" style="86" bestFit="1" customWidth="1"/>
    <col min="527" max="527" width="14.375" style="86" bestFit="1" customWidth="1"/>
    <col min="528" max="528" width="10" style="86" bestFit="1" customWidth="1"/>
    <col min="529" max="529" width="6" style="86" customWidth="1"/>
    <col min="530" max="530" width="19.375" style="86" customWidth="1"/>
    <col min="531" max="531" width="11" style="86" bestFit="1" customWidth="1"/>
    <col min="532" max="533" width="8.25" style="86" bestFit="1" customWidth="1"/>
    <col min="534" max="768" width="9" style="86"/>
    <col min="769" max="769" width="15.875" style="86" customWidth="1"/>
    <col min="770" max="770" width="3.875" style="86" bestFit="1" customWidth="1"/>
    <col min="771" max="771" width="38.25" style="86" customWidth="1"/>
    <col min="772" max="772" width="13.875" style="86" bestFit="1" customWidth="1"/>
    <col min="773" max="773" width="13" style="86" bestFit="1" customWidth="1"/>
    <col min="774" max="774" width="13.125" style="86" bestFit="1" customWidth="1"/>
    <col min="775" max="775" width="7" style="86" customWidth="1"/>
    <col min="776" max="776" width="12.125" style="86" bestFit="1" customWidth="1"/>
    <col min="777" max="777" width="10.5" style="86" bestFit="1" customWidth="1"/>
    <col min="778" max="778" width="7" style="86" bestFit="1" customWidth="1"/>
    <col min="779" max="779" width="5.875" style="86" bestFit="1" customWidth="1"/>
    <col min="780" max="780" width="8.75" style="86" bestFit="1" customWidth="1"/>
    <col min="781" max="782" width="8.5" style="86" bestFit="1" customWidth="1"/>
    <col min="783" max="783" width="14.375" style="86" bestFit="1" customWidth="1"/>
    <col min="784" max="784" width="10" style="86" bestFit="1" customWidth="1"/>
    <col min="785" max="785" width="6" style="86" customWidth="1"/>
    <col min="786" max="786" width="19.375" style="86" customWidth="1"/>
    <col min="787" max="787" width="11" style="86" bestFit="1" customWidth="1"/>
    <col min="788" max="789" width="8.25" style="86" bestFit="1" customWidth="1"/>
    <col min="790" max="1024" width="9" style="86"/>
    <col min="1025" max="1025" width="15.875" style="86" customWidth="1"/>
    <col min="1026" max="1026" width="3.875" style="86" bestFit="1" customWidth="1"/>
    <col min="1027" max="1027" width="38.25" style="86" customWidth="1"/>
    <col min="1028" max="1028" width="13.875" style="86" bestFit="1" customWidth="1"/>
    <col min="1029" max="1029" width="13" style="86" bestFit="1" customWidth="1"/>
    <col min="1030" max="1030" width="13.125" style="86" bestFit="1" customWidth="1"/>
    <col min="1031" max="1031" width="7" style="86" customWidth="1"/>
    <col min="1032" max="1032" width="12.125" style="86" bestFit="1" customWidth="1"/>
    <col min="1033" max="1033" width="10.5" style="86" bestFit="1" customWidth="1"/>
    <col min="1034" max="1034" width="7" style="86" bestFit="1" customWidth="1"/>
    <col min="1035" max="1035" width="5.875" style="86" bestFit="1" customWidth="1"/>
    <col min="1036" max="1036" width="8.75" style="86" bestFit="1" customWidth="1"/>
    <col min="1037" max="1038" width="8.5" style="86" bestFit="1" customWidth="1"/>
    <col min="1039" max="1039" width="14.375" style="86" bestFit="1" customWidth="1"/>
    <col min="1040" max="1040" width="10" style="86" bestFit="1" customWidth="1"/>
    <col min="1041" max="1041" width="6" style="86" customWidth="1"/>
    <col min="1042" max="1042" width="19.375" style="86" customWidth="1"/>
    <col min="1043" max="1043" width="11" style="86" bestFit="1" customWidth="1"/>
    <col min="1044" max="1045" width="8.25" style="86" bestFit="1" customWidth="1"/>
    <col min="1046" max="1280" width="9" style="86"/>
    <col min="1281" max="1281" width="15.875" style="86" customWidth="1"/>
    <col min="1282" max="1282" width="3.875" style="86" bestFit="1" customWidth="1"/>
    <col min="1283" max="1283" width="38.25" style="86" customWidth="1"/>
    <col min="1284" max="1284" width="13.875" style="86" bestFit="1" customWidth="1"/>
    <col min="1285" max="1285" width="13" style="86" bestFit="1" customWidth="1"/>
    <col min="1286" max="1286" width="13.125" style="86" bestFit="1" customWidth="1"/>
    <col min="1287" max="1287" width="7" style="86" customWidth="1"/>
    <col min="1288" max="1288" width="12.125" style="86" bestFit="1" customWidth="1"/>
    <col min="1289" max="1289" width="10.5" style="86" bestFit="1" customWidth="1"/>
    <col min="1290" max="1290" width="7" style="86" bestFit="1" customWidth="1"/>
    <col min="1291" max="1291" width="5.875" style="86" bestFit="1" customWidth="1"/>
    <col min="1292" max="1292" width="8.75" style="86" bestFit="1" customWidth="1"/>
    <col min="1293" max="1294" width="8.5" style="86" bestFit="1" customWidth="1"/>
    <col min="1295" max="1295" width="14.375" style="86" bestFit="1" customWidth="1"/>
    <col min="1296" max="1296" width="10" style="86" bestFit="1" customWidth="1"/>
    <col min="1297" max="1297" width="6" style="86" customWidth="1"/>
    <col min="1298" max="1298" width="19.375" style="86" customWidth="1"/>
    <col min="1299" max="1299" width="11" style="86" bestFit="1" customWidth="1"/>
    <col min="1300" max="1301" width="8.25" style="86" bestFit="1" customWidth="1"/>
    <col min="1302" max="1536" width="9" style="86"/>
    <col min="1537" max="1537" width="15.875" style="86" customWidth="1"/>
    <col min="1538" max="1538" width="3.875" style="86" bestFit="1" customWidth="1"/>
    <col min="1539" max="1539" width="38.25" style="86" customWidth="1"/>
    <col min="1540" max="1540" width="13.875" style="86" bestFit="1" customWidth="1"/>
    <col min="1541" max="1541" width="13" style="86" bestFit="1" customWidth="1"/>
    <col min="1542" max="1542" width="13.125" style="86" bestFit="1" customWidth="1"/>
    <col min="1543" max="1543" width="7" style="86" customWidth="1"/>
    <col min="1544" max="1544" width="12.125" style="86" bestFit="1" customWidth="1"/>
    <col min="1545" max="1545" width="10.5" style="86" bestFit="1" customWidth="1"/>
    <col min="1546" max="1546" width="7" style="86" bestFit="1" customWidth="1"/>
    <col min="1547" max="1547" width="5.875" style="86" bestFit="1" customWidth="1"/>
    <col min="1548" max="1548" width="8.75" style="86" bestFit="1" customWidth="1"/>
    <col min="1549" max="1550" width="8.5" style="86" bestFit="1" customWidth="1"/>
    <col min="1551" max="1551" width="14.375" style="86" bestFit="1" customWidth="1"/>
    <col min="1552" max="1552" width="10" style="86" bestFit="1" customWidth="1"/>
    <col min="1553" max="1553" width="6" style="86" customWidth="1"/>
    <col min="1554" max="1554" width="19.375" style="86" customWidth="1"/>
    <col min="1555" max="1555" width="11" style="86" bestFit="1" customWidth="1"/>
    <col min="1556" max="1557" width="8.25" style="86" bestFit="1" customWidth="1"/>
    <col min="1558" max="1792" width="9" style="86"/>
    <col min="1793" max="1793" width="15.875" style="86" customWidth="1"/>
    <col min="1794" max="1794" width="3.875" style="86" bestFit="1" customWidth="1"/>
    <col min="1795" max="1795" width="38.25" style="86" customWidth="1"/>
    <col min="1796" max="1796" width="13.875" style="86" bestFit="1" customWidth="1"/>
    <col min="1797" max="1797" width="13" style="86" bestFit="1" customWidth="1"/>
    <col min="1798" max="1798" width="13.125" style="86" bestFit="1" customWidth="1"/>
    <col min="1799" max="1799" width="7" style="86" customWidth="1"/>
    <col min="1800" max="1800" width="12.125" style="86" bestFit="1" customWidth="1"/>
    <col min="1801" max="1801" width="10.5" style="86" bestFit="1" customWidth="1"/>
    <col min="1802" max="1802" width="7" style="86" bestFit="1" customWidth="1"/>
    <col min="1803" max="1803" width="5.875" style="86" bestFit="1" customWidth="1"/>
    <col min="1804" max="1804" width="8.75" style="86" bestFit="1" customWidth="1"/>
    <col min="1805" max="1806" width="8.5" style="86" bestFit="1" customWidth="1"/>
    <col min="1807" max="1807" width="14.375" style="86" bestFit="1" customWidth="1"/>
    <col min="1808" max="1808" width="10" style="86" bestFit="1" customWidth="1"/>
    <col min="1809" max="1809" width="6" style="86" customWidth="1"/>
    <col min="1810" max="1810" width="19.375" style="86" customWidth="1"/>
    <col min="1811" max="1811" width="11" style="86" bestFit="1" customWidth="1"/>
    <col min="1812" max="1813" width="8.25" style="86" bestFit="1" customWidth="1"/>
    <col min="1814" max="2048" width="9" style="86"/>
    <col min="2049" max="2049" width="15.875" style="86" customWidth="1"/>
    <col min="2050" max="2050" width="3.875" style="86" bestFit="1" customWidth="1"/>
    <col min="2051" max="2051" width="38.25" style="86" customWidth="1"/>
    <col min="2052" max="2052" width="13.875" style="86" bestFit="1" customWidth="1"/>
    <col min="2053" max="2053" width="13" style="86" bestFit="1" customWidth="1"/>
    <col min="2054" max="2054" width="13.125" style="86" bestFit="1" customWidth="1"/>
    <col min="2055" max="2055" width="7" style="86" customWidth="1"/>
    <col min="2056" max="2056" width="12.125" style="86" bestFit="1" customWidth="1"/>
    <col min="2057" max="2057" width="10.5" style="86" bestFit="1" customWidth="1"/>
    <col min="2058" max="2058" width="7" style="86" bestFit="1" customWidth="1"/>
    <col min="2059" max="2059" width="5.875" style="86" bestFit="1" customWidth="1"/>
    <col min="2060" max="2060" width="8.75" style="86" bestFit="1" customWidth="1"/>
    <col min="2061" max="2062" width="8.5" style="86" bestFit="1" customWidth="1"/>
    <col min="2063" max="2063" width="14.375" style="86" bestFit="1" customWidth="1"/>
    <col min="2064" max="2064" width="10" style="86" bestFit="1" customWidth="1"/>
    <col min="2065" max="2065" width="6" style="86" customWidth="1"/>
    <col min="2066" max="2066" width="19.375" style="86" customWidth="1"/>
    <col min="2067" max="2067" width="11" style="86" bestFit="1" customWidth="1"/>
    <col min="2068" max="2069" width="8.25" style="86" bestFit="1" customWidth="1"/>
    <col min="2070" max="2304" width="9" style="86"/>
    <col min="2305" max="2305" width="15.875" style="86" customWidth="1"/>
    <col min="2306" max="2306" width="3.875" style="86" bestFit="1" customWidth="1"/>
    <col min="2307" max="2307" width="38.25" style="86" customWidth="1"/>
    <col min="2308" max="2308" width="13.875" style="86" bestFit="1" customWidth="1"/>
    <col min="2309" max="2309" width="13" style="86" bestFit="1" customWidth="1"/>
    <col min="2310" max="2310" width="13.125" style="86" bestFit="1" customWidth="1"/>
    <col min="2311" max="2311" width="7" style="86" customWidth="1"/>
    <col min="2312" max="2312" width="12.125" style="86" bestFit="1" customWidth="1"/>
    <col min="2313" max="2313" width="10.5" style="86" bestFit="1" customWidth="1"/>
    <col min="2314" max="2314" width="7" style="86" bestFit="1" customWidth="1"/>
    <col min="2315" max="2315" width="5.875" style="86" bestFit="1" customWidth="1"/>
    <col min="2316" max="2316" width="8.75" style="86" bestFit="1" customWidth="1"/>
    <col min="2317" max="2318" width="8.5" style="86" bestFit="1" customWidth="1"/>
    <col min="2319" max="2319" width="14.375" style="86" bestFit="1" customWidth="1"/>
    <col min="2320" max="2320" width="10" style="86" bestFit="1" customWidth="1"/>
    <col min="2321" max="2321" width="6" style="86" customWidth="1"/>
    <col min="2322" max="2322" width="19.375" style="86" customWidth="1"/>
    <col min="2323" max="2323" width="11" style="86" bestFit="1" customWidth="1"/>
    <col min="2324" max="2325" width="8.25" style="86" bestFit="1" customWidth="1"/>
    <col min="2326" max="2560" width="9" style="86"/>
    <col min="2561" max="2561" width="15.875" style="86" customWidth="1"/>
    <col min="2562" max="2562" width="3.875" style="86" bestFit="1" customWidth="1"/>
    <col min="2563" max="2563" width="38.25" style="86" customWidth="1"/>
    <col min="2564" max="2564" width="13.875" style="86" bestFit="1" customWidth="1"/>
    <col min="2565" max="2565" width="13" style="86" bestFit="1" customWidth="1"/>
    <col min="2566" max="2566" width="13.125" style="86" bestFit="1" customWidth="1"/>
    <col min="2567" max="2567" width="7" style="86" customWidth="1"/>
    <col min="2568" max="2568" width="12.125" style="86" bestFit="1" customWidth="1"/>
    <col min="2569" max="2569" width="10.5" style="86" bestFit="1" customWidth="1"/>
    <col min="2570" max="2570" width="7" style="86" bestFit="1" customWidth="1"/>
    <col min="2571" max="2571" width="5.875" style="86" bestFit="1" customWidth="1"/>
    <col min="2572" max="2572" width="8.75" style="86" bestFit="1" customWidth="1"/>
    <col min="2573" max="2574" width="8.5" style="86" bestFit="1" customWidth="1"/>
    <col min="2575" max="2575" width="14.375" style="86" bestFit="1" customWidth="1"/>
    <col min="2576" max="2576" width="10" style="86" bestFit="1" customWidth="1"/>
    <col min="2577" max="2577" width="6" style="86" customWidth="1"/>
    <col min="2578" max="2578" width="19.375" style="86" customWidth="1"/>
    <col min="2579" max="2579" width="11" style="86" bestFit="1" customWidth="1"/>
    <col min="2580" max="2581" width="8.25" style="86" bestFit="1" customWidth="1"/>
    <col min="2582" max="2816" width="9" style="86"/>
    <col min="2817" max="2817" width="15.875" style="86" customWidth="1"/>
    <col min="2818" max="2818" width="3.875" style="86" bestFit="1" customWidth="1"/>
    <col min="2819" max="2819" width="38.25" style="86" customWidth="1"/>
    <col min="2820" max="2820" width="13.875" style="86" bestFit="1" customWidth="1"/>
    <col min="2821" max="2821" width="13" style="86" bestFit="1" customWidth="1"/>
    <col min="2822" max="2822" width="13.125" style="86" bestFit="1" customWidth="1"/>
    <col min="2823" max="2823" width="7" style="86" customWidth="1"/>
    <col min="2824" max="2824" width="12.125" style="86" bestFit="1" customWidth="1"/>
    <col min="2825" max="2825" width="10.5" style="86" bestFit="1" customWidth="1"/>
    <col min="2826" max="2826" width="7" style="86" bestFit="1" customWidth="1"/>
    <col min="2827" max="2827" width="5.875" style="86" bestFit="1" customWidth="1"/>
    <col min="2828" max="2828" width="8.75" style="86" bestFit="1" customWidth="1"/>
    <col min="2829" max="2830" width="8.5" style="86" bestFit="1" customWidth="1"/>
    <col min="2831" max="2831" width="14.375" style="86" bestFit="1" customWidth="1"/>
    <col min="2832" max="2832" width="10" style="86" bestFit="1" customWidth="1"/>
    <col min="2833" max="2833" width="6" style="86" customWidth="1"/>
    <col min="2834" max="2834" width="19.375" style="86" customWidth="1"/>
    <col min="2835" max="2835" width="11" style="86" bestFit="1" customWidth="1"/>
    <col min="2836" max="2837" width="8.25" style="86" bestFit="1" customWidth="1"/>
    <col min="2838" max="3072" width="9" style="86"/>
    <col min="3073" max="3073" width="15.875" style="86" customWidth="1"/>
    <col min="3074" max="3074" width="3.875" style="86" bestFit="1" customWidth="1"/>
    <col min="3075" max="3075" width="38.25" style="86" customWidth="1"/>
    <col min="3076" max="3076" width="13.875" style="86" bestFit="1" customWidth="1"/>
    <col min="3077" max="3077" width="13" style="86" bestFit="1" customWidth="1"/>
    <col min="3078" max="3078" width="13.125" style="86" bestFit="1" customWidth="1"/>
    <col min="3079" max="3079" width="7" style="86" customWidth="1"/>
    <col min="3080" max="3080" width="12.125" style="86" bestFit="1" customWidth="1"/>
    <col min="3081" max="3081" width="10.5" style="86" bestFit="1" customWidth="1"/>
    <col min="3082" max="3082" width="7" style="86" bestFit="1" customWidth="1"/>
    <col min="3083" max="3083" width="5.875" style="86" bestFit="1" customWidth="1"/>
    <col min="3084" max="3084" width="8.75" style="86" bestFit="1" customWidth="1"/>
    <col min="3085" max="3086" width="8.5" style="86" bestFit="1" customWidth="1"/>
    <col min="3087" max="3087" width="14.375" style="86" bestFit="1" customWidth="1"/>
    <col min="3088" max="3088" width="10" style="86" bestFit="1" customWidth="1"/>
    <col min="3089" max="3089" width="6" style="86" customWidth="1"/>
    <col min="3090" max="3090" width="19.375" style="86" customWidth="1"/>
    <col min="3091" max="3091" width="11" style="86" bestFit="1" customWidth="1"/>
    <col min="3092" max="3093" width="8.25" style="86" bestFit="1" customWidth="1"/>
    <col min="3094" max="3328" width="9" style="86"/>
    <col min="3329" max="3329" width="15.875" style="86" customWidth="1"/>
    <col min="3330" max="3330" width="3.875" style="86" bestFit="1" customWidth="1"/>
    <col min="3331" max="3331" width="38.25" style="86" customWidth="1"/>
    <col min="3332" max="3332" width="13.875" style="86" bestFit="1" customWidth="1"/>
    <col min="3333" max="3333" width="13" style="86" bestFit="1" customWidth="1"/>
    <col min="3334" max="3334" width="13.125" style="86" bestFit="1" customWidth="1"/>
    <col min="3335" max="3335" width="7" style="86" customWidth="1"/>
    <col min="3336" max="3336" width="12.125" style="86" bestFit="1" customWidth="1"/>
    <col min="3337" max="3337" width="10.5" style="86" bestFit="1" customWidth="1"/>
    <col min="3338" max="3338" width="7" style="86" bestFit="1" customWidth="1"/>
    <col min="3339" max="3339" width="5.875" style="86" bestFit="1" customWidth="1"/>
    <col min="3340" max="3340" width="8.75" style="86" bestFit="1" customWidth="1"/>
    <col min="3341" max="3342" width="8.5" style="86" bestFit="1" customWidth="1"/>
    <col min="3343" max="3343" width="14.375" style="86" bestFit="1" customWidth="1"/>
    <col min="3344" max="3344" width="10" style="86" bestFit="1" customWidth="1"/>
    <col min="3345" max="3345" width="6" style="86" customWidth="1"/>
    <col min="3346" max="3346" width="19.375" style="86" customWidth="1"/>
    <col min="3347" max="3347" width="11" style="86" bestFit="1" customWidth="1"/>
    <col min="3348" max="3349" width="8.25" style="86" bestFit="1" customWidth="1"/>
    <col min="3350" max="3584" width="9" style="86"/>
    <col min="3585" max="3585" width="15.875" style="86" customWidth="1"/>
    <col min="3586" max="3586" width="3.875" style="86" bestFit="1" customWidth="1"/>
    <col min="3587" max="3587" width="38.25" style="86" customWidth="1"/>
    <col min="3588" max="3588" width="13.875" style="86" bestFit="1" customWidth="1"/>
    <col min="3589" max="3589" width="13" style="86" bestFit="1" customWidth="1"/>
    <col min="3590" max="3590" width="13.125" style="86" bestFit="1" customWidth="1"/>
    <col min="3591" max="3591" width="7" style="86" customWidth="1"/>
    <col min="3592" max="3592" width="12.125" style="86" bestFit="1" customWidth="1"/>
    <col min="3593" max="3593" width="10.5" style="86" bestFit="1" customWidth="1"/>
    <col min="3594" max="3594" width="7" style="86" bestFit="1" customWidth="1"/>
    <col min="3595" max="3595" width="5.875" style="86" bestFit="1" customWidth="1"/>
    <col min="3596" max="3596" width="8.75" style="86" bestFit="1" customWidth="1"/>
    <col min="3597" max="3598" width="8.5" style="86" bestFit="1" customWidth="1"/>
    <col min="3599" max="3599" width="14.375" style="86" bestFit="1" customWidth="1"/>
    <col min="3600" max="3600" width="10" style="86" bestFit="1" customWidth="1"/>
    <col min="3601" max="3601" width="6" style="86" customWidth="1"/>
    <col min="3602" max="3602" width="19.375" style="86" customWidth="1"/>
    <col min="3603" max="3603" width="11" style="86" bestFit="1" customWidth="1"/>
    <col min="3604" max="3605" width="8.25" style="86" bestFit="1" customWidth="1"/>
    <col min="3606" max="3840" width="9" style="86"/>
    <col min="3841" max="3841" width="15.875" style="86" customWidth="1"/>
    <col min="3842" max="3842" width="3.875" style="86" bestFit="1" customWidth="1"/>
    <col min="3843" max="3843" width="38.25" style="86" customWidth="1"/>
    <col min="3844" max="3844" width="13.875" style="86" bestFit="1" customWidth="1"/>
    <col min="3845" max="3845" width="13" style="86" bestFit="1" customWidth="1"/>
    <col min="3846" max="3846" width="13.125" style="86" bestFit="1" customWidth="1"/>
    <col min="3847" max="3847" width="7" style="86" customWidth="1"/>
    <col min="3848" max="3848" width="12.125" style="86" bestFit="1" customWidth="1"/>
    <col min="3849" max="3849" width="10.5" style="86" bestFit="1" customWidth="1"/>
    <col min="3850" max="3850" width="7" style="86" bestFit="1" customWidth="1"/>
    <col min="3851" max="3851" width="5.875" style="86" bestFit="1" customWidth="1"/>
    <col min="3852" max="3852" width="8.75" style="86" bestFit="1" customWidth="1"/>
    <col min="3853" max="3854" width="8.5" style="86" bestFit="1" customWidth="1"/>
    <col min="3855" max="3855" width="14.375" style="86" bestFit="1" customWidth="1"/>
    <col min="3856" max="3856" width="10" style="86" bestFit="1" customWidth="1"/>
    <col min="3857" max="3857" width="6" style="86" customWidth="1"/>
    <col min="3858" max="3858" width="19.375" style="86" customWidth="1"/>
    <col min="3859" max="3859" width="11" style="86" bestFit="1" customWidth="1"/>
    <col min="3860" max="3861" width="8.25" style="86" bestFit="1" customWidth="1"/>
    <col min="3862" max="4096" width="9" style="86"/>
    <col min="4097" max="4097" width="15.875" style="86" customWidth="1"/>
    <col min="4098" max="4098" width="3.875" style="86" bestFit="1" customWidth="1"/>
    <col min="4099" max="4099" width="38.25" style="86" customWidth="1"/>
    <col min="4100" max="4100" width="13.875" style="86" bestFit="1" customWidth="1"/>
    <col min="4101" max="4101" width="13" style="86" bestFit="1" customWidth="1"/>
    <col min="4102" max="4102" width="13.125" style="86" bestFit="1" customWidth="1"/>
    <col min="4103" max="4103" width="7" style="86" customWidth="1"/>
    <col min="4104" max="4104" width="12.125" style="86" bestFit="1" customWidth="1"/>
    <col min="4105" max="4105" width="10.5" style="86" bestFit="1" customWidth="1"/>
    <col min="4106" max="4106" width="7" style="86" bestFit="1" customWidth="1"/>
    <col min="4107" max="4107" width="5.875" style="86" bestFit="1" customWidth="1"/>
    <col min="4108" max="4108" width="8.75" style="86" bestFit="1" customWidth="1"/>
    <col min="4109" max="4110" width="8.5" style="86" bestFit="1" customWidth="1"/>
    <col min="4111" max="4111" width="14.375" style="86" bestFit="1" customWidth="1"/>
    <col min="4112" max="4112" width="10" style="86" bestFit="1" customWidth="1"/>
    <col min="4113" max="4113" width="6" style="86" customWidth="1"/>
    <col min="4114" max="4114" width="19.375" style="86" customWidth="1"/>
    <col min="4115" max="4115" width="11" style="86" bestFit="1" customWidth="1"/>
    <col min="4116" max="4117" width="8.25" style="86" bestFit="1" customWidth="1"/>
    <col min="4118" max="4352" width="9" style="86"/>
    <col min="4353" max="4353" width="15.875" style="86" customWidth="1"/>
    <col min="4354" max="4354" width="3.875" style="86" bestFit="1" customWidth="1"/>
    <col min="4355" max="4355" width="38.25" style="86" customWidth="1"/>
    <col min="4356" max="4356" width="13.875" style="86" bestFit="1" customWidth="1"/>
    <col min="4357" max="4357" width="13" style="86" bestFit="1" customWidth="1"/>
    <col min="4358" max="4358" width="13.125" style="86" bestFit="1" customWidth="1"/>
    <col min="4359" max="4359" width="7" style="86" customWidth="1"/>
    <col min="4360" max="4360" width="12.125" style="86" bestFit="1" customWidth="1"/>
    <col min="4361" max="4361" width="10.5" style="86" bestFit="1" customWidth="1"/>
    <col min="4362" max="4362" width="7" style="86" bestFit="1" customWidth="1"/>
    <col min="4363" max="4363" width="5.875" style="86" bestFit="1" customWidth="1"/>
    <col min="4364" max="4364" width="8.75" style="86" bestFit="1" customWidth="1"/>
    <col min="4365" max="4366" width="8.5" style="86" bestFit="1" customWidth="1"/>
    <col min="4367" max="4367" width="14.375" style="86" bestFit="1" customWidth="1"/>
    <col min="4368" max="4368" width="10" style="86" bestFit="1" customWidth="1"/>
    <col min="4369" max="4369" width="6" style="86" customWidth="1"/>
    <col min="4370" max="4370" width="19.375" style="86" customWidth="1"/>
    <col min="4371" max="4371" width="11" style="86" bestFit="1" customWidth="1"/>
    <col min="4372" max="4373" width="8.25" style="86" bestFit="1" customWidth="1"/>
    <col min="4374" max="4608" width="9" style="86"/>
    <col min="4609" max="4609" width="15.875" style="86" customWidth="1"/>
    <col min="4610" max="4610" width="3.875" style="86" bestFit="1" customWidth="1"/>
    <col min="4611" max="4611" width="38.25" style="86" customWidth="1"/>
    <col min="4612" max="4612" width="13.875" style="86" bestFit="1" customWidth="1"/>
    <col min="4613" max="4613" width="13" style="86" bestFit="1" customWidth="1"/>
    <col min="4614" max="4614" width="13.125" style="86" bestFit="1" customWidth="1"/>
    <col min="4615" max="4615" width="7" style="86" customWidth="1"/>
    <col min="4616" max="4616" width="12.125" style="86" bestFit="1" customWidth="1"/>
    <col min="4617" max="4617" width="10.5" style="86" bestFit="1" customWidth="1"/>
    <col min="4618" max="4618" width="7" style="86" bestFit="1" customWidth="1"/>
    <col min="4619" max="4619" width="5.875" style="86" bestFit="1" customWidth="1"/>
    <col min="4620" max="4620" width="8.75" style="86" bestFit="1" customWidth="1"/>
    <col min="4621" max="4622" width="8.5" style="86" bestFit="1" customWidth="1"/>
    <col min="4623" max="4623" width="14.375" style="86" bestFit="1" customWidth="1"/>
    <col min="4624" max="4624" width="10" style="86" bestFit="1" customWidth="1"/>
    <col min="4625" max="4625" width="6" style="86" customWidth="1"/>
    <col min="4626" max="4626" width="19.375" style="86" customWidth="1"/>
    <col min="4627" max="4627" width="11" style="86" bestFit="1" customWidth="1"/>
    <col min="4628" max="4629" width="8.25" style="86" bestFit="1" customWidth="1"/>
    <col min="4630" max="4864" width="9" style="86"/>
    <col min="4865" max="4865" width="15.875" style="86" customWidth="1"/>
    <col min="4866" max="4866" width="3.875" style="86" bestFit="1" customWidth="1"/>
    <col min="4867" max="4867" width="38.25" style="86" customWidth="1"/>
    <col min="4868" max="4868" width="13.875" style="86" bestFit="1" customWidth="1"/>
    <col min="4869" max="4869" width="13" style="86" bestFit="1" customWidth="1"/>
    <col min="4870" max="4870" width="13.125" style="86" bestFit="1" customWidth="1"/>
    <col min="4871" max="4871" width="7" style="86" customWidth="1"/>
    <col min="4872" max="4872" width="12.125" style="86" bestFit="1" customWidth="1"/>
    <col min="4873" max="4873" width="10.5" style="86" bestFit="1" customWidth="1"/>
    <col min="4874" max="4874" width="7" style="86" bestFit="1" customWidth="1"/>
    <col min="4875" max="4875" width="5.875" style="86" bestFit="1" customWidth="1"/>
    <col min="4876" max="4876" width="8.75" style="86" bestFit="1" customWidth="1"/>
    <col min="4877" max="4878" width="8.5" style="86" bestFit="1" customWidth="1"/>
    <col min="4879" max="4879" width="14.375" style="86" bestFit="1" customWidth="1"/>
    <col min="4880" max="4880" width="10" style="86" bestFit="1" customWidth="1"/>
    <col min="4881" max="4881" width="6" style="86" customWidth="1"/>
    <col min="4882" max="4882" width="19.375" style="86" customWidth="1"/>
    <col min="4883" max="4883" width="11" style="86" bestFit="1" customWidth="1"/>
    <col min="4884" max="4885" width="8.25" style="86" bestFit="1" customWidth="1"/>
    <col min="4886" max="5120" width="9" style="86"/>
    <col min="5121" max="5121" width="15.875" style="86" customWidth="1"/>
    <col min="5122" max="5122" width="3.875" style="86" bestFit="1" customWidth="1"/>
    <col min="5123" max="5123" width="38.25" style="86" customWidth="1"/>
    <col min="5124" max="5124" width="13.875" style="86" bestFit="1" customWidth="1"/>
    <col min="5125" max="5125" width="13" style="86" bestFit="1" customWidth="1"/>
    <col min="5126" max="5126" width="13.125" style="86" bestFit="1" customWidth="1"/>
    <col min="5127" max="5127" width="7" style="86" customWidth="1"/>
    <col min="5128" max="5128" width="12.125" style="86" bestFit="1" customWidth="1"/>
    <col min="5129" max="5129" width="10.5" style="86" bestFit="1" customWidth="1"/>
    <col min="5130" max="5130" width="7" style="86" bestFit="1" customWidth="1"/>
    <col min="5131" max="5131" width="5.875" style="86" bestFit="1" customWidth="1"/>
    <col min="5132" max="5132" width="8.75" style="86" bestFit="1" customWidth="1"/>
    <col min="5133" max="5134" width="8.5" style="86" bestFit="1" customWidth="1"/>
    <col min="5135" max="5135" width="14.375" style="86" bestFit="1" customWidth="1"/>
    <col min="5136" max="5136" width="10" style="86" bestFit="1" customWidth="1"/>
    <col min="5137" max="5137" width="6" style="86" customWidth="1"/>
    <col min="5138" max="5138" width="19.375" style="86" customWidth="1"/>
    <col min="5139" max="5139" width="11" style="86" bestFit="1" customWidth="1"/>
    <col min="5140" max="5141" width="8.25" style="86" bestFit="1" customWidth="1"/>
    <col min="5142" max="5376" width="9" style="86"/>
    <col min="5377" max="5377" width="15.875" style="86" customWidth="1"/>
    <col min="5378" max="5378" width="3.875" style="86" bestFit="1" customWidth="1"/>
    <col min="5379" max="5379" width="38.25" style="86" customWidth="1"/>
    <col min="5380" max="5380" width="13.875" style="86" bestFit="1" customWidth="1"/>
    <col min="5381" max="5381" width="13" style="86" bestFit="1" customWidth="1"/>
    <col min="5382" max="5382" width="13.125" style="86" bestFit="1" customWidth="1"/>
    <col min="5383" max="5383" width="7" style="86" customWidth="1"/>
    <col min="5384" max="5384" width="12.125" style="86" bestFit="1" customWidth="1"/>
    <col min="5385" max="5385" width="10.5" style="86" bestFit="1" customWidth="1"/>
    <col min="5386" max="5386" width="7" style="86" bestFit="1" customWidth="1"/>
    <col min="5387" max="5387" width="5.875" style="86" bestFit="1" customWidth="1"/>
    <col min="5388" max="5388" width="8.75" style="86" bestFit="1" customWidth="1"/>
    <col min="5389" max="5390" width="8.5" style="86" bestFit="1" customWidth="1"/>
    <col min="5391" max="5391" width="14.375" style="86" bestFit="1" customWidth="1"/>
    <col min="5392" max="5392" width="10" style="86" bestFit="1" customWidth="1"/>
    <col min="5393" max="5393" width="6" style="86" customWidth="1"/>
    <col min="5394" max="5394" width="19.375" style="86" customWidth="1"/>
    <col min="5395" max="5395" width="11" style="86" bestFit="1" customWidth="1"/>
    <col min="5396" max="5397" width="8.25" style="86" bestFit="1" customWidth="1"/>
    <col min="5398" max="5632" width="9" style="86"/>
    <col min="5633" max="5633" width="15.875" style="86" customWidth="1"/>
    <col min="5634" max="5634" width="3.875" style="86" bestFit="1" customWidth="1"/>
    <col min="5635" max="5635" width="38.25" style="86" customWidth="1"/>
    <col min="5636" max="5636" width="13.875" style="86" bestFit="1" customWidth="1"/>
    <col min="5637" max="5637" width="13" style="86" bestFit="1" customWidth="1"/>
    <col min="5638" max="5638" width="13.125" style="86" bestFit="1" customWidth="1"/>
    <col min="5639" max="5639" width="7" style="86" customWidth="1"/>
    <col min="5640" max="5640" width="12.125" style="86" bestFit="1" customWidth="1"/>
    <col min="5641" max="5641" width="10.5" style="86" bestFit="1" customWidth="1"/>
    <col min="5642" max="5642" width="7" style="86" bestFit="1" customWidth="1"/>
    <col min="5643" max="5643" width="5.875" style="86" bestFit="1" customWidth="1"/>
    <col min="5644" max="5644" width="8.75" style="86" bestFit="1" customWidth="1"/>
    <col min="5645" max="5646" width="8.5" style="86" bestFit="1" customWidth="1"/>
    <col min="5647" max="5647" width="14.375" style="86" bestFit="1" customWidth="1"/>
    <col min="5648" max="5648" width="10" style="86" bestFit="1" customWidth="1"/>
    <col min="5649" max="5649" width="6" style="86" customWidth="1"/>
    <col min="5650" max="5650" width="19.375" style="86" customWidth="1"/>
    <col min="5651" max="5651" width="11" style="86" bestFit="1" customWidth="1"/>
    <col min="5652" max="5653" width="8.25" style="86" bestFit="1" customWidth="1"/>
    <col min="5654" max="5888" width="9" style="86"/>
    <col min="5889" max="5889" width="15.875" style="86" customWidth="1"/>
    <col min="5890" max="5890" width="3.875" style="86" bestFit="1" customWidth="1"/>
    <col min="5891" max="5891" width="38.25" style="86" customWidth="1"/>
    <col min="5892" max="5892" width="13.875" style="86" bestFit="1" customWidth="1"/>
    <col min="5893" max="5893" width="13" style="86" bestFit="1" customWidth="1"/>
    <col min="5894" max="5894" width="13.125" style="86" bestFit="1" customWidth="1"/>
    <col min="5895" max="5895" width="7" style="86" customWidth="1"/>
    <col min="5896" max="5896" width="12.125" style="86" bestFit="1" customWidth="1"/>
    <col min="5897" max="5897" width="10.5" style="86" bestFit="1" customWidth="1"/>
    <col min="5898" max="5898" width="7" style="86" bestFit="1" customWidth="1"/>
    <col min="5899" max="5899" width="5.875" style="86" bestFit="1" customWidth="1"/>
    <col min="5900" max="5900" width="8.75" style="86" bestFit="1" customWidth="1"/>
    <col min="5901" max="5902" width="8.5" style="86" bestFit="1" customWidth="1"/>
    <col min="5903" max="5903" width="14.375" style="86" bestFit="1" customWidth="1"/>
    <col min="5904" max="5904" width="10" style="86" bestFit="1" customWidth="1"/>
    <col min="5905" max="5905" width="6" style="86" customWidth="1"/>
    <col min="5906" max="5906" width="19.375" style="86" customWidth="1"/>
    <col min="5907" max="5907" width="11" style="86" bestFit="1" customWidth="1"/>
    <col min="5908" max="5909" width="8.25" style="86" bestFit="1" customWidth="1"/>
    <col min="5910" max="6144" width="9" style="86"/>
    <col min="6145" max="6145" width="15.875" style="86" customWidth="1"/>
    <col min="6146" max="6146" width="3.875" style="86" bestFit="1" customWidth="1"/>
    <col min="6147" max="6147" width="38.25" style="86" customWidth="1"/>
    <col min="6148" max="6148" width="13.875" style="86" bestFit="1" customWidth="1"/>
    <col min="6149" max="6149" width="13" style="86" bestFit="1" customWidth="1"/>
    <col min="6150" max="6150" width="13.125" style="86" bestFit="1" customWidth="1"/>
    <col min="6151" max="6151" width="7" style="86" customWidth="1"/>
    <col min="6152" max="6152" width="12.125" style="86" bestFit="1" customWidth="1"/>
    <col min="6153" max="6153" width="10.5" style="86" bestFit="1" customWidth="1"/>
    <col min="6154" max="6154" width="7" style="86" bestFit="1" customWidth="1"/>
    <col min="6155" max="6155" width="5.875" style="86" bestFit="1" customWidth="1"/>
    <col min="6156" max="6156" width="8.75" style="86" bestFit="1" customWidth="1"/>
    <col min="6157" max="6158" width="8.5" style="86" bestFit="1" customWidth="1"/>
    <col min="6159" max="6159" width="14.375" style="86" bestFit="1" customWidth="1"/>
    <col min="6160" max="6160" width="10" style="86" bestFit="1" customWidth="1"/>
    <col min="6161" max="6161" width="6" style="86" customWidth="1"/>
    <col min="6162" max="6162" width="19.375" style="86" customWidth="1"/>
    <col min="6163" max="6163" width="11" style="86" bestFit="1" customWidth="1"/>
    <col min="6164" max="6165" width="8.25" style="86" bestFit="1" customWidth="1"/>
    <col min="6166" max="6400" width="9" style="86"/>
    <col min="6401" max="6401" width="15.875" style="86" customWidth="1"/>
    <col min="6402" max="6402" width="3.875" style="86" bestFit="1" customWidth="1"/>
    <col min="6403" max="6403" width="38.25" style="86" customWidth="1"/>
    <col min="6404" max="6404" width="13.875" style="86" bestFit="1" customWidth="1"/>
    <col min="6405" max="6405" width="13" style="86" bestFit="1" customWidth="1"/>
    <col min="6406" max="6406" width="13.125" style="86" bestFit="1" customWidth="1"/>
    <col min="6407" max="6407" width="7" style="86" customWidth="1"/>
    <col min="6408" max="6408" width="12.125" style="86" bestFit="1" customWidth="1"/>
    <col min="6409" max="6409" width="10.5" style="86" bestFit="1" customWidth="1"/>
    <col min="6410" max="6410" width="7" style="86" bestFit="1" customWidth="1"/>
    <col min="6411" max="6411" width="5.875" style="86" bestFit="1" customWidth="1"/>
    <col min="6412" max="6412" width="8.75" style="86" bestFit="1" customWidth="1"/>
    <col min="6413" max="6414" width="8.5" style="86" bestFit="1" customWidth="1"/>
    <col min="6415" max="6415" width="14.375" style="86" bestFit="1" customWidth="1"/>
    <col min="6416" max="6416" width="10" style="86" bestFit="1" customWidth="1"/>
    <col min="6417" max="6417" width="6" style="86" customWidth="1"/>
    <col min="6418" max="6418" width="19.375" style="86" customWidth="1"/>
    <col min="6419" max="6419" width="11" style="86" bestFit="1" customWidth="1"/>
    <col min="6420" max="6421" width="8.25" style="86" bestFit="1" customWidth="1"/>
    <col min="6422" max="6656" width="9" style="86"/>
    <col min="6657" max="6657" width="15.875" style="86" customWidth="1"/>
    <col min="6658" max="6658" width="3.875" style="86" bestFit="1" customWidth="1"/>
    <col min="6659" max="6659" width="38.25" style="86" customWidth="1"/>
    <col min="6660" max="6660" width="13.875" style="86" bestFit="1" customWidth="1"/>
    <col min="6661" max="6661" width="13" style="86" bestFit="1" customWidth="1"/>
    <col min="6662" max="6662" width="13.125" style="86" bestFit="1" customWidth="1"/>
    <col min="6663" max="6663" width="7" style="86" customWidth="1"/>
    <col min="6664" max="6664" width="12.125" style="86" bestFit="1" customWidth="1"/>
    <col min="6665" max="6665" width="10.5" style="86" bestFit="1" customWidth="1"/>
    <col min="6666" max="6666" width="7" style="86" bestFit="1" customWidth="1"/>
    <col min="6667" max="6667" width="5.875" style="86" bestFit="1" customWidth="1"/>
    <col min="6668" max="6668" width="8.75" style="86" bestFit="1" customWidth="1"/>
    <col min="6669" max="6670" width="8.5" style="86" bestFit="1" customWidth="1"/>
    <col min="6671" max="6671" width="14.375" style="86" bestFit="1" customWidth="1"/>
    <col min="6672" max="6672" width="10" style="86" bestFit="1" customWidth="1"/>
    <col min="6673" max="6673" width="6" style="86" customWidth="1"/>
    <col min="6674" max="6674" width="19.375" style="86" customWidth="1"/>
    <col min="6675" max="6675" width="11" style="86" bestFit="1" customWidth="1"/>
    <col min="6676" max="6677" width="8.25" style="86" bestFit="1" customWidth="1"/>
    <col min="6678" max="6912" width="9" style="86"/>
    <col min="6913" max="6913" width="15.875" style="86" customWidth="1"/>
    <col min="6914" max="6914" width="3.875" style="86" bestFit="1" customWidth="1"/>
    <col min="6915" max="6915" width="38.25" style="86" customWidth="1"/>
    <col min="6916" max="6916" width="13.875" style="86" bestFit="1" customWidth="1"/>
    <col min="6917" max="6917" width="13" style="86" bestFit="1" customWidth="1"/>
    <col min="6918" max="6918" width="13.125" style="86" bestFit="1" customWidth="1"/>
    <col min="6919" max="6919" width="7" style="86" customWidth="1"/>
    <col min="6920" max="6920" width="12.125" style="86" bestFit="1" customWidth="1"/>
    <col min="6921" max="6921" width="10.5" style="86" bestFit="1" customWidth="1"/>
    <col min="6922" max="6922" width="7" style="86" bestFit="1" customWidth="1"/>
    <col min="6923" max="6923" width="5.875" style="86" bestFit="1" customWidth="1"/>
    <col min="6924" max="6924" width="8.75" style="86" bestFit="1" customWidth="1"/>
    <col min="6925" max="6926" width="8.5" style="86" bestFit="1" customWidth="1"/>
    <col min="6927" max="6927" width="14.375" style="86" bestFit="1" customWidth="1"/>
    <col min="6928" max="6928" width="10" style="86" bestFit="1" customWidth="1"/>
    <col min="6929" max="6929" width="6" style="86" customWidth="1"/>
    <col min="6930" max="6930" width="19.375" style="86" customWidth="1"/>
    <col min="6931" max="6931" width="11" style="86" bestFit="1" customWidth="1"/>
    <col min="6932" max="6933" width="8.25" style="86" bestFit="1" customWidth="1"/>
    <col min="6934" max="7168" width="9" style="86"/>
    <col min="7169" max="7169" width="15.875" style="86" customWidth="1"/>
    <col min="7170" max="7170" width="3.875" style="86" bestFit="1" customWidth="1"/>
    <col min="7171" max="7171" width="38.25" style="86" customWidth="1"/>
    <col min="7172" max="7172" width="13.875" style="86" bestFit="1" customWidth="1"/>
    <col min="7173" max="7173" width="13" style="86" bestFit="1" customWidth="1"/>
    <col min="7174" max="7174" width="13.125" style="86" bestFit="1" customWidth="1"/>
    <col min="7175" max="7175" width="7" style="86" customWidth="1"/>
    <col min="7176" max="7176" width="12.125" style="86" bestFit="1" customWidth="1"/>
    <col min="7177" max="7177" width="10.5" style="86" bestFit="1" customWidth="1"/>
    <col min="7178" max="7178" width="7" style="86" bestFit="1" customWidth="1"/>
    <col min="7179" max="7179" width="5.875" style="86" bestFit="1" customWidth="1"/>
    <col min="7180" max="7180" width="8.75" style="86" bestFit="1" customWidth="1"/>
    <col min="7181" max="7182" width="8.5" style="86" bestFit="1" customWidth="1"/>
    <col min="7183" max="7183" width="14.375" style="86" bestFit="1" customWidth="1"/>
    <col min="7184" max="7184" width="10" style="86" bestFit="1" customWidth="1"/>
    <col min="7185" max="7185" width="6" style="86" customWidth="1"/>
    <col min="7186" max="7186" width="19.375" style="86" customWidth="1"/>
    <col min="7187" max="7187" width="11" style="86" bestFit="1" customWidth="1"/>
    <col min="7188" max="7189" width="8.25" style="86" bestFit="1" customWidth="1"/>
    <col min="7190" max="7424" width="9" style="86"/>
    <col min="7425" max="7425" width="15.875" style="86" customWidth="1"/>
    <col min="7426" max="7426" width="3.875" style="86" bestFit="1" customWidth="1"/>
    <col min="7427" max="7427" width="38.25" style="86" customWidth="1"/>
    <col min="7428" max="7428" width="13.875" style="86" bestFit="1" customWidth="1"/>
    <col min="7429" max="7429" width="13" style="86" bestFit="1" customWidth="1"/>
    <col min="7430" max="7430" width="13.125" style="86" bestFit="1" customWidth="1"/>
    <col min="7431" max="7431" width="7" style="86" customWidth="1"/>
    <col min="7432" max="7432" width="12.125" style="86" bestFit="1" customWidth="1"/>
    <col min="7433" max="7433" width="10.5" style="86" bestFit="1" customWidth="1"/>
    <col min="7434" max="7434" width="7" style="86" bestFit="1" customWidth="1"/>
    <col min="7435" max="7435" width="5.875" style="86" bestFit="1" customWidth="1"/>
    <col min="7436" max="7436" width="8.75" style="86" bestFit="1" customWidth="1"/>
    <col min="7437" max="7438" width="8.5" style="86" bestFit="1" customWidth="1"/>
    <col min="7439" max="7439" width="14.375" style="86" bestFit="1" customWidth="1"/>
    <col min="7440" max="7440" width="10" style="86" bestFit="1" customWidth="1"/>
    <col min="7441" max="7441" width="6" style="86" customWidth="1"/>
    <col min="7442" max="7442" width="19.375" style="86" customWidth="1"/>
    <col min="7443" max="7443" width="11" style="86" bestFit="1" customWidth="1"/>
    <col min="7444" max="7445" width="8.25" style="86" bestFit="1" customWidth="1"/>
    <col min="7446" max="7680" width="9" style="86"/>
    <col min="7681" max="7681" width="15.875" style="86" customWidth="1"/>
    <col min="7682" max="7682" width="3.875" style="86" bestFit="1" customWidth="1"/>
    <col min="7683" max="7683" width="38.25" style="86" customWidth="1"/>
    <col min="7684" max="7684" width="13.875" style="86" bestFit="1" customWidth="1"/>
    <col min="7685" max="7685" width="13" style="86" bestFit="1" customWidth="1"/>
    <col min="7686" max="7686" width="13.125" style="86" bestFit="1" customWidth="1"/>
    <col min="7687" max="7687" width="7" style="86" customWidth="1"/>
    <col min="7688" max="7688" width="12.125" style="86" bestFit="1" customWidth="1"/>
    <col min="7689" max="7689" width="10.5" style="86" bestFit="1" customWidth="1"/>
    <col min="7690" max="7690" width="7" style="86" bestFit="1" customWidth="1"/>
    <col min="7691" max="7691" width="5.875" style="86" bestFit="1" customWidth="1"/>
    <col min="7692" max="7692" width="8.75" style="86" bestFit="1" customWidth="1"/>
    <col min="7693" max="7694" width="8.5" style="86" bestFit="1" customWidth="1"/>
    <col min="7695" max="7695" width="14.375" style="86" bestFit="1" customWidth="1"/>
    <col min="7696" max="7696" width="10" style="86" bestFit="1" customWidth="1"/>
    <col min="7697" max="7697" width="6" style="86" customWidth="1"/>
    <col min="7698" max="7698" width="19.375" style="86" customWidth="1"/>
    <col min="7699" max="7699" width="11" style="86" bestFit="1" customWidth="1"/>
    <col min="7700" max="7701" width="8.25" style="86" bestFit="1" customWidth="1"/>
    <col min="7702" max="7936" width="9" style="86"/>
    <col min="7937" max="7937" width="15.875" style="86" customWidth="1"/>
    <col min="7938" max="7938" width="3.875" style="86" bestFit="1" customWidth="1"/>
    <col min="7939" max="7939" width="38.25" style="86" customWidth="1"/>
    <col min="7940" max="7940" width="13.875" style="86" bestFit="1" customWidth="1"/>
    <col min="7941" max="7941" width="13" style="86" bestFit="1" customWidth="1"/>
    <col min="7942" max="7942" width="13.125" style="86" bestFit="1" customWidth="1"/>
    <col min="7943" max="7943" width="7" style="86" customWidth="1"/>
    <col min="7944" max="7944" width="12.125" style="86" bestFit="1" customWidth="1"/>
    <col min="7945" max="7945" width="10.5" style="86" bestFit="1" customWidth="1"/>
    <col min="7946" max="7946" width="7" style="86" bestFit="1" customWidth="1"/>
    <col min="7947" max="7947" width="5.875" style="86" bestFit="1" customWidth="1"/>
    <col min="7948" max="7948" width="8.75" style="86" bestFit="1" customWidth="1"/>
    <col min="7949" max="7950" width="8.5" style="86" bestFit="1" customWidth="1"/>
    <col min="7951" max="7951" width="14.375" style="86" bestFit="1" customWidth="1"/>
    <col min="7952" max="7952" width="10" style="86" bestFit="1" customWidth="1"/>
    <col min="7953" max="7953" width="6" style="86" customWidth="1"/>
    <col min="7954" max="7954" width="19.375" style="86" customWidth="1"/>
    <col min="7955" max="7955" width="11" style="86" bestFit="1" customWidth="1"/>
    <col min="7956" max="7957" width="8.25" style="86" bestFit="1" customWidth="1"/>
    <col min="7958" max="8192" width="9" style="86"/>
    <col min="8193" max="8193" width="15.875" style="86" customWidth="1"/>
    <col min="8194" max="8194" width="3.875" style="86" bestFit="1" customWidth="1"/>
    <col min="8195" max="8195" width="38.25" style="86" customWidth="1"/>
    <col min="8196" max="8196" width="13.875" style="86" bestFit="1" customWidth="1"/>
    <col min="8197" max="8197" width="13" style="86" bestFit="1" customWidth="1"/>
    <col min="8198" max="8198" width="13.125" style="86" bestFit="1" customWidth="1"/>
    <col min="8199" max="8199" width="7" style="86" customWidth="1"/>
    <col min="8200" max="8200" width="12.125" style="86" bestFit="1" customWidth="1"/>
    <col min="8201" max="8201" width="10.5" style="86" bestFit="1" customWidth="1"/>
    <col min="8202" max="8202" width="7" style="86" bestFit="1" customWidth="1"/>
    <col min="8203" max="8203" width="5.875" style="86" bestFit="1" customWidth="1"/>
    <col min="8204" max="8204" width="8.75" style="86" bestFit="1" customWidth="1"/>
    <col min="8205" max="8206" width="8.5" style="86" bestFit="1" customWidth="1"/>
    <col min="8207" max="8207" width="14.375" style="86" bestFit="1" customWidth="1"/>
    <col min="8208" max="8208" width="10" style="86" bestFit="1" customWidth="1"/>
    <col min="8209" max="8209" width="6" style="86" customWidth="1"/>
    <col min="8210" max="8210" width="19.375" style="86" customWidth="1"/>
    <col min="8211" max="8211" width="11" style="86" bestFit="1" customWidth="1"/>
    <col min="8212" max="8213" width="8.25" style="86" bestFit="1" customWidth="1"/>
    <col min="8214" max="8448" width="9" style="86"/>
    <col min="8449" max="8449" width="15.875" style="86" customWidth="1"/>
    <col min="8450" max="8450" width="3.875" style="86" bestFit="1" customWidth="1"/>
    <col min="8451" max="8451" width="38.25" style="86" customWidth="1"/>
    <col min="8452" max="8452" width="13.875" style="86" bestFit="1" customWidth="1"/>
    <col min="8453" max="8453" width="13" style="86" bestFit="1" customWidth="1"/>
    <col min="8454" max="8454" width="13.125" style="86" bestFit="1" customWidth="1"/>
    <col min="8455" max="8455" width="7" style="86" customWidth="1"/>
    <col min="8456" max="8456" width="12.125" style="86" bestFit="1" customWidth="1"/>
    <col min="8457" max="8457" width="10.5" style="86" bestFit="1" customWidth="1"/>
    <col min="8458" max="8458" width="7" style="86" bestFit="1" customWidth="1"/>
    <col min="8459" max="8459" width="5.875" style="86" bestFit="1" customWidth="1"/>
    <col min="8460" max="8460" width="8.75" style="86" bestFit="1" customWidth="1"/>
    <col min="8461" max="8462" width="8.5" style="86" bestFit="1" customWidth="1"/>
    <col min="8463" max="8463" width="14.375" style="86" bestFit="1" customWidth="1"/>
    <col min="8464" max="8464" width="10" style="86" bestFit="1" customWidth="1"/>
    <col min="8465" max="8465" width="6" style="86" customWidth="1"/>
    <col min="8466" max="8466" width="19.375" style="86" customWidth="1"/>
    <col min="8467" max="8467" width="11" style="86" bestFit="1" customWidth="1"/>
    <col min="8468" max="8469" width="8.25" style="86" bestFit="1" customWidth="1"/>
    <col min="8470" max="8704" width="9" style="86"/>
    <col min="8705" max="8705" width="15.875" style="86" customWidth="1"/>
    <col min="8706" max="8706" width="3.875" style="86" bestFit="1" customWidth="1"/>
    <col min="8707" max="8707" width="38.25" style="86" customWidth="1"/>
    <col min="8708" max="8708" width="13.875" style="86" bestFit="1" customWidth="1"/>
    <col min="8709" max="8709" width="13" style="86" bestFit="1" customWidth="1"/>
    <col min="8710" max="8710" width="13.125" style="86" bestFit="1" customWidth="1"/>
    <col min="8711" max="8711" width="7" style="86" customWidth="1"/>
    <col min="8712" max="8712" width="12.125" style="86" bestFit="1" customWidth="1"/>
    <col min="8713" max="8713" width="10.5" style="86" bestFit="1" customWidth="1"/>
    <col min="8714" max="8714" width="7" style="86" bestFit="1" customWidth="1"/>
    <col min="8715" max="8715" width="5.875" style="86" bestFit="1" customWidth="1"/>
    <col min="8716" max="8716" width="8.75" style="86" bestFit="1" customWidth="1"/>
    <col min="8717" max="8718" width="8.5" style="86" bestFit="1" customWidth="1"/>
    <col min="8719" max="8719" width="14.375" style="86" bestFit="1" customWidth="1"/>
    <col min="8720" max="8720" width="10" style="86" bestFit="1" customWidth="1"/>
    <col min="8721" max="8721" width="6" style="86" customWidth="1"/>
    <col min="8722" max="8722" width="19.375" style="86" customWidth="1"/>
    <col min="8723" max="8723" width="11" style="86" bestFit="1" customWidth="1"/>
    <col min="8724" max="8725" width="8.25" style="86" bestFit="1" customWidth="1"/>
    <col min="8726" max="8960" width="9" style="86"/>
    <col min="8961" max="8961" width="15.875" style="86" customWidth="1"/>
    <col min="8962" max="8962" width="3.875" style="86" bestFit="1" customWidth="1"/>
    <col min="8963" max="8963" width="38.25" style="86" customWidth="1"/>
    <col min="8964" max="8964" width="13.875" style="86" bestFit="1" customWidth="1"/>
    <col min="8965" max="8965" width="13" style="86" bestFit="1" customWidth="1"/>
    <col min="8966" max="8966" width="13.125" style="86" bestFit="1" customWidth="1"/>
    <col min="8967" max="8967" width="7" style="86" customWidth="1"/>
    <col min="8968" max="8968" width="12.125" style="86" bestFit="1" customWidth="1"/>
    <col min="8969" max="8969" width="10.5" style="86" bestFit="1" customWidth="1"/>
    <col min="8970" max="8970" width="7" style="86" bestFit="1" customWidth="1"/>
    <col min="8971" max="8971" width="5.875" style="86" bestFit="1" customWidth="1"/>
    <col min="8972" max="8972" width="8.75" style="86" bestFit="1" customWidth="1"/>
    <col min="8973" max="8974" width="8.5" style="86" bestFit="1" customWidth="1"/>
    <col min="8975" max="8975" width="14.375" style="86" bestFit="1" customWidth="1"/>
    <col min="8976" max="8976" width="10" style="86" bestFit="1" customWidth="1"/>
    <col min="8977" max="8977" width="6" style="86" customWidth="1"/>
    <col min="8978" max="8978" width="19.375" style="86" customWidth="1"/>
    <col min="8979" max="8979" width="11" style="86" bestFit="1" customWidth="1"/>
    <col min="8980" max="8981" width="8.25" style="86" bestFit="1" customWidth="1"/>
    <col min="8982" max="9216" width="9" style="86"/>
    <col min="9217" max="9217" width="15.875" style="86" customWidth="1"/>
    <col min="9218" max="9218" width="3.875" style="86" bestFit="1" customWidth="1"/>
    <col min="9219" max="9219" width="38.25" style="86" customWidth="1"/>
    <col min="9220" max="9220" width="13.875" style="86" bestFit="1" customWidth="1"/>
    <col min="9221" max="9221" width="13" style="86" bestFit="1" customWidth="1"/>
    <col min="9222" max="9222" width="13.125" style="86" bestFit="1" customWidth="1"/>
    <col min="9223" max="9223" width="7" style="86" customWidth="1"/>
    <col min="9224" max="9224" width="12.125" style="86" bestFit="1" customWidth="1"/>
    <col min="9225" max="9225" width="10.5" style="86" bestFit="1" customWidth="1"/>
    <col min="9226" max="9226" width="7" style="86" bestFit="1" customWidth="1"/>
    <col min="9227" max="9227" width="5.875" style="86" bestFit="1" customWidth="1"/>
    <col min="9228" max="9228" width="8.75" style="86" bestFit="1" customWidth="1"/>
    <col min="9229" max="9230" width="8.5" style="86" bestFit="1" customWidth="1"/>
    <col min="9231" max="9231" width="14.375" style="86" bestFit="1" customWidth="1"/>
    <col min="9232" max="9232" width="10" style="86" bestFit="1" customWidth="1"/>
    <col min="9233" max="9233" width="6" style="86" customWidth="1"/>
    <col min="9234" max="9234" width="19.375" style="86" customWidth="1"/>
    <col min="9235" max="9235" width="11" style="86" bestFit="1" customWidth="1"/>
    <col min="9236" max="9237" width="8.25" style="86" bestFit="1" customWidth="1"/>
    <col min="9238" max="9472" width="9" style="86"/>
    <col min="9473" max="9473" width="15.875" style="86" customWidth="1"/>
    <col min="9474" max="9474" width="3.875" style="86" bestFit="1" customWidth="1"/>
    <col min="9475" max="9475" width="38.25" style="86" customWidth="1"/>
    <col min="9476" max="9476" width="13.875" style="86" bestFit="1" customWidth="1"/>
    <col min="9477" max="9477" width="13" style="86" bestFit="1" customWidth="1"/>
    <col min="9478" max="9478" width="13.125" style="86" bestFit="1" customWidth="1"/>
    <col min="9479" max="9479" width="7" style="86" customWidth="1"/>
    <col min="9480" max="9480" width="12.125" style="86" bestFit="1" customWidth="1"/>
    <col min="9481" max="9481" width="10.5" style="86" bestFit="1" customWidth="1"/>
    <col min="9482" max="9482" width="7" style="86" bestFit="1" customWidth="1"/>
    <col min="9483" max="9483" width="5.875" style="86" bestFit="1" customWidth="1"/>
    <col min="9484" max="9484" width="8.75" style="86" bestFit="1" customWidth="1"/>
    <col min="9485" max="9486" width="8.5" style="86" bestFit="1" customWidth="1"/>
    <col min="9487" max="9487" width="14.375" style="86" bestFit="1" customWidth="1"/>
    <col min="9488" max="9488" width="10" style="86" bestFit="1" customWidth="1"/>
    <col min="9489" max="9489" width="6" style="86" customWidth="1"/>
    <col min="9490" max="9490" width="19.375" style="86" customWidth="1"/>
    <col min="9491" max="9491" width="11" style="86" bestFit="1" customWidth="1"/>
    <col min="9492" max="9493" width="8.25" style="86" bestFit="1" customWidth="1"/>
    <col min="9494" max="9728" width="9" style="86"/>
    <col min="9729" max="9729" width="15.875" style="86" customWidth="1"/>
    <col min="9730" max="9730" width="3.875" style="86" bestFit="1" customWidth="1"/>
    <col min="9731" max="9731" width="38.25" style="86" customWidth="1"/>
    <col min="9732" max="9732" width="13.875" style="86" bestFit="1" customWidth="1"/>
    <col min="9733" max="9733" width="13" style="86" bestFit="1" customWidth="1"/>
    <col min="9734" max="9734" width="13.125" style="86" bestFit="1" customWidth="1"/>
    <col min="9735" max="9735" width="7" style="86" customWidth="1"/>
    <col min="9736" max="9736" width="12.125" style="86" bestFit="1" customWidth="1"/>
    <col min="9737" max="9737" width="10.5" style="86" bestFit="1" customWidth="1"/>
    <col min="9738" max="9738" width="7" style="86" bestFit="1" customWidth="1"/>
    <col min="9739" max="9739" width="5.875" style="86" bestFit="1" customWidth="1"/>
    <col min="9740" max="9740" width="8.75" style="86" bestFit="1" customWidth="1"/>
    <col min="9741" max="9742" width="8.5" style="86" bestFit="1" customWidth="1"/>
    <col min="9743" max="9743" width="14.375" style="86" bestFit="1" customWidth="1"/>
    <col min="9744" max="9744" width="10" style="86" bestFit="1" customWidth="1"/>
    <col min="9745" max="9745" width="6" style="86" customWidth="1"/>
    <col min="9746" max="9746" width="19.375" style="86" customWidth="1"/>
    <col min="9747" max="9747" width="11" style="86" bestFit="1" customWidth="1"/>
    <col min="9748" max="9749" width="8.25" style="86" bestFit="1" customWidth="1"/>
    <col min="9750" max="9984" width="9" style="86"/>
    <col min="9985" max="9985" width="15.875" style="86" customWidth="1"/>
    <col min="9986" max="9986" width="3.875" style="86" bestFit="1" customWidth="1"/>
    <col min="9987" max="9987" width="38.25" style="86" customWidth="1"/>
    <col min="9988" max="9988" width="13.875" style="86" bestFit="1" customWidth="1"/>
    <col min="9989" max="9989" width="13" style="86" bestFit="1" customWidth="1"/>
    <col min="9990" max="9990" width="13.125" style="86" bestFit="1" customWidth="1"/>
    <col min="9991" max="9991" width="7" style="86" customWidth="1"/>
    <col min="9992" max="9992" width="12.125" style="86" bestFit="1" customWidth="1"/>
    <col min="9993" max="9993" width="10.5" style="86" bestFit="1" customWidth="1"/>
    <col min="9994" max="9994" width="7" style="86" bestFit="1" customWidth="1"/>
    <col min="9995" max="9995" width="5.875" style="86" bestFit="1" customWidth="1"/>
    <col min="9996" max="9996" width="8.75" style="86" bestFit="1" customWidth="1"/>
    <col min="9997" max="9998" width="8.5" style="86" bestFit="1" customWidth="1"/>
    <col min="9999" max="9999" width="14.375" style="86" bestFit="1" customWidth="1"/>
    <col min="10000" max="10000" width="10" style="86" bestFit="1" customWidth="1"/>
    <col min="10001" max="10001" width="6" style="86" customWidth="1"/>
    <col min="10002" max="10002" width="19.375" style="86" customWidth="1"/>
    <col min="10003" max="10003" width="11" style="86" bestFit="1" customWidth="1"/>
    <col min="10004" max="10005" width="8.25" style="86" bestFit="1" customWidth="1"/>
    <col min="10006" max="10240" width="9" style="86"/>
    <col min="10241" max="10241" width="15.875" style="86" customWidth="1"/>
    <col min="10242" max="10242" width="3.875" style="86" bestFit="1" customWidth="1"/>
    <col min="10243" max="10243" width="38.25" style="86" customWidth="1"/>
    <col min="10244" max="10244" width="13.875" style="86" bestFit="1" customWidth="1"/>
    <col min="10245" max="10245" width="13" style="86" bestFit="1" customWidth="1"/>
    <col min="10246" max="10246" width="13.125" style="86" bestFit="1" customWidth="1"/>
    <col min="10247" max="10247" width="7" style="86" customWidth="1"/>
    <col min="10248" max="10248" width="12.125" style="86" bestFit="1" customWidth="1"/>
    <col min="10249" max="10249" width="10.5" style="86" bestFit="1" customWidth="1"/>
    <col min="10250" max="10250" width="7" style="86" bestFit="1" customWidth="1"/>
    <col min="10251" max="10251" width="5.875" style="86" bestFit="1" customWidth="1"/>
    <col min="10252" max="10252" width="8.75" style="86" bestFit="1" customWidth="1"/>
    <col min="10253" max="10254" width="8.5" style="86" bestFit="1" customWidth="1"/>
    <col min="10255" max="10255" width="14.375" style="86" bestFit="1" customWidth="1"/>
    <col min="10256" max="10256" width="10" style="86" bestFit="1" customWidth="1"/>
    <col min="10257" max="10257" width="6" style="86" customWidth="1"/>
    <col min="10258" max="10258" width="19.375" style="86" customWidth="1"/>
    <col min="10259" max="10259" width="11" style="86" bestFit="1" customWidth="1"/>
    <col min="10260" max="10261" width="8.25" style="86" bestFit="1" customWidth="1"/>
    <col min="10262" max="10496" width="9" style="86"/>
    <col min="10497" max="10497" width="15.875" style="86" customWidth="1"/>
    <col min="10498" max="10498" width="3.875" style="86" bestFit="1" customWidth="1"/>
    <col min="10499" max="10499" width="38.25" style="86" customWidth="1"/>
    <col min="10500" max="10500" width="13.875" style="86" bestFit="1" customWidth="1"/>
    <col min="10501" max="10501" width="13" style="86" bestFit="1" customWidth="1"/>
    <col min="10502" max="10502" width="13.125" style="86" bestFit="1" customWidth="1"/>
    <col min="10503" max="10503" width="7" style="86" customWidth="1"/>
    <col min="10504" max="10504" width="12.125" style="86" bestFit="1" customWidth="1"/>
    <col min="10505" max="10505" width="10.5" style="86" bestFit="1" customWidth="1"/>
    <col min="10506" max="10506" width="7" style="86" bestFit="1" customWidth="1"/>
    <col min="10507" max="10507" width="5.875" style="86" bestFit="1" customWidth="1"/>
    <col min="10508" max="10508" width="8.75" style="86" bestFit="1" customWidth="1"/>
    <col min="10509" max="10510" width="8.5" style="86" bestFit="1" customWidth="1"/>
    <col min="10511" max="10511" width="14.375" style="86" bestFit="1" customWidth="1"/>
    <col min="10512" max="10512" width="10" style="86" bestFit="1" customWidth="1"/>
    <col min="10513" max="10513" width="6" style="86" customWidth="1"/>
    <col min="10514" max="10514" width="19.375" style="86" customWidth="1"/>
    <col min="10515" max="10515" width="11" style="86" bestFit="1" customWidth="1"/>
    <col min="10516" max="10517" width="8.25" style="86" bestFit="1" customWidth="1"/>
    <col min="10518" max="10752" width="9" style="86"/>
    <col min="10753" max="10753" width="15.875" style="86" customWidth="1"/>
    <col min="10754" max="10754" width="3.875" style="86" bestFit="1" customWidth="1"/>
    <col min="10755" max="10755" width="38.25" style="86" customWidth="1"/>
    <col min="10756" max="10756" width="13.875" style="86" bestFit="1" customWidth="1"/>
    <col min="10757" max="10757" width="13" style="86" bestFit="1" customWidth="1"/>
    <col min="10758" max="10758" width="13.125" style="86" bestFit="1" customWidth="1"/>
    <col min="10759" max="10759" width="7" style="86" customWidth="1"/>
    <col min="10760" max="10760" width="12.125" style="86" bestFit="1" customWidth="1"/>
    <col min="10761" max="10761" width="10.5" style="86" bestFit="1" customWidth="1"/>
    <col min="10762" max="10762" width="7" style="86" bestFit="1" customWidth="1"/>
    <col min="10763" max="10763" width="5.875" style="86" bestFit="1" customWidth="1"/>
    <col min="10764" max="10764" width="8.75" style="86" bestFit="1" customWidth="1"/>
    <col min="10765" max="10766" width="8.5" style="86" bestFit="1" customWidth="1"/>
    <col min="10767" max="10767" width="14.375" style="86" bestFit="1" customWidth="1"/>
    <col min="10768" max="10768" width="10" style="86" bestFit="1" customWidth="1"/>
    <col min="10769" max="10769" width="6" style="86" customWidth="1"/>
    <col min="10770" max="10770" width="19.375" style="86" customWidth="1"/>
    <col min="10771" max="10771" width="11" style="86" bestFit="1" customWidth="1"/>
    <col min="10772" max="10773" width="8.25" style="86" bestFit="1" customWidth="1"/>
    <col min="10774" max="11008" width="9" style="86"/>
    <col min="11009" max="11009" width="15.875" style="86" customWidth="1"/>
    <col min="11010" max="11010" width="3.875" style="86" bestFit="1" customWidth="1"/>
    <col min="11011" max="11011" width="38.25" style="86" customWidth="1"/>
    <col min="11012" max="11012" width="13.875" style="86" bestFit="1" customWidth="1"/>
    <col min="11013" max="11013" width="13" style="86" bestFit="1" customWidth="1"/>
    <col min="11014" max="11014" width="13.125" style="86" bestFit="1" customWidth="1"/>
    <col min="11015" max="11015" width="7" style="86" customWidth="1"/>
    <col min="11016" max="11016" width="12.125" style="86" bestFit="1" customWidth="1"/>
    <col min="11017" max="11017" width="10.5" style="86" bestFit="1" customWidth="1"/>
    <col min="11018" max="11018" width="7" style="86" bestFit="1" customWidth="1"/>
    <col min="11019" max="11019" width="5.875" style="86" bestFit="1" customWidth="1"/>
    <col min="11020" max="11020" width="8.75" style="86" bestFit="1" customWidth="1"/>
    <col min="11021" max="11022" width="8.5" style="86" bestFit="1" customWidth="1"/>
    <col min="11023" max="11023" width="14.375" style="86" bestFit="1" customWidth="1"/>
    <col min="11024" max="11024" width="10" style="86" bestFit="1" customWidth="1"/>
    <col min="11025" max="11025" width="6" style="86" customWidth="1"/>
    <col min="11026" max="11026" width="19.375" style="86" customWidth="1"/>
    <col min="11027" max="11027" width="11" style="86" bestFit="1" customWidth="1"/>
    <col min="11028" max="11029" width="8.25" style="86" bestFit="1" customWidth="1"/>
    <col min="11030" max="11264" width="9" style="86"/>
    <col min="11265" max="11265" width="15.875" style="86" customWidth="1"/>
    <col min="11266" max="11266" width="3.875" style="86" bestFit="1" customWidth="1"/>
    <col min="11267" max="11267" width="38.25" style="86" customWidth="1"/>
    <col min="11268" max="11268" width="13.875" style="86" bestFit="1" customWidth="1"/>
    <col min="11269" max="11269" width="13" style="86" bestFit="1" customWidth="1"/>
    <col min="11270" max="11270" width="13.125" style="86" bestFit="1" customWidth="1"/>
    <col min="11271" max="11271" width="7" style="86" customWidth="1"/>
    <col min="11272" max="11272" width="12.125" style="86" bestFit="1" customWidth="1"/>
    <col min="11273" max="11273" width="10.5" style="86" bestFit="1" customWidth="1"/>
    <col min="11274" max="11274" width="7" style="86" bestFit="1" customWidth="1"/>
    <col min="11275" max="11275" width="5.875" style="86" bestFit="1" customWidth="1"/>
    <col min="11276" max="11276" width="8.75" style="86" bestFit="1" customWidth="1"/>
    <col min="11277" max="11278" width="8.5" style="86" bestFit="1" customWidth="1"/>
    <col min="11279" max="11279" width="14.375" style="86" bestFit="1" customWidth="1"/>
    <col min="11280" max="11280" width="10" style="86" bestFit="1" customWidth="1"/>
    <col min="11281" max="11281" width="6" style="86" customWidth="1"/>
    <col min="11282" max="11282" width="19.375" style="86" customWidth="1"/>
    <col min="11283" max="11283" width="11" style="86" bestFit="1" customWidth="1"/>
    <col min="11284" max="11285" width="8.25" style="86" bestFit="1" customWidth="1"/>
    <col min="11286" max="11520" width="9" style="86"/>
    <col min="11521" max="11521" width="15.875" style="86" customWidth="1"/>
    <col min="11522" max="11522" width="3.875" style="86" bestFit="1" customWidth="1"/>
    <col min="11523" max="11523" width="38.25" style="86" customWidth="1"/>
    <col min="11524" max="11524" width="13.875" style="86" bestFit="1" customWidth="1"/>
    <col min="11525" max="11525" width="13" style="86" bestFit="1" customWidth="1"/>
    <col min="11526" max="11526" width="13.125" style="86" bestFit="1" customWidth="1"/>
    <col min="11527" max="11527" width="7" style="86" customWidth="1"/>
    <col min="11528" max="11528" width="12.125" style="86" bestFit="1" customWidth="1"/>
    <col min="11529" max="11529" width="10.5" style="86" bestFit="1" customWidth="1"/>
    <col min="11530" max="11530" width="7" style="86" bestFit="1" customWidth="1"/>
    <col min="11531" max="11531" width="5.875" style="86" bestFit="1" customWidth="1"/>
    <col min="11532" max="11532" width="8.75" style="86" bestFit="1" customWidth="1"/>
    <col min="11533" max="11534" width="8.5" style="86" bestFit="1" customWidth="1"/>
    <col min="11535" max="11535" width="14.375" style="86" bestFit="1" customWidth="1"/>
    <col min="11536" max="11536" width="10" style="86" bestFit="1" customWidth="1"/>
    <col min="11537" max="11537" width="6" style="86" customWidth="1"/>
    <col min="11538" max="11538" width="19.375" style="86" customWidth="1"/>
    <col min="11539" max="11539" width="11" style="86" bestFit="1" customWidth="1"/>
    <col min="11540" max="11541" width="8.25" style="86" bestFit="1" customWidth="1"/>
    <col min="11542" max="11776" width="9" style="86"/>
    <col min="11777" max="11777" width="15.875" style="86" customWidth="1"/>
    <col min="11778" max="11778" width="3.875" style="86" bestFit="1" customWidth="1"/>
    <col min="11779" max="11779" width="38.25" style="86" customWidth="1"/>
    <col min="11780" max="11780" width="13.875" style="86" bestFit="1" customWidth="1"/>
    <col min="11781" max="11781" width="13" style="86" bestFit="1" customWidth="1"/>
    <col min="11782" max="11782" width="13.125" style="86" bestFit="1" customWidth="1"/>
    <col min="11783" max="11783" width="7" style="86" customWidth="1"/>
    <col min="11784" max="11784" width="12.125" style="86" bestFit="1" customWidth="1"/>
    <col min="11785" max="11785" width="10.5" style="86" bestFit="1" customWidth="1"/>
    <col min="11786" max="11786" width="7" style="86" bestFit="1" customWidth="1"/>
    <col min="11787" max="11787" width="5.875" style="86" bestFit="1" customWidth="1"/>
    <col min="11788" max="11788" width="8.75" style="86" bestFit="1" customWidth="1"/>
    <col min="11789" max="11790" width="8.5" style="86" bestFit="1" customWidth="1"/>
    <col min="11791" max="11791" width="14.375" style="86" bestFit="1" customWidth="1"/>
    <col min="11792" max="11792" width="10" style="86" bestFit="1" customWidth="1"/>
    <col min="11793" max="11793" width="6" style="86" customWidth="1"/>
    <col min="11794" max="11794" width="19.375" style="86" customWidth="1"/>
    <col min="11795" max="11795" width="11" style="86" bestFit="1" customWidth="1"/>
    <col min="11796" max="11797" width="8.25" style="86" bestFit="1" customWidth="1"/>
    <col min="11798" max="12032" width="9" style="86"/>
    <col min="12033" max="12033" width="15.875" style="86" customWidth="1"/>
    <col min="12034" max="12034" width="3.875" style="86" bestFit="1" customWidth="1"/>
    <col min="12035" max="12035" width="38.25" style="86" customWidth="1"/>
    <col min="12036" max="12036" width="13.875" style="86" bestFit="1" customWidth="1"/>
    <col min="12037" max="12037" width="13" style="86" bestFit="1" customWidth="1"/>
    <col min="12038" max="12038" width="13.125" style="86" bestFit="1" customWidth="1"/>
    <col min="12039" max="12039" width="7" style="86" customWidth="1"/>
    <col min="12040" max="12040" width="12.125" style="86" bestFit="1" customWidth="1"/>
    <col min="12041" max="12041" width="10.5" style="86" bestFit="1" customWidth="1"/>
    <col min="12042" max="12042" width="7" style="86" bestFit="1" customWidth="1"/>
    <col min="12043" max="12043" width="5.875" style="86" bestFit="1" customWidth="1"/>
    <col min="12044" max="12044" width="8.75" style="86" bestFit="1" customWidth="1"/>
    <col min="12045" max="12046" width="8.5" style="86" bestFit="1" customWidth="1"/>
    <col min="12047" max="12047" width="14.375" style="86" bestFit="1" customWidth="1"/>
    <col min="12048" max="12048" width="10" style="86" bestFit="1" customWidth="1"/>
    <col min="12049" max="12049" width="6" style="86" customWidth="1"/>
    <col min="12050" max="12050" width="19.375" style="86" customWidth="1"/>
    <col min="12051" max="12051" width="11" style="86" bestFit="1" customWidth="1"/>
    <col min="12052" max="12053" width="8.25" style="86" bestFit="1" customWidth="1"/>
    <col min="12054" max="12288" width="9" style="86"/>
    <col min="12289" max="12289" width="15.875" style="86" customWidth="1"/>
    <col min="12290" max="12290" width="3.875" style="86" bestFit="1" customWidth="1"/>
    <col min="12291" max="12291" width="38.25" style="86" customWidth="1"/>
    <col min="12292" max="12292" width="13.875" style="86" bestFit="1" customWidth="1"/>
    <col min="12293" max="12293" width="13" style="86" bestFit="1" customWidth="1"/>
    <col min="12294" max="12294" width="13.125" style="86" bestFit="1" customWidth="1"/>
    <col min="12295" max="12295" width="7" style="86" customWidth="1"/>
    <col min="12296" max="12296" width="12.125" style="86" bestFit="1" customWidth="1"/>
    <col min="12297" max="12297" width="10.5" style="86" bestFit="1" customWidth="1"/>
    <col min="12298" max="12298" width="7" style="86" bestFit="1" customWidth="1"/>
    <col min="12299" max="12299" width="5.875" style="86" bestFit="1" customWidth="1"/>
    <col min="12300" max="12300" width="8.75" style="86" bestFit="1" customWidth="1"/>
    <col min="12301" max="12302" width="8.5" style="86" bestFit="1" customWidth="1"/>
    <col min="12303" max="12303" width="14.375" style="86" bestFit="1" customWidth="1"/>
    <col min="12304" max="12304" width="10" style="86" bestFit="1" customWidth="1"/>
    <col min="12305" max="12305" width="6" style="86" customWidth="1"/>
    <col min="12306" max="12306" width="19.375" style="86" customWidth="1"/>
    <col min="12307" max="12307" width="11" style="86" bestFit="1" customWidth="1"/>
    <col min="12308" max="12309" width="8.25" style="86" bestFit="1" customWidth="1"/>
    <col min="12310" max="12544" width="9" style="86"/>
    <col min="12545" max="12545" width="15.875" style="86" customWidth="1"/>
    <col min="12546" max="12546" width="3.875" style="86" bestFit="1" customWidth="1"/>
    <col min="12547" max="12547" width="38.25" style="86" customWidth="1"/>
    <col min="12548" max="12548" width="13.875" style="86" bestFit="1" customWidth="1"/>
    <col min="12549" max="12549" width="13" style="86" bestFit="1" customWidth="1"/>
    <col min="12550" max="12550" width="13.125" style="86" bestFit="1" customWidth="1"/>
    <col min="12551" max="12551" width="7" style="86" customWidth="1"/>
    <col min="12552" max="12552" width="12.125" style="86" bestFit="1" customWidth="1"/>
    <col min="12553" max="12553" width="10.5" style="86" bestFit="1" customWidth="1"/>
    <col min="12554" max="12554" width="7" style="86" bestFit="1" customWidth="1"/>
    <col min="12555" max="12555" width="5.875" style="86" bestFit="1" customWidth="1"/>
    <col min="12556" max="12556" width="8.75" style="86" bestFit="1" customWidth="1"/>
    <col min="12557" max="12558" width="8.5" style="86" bestFit="1" customWidth="1"/>
    <col min="12559" max="12559" width="14.375" style="86" bestFit="1" customWidth="1"/>
    <col min="12560" max="12560" width="10" style="86" bestFit="1" customWidth="1"/>
    <col min="12561" max="12561" width="6" style="86" customWidth="1"/>
    <col min="12562" max="12562" width="19.375" style="86" customWidth="1"/>
    <col min="12563" max="12563" width="11" style="86" bestFit="1" customWidth="1"/>
    <col min="12564" max="12565" width="8.25" style="86" bestFit="1" customWidth="1"/>
    <col min="12566" max="12800" width="9" style="86"/>
    <col min="12801" max="12801" width="15.875" style="86" customWidth="1"/>
    <col min="12802" max="12802" width="3.875" style="86" bestFit="1" customWidth="1"/>
    <col min="12803" max="12803" width="38.25" style="86" customWidth="1"/>
    <col min="12804" max="12804" width="13.875" style="86" bestFit="1" customWidth="1"/>
    <col min="12805" max="12805" width="13" style="86" bestFit="1" customWidth="1"/>
    <col min="12806" max="12806" width="13.125" style="86" bestFit="1" customWidth="1"/>
    <col min="12807" max="12807" width="7" style="86" customWidth="1"/>
    <col min="12808" max="12808" width="12.125" style="86" bestFit="1" customWidth="1"/>
    <col min="12809" max="12809" width="10.5" style="86" bestFit="1" customWidth="1"/>
    <col min="12810" max="12810" width="7" style="86" bestFit="1" customWidth="1"/>
    <col min="12811" max="12811" width="5.875" style="86" bestFit="1" customWidth="1"/>
    <col min="12812" max="12812" width="8.75" style="86" bestFit="1" customWidth="1"/>
    <col min="12813" max="12814" width="8.5" style="86" bestFit="1" customWidth="1"/>
    <col min="12815" max="12815" width="14.375" style="86" bestFit="1" customWidth="1"/>
    <col min="12816" max="12816" width="10" style="86" bestFit="1" customWidth="1"/>
    <col min="12817" max="12817" width="6" style="86" customWidth="1"/>
    <col min="12818" max="12818" width="19.375" style="86" customWidth="1"/>
    <col min="12819" max="12819" width="11" style="86" bestFit="1" customWidth="1"/>
    <col min="12820" max="12821" width="8.25" style="86" bestFit="1" customWidth="1"/>
    <col min="12822" max="13056" width="9" style="86"/>
    <col min="13057" max="13057" width="15.875" style="86" customWidth="1"/>
    <col min="13058" max="13058" width="3.875" style="86" bestFit="1" customWidth="1"/>
    <col min="13059" max="13059" width="38.25" style="86" customWidth="1"/>
    <col min="13060" max="13060" width="13.875" style="86" bestFit="1" customWidth="1"/>
    <col min="13061" max="13061" width="13" style="86" bestFit="1" customWidth="1"/>
    <col min="13062" max="13062" width="13.125" style="86" bestFit="1" customWidth="1"/>
    <col min="13063" max="13063" width="7" style="86" customWidth="1"/>
    <col min="13064" max="13064" width="12.125" style="86" bestFit="1" customWidth="1"/>
    <col min="13065" max="13065" width="10.5" style="86" bestFit="1" customWidth="1"/>
    <col min="13066" max="13066" width="7" style="86" bestFit="1" customWidth="1"/>
    <col min="13067" max="13067" width="5.875" style="86" bestFit="1" customWidth="1"/>
    <col min="13068" max="13068" width="8.75" style="86" bestFit="1" customWidth="1"/>
    <col min="13069" max="13070" width="8.5" style="86" bestFit="1" customWidth="1"/>
    <col min="13071" max="13071" width="14.375" style="86" bestFit="1" customWidth="1"/>
    <col min="13072" max="13072" width="10" style="86" bestFit="1" customWidth="1"/>
    <col min="13073" max="13073" width="6" style="86" customWidth="1"/>
    <col min="13074" max="13074" width="19.375" style="86" customWidth="1"/>
    <col min="13075" max="13075" width="11" style="86" bestFit="1" customWidth="1"/>
    <col min="13076" max="13077" width="8.25" style="86" bestFit="1" customWidth="1"/>
    <col min="13078" max="13312" width="9" style="86"/>
    <col min="13313" max="13313" width="15.875" style="86" customWidth="1"/>
    <col min="13314" max="13314" width="3.875" style="86" bestFit="1" customWidth="1"/>
    <col min="13315" max="13315" width="38.25" style="86" customWidth="1"/>
    <col min="13316" max="13316" width="13.875" style="86" bestFit="1" customWidth="1"/>
    <col min="13317" max="13317" width="13" style="86" bestFit="1" customWidth="1"/>
    <col min="13318" max="13318" width="13.125" style="86" bestFit="1" customWidth="1"/>
    <col min="13319" max="13319" width="7" style="86" customWidth="1"/>
    <col min="13320" max="13320" width="12.125" style="86" bestFit="1" customWidth="1"/>
    <col min="13321" max="13321" width="10.5" style="86" bestFit="1" customWidth="1"/>
    <col min="13322" max="13322" width="7" style="86" bestFit="1" customWidth="1"/>
    <col min="13323" max="13323" width="5.875" style="86" bestFit="1" customWidth="1"/>
    <col min="13324" max="13324" width="8.75" style="86" bestFit="1" customWidth="1"/>
    <col min="13325" max="13326" width="8.5" style="86" bestFit="1" customWidth="1"/>
    <col min="13327" max="13327" width="14.375" style="86" bestFit="1" customWidth="1"/>
    <col min="13328" max="13328" width="10" style="86" bestFit="1" customWidth="1"/>
    <col min="13329" max="13329" width="6" style="86" customWidth="1"/>
    <col min="13330" max="13330" width="19.375" style="86" customWidth="1"/>
    <col min="13331" max="13331" width="11" style="86" bestFit="1" customWidth="1"/>
    <col min="13332" max="13333" width="8.25" style="86" bestFit="1" customWidth="1"/>
    <col min="13334" max="13568" width="9" style="86"/>
    <col min="13569" max="13569" width="15.875" style="86" customWidth="1"/>
    <col min="13570" max="13570" width="3.875" style="86" bestFit="1" customWidth="1"/>
    <col min="13571" max="13571" width="38.25" style="86" customWidth="1"/>
    <col min="13572" max="13572" width="13.875" style="86" bestFit="1" customWidth="1"/>
    <col min="13573" max="13573" width="13" style="86" bestFit="1" customWidth="1"/>
    <col min="13574" max="13574" width="13.125" style="86" bestFit="1" customWidth="1"/>
    <col min="13575" max="13575" width="7" style="86" customWidth="1"/>
    <col min="13576" max="13576" width="12.125" style="86" bestFit="1" customWidth="1"/>
    <col min="13577" max="13577" width="10.5" style="86" bestFit="1" customWidth="1"/>
    <col min="13578" max="13578" width="7" style="86" bestFit="1" customWidth="1"/>
    <col min="13579" max="13579" width="5.875" style="86" bestFit="1" customWidth="1"/>
    <col min="13580" max="13580" width="8.75" style="86" bestFit="1" customWidth="1"/>
    <col min="13581" max="13582" width="8.5" style="86" bestFit="1" customWidth="1"/>
    <col min="13583" max="13583" width="14.375" style="86" bestFit="1" customWidth="1"/>
    <col min="13584" max="13584" width="10" style="86" bestFit="1" customWidth="1"/>
    <col min="13585" max="13585" width="6" style="86" customWidth="1"/>
    <col min="13586" max="13586" width="19.375" style="86" customWidth="1"/>
    <col min="13587" max="13587" width="11" style="86" bestFit="1" customWidth="1"/>
    <col min="13588" max="13589" width="8.25" style="86" bestFit="1" customWidth="1"/>
    <col min="13590" max="13824" width="9" style="86"/>
    <col min="13825" max="13825" width="15.875" style="86" customWidth="1"/>
    <col min="13826" max="13826" width="3.875" style="86" bestFit="1" customWidth="1"/>
    <col min="13827" max="13827" width="38.25" style="86" customWidth="1"/>
    <col min="13828" max="13828" width="13.875" style="86" bestFit="1" customWidth="1"/>
    <col min="13829" max="13829" width="13" style="86" bestFit="1" customWidth="1"/>
    <col min="13830" max="13830" width="13.125" style="86" bestFit="1" customWidth="1"/>
    <col min="13831" max="13831" width="7" style="86" customWidth="1"/>
    <col min="13832" max="13832" width="12.125" style="86" bestFit="1" customWidth="1"/>
    <col min="13833" max="13833" width="10.5" style="86" bestFit="1" customWidth="1"/>
    <col min="13834" max="13834" width="7" style="86" bestFit="1" customWidth="1"/>
    <col min="13835" max="13835" width="5.875" style="86" bestFit="1" customWidth="1"/>
    <col min="13836" max="13836" width="8.75" style="86" bestFit="1" customWidth="1"/>
    <col min="13837" max="13838" width="8.5" style="86" bestFit="1" customWidth="1"/>
    <col min="13839" max="13839" width="14.375" style="86" bestFit="1" customWidth="1"/>
    <col min="13840" max="13840" width="10" style="86" bestFit="1" customWidth="1"/>
    <col min="13841" max="13841" width="6" style="86" customWidth="1"/>
    <col min="13842" max="13842" width="19.375" style="86" customWidth="1"/>
    <col min="13843" max="13843" width="11" style="86" bestFit="1" customWidth="1"/>
    <col min="13844" max="13845" width="8.25" style="86" bestFit="1" customWidth="1"/>
    <col min="13846" max="14080" width="9" style="86"/>
    <col min="14081" max="14081" width="15.875" style="86" customWidth="1"/>
    <col min="14082" max="14082" width="3.875" style="86" bestFit="1" customWidth="1"/>
    <col min="14083" max="14083" width="38.25" style="86" customWidth="1"/>
    <col min="14084" max="14084" width="13.875" style="86" bestFit="1" customWidth="1"/>
    <col min="14085" max="14085" width="13" style="86" bestFit="1" customWidth="1"/>
    <col min="14086" max="14086" width="13.125" style="86" bestFit="1" customWidth="1"/>
    <col min="14087" max="14087" width="7" style="86" customWidth="1"/>
    <col min="14088" max="14088" width="12.125" style="86" bestFit="1" customWidth="1"/>
    <col min="14089" max="14089" width="10.5" style="86" bestFit="1" customWidth="1"/>
    <col min="14090" max="14090" width="7" style="86" bestFit="1" customWidth="1"/>
    <col min="14091" max="14091" width="5.875" style="86" bestFit="1" customWidth="1"/>
    <col min="14092" max="14092" width="8.75" style="86" bestFit="1" customWidth="1"/>
    <col min="14093" max="14094" width="8.5" style="86" bestFit="1" customWidth="1"/>
    <col min="14095" max="14095" width="14.375" style="86" bestFit="1" customWidth="1"/>
    <col min="14096" max="14096" width="10" style="86" bestFit="1" customWidth="1"/>
    <col min="14097" max="14097" width="6" style="86" customWidth="1"/>
    <col min="14098" max="14098" width="19.375" style="86" customWidth="1"/>
    <col min="14099" max="14099" width="11" style="86" bestFit="1" customWidth="1"/>
    <col min="14100" max="14101" width="8.25" style="86" bestFit="1" customWidth="1"/>
    <col min="14102" max="14336" width="9" style="86"/>
    <col min="14337" max="14337" width="15.875" style="86" customWidth="1"/>
    <col min="14338" max="14338" width="3.875" style="86" bestFit="1" customWidth="1"/>
    <col min="14339" max="14339" width="38.25" style="86" customWidth="1"/>
    <col min="14340" max="14340" width="13.875" style="86" bestFit="1" customWidth="1"/>
    <col min="14341" max="14341" width="13" style="86" bestFit="1" customWidth="1"/>
    <col min="14342" max="14342" width="13.125" style="86" bestFit="1" customWidth="1"/>
    <col min="14343" max="14343" width="7" style="86" customWidth="1"/>
    <col min="14344" max="14344" width="12.125" style="86" bestFit="1" customWidth="1"/>
    <col min="14345" max="14345" width="10.5" style="86" bestFit="1" customWidth="1"/>
    <col min="14346" max="14346" width="7" style="86" bestFit="1" customWidth="1"/>
    <col min="14347" max="14347" width="5.875" style="86" bestFit="1" customWidth="1"/>
    <col min="14348" max="14348" width="8.75" style="86" bestFit="1" customWidth="1"/>
    <col min="14349" max="14350" width="8.5" style="86" bestFit="1" customWidth="1"/>
    <col min="14351" max="14351" width="14.375" style="86" bestFit="1" customWidth="1"/>
    <col min="14352" max="14352" width="10" style="86" bestFit="1" customWidth="1"/>
    <col min="14353" max="14353" width="6" style="86" customWidth="1"/>
    <col min="14354" max="14354" width="19.375" style="86" customWidth="1"/>
    <col min="14355" max="14355" width="11" style="86" bestFit="1" customWidth="1"/>
    <col min="14356" max="14357" width="8.25" style="86" bestFit="1" customWidth="1"/>
    <col min="14358" max="14592" width="9" style="86"/>
    <col min="14593" max="14593" width="15.875" style="86" customWidth="1"/>
    <col min="14594" max="14594" width="3.875" style="86" bestFit="1" customWidth="1"/>
    <col min="14595" max="14595" width="38.25" style="86" customWidth="1"/>
    <col min="14596" max="14596" width="13.875" style="86" bestFit="1" customWidth="1"/>
    <col min="14597" max="14597" width="13" style="86" bestFit="1" customWidth="1"/>
    <col min="14598" max="14598" width="13.125" style="86" bestFit="1" customWidth="1"/>
    <col min="14599" max="14599" width="7" style="86" customWidth="1"/>
    <col min="14600" max="14600" width="12.125" style="86" bestFit="1" customWidth="1"/>
    <col min="14601" max="14601" width="10.5" style="86" bestFit="1" customWidth="1"/>
    <col min="14602" max="14602" width="7" style="86" bestFit="1" customWidth="1"/>
    <col min="14603" max="14603" width="5.875" style="86" bestFit="1" customWidth="1"/>
    <col min="14604" max="14604" width="8.75" style="86" bestFit="1" customWidth="1"/>
    <col min="14605" max="14606" width="8.5" style="86" bestFit="1" customWidth="1"/>
    <col min="14607" max="14607" width="14.375" style="86" bestFit="1" customWidth="1"/>
    <col min="14608" max="14608" width="10" style="86" bestFit="1" customWidth="1"/>
    <col min="14609" max="14609" width="6" style="86" customWidth="1"/>
    <col min="14610" max="14610" width="19.375" style="86" customWidth="1"/>
    <col min="14611" max="14611" width="11" style="86" bestFit="1" customWidth="1"/>
    <col min="14612" max="14613" width="8.25" style="86" bestFit="1" customWidth="1"/>
    <col min="14614" max="14848" width="9" style="86"/>
    <col min="14849" max="14849" width="15.875" style="86" customWidth="1"/>
    <col min="14850" max="14850" width="3.875" style="86" bestFit="1" customWidth="1"/>
    <col min="14851" max="14851" width="38.25" style="86" customWidth="1"/>
    <col min="14852" max="14852" width="13.875" style="86" bestFit="1" customWidth="1"/>
    <col min="14853" max="14853" width="13" style="86" bestFit="1" customWidth="1"/>
    <col min="14854" max="14854" width="13.125" style="86" bestFit="1" customWidth="1"/>
    <col min="14855" max="14855" width="7" style="86" customWidth="1"/>
    <col min="14856" max="14856" width="12.125" style="86" bestFit="1" customWidth="1"/>
    <col min="14857" max="14857" width="10.5" style="86" bestFit="1" customWidth="1"/>
    <col min="14858" max="14858" width="7" style="86" bestFit="1" customWidth="1"/>
    <col min="14859" max="14859" width="5.875" style="86" bestFit="1" customWidth="1"/>
    <col min="14860" max="14860" width="8.75" style="86" bestFit="1" customWidth="1"/>
    <col min="14861" max="14862" width="8.5" style="86" bestFit="1" customWidth="1"/>
    <col min="14863" max="14863" width="14.375" style="86" bestFit="1" customWidth="1"/>
    <col min="14864" max="14864" width="10" style="86" bestFit="1" customWidth="1"/>
    <col min="14865" max="14865" width="6" style="86" customWidth="1"/>
    <col min="14866" max="14866" width="19.375" style="86" customWidth="1"/>
    <col min="14867" max="14867" width="11" style="86" bestFit="1" customWidth="1"/>
    <col min="14868" max="14869" width="8.25" style="86" bestFit="1" customWidth="1"/>
    <col min="14870" max="15104" width="9" style="86"/>
    <col min="15105" max="15105" width="15.875" style="86" customWidth="1"/>
    <col min="15106" max="15106" width="3.875" style="86" bestFit="1" customWidth="1"/>
    <col min="15107" max="15107" width="38.25" style="86" customWidth="1"/>
    <col min="15108" max="15108" width="13.875" style="86" bestFit="1" customWidth="1"/>
    <col min="15109" max="15109" width="13" style="86" bestFit="1" customWidth="1"/>
    <col min="15110" max="15110" width="13.125" style="86" bestFit="1" customWidth="1"/>
    <col min="15111" max="15111" width="7" style="86" customWidth="1"/>
    <col min="15112" max="15112" width="12.125" style="86" bestFit="1" customWidth="1"/>
    <col min="15113" max="15113" width="10.5" style="86" bestFit="1" customWidth="1"/>
    <col min="15114" max="15114" width="7" style="86" bestFit="1" customWidth="1"/>
    <col min="15115" max="15115" width="5.875" style="86" bestFit="1" customWidth="1"/>
    <col min="15116" max="15116" width="8.75" style="86" bestFit="1" customWidth="1"/>
    <col min="15117" max="15118" width="8.5" style="86" bestFit="1" customWidth="1"/>
    <col min="15119" max="15119" width="14.375" style="86" bestFit="1" customWidth="1"/>
    <col min="15120" max="15120" width="10" style="86" bestFit="1" customWidth="1"/>
    <col min="15121" max="15121" width="6" style="86" customWidth="1"/>
    <col min="15122" max="15122" width="19.375" style="86" customWidth="1"/>
    <col min="15123" max="15123" width="11" style="86" bestFit="1" customWidth="1"/>
    <col min="15124" max="15125" width="8.25" style="86" bestFit="1" customWidth="1"/>
    <col min="15126" max="15360" width="9" style="86"/>
    <col min="15361" max="15361" width="15.875" style="86" customWidth="1"/>
    <col min="15362" max="15362" width="3.875" style="86" bestFit="1" customWidth="1"/>
    <col min="15363" max="15363" width="38.25" style="86" customWidth="1"/>
    <col min="15364" max="15364" width="13.875" style="86" bestFit="1" customWidth="1"/>
    <col min="15365" max="15365" width="13" style="86" bestFit="1" customWidth="1"/>
    <col min="15366" max="15366" width="13.125" style="86" bestFit="1" customWidth="1"/>
    <col min="15367" max="15367" width="7" style="86" customWidth="1"/>
    <col min="15368" max="15368" width="12.125" style="86" bestFit="1" customWidth="1"/>
    <col min="15369" max="15369" width="10.5" style="86" bestFit="1" customWidth="1"/>
    <col min="15370" max="15370" width="7" style="86" bestFit="1" customWidth="1"/>
    <col min="15371" max="15371" width="5.875" style="86" bestFit="1" customWidth="1"/>
    <col min="15372" max="15372" width="8.75" style="86" bestFit="1" customWidth="1"/>
    <col min="15373" max="15374" width="8.5" style="86" bestFit="1" customWidth="1"/>
    <col min="15375" max="15375" width="14.375" style="86" bestFit="1" customWidth="1"/>
    <col min="15376" max="15376" width="10" style="86" bestFit="1" customWidth="1"/>
    <col min="15377" max="15377" width="6" style="86" customWidth="1"/>
    <col min="15378" max="15378" width="19.375" style="86" customWidth="1"/>
    <col min="15379" max="15379" width="11" style="86" bestFit="1" customWidth="1"/>
    <col min="15380" max="15381" width="8.25" style="86" bestFit="1" customWidth="1"/>
    <col min="15382" max="15616" width="9" style="86"/>
    <col min="15617" max="15617" width="15.875" style="86" customWidth="1"/>
    <col min="15618" max="15618" width="3.875" style="86" bestFit="1" customWidth="1"/>
    <col min="15619" max="15619" width="38.25" style="86" customWidth="1"/>
    <col min="15620" max="15620" width="13.875" style="86" bestFit="1" customWidth="1"/>
    <col min="15621" max="15621" width="13" style="86" bestFit="1" customWidth="1"/>
    <col min="15622" max="15622" width="13.125" style="86" bestFit="1" customWidth="1"/>
    <col min="15623" max="15623" width="7" style="86" customWidth="1"/>
    <col min="15624" max="15624" width="12.125" style="86" bestFit="1" customWidth="1"/>
    <col min="15625" max="15625" width="10.5" style="86" bestFit="1" customWidth="1"/>
    <col min="15626" max="15626" width="7" style="86" bestFit="1" customWidth="1"/>
    <col min="15627" max="15627" width="5.875" style="86" bestFit="1" customWidth="1"/>
    <col min="15628" max="15628" width="8.75" style="86" bestFit="1" customWidth="1"/>
    <col min="15629" max="15630" width="8.5" style="86" bestFit="1" customWidth="1"/>
    <col min="15631" max="15631" width="14.375" style="86" bestFit="1" customWidth="1"/>
    <col min="15632" max="15632" width="10" style="86" bestFit="1" customWidth="1"/>
    <col min="15633" max="15633" width="6" style="86" customWidth="1"/>
    <col min="15634" max="15634" width="19.375" style="86" customWidth="1"/>
    <col min="15635" max="15635" width="11" style="86" bestFit="1" customWidth="1"/>
    <col min="15636" max="15637" width="8.25" style="86" bestFit="1" customWidth="1"/>
    <col min="15638" max="15872" width="9" style="86"/>
    <col min="15873" max="15873" width="15.875" style="86" customWidth="1"/>
    <col min="15874" max="15874" width="3.875" style="86" bestFit="1" customWidth="1"/>
    <col min="15875" max="15875" width="38.25" style="86" customWidth="1"/>
    <col min="15876" max="15876" width="13.875" style="86" bestFit="1" customWidth="1"/>
    <col min="15877" max="15877" width="13" style="86" bestFit="1" customWidth="1"/>
    <col min="15878" max="15878" width="13.125" style="86" bestFit="1" customWidth="1"/>
    <col min="15879" max="15879" width="7" style="86" customWidth="1"/>
    <col min="15880" max="15880" width="12.125" style="86" bestFit="1" customWidth="1"/>
    <col min="15881" max="15881" width="10.5" style="86" bestFit="1" customWidth="1"/>
    <col min="15882" max="15882" width="7" style="86" bestFit="1" customWidth="1"/>
    <col min="15883" max="15883" width="5.875" style="86" bestFit="1" customWidth="1"/>
    <col min="15884" max="15884" width="8.75" style="86" bestFit="1" customWidth="1"/>
    <col min="15885" max="15886" width="8.5" style="86" bestFit="1" customWidth="1"/>
    <col min="15887" max="15887" width="14.375" style="86" bestFit="1" customWidth="1"/>
    <col min="15888" max="15888" width="10" style="86" bestFit="1" customWidth="1"/>
    <col min="15889" max="15889" width="6" style="86" customWidth="1"/>
    <col min="15890" max="15890" width="19.375" style="86" customWidth="1"/>
    <col min="15891" max="15891" width="11" style="86" bestFit="1" customWidth="1"/>
    <col min="15892" max="15893" width="8.25" style="86" bestFit="1" customWidth="1"/>
    <col min="15894" max="16128" width="9" style="86"/>
    <col min="16129" max="16129" width="15.875" style="86" customWidth="1"/>
    <col min="16130" max="16130" width="3.875" style="86" bestFit="1" customWidth="1"/>
    <col min="16131" max="16131" width="38.25" style="86" customWidth="1"/>
    <col min="16132" max="16132" width="13.875" style="86" bestFit="1" customWidth="1"/>
    <col min="16133" max="16133" width="13" style="86" bestFit="1" customWidth="1"/>
    <col min="16134" max="16134" width="13.125" style="86" bestFit="1" customWidth="1"/>
    <col min="16135" max="16135" width="7" style="86" customWidth="1"/>
    <col min="16136" max="16136" width="12.125" style="86" bestFit="1" customWidth="1"/>
    <col min="16137" max="16137" width="10.5" style="86" bestFit="1" customWidth="1"/>
    <col min="16138" max="16138" width="7" style="86" bestFit="1" customWidth="1"/>
    <col min="16139" max="16139" width="5.875" style="86" bestFit="1" customWidth="1"/>
    <col min="16140" max="16140" width="8.75" style="86" bestFit="1" customWidth="1"/>
    <col min="16141" max="16142" width="8.5" style="86" bestFit="1" customWidth="1"/>
    <col min="16143" max="16143" width="14.375" style="86" bestFit="1" customWidth="1"/>
    <col min="16144" max="16144" width="10" style="86" bestFit="1" customWidth="1"/>
    <col min="16145" max="16145" width="6" style="86" customWidth="1"/>
    <col min="16146" max="16146" width="19.375" style="86" customWidth="1"/>
    <col min="16147" max="16147" width="11" style="86" bestFit="1" customWidth="1"/>
    <col min="16148" max="16149" width="8.25" style="86" bestFit="1" customWidth="1"/>
    <col min="16150" max="16384" width="9" style="86"/>
  </cols>
  <sheetData>
    <row r="1" spans="1:24" ht="21.75" customHeight="1" x14ac:dyDescent="0.25">
      <c r="A1" s="167"/>
      <c r="B1" s="167"/>
      <c r="Q1" s="166"/>
    </row>
    <row r="2" spans="1:24" ht="15" x14ac:dyDescent="0.2">
      <c r="E2" s="86"/>
      <c r="F2" s="165"/>
      <c r="J2" s="161" t="s">
        <v>0</v>
      </c>
      <c r="K2" s="161"/>
      <c r="L2" s="161"/>
      <c r="M2" s="161"/>
      <c r="N2" s="161"/>
      <c r="O2" s="161"/>
      <c r="P2" s="161"/>
      <c r="Q2" s="164" t="s">
        <v>84</v>
      </c>
      <c r="R2" s="164"/>
      <c r="S2" s="164"/>
      <c r="T2" s="164"/>
      <c r="U2" s="164"/>
    </row>
    <row r="3" spans="1:24" ht="23.25" customHeight="1" x14ac:dyDescent="0.25">
      <c r="A3" s="163" t="s">
        <v>2</v>
      </c>
      <c r="B3" s="162"/>
      <c r="E3" s="86"/>
      <c r="J3" s="161"/>
      <c r="Q3" s="160"/>
      <c r="R3" s="159" t="s">
        <v>43</v>
      </c>
      <c r="S3" s="159"/>
      <c r="T3" s="159"/>
      <c r="U3" s="159"/>
      <c r="W3" s="158" t="s">
        <v>3</v>
      </c>
      <c r="X3" s="157"/>
    </row>
    <row r="4" spans="1:24" ht="14.25" customHeight="1" thickBot="1" x14ac:dyDescent="0.25">
      <c r="A4" s="132" t="s">
        <v>4</v>
      </c>
      <c r="B4" s="153" t="s">
        <v>5</v>
      </c>
      <c r="C4" s="156"/>
      <c r="D4" s="155"/>
      <c r="E4" s="154"/>
      <c r="F4" s="153" t="s">
        <v>6</v>
      </c>
      <c r="G4" s="152"/>
      <c r="H4" s="133" t="s">
        <v>7</v>
      </c>
      <c r="I4" s="134" t="s">
        <v>8</v>
      </c>
      <c r="J4" s="151" t="s">
        <v>9</v>
      </c>
      <c r="K4" s="52" t="s">
        <v>44</v>
      </c>
      <c r="L4" s="53"/>
      <c r="M4" s="53"/>
      <c r="N4" s="54"/>
      <c r="O4" s="133" t="s">
        <v>10</v>
      </c>
      <c r="P4" s="150" t="s">
        <v>11</v>
      </c>
      <c r="Q4" s="149"/>
      <c r="R4" s="148"/>
      <c r="S4" s="147" t="s">
        <v>12</v>
      </c>
      <c r="T4" s="146" t="s">
        <v>13</v>
      </c>
      <c r="U4" s="133" t="s">
        <v>14</v>
      </c>
      <c r="W4" s="122" t="s">
        <v>15</v>
      </c>
      <c r="X4" s="122" t="s">
        <v>16</v>
      </c>
    </row>
    <row r="5" spans="1:24" ht="11.25" customHeight="1" x14ac:dyDescent="0.2">
      <c r="A5" s="123"/>
      <c r="B5" s="129"/>
      <c r="C5" s="130"/>
      <c r="D5" s="145"/>
      <c r="E5" s="144"/>
      <c r="F5" s="120"/>
      <c r="G5" s="143"/>
      <c r="H5" s="123"/>
      <c r="I5" s="123"/>
      <c r="J5" s="129"/>
      <c r="K5" s="142" t="s">
        <v>17</v>
      </c>
      <c r="L5" s="141" t="s">
        <v>18</v>
      </c>
      <c r="M5" s="140" t="s">
        <v>45</v>
      </c>
      <c r="N5" s="43" t="s">
        <v>19</v>
      </c>
      <c r="O5" s="126"/>
      <c r="P5" s="139"/>
      <c r="Q5" s="138"/>
      <c r="R5" s="137"/>
      <c r="S5" s="136"/>
      <c r="T5" s="124"/>
      <c r="U5" s="123"/>
      <c r="W5" s="122"/>
      <c r="X5" s="122"/>
    </row>
    <row r="6" spans="1:24" x14ac:dyDescent="0.2">
      <c r="A6" s="123"/>
      <c r="B6" s="129"/>
      <c r="C6" s="130"/>
      <c r="D6" s="132" t="s">
        <v>20</v>
      </c>
      <c r="E6" s="135" t="s">
        <v>21</v>
      </c>
      <c r="F6" s="132" t="s">
        <v>20</v>
      </c>
      <c r="G6" s="134" t="s">
        <v>22</v>
      </c>
      <c r="H6" s="123"/>
      <c r="I6" s="123"/>
      <c r="J6" s="129"/>
      <c r="K6" s="127"/>
      <c r="L6" s="128"/>
      <c r="M6" s="127"/>
      <c r="N6" s="44"/>
      <c r="O6" s="126"/>
      <c r="P6" s="133" t="s">
        <v>23</v>
      </c>
      <c r="Q6" s="133" t="s">
        <v>24</v>
      </c>
      <c r="R6" s="132" t="s">
        <v>25</v>
      </c>
      <c r="S6" s="131" t="s">
        <v>26</v>
      </c>
      <c r="T6" s="124"/>
      <c r="U6" s="123"/>
      <c r="W6" s="122"/>
      <c r="X6" s="122"/>
    </row>
    <row r="7" spans="1:24" x14ac:dyDescent="0.2">
      <c r="A7" s="123"/>
      <c r="B7" s="129"/>
      <c r="C7" s="130"/>
      <c r="D7" s="123"/>
      <c r="E7" s="123"/>
      <c r="F7" s="123"/>
      <c r="G7" s="123"/>
      <c r="H7" s="123"/>
      <c r="I7" s="123"/>
      <c r="J7" s="129"/>
      <c r="K7" s="127"/>
      <c r="L7" s="128"/>
      <c r="M7" s="127"/>
      <c r="N7" s="44"/>
      <c r="O7" s="126"/>
      <c r="P7" s="126"/>
      <c r="Q7" s="126"/>
      <c r="R7" s="123"/>
      <c r="S7" s="125"/>
      <c r="T7" s="124"/>
      <c r="U7" s="123"/>
      <c r="W7" s="122"/>
      <c r="X7" s="122"/>
    </row>
    <row r="8" spans="1:24" x14ac:dyDescent="0.2">
      <c r="A8" s="114"/>
      <c r="B8" s="120"/>
      <c r="C8" s="121"/>
      <c r="D8" s="114"/>
      <c r="E8" s="114"/>
      <c r="F8" s="114"/>
      <c r="G8" s="114"/>
      <c r="H8" s="114"/>
      <c r="I8" s="114"/>
      <c r="J8" s="120"/>
      <c r="K8" s="118"/>
      <c r="L8" s="119"/>
      <c r="M8" s="118"/>
      <c r="N8" s="45"/>
      <c r="O8" s="117"/>
      <c r="P8" s="117"/>
      <c r="Q8" s="117"/>
      <c r="R8" s="114"/>
      <c r="S8" s="116"/>
      <c r="T8" s="115"/>
      <c r="U8" s="114"/>
      <c r="W8" s="113"/>
      <c r="X8" s="113"/>
    </row>
    <row r="9" spans="1:24" ht="48" customHeight="1" x14ac:dyDescent="0.2">
      <c r="A9" s="112" t="s">
        <v>83</v>
      </c>
      <c r="B9" s="107"/>
      <c r="C9" s="106" t="s">
        <v>82</v>
      </c>
      <c r="D9" s="102" t="s">
        <v>80</v>
      </c>
      <c r="E9" s="101" t="s">
        <v>77</v>
      </c>
      <c r="F9" s="100" t="s">
        <v>76</v>
      </c>
      <c r="G9" s="99">
        <v>1.498</v>
      </c>
      <c r="H9" s="98" t="s">
        <v>81</v>
      </c>
      <c r="I9" s="97" t="str">
        <f>IF(W9="","",(IF(X9-W9&gt;0,CONCATENATE(TEXT(W9,"#,##0"),"~",TEXT(X9,"#,##0")),TEXT(W9,"#,##0"))))</f>
        <v>1,100~1,120</v>
      </c>
      <c r="J9" s="96">
        <v>5</v>
      </c>
      <c r="K9" s="105">
        <v>27</v>
      </c>
      <c r="L9" s="14">
        <f>IF(K9&gt;0,1/K9*37.7*68.6,"")</f>
        <v>95.785925925925923</v>
      </c>
      <c r="M9" s="15">
        <f>IFERROR(VALUE(IF(W9="","",ROUNDUP(IF(W9&gt;=2271,"7.4",IF(W9&gt;=2101,"8.7",IF(W9&gt;=1991,"9.4",IF(W9&gt;=1871,"10.2",IF(W9&gt;=1761,"11.1",IF(W9&gt;=1651,"12.2",IF(W9&gt;=1531,"13.2",IF(W9&gt;=1421,"14.4",IF(W9&gt;=1311,"15.8",IF(W9&gt;=1196,"17.2",IF(W9&gt;=1081,"18.7",IF(W9&gt;=971,"20.5",IF(W9&gt;=856,"20.8",IF(W9&gt;=741,"21.0",IF(W9&gt;=601,"21.8","22.5")))))))))))))))*1.1,1))),"")</f>
        <v>20.6</v>
      </c>
      <c r="N9" s="16">
        <f>IFERROR(VALUE(IF(W9="","",ROUNDUP(IF(W9&gt;=2271,"10.6",IF(W9&gt;=2101,"11.9",IF(W9&gt;=1991,"12.7",IF(W9&gt;=1871,"13.5",IF(W9&gt;=1761,"14.4",IF(W9&gt;=1651,"15.4",IF(W9&gt;=1531,"16.5",IF(W9&gt;=1421,"17.6",IF(W9&gt;=1311,"19.0",IF(W9&gt;=1196,"20.3",IF(W9&gt;=1081,"21.8",IF(W9&gt;=971,"23.4",IF(W9&gt;=856,"23.7",IF(W9&gt;=741,"24.5","24.6"))))))))))))))*1.1,1))),"")</f>
        <v>24</v>
      </c>
      <c r="O9" s="93" t="s">
        <v>53</v>
      </c>
      <c r="P9" s="93" t="s">
        <v>52</v>
      </c>
      <c r="Q9" s="93" t="s">
        <v>59</v>
      </c>
      <c r="R9" s="92"/>
      <c r="S9" s="91"/>
      <c r="T9" s="17">
        <f>IFERROR(IF(K9&lt;M9,"",(ROUNDDOWN(K9/M9*100,0))),"")</f>
        <v>131</v>
      </c>
      <c r="U9" s="18">
        <f>IFERROR(IF(K9&lt;N9,"",(ROUNDDOWN(K9/N9*100,0))),"")</f>
        <v>112</v>
      </c>
      <c r="W9" s="90">
        <v>1100</v>
      </c>
      <c r="X9" s="90">
        <v>1120</v>
      </c>
    </row>
    <row r="10" spans="1:24" ht="47.25" customHeight="1" x14ac:dyDescent="0.2">
      <c r="A10" s="108"/>
      <c r="B10" s="110"/>
      <c r="C10" s="109"/>
      <c r="D10" s="102" t="s">
        <v>80</v>
      </c>
      <c r="E10" s="101" t="s">
        <v>79</v>
      </c>
      <c r="F10" s="100" t="s">
        <v>76</v>
      </c>
      <c r="G10" s="99">
        <v>1.498</v>
      </c>
      <c r="H10" s="98" t="s">
        <v>55</v>
      </c>
      <c r="I10" s="97" t="str">
        <f>IF(W10="","",(IF(X10-W10&gt;0,CONCATENATE(TEXT(W10,"#,##0"),"~",TEXT(X10,"#,##0")),TEXT(W10,"#,##0"))))</f>
        <v>1,140~1,160</v>
      </c>
      <c r="J10" s="96">
        <v>5</v>
      </c>
      <c r="K10" s="105">
        <v>24.2</v>
      </c>
      <c r="L10" s="14">
        <f>IF(K10&gt;0,1/K10*37.7*68.6,"")</f>
        <v>106.86859504132232</v>
      </c>
      <c r="M10" s="15">
        <f>IFERROR(VALUE(IF(W10="","",ROUNDUP(IF(W10&gt;=2271,"7.4",IF(W10&gt;=2101,"8.7",IF(W10&gt;=1991,"9.4",IF(W10&gt;=1871,"10.2",IF(W10&gt;=1761,"11.1",IF(W10&gt;=1651,"12.2",IF(W10&gt;=1531,"13.2",IF(W10&gt;=1421,"14.4",IF(W10&gt;=1311,"15.8",IF(W10&gt;=1196,"17.2",IF(W10&gt;=1081,"18.7",IF(W10&gt;=971,"20.5",IF(W10&gt;=856,"20.8",IF(W10&gt;=741,"21.0",IF(W10&gt;=601,"21.8","22.5")))))))))))))))*1.1,1))),"")</f>
        <v>20.6</v>
      </c>
      <c r="N10" s="16">
        <f>IFERROR(VALUE(IF(W10="","",ROUNDUP(IF(W10&gt;=2271,"10.6",IF(W10&gt;=2101,"11.9",IF(W10&gt;=1991,"12.7",IF(W10&gt;=1871,"13.5",IF(W10&gt;=1761,"14.4",IF(W10&gt;=1651,"15.4",IF(W10&gt;=1531,"16.5",IF(W10&gt;=1421,"17.6",IF(W10&gt;=1311,"19.0",IF(W10&gt;=1196,"20.3",IF(W10&gt;=1081,"21.8",IF(W10&gt;=971,"23.4",IF(W10&gt;=856,"23.7",IF(W10&gt;=741,"24.5","24.6"))))))))))))))*1.1,1))),"")</f>
        <v>24</v>
      </c>
      <c r="O10" s="93" t="s">
        <v>53</v>
      </c>
      <c r="P10" s="93" t="s">
        <v>52</v>
      </c>
      <c r="Q10" s="93" t="s">
        <v>59</v>
      </c>
      <c r="R10" s="92"/>
      <c r="S10" s="91"/>
      <c r="T10" s="17">
        <f>IFERROR(IF(K10&lt;M10,"",(ROUNDDOWN(K10/M10*100,0))),"")</f>
        <v>117</v>
      </c>
      <c r="U10" s="18">
        <f>IFERROR(IF(K10&lt;N10,"",(ROUNDDOWN(K10/N10*100,0))),"")</f>
        <v>100</v>
      </c>
      <c r="W10" s="90">
        <v>1140</v>
      </c>
      <c r="X10" s="90">
        <v>1160</v>
      </c>
    </row>
    <row r="11" spans="1:24" ht="48" customHeight="1" x14ac:dyDescent="0.2">
      <c r="A11" s="108"/>
      <c r="B11" s="104"/>
      <c r="C11" s="103"/>
      <c r="D11" s="102" t="s">
        <v>78</v>
      </c>
      <c r="E11" s="101" t="s">
        <v>77</v>
      </c>
      <c r="F11" s="100" t="s">
        <v>76</v>
      </c>
      <c r="G11" s="99">
        <v>1.498</v>
      </c>
      <c r="H11" s="98" t="s">
        <v>55</v>
      </c>
      <c r="I11" s="97" t="str">
        <f>IF(W11="","",(IF(X11-W11&gt;0,CONCATENATE(TEXT(W11,"#,##0"),"~",TEXT(X11,"#,##0")),TEXT(W11,"#,##0"))))</f>
        <v>1,230~1,250</v>
      </c>
      <c r="J11" s="96">
        <v>5</v>
      </c>
      <c r="K11" s="105">
        <v>21.9</v>
      </c>
      <c r="L11" s="14">
        <f>IF(K11&gt;0,1/K11*37.7*68.6,"")</f>
        <v>118.09223744292238</v>
      </c>
      <c r="M11" s="15">
        <f>IFERROR(VALUE(IF(W11="","",ROUNDUP(IF(W11&gt;=2271,"7.4",IF(W11&gt;=2101,"8.7",IF(W11&gt;=1991,"9.4",IF(W11&gt;=1871,"10.2",IF(W11&gt;=1761,"11.1",IF(W11&gt;=1651,"12.2",IF(W11&gt;=1531,"13.2",IF(W11&gt;=1421,"14.4",IF(W11&gt;=1311,"15.8",IF(W11&gt;=1196,"17.2",IF(W11&gt;=1081,"18.7",IF(W11&gt;=971,"20.5",IF(W11&gt;=856,"20.8",IF(W11&gt;=741,"21.0",IF(W11&gt;=601,"21.8","22.5")))))))))))))))*1.1,1))),"")</f>
        <v>19</v>
      </c>
      <c r="N11" s="16">
        <f>IFERROR(VALUE(IF(W11="","",ROUNDUP(IF(W11&gt;=2271,"10.6",IF(W11&gt;=2101,"11.9",IF(W11&gt;=1991,"12.7",IF(W11&gt;=1871,"13.5",IF(W11&gt;=1761,"14.4",IF(W11&gt;=1651,"15.4",IF(W11&gt;=1531,"16.5",IF(W11&gt;=1421,"17.6",IF(W11&gt;=1311,"19.0",IF(W11&gt;=1196,"20.3",IF(W11&gt;=1081,"21.8",IF(W11&gt;=971,"23.4",IF(W11&gt;=856,"23.7",IF(W11&gt;=741,"24.5","24.6"))))))))))))))*1.1,1))),"")</f>
        <v>22.400000000000002</v>
      </c>
      <c r="O11" s="93" t="s">
        <v>53</v>
      </c>
      <c r="P11" s="93" t="s">
        <v>52</v>
      </c>
      <c r="Q11" s="93" t="s">
        <v>33</v>
      </c>
      <c r="R11" s="92"/>
      <c r="S11" s="91"/>
      <c r="T11" s="17">
        <f>IFERROR(IF(K11&lt;M11,"",(ROUNDDOWN(K11/M11*100,0))),"")</f>
        <v>115</v>
      </c>
      <c r="U11" s="18" t="str">
        <f>IFERROR(IF(K11&lt;N11,"",(ROUNDDOWN(K11/N11*100,0))),"")</f>
        <v/>
      </c>
      <c r="W11" s="90">
        <v>1230</v>
      </c>
      <c r="X11" s="90">
        <v>1250</v>
      </c>
    </row>
    <row r="12" spans="1:24" ht="24" customHeight="1" x14ac:dyDescent="0.2">
      <c r="A12" s="108"/>
      <c r="B12" s="107"/>
      <c r="C12" s="106" t="s">
        <v>75</v>
      </c>
      <c r="D12" s="102" t="s">
        <v>72</v>
      </c>
      <c r="E12" s="111" t="s">
        <v>74</v>
      </c>
      <c r="F12" s="100" t="s">
        <v>56</v>
      </c>
      <c r="G12" s="99">
        <v>2.1880000000000002</v>
      </c>
      <c r="H12" s="98" t="s">
        <v>55</v>
      </c>
      <c r="I12" s="97" t="str">
        <f>IF(W12="","",(IF(X12-W12&gt;0,CONCATENATE(TEXT(W12,"#,##0"),"~",TEXT(X12,"#,##0")),TEXT(W12,"#,##0"))))</f>
        <v>1,630~1,650</v>
      </c>
      <c r="J12" s="96">
        <v>5</v>
      </c>
      <c r="K12" s="105">
        <v>19</v>
      </c>
      <c r="L12" s="14">
        <f>IF(K12&gt;0,1/K12*37.7*68.6,"")</f>
        <v>136.11684210526315</v>
      </c>
      <c r="M12" s="15">
        <f>IFERROR(VALUE(IF(W12="","",ROUNDUP(IF(W12&gt;=2271,"7.4",IF(W12&gt;=2101,"8.7",IF(W12&gt;=1991,"9.4",IF(W12&gt;=1871,"10.2",IF(W12&gt;=1761,"11.1",IF(W12&gt;=1651,"12.2",IF(W12&gt;=1531,"13.2",IF(W12&gt;=1421,"14.4",IF(W12&gt;=1311,"15.8",IF(W12&gt;=1196,"17.2",IF(W12&gt;=1081,"18.7",IF(W12&gt;=971,"20.5",IF(W12&gt;=856,"20.8",IF(W12&gt;=741,"21.0",IF(W12&gt;=601,"21.8","22.5")))))))))))))))*1.1,1))),"")</f>
        <v>14.6</v>
      </c>
      <c r="N12" s="16">
        <f>IFERROR(VALUE(IF(W12="","",ROUNDUP(IF(W12&gt;=2271,"10.6",IF(W12&gt;=2101,"11.9",IF(W12&gt;=1991,"12.7",IF(W12&gt;=1871,"13.5",IF(W12&gt;=1761,"14.4",IF(W12&gt;=1651,"15.4",IF(W12&gt;=1531,"16.5",IF(W12&gt;=1421,"17.6",IF(W12&gt;=1311,"19.0",IF(W12&gt;=1196,"20.3",IF(W12&gt;=1081,"21.8",IF(W12&gt;=971,"23.4",IF(W12&gt;=856,"23.7",IF(W12&gt;=741,"24.5","24.6"))))))))))))))*1.1,1))),"")</f>
        <v>18.200000000000003</v>
      </c>
      <c r="O12" s="93" t="s">
        <v>53</v>
      </c>
      <c r="P12" s="93" t="s">
        <v>52</v>
      </c>
      <c r="Q12" s="93" t="s">
        <v>59</v>
      </c>
      <c r="R12" s="92"/>
      <c r="S12" s="91"/>
      <c r="T12" s="17">
        <f>IFERROR(IF(K12&lt;M12,"",(ROUNDDOWN(K12/M12*100,0))),"")</f>
        <v>130</v>
      </c>
      <c r="U12" s="18">
        <f>IFERROR(IF(K12&lt;N12,"",(ROUNDDOWN(K12/N12*100,0))),"")</f>
        <v>104</v>
      </c>
      <c r="W12" s="90">
        <v>1630</v>
      </c>
      <c r="X12" s="90">
        <v>1650</v>
      </c>
    </row>
    <row r="13" spans="1:24" ht="24" customHeight="1" x14ac:dyDescent="0.2">
      <c r="A13" s="108"/>
      <c r="B13" s="110"/>
      <c r="C13" s="109"/>
      <c r="D13" s="102" t="s">
        <v>72</v>
      </c>
      <c r="E13" s="111" t="s">
        <v>73</v>
      </c>
      <c r="F13" s="100" t="s">
        <v>56</v>
      </c>
      <c r="G13" s="99">
        <v>2.1880000000000002</v>
      </c>
      <c r="H13" s="98" t="s">
        <v>55</v>
      </c>
      <c r="I13" s="97" t="str">
        <f>IF(W13="","",(IF(X13-W13&gt;0,CONCATENATE(TEXT(W13,"#,##0"),"~",TEXT(X13,"#,##0")),TEXT(W13,"#,##0"))))</f>
        <v>1,660</v>
      </c>
      <c r="J13" s="96">
        <v>5</v>
      </c>
      <c r="K13" s="105">
        <v>18.5</v>
      </c>
      <c r="L13" s="14">
        <f>IF(K13&gt;0,1/K13*37.7*68.6,"")</f>
        <v>139.79567567567568</v>
      </c>
      <c r="M13" s="15">
        <f>IFERROR(VALUE(IF(W13="","",ROUNDUP(IF(W13&gt;=2271,"7.4",IF(W13&gt;=2101,"8.7",IF(W13&gt;=1991,"9.4",IF(W13&gt;=1871,"10.2",IF(W13&gt;=1761,"11.1",IF(W13&gt;=1651,"12.2",IF(W13&gt;=1531,"13.2",IF(W13&gt;=1421,"14.4",IF(W13&gt;=1311,"15.8",IF(W13&gt;=1196,"17.2",IF(W13&gt;=1081,"18.7",IF(W13&gt;=971,"20.5",IF(W13&gt;=856,"20.8",IF(W13&gt;=741,"21.0",IF(W13&gt;=601,"21.8","22.5")))))))))))))))*1.1,1))),"")</f>
        <v>13.5</v>
      </c>
      <c r="N13" s="16">
        <f>IFERROR(VALUE(IF(W13="","",ROUNDUP(IF(W13&gt;=2271,"10.6",IF(W13&gt;=2101,"11.9",IF(W13&gt;=1991,"12.7",IF(W13&gt;=1871,"13.5",IF(W13&gt;=1761,"14.4",IF(W13&gt;=1651,"15.4",IF(W13&gt;=1531,"16.5",IF(W13&gt;=1421,"17.6",IF(W13&gt;=1311,"19.0",IF(W13&gt;=1196,"20.3",IF(W13&gt;=1081,"21.8",IF(W13&gt;=971,"23.4",IF(W13&gt;=856,"23.7",IF(W13&gt;=741,"24.5","24.6"))))))))))))))*1.1,1))),"")</f>
        <v>17</v>
      </c>
      <c r="O13" s="93" t="s">
        <v>53</v>
      </c>
      <c r="P13" s="93" t="s">
        <v>52</v>
      </c>
      <c r="Q13" s="93" t="s">
        <v>59</v>
      </c>
      <c r="R13" s="92"/>
      <c r="S13" s="91"/>
      <c r="T13" s="17">
        <f>IFERROR(IF(K13&lt;M13,"",(ROUNDDOWN(K13/M13*100,0))),"")</f>
        <v>137</v>
      </c>
      <c r="U13" s="18">
        <f>IFERROR(IF(K13&lt;N13,"",(ROUNDDOWN(K13/N13*100,0))),"")</f>
        <v>108</v>
      </c>
      <c r="W13" s="90">
        <v>1660</v>
      </c>
      <c r="X13" s="90"/>
    </row>
    <row r="14" spans="1:24" ht="28.5" customHeight="1" x14ac:dyDescent="0.2">
      <c r="A14" s="108"/>
      <c r="B14" s="104"/>
      <c r="C14" s="103"/>
      <c r="D14" s="102" t="s">
        <v>72</v>
      </c>
      <c r="E14" s="111" t="s">
        <v>71</v>
      </c>
      <c r="F14" s="100" t="s">
        <v>56</v>
      </c>
      <c r="G14" s="99">
        <v>2.1880000000000002</v>
      </c>
      <c r="H14" s="98" t="s">
        <v>55</v>
      </c>
      <c r="I14" s="97" t="str">
        <f>IF(W14="","",(IF(X14-W14&gt;0,CONCATENATE(TEXT(W14,"#,##0"),"~",TEXT(X14,"#,##0")),TEXT(W14,"#,##0"))))</f>
        <v>1,690~1,720</v>
      </c>
      <c r="J14" s="96">
        <v>5</v>
      </c>
      <c r="K14" s="105">
        <v>18</v>
      </c>
      <c r="L14" s="14">
        <f>IF(K14&gt;0,1/K14*37.7*68.6,"")</f>
        <v>143.67888888888888</v>
      </c>
      <c r="M14" s="15">
        <f>IFERROR(VALUE(IF(W14="","",ROUNDUP(IF(W14&gt;=2271,"7.4",IF(W14&gt;=2101,"8.7",IF(W14&gt;=1991,"9.4",IF(W14&gt;=1871,"10.2",IF(W14&gt;=1761,"11.1",IF(W14&gt;=1651,"12.2",IF(W14&gt;=1531,"13.2",IF(W14&gt;=1421,"14.4",IF(W14&gt;=1311,"15.8",IF(W14&gt;=1196,"17.2",IF(W14&gt;=1081,"18.7",IF(W14&gt;=971,"20.5",IF(W14&gt;=856,"20.8",IF(W14&gt;=741,"21.0",IF(W14&gt;=601,"21.8","22.5")))))))))))))))*1.1,1))),"")</f>
        <v>13.5</v>
      </c>
      <c r="N14" s="16">
        <f>IFERROR(VALUE(IF(W14="","",ROUNDUP(IF(W14&gt;=2271,"10.6",IF(W14&gt;=2101,"11.9",IF(W14&gt;=1991,"12.7",IF(W14&gt;=1871,"13.5",IF(W14&gt;=1761,"14.4",IF(W14&gt;=1651,"15.4",IF(W14&gt;=1531,"16.5",IF(W14&gt;=1421,"17.6",IF(W14&gt;=1311,"19.0",IF(W14&gt;=1196,"20.3",IF(W14&gt;=1081,"21.8",IF(W14&gt;=971,"23.4",IF(W14&gt;=856,"23.7",IF(W14&gt;=741,"24.5","24.6"))))))))))))))*1.1,1))),"")</f>
        <v>17</v>
      </c>
      <c r="O14" s="93" t="s">
        <v>53</v>
      </c>
      <c r="P14" s="93" t="s">
        <v>52</v>
      </c>
      <c r="Q14" s="93" t="s">
        <v>33</v>
      </c>
      <c r="R14" s="92"/>
      <c r="S14" s="91"/>
      <c r="T14" s="17">
        <f>IFERROR(IF(K14&lt;M14,"",(ROUNDDOWN(K14/M14*100,0))),"")</f>
        <v>133</v>
      </c>
      <c r="U14" s="18">
        <f>IFERROR(IF(K14&lt;N14,"",(ROUNDDOWN(K14/N14*100,0))),"")</f>
        <v>105</v>
      </c>
      <c r="W14" s="90">
        <v>1690</v>
      </c>
      <c r="X14" s="90">
        <v>1720</v>
      </c>
    </row>
    <row r="15" spans="1:24" ht="24" customHeight="1" x14ac:dyDescent="0.2">
      <c r="A15" s="108"/>
      <c r="B15" s="107"/>
      <c r="C15" s="106" t="s">
        <v>70</v>
      </c>
      <c r="D15" s="102" t="s">
        <v>66</v>
      </c>
      <c r="E15" s="101" t="s">
        <v>69</v>
      </c>
      <c r="F15" s="100" t="s">
        <v>64</v>
      </c>
      <c r="G15" s="99">
        <v>3.2829999999999999</v>
      </c>
      <c r="H15" s="98" t="s">
        <v>63</v>
      </c>
      <c r="I15" s="97" t="str">
        <f>IF(W15="","",(IF(X15-W15&gt;0,CONCATENATE(TEXT(W15,"#,##0"),"~",TEXT(X15,"#,##0")),TEXT(W15,"#,##0"))))</f>
        <v>1,790~1,840</v>
      </c>
      <c r="J15" s="96">
        <v>5</v>
      </c>
      <c r="K15" s="105">
        <v>20.5</v>
      </c>
      <c r="L15" s="14">
        <f>IF(K15&gt;0,1/K15*37.7*68.6,"")</f>
        <v>126.15707317073172</v>
      </c>
      <c r="M15" s="15">
        <f>IFERROR(VALUE(IF(W15="","",ROUNDUP(IF(W15&gt;=2271,"7.4",IF(W15&gt;=2101,"8.7",IF(W15&gt;=1991,"9.4",IF(W15&gt;=1871,"10.2",IF(W15&gt;=1761,"11.1",IF(W15&gt;=1651,"12.2",IF(W15&gt;=1531,"13.2",IF(W15&gt;=1421,"14.4",IF(W15&gt;=1311,"15.8",IF(W15&gt;=1196,"17.2",IF(W15&gt;=1081,"18.7",IF(W15&gt;=971,"20.5",IF(W15&gt;=856,"20.8",IF(W15&gt;=741,"21.0",IF(W15&gt;=601,"21.8","22.5")))))))))))))))*1.1,1))),"")</f>
        <v>12.299999999999999</v>
      </c>
      <c r="N15" s="16">
        <f>IFERROR(VALUE(IF(W15="","",ROUNDUP(IF(W15&gt;=2271,"10.6",IF(W15&gt;=2101,"11.9",IF(W15&gt;=1991,"12.7",IF(W15&gt;=1871,"13.5",IF(W15&gt;=1761,"14.4",IF(W15&gt;=1651,"15.4",IF(W15&gt;=1531,"16.5",IF(W15&gt;=1421,"17.6",IF(W15&gt;=1311,"19.0",IF(W15&gt;=1196,"20.3",IF(W15&gt;=1081,"21.8",IF(W15&gt;=971,"23.4",IF(W15&gt;=856,"23.7",IF(W15&gt;=741,"24.5","24.6"))))))))))))))*1.1,1))),"")</f>
        <v>15.9</v>
      </c>
      <c r="O15" s="93" t="s">
        <v>62</v>
      </c>
      <c r="P15" s="93" t="s">
        <v>52</v>
      </c>
      <c r="Q15" s="93" t="s">
        <v>68</v>
      </c>
      <c r="R15" s="92"/>
      <c r="S15" s="91"/>
      <c r="T15" s="17">
        <f>IFERROR(IF(K15&lt;M15,"",(ROUNDDOWN(K15/M15*100,0))),"")</f>
        <v>166</v>
      </c>
      <c r="U15" s="18">
        <f>IFERROR(IF(K15&lt;N15,"",(ROUNDDOWN(K15/N15*100,0))),"")</f>
        <v>128</v>
      </c>
      <c r="W15" s="90">
        <v>1790</v>
      </c>
      <c r="X15" s="90">
        <v>1840</v>
      </c>
    </row>
    <row r="16" spans="1:24" ht="24" customHeight="1" x14ac:dyDescent="0.2">
      <c r="A16" s="108"/>
      <c r="B16" s="110"/>
      <c r="C16" s="109"/>
      <c r="D16" s="102" t="s">
        <v>66</v>
      </c>
      <c r="E16" s="101" t="s">
        <v>67</v>
      </c>
      <c r="F16" s="100" t="s">
        <v>64</v>
      </c>
      <c r="G16" s="99">
        <v>3.2829999999999999</v>
      </c>
      <c r="H16" s="98" t="s">
        <v>63</v>
      </c>
      <c r="I16" s="97" t="str">
        <f>IF(W16="","",(IF(X16-W16&gt;0,CONCATENATE(TEXT(W16,"#,##0"),"~",TEXT(X16,"#,##0")),TEXT(W16,"#,##0"))))</f>
        <v>1,840~1,870</v>
      </c>
      <c r="J16" s="96">
        <v>5</v>
      </c>
      <c r="K16" s="105">
        <v>20.3</v>
      </c>
      <c r="L16" s="14">
        <f>IF(K16&gt;0,1/K16*37.7*68.6,"")</f>
        <v>127.39999999999999</v>
      </c>
      <c r="M16" s="15">
        <f>IFERROR(VALUE(IF(W16="","",ROUNDUP(IF(W16&gt;=2271,"7.4",IF(W16&gt;=2101,"8.7",IF(W16&gt;=1991,"9.4",IF(W16&gt;=1871,"10.2",IF(W16&gt;=1761,"11.1",IF(W16&gt;=1651,"12.2",IF(W16&gt;=1531,"13.2",IF(W16&gt;=1421,"14.4",IF(W16&gt;=1311,"15.8",IF(W16&gt;=1196,"17.2",IF(W16&gt;=1081,"18.7",IF(W16&gt;=971,"20.5",IF(W16&gt;=856,"20.8",IF(W16&gt;=741,"21.0",IF(W16&gt;=601,"21.8","22.5")))))))))))))))*1.1,1))),"")</f>
        <v>12.299999999999999</v>
      </c>
      <c r="N16" s="16">
        <f>IFERROR(VALUE(IF(W16="","",ROUNDUP(IF(W16&gt;=2271,"10.6",IF(W16&gt;=2101,"11.9",IF(W16&gt;=1991,"12.7",IF(W16&gt;=1871,"13.5",IF(W16&gt;=1761,"14.4",IF(W16&gt;=1651,"15.4",IF(W16&gt;=1531,"16.5",IF(W16&gt;=1421,"17.6",IF(W16&gt;=1311,"19.0",IF(W16&gt;=1196,"20.3",IF(W16&gt;=1081,"21.8",IF(W16&gt;=971,"23.4",IF(W16&gt;=856,"23.7",IF(W16&gt;=741,"24.5","24.6"))))))))))))))*1.1,1))),"")</f>
        <v>15.9</v>
      </c>
      <c r="O16" s="93" t="s">
        <v>62</v>
      </c>
      <c r="P16" s="93" t="s">
        <v>52</v>
      </c>
      <c r="Q16" s="93" t="s">
        <v>33</v>
      </c>
      <c r="R16" s="92"/>
      <c r="S16" s="91"/>
      <c r="T16" s="17">
        <f>IFERROR(IF(K16&lt;M16,"",(ROUNDDOWN(K16/M16*100,0))),"")</f>
        <v>165</v>
      </c>
      <c r="U16" s="18">
        <f>IFERROR(IF(K16&lt;N16,"",(ROUNDDOWN(K16/N16*100,0))),"")</f>
        <v>127</v>
      </c>
      <c r="W16" s="90">
        <v>1840</v>
      </c>
      <c r="X16" s="90">
        <v>1870</v>
      </c>
    </row>
    <row r="17" spans="1:24" ht="24" customHeight="1" x14ac:dyDescent="0.2">
      <c r="A17" s="108"/>
      <c r="B17" s="104"/>
      <c r="C17" s="103"/>
      <c r="D17" s="102" t="s">
        <v>66</v>
      </c>
      <c r="E17" s="101" t="s">
        <v>65</v>
      </c>
      <c r="F17" s="100" t="s">
        <v>64</v>
      </c>
      <c r="G17" s="99">
        <v>3.2829999999999999</v>
      </c>
      <c r="H17" s="98" t="s">
        <v>63</v>
      </c>
      <c r="I17" s="97" t="str">
        <f>IF(W17="","",(IF(X17-W17&gt;0,CONCATENATE(TEXT(W17,"#,##0"),"~",TEXT(X17,"#,##0")),TEXT(W17,"#,##0"))))</f>
        <v>1,890</v>
      </c>
      <c r="J17" s="96">
        <v>5</v>
      </c>
      <c r="K17" s="105">
        <v>20</v>
      </c>
      <c r="L17" s="14">
        <f>IF(K17&gt;0,1/K17*37.7*68.6,"")</f>
        <v>129.31100000000001</v>
      </c>
      <c r="M17" s="15">
        <f>IFERROR(VALUE(IF(W17="","",ROUNDUP(IF(W17&gt;=2271,"7.4",IF(W17&gt;=2101,"8.7",IF(W17&gt;=1991,"9.4",IF(W17&gt;=1871,"10.2",IF(W17&gt;=1761,"11.1",IF(W17&gt;=1651,"12.2",IF(W17&gt;=1531,"13.2",IF(W17&gt;=1421,"14.4",IF(W17&gt;=1311,"15.8",IF(W17&gt;=1196,"17.2",IF(W17&gt;=1081,"18.7",IF(W17&gt;=971,"20.5",IF(W17&gt;=856,"20.8",IF(W17&gt;=741,"21.0",IF(W17&gt;=601,"21.8","22.5")))))))))))))))*1.1,1))),"")</f>
        <v>11.299999999999999</v>
      </c>
      <c r="N17" s="16">
        <f>IFERROR(VALUE(IF(W17="","",ROUNDUP(IF(W17&gt;=2271,"10.6",IF(W17&gt;=2101,"11.9",IF(W17&gt;=1991,"12.7",IF(W17&gt;=1871,"13.5",IF(W17&gt;=1761,"14.4",IF(W17&gt;=1651,"15.4",IF(W17&gt;=1531,"16.5",IF(W17&gt;=1421,"17.6",IF(W17&gt;=1311,"19.0",IF(W17&gt;=1196,"20.3",IF(W17&gt;=1081,"21.8",IF(W17&gt;=971,"23.4",IF(W17&gt;=856,"23.7",IF(W17&gt;=741,"24.5","24.6"))))))))))))))*1.1,1))),"")</f>
        <v>14.9</v>
      </c>
      <c r="O17" s="93" t="s">
        <v>62</v>
      </c>
      <c r="P17" s="93" t="s">
        <v>52</v>
      </c>
      <c r="Q17" s="93" t="s">
        <v>33</v>
      </c>
      <c r="R17" s="92"/>
      <c r="S17" s="91"/>
      <c r="T17" s="17">
        <f>IFERROR(IF(K17&lt;M17,"",(ROUNDDOWN(K17/M17*100,0))),"")</f>
        <v>176</v>
      </c>
      <c r="U17" s="18">
        <f>IFERROR(IF(K17&lt;N17,"",(ROUNDDOWN(K17/N17*100,0))),"")</f>
        <v>134</v>
      </c>
      <c r="W17" s="90">
        <v>1890</v>
      </c>
      <c r="X17" s="90"/>
    </row>
    <row r="18" spans="1:24" ht="33.75" x14ac:dyDescent="0.2">
      <c r="A18" s="108"/>
      <c r="B18" s="107"/>
      <c r="C18" s="106" t="s">
        <v>61</v>
      </c>
      <c r="D18" s="102" t="s">
        <v>58</v>
      </c>
      <c r="E18" s="101" t="s">
        <v>60</v>
      </c>
      <c r="F18" s="100" t="s">
        <v>56</v>
      </c>
      <c r="G18" s="99">
        <v>2.1880000000000002</v>
      </c>
      <c r="H18" s="98" t="s">
        <v>55</v>
      </c>
      <c r="I18" s="97" t="str">
        <f>IF(W18="","",(IF(X18-W18&gt;0,CONCATENATE(TEXT(W18,"#,##0"),"~",TEXT(X18,"#,##0")),TEXT(W18,"#,##0"))))</f>
        <v>1,810~1,850</v>
      </c>
      <c r="J18" s="96" t="s">
        <v>54</v>
      </c>
      <c r="K18" s="105">
        <v>17.600000000000001</v>
      </c>
      <c r="L18" s="14">
        <f>IF(K18&gt;0,1/K18*37.7*68.6,"")</f>
        <v>146.94431818181818</v>
      </c>
      <c r="M18" s="15">
        <f>IFERROR(VALUE(IF(W18="","",ROUNDUP(IF(W18&gt;=2271,"7.4",IF(W18&gt;=2101,"8.7",IF(W18&gt;=1991,"9.4",IF(W18&gt;=1871,"10.2",IF(W18&gt;=1761,"11.1",IF(W18&gt;=1651,"12.2",IF(W18&gt;=1531,"13.2",IF(W18&gt;=1421,"14.4",IF(W18&gt;=1311,"15.8",IF(W18&gt;=1196,"17.2",IF(W18&gt;=1081,"18.7",IF(W18&gt;=971,"20.5",IF(W18&gt;=856,"20.8",IF(W18&gt;=741,"21.0",IF(W18&gt;=601,"21.8","22.5")))))))))))))))*1.1,1))),"")</f>
        <v>12.299999999999999</v>
      </c>
      <c r="N18" s="16">
        <f>IFERROR(VALUE(IF(W18="","",ROUNDUP(IF(W18&gt;=2271,"10.6",IF(W18&gt;=2101,"11.9",IF(W18&gt;=1991,"12.7",IF(W18&gt;=1871,"13.5",IF(W18&gt;=1761,"14.4",IF(W18&gt;=1651,"15.4",IF(W18&gt;=1531,"16.5",IF(W18&gt;=1421,"17.6",IF(W18&gt;=1311,"19.0",IF(W18&gt;=1196,"20.3",IF(W18&gt;=1081,"21.8",IF(W18&gt;=971,"23.4",IF(W18&gt;=856,"23.7",IF(W18&gt;=741,"24.5","24.6"))))))))))))))*1.1,1))),"")</f>
        <v>15.9</v>
      </c>
      <c r="O18" s="93" t="s">
        <v>53</v>
      </c>
      <c r="P18" s="93" t="s">
        <v>52</v>
      </c>
      <c r="Q18" s="93" t="s">
        <v>59</v>
      </c>
      <c r="R18" s="92"/>
      <c r="S18" s="91"/>
      <c r="T18" s="17">
        <f>IFERROR(IF(K18&lt;M18,"",(ROUNDDOWN(K18/M18*100,0))),"")</f>
        <v>143</v>
      </c>
      <c r="U18" s="18">
        <f>IFERROR(IF(K18&lt;N18,"",(ROUNDDOWN(K18/N18*100,0))),"")</f>
        <v>110</v>
      </c>
      <c r="W18" s="90">
        <v>1810</v>
      </c>
      <c r="X18" s="90">
        <v>1850</v>
      </c>
    </row>
    <row r="19" spans="1:24" ht="34.5" thickBot="1" x14ac:dyDescent="0.25">
      <c r="A19" s="102"/>
      <c r="B19" s="104"/>
      <c r="C19" s="103"/>
      <c r="D19" s="102" t="s">
        <v>58</v>
      </c>
      <c r="E19" s="101" t="s">
        <v>57</v>
      </c>
      <c r="F19" s="100" t="s">
        <v>56</v>
      </c>
      <c r="G19" s="99">
        <v>2.1880000000000002</v>
      </c>
      <c r="H19" s="98" t="s">
        <v>55</v>
      </c>
      <c r="I19" s="97" t="str">
        <f>IF(W19="","",(IF(X19-W19&gt;0,CONCATENATE(TEXT(W19,"#,##0"),"~",TEXT(X19,"#,##0")),TEXT(W19,"#,##0"))))</f>
        <v>1,880~1,930</v>
      </c>
      <c r="J19" s="96" t="s">
        <v>54</v>
      </c>
      <c r="K19" s="95">
        <v>17</v>
      </c>
      <c r="L19" s="94">
        <f>IF(K19&gt;0,1/K19*37.7*68.6,"")</f>
        <v>152.13058823529411</v>
      </c>
      <c r="M19" s="15">
        <f>IFERROR(VALUE(IF(W19="","",ROUNDUP(IF(W19&gt;=2271,"7.4",IF(W19&gt;=2101,"8.7",IF(W19&gt;=1991,"9.4",IF(W19&gt;=1871,"10.2",IF(W19&gt;=1761,"11.1",IF(W19&gt;=1651,"12.2",IF(W19&gt;=1531,"13.2",IF(W19&gt;=1421,"14.4",IF(W19&gt;=1311,"15.8",IF(W19&gt;=1196,"17.2",IF(W19&gt;=1081,"18.7",IF(W19&gt;=971,"20.5",IF(W19&gt;=856,"20.8",IF(W19&gt;=741,"21.0",IF(W19&gt;=601,"21.8","22.5")))))))))))))))*1.1,1))),"")</f>
        <v>11.299999999999999</v>
      </c>
      <c r="N19" s="16">
        <f>IFERROR(VALUE(IF(W19="","",ROUNDUP(IF(W19&gt;=2271,"10.6",IF(W19&gt;=2101,"11.9",IF(W19&gt;=1991,"12.7",IF(W19&gt;=1871,"13.5",IF(W19&gt;=1761,"14.4",IF(W19&gt;=1651,"15.4",IF(W19&gt;=1531,"16.5",IF(W19&gt;=1421,"17.6",IF(W19&gt;=1311,"19.0",IF(W19&gt;=1196,"20.3",IF(W19&gt;=1081,"21.8",IF(W19&gt;=971,"23.4",IF(W19&gt;=856,"23.7",IF(W19&gt;=741,"24.5","24.6"))))))))))))))*1.1,1))),"")</f>
        <v>14.9</v>
      </c>
      <c r="O19" s="93" t="s">
        <v>53</v>
      </c>
      <c r="P19" s="93" t="s">
        <v>52</v>
      </c>
      <c r="Q19" s="93" t="s">
        <v>33</v>
      </c>
      <c r="R19" s="92"/>
      <c r="S19" s="91"/>
      <c r="T19" s="17">
        <f>IFERROR(IF(K19&lt;M19,"",(ROUNDDOWN(K19/M19*100,0))),"")</f>
        <v>150</v>
      </c>
      <c r="U19" s="18">
        <f>IFERROR(IF(K19&lt;N19,"",(ROUNDDOWN(K19/N19*100,0))),"")</f>
        <v>114</v>
      </c>
      <c r="W19" s="90">
        <v>1880</v>
      </c>
      <c r="X19" s="90">
        <v>1930</v>
      </c>
    </row>
    <row r="20" spans="1:24" ht="10.5" customHeight="1" x14ac:dyDescent="0.2">
      <c r="E20" s="86"/>
      <c r="J20" s="89"/>
    </row>
    <row r="21" spans="1:24" ht="10.5" customHeight="1" x14ac:dyDescent="0.2">
      <c r="B21" s="86" t="s">
        <v>51</v>
      </c>
      <c r="E21" s="86"/>
    </row>
    <row r="22" spans="1:24" ht="10.5" customHeight="1" x14ac:dyDescent="0.2">
      <c r="E22" s="86"/>
    </row>
  </sheetData>
  <sheetProtection selectLockedCells="1"/>
  <mergeCells count="30">
    <mergeCell ref="Q2:U2"/>
    <mergeCell ref="R3:U3"/>
    <mergeCell ref="W4:W8"/>
    <mergeCell ref="U4:U8"/>
    <mergeCell ref="F6:F8"/>
    <mergeCell ref="G6:G8"/>
    <mergeCell ref="K5:K8"/>
    <mergeCell ref="L5:L8"/>
    <mergeCell ref="M5:M8"/>
    <mergeCell ref="X4:X8"/>
    <mergeCell ref="N5:N8"/>
    <mergeCell ref="K4:N4"/>
    <mergeCell ref="J4:J8"/>
    <mergeCell ref="A4:A8"/>
    <mergeCell ref="B4:C8"/>
    <mergeCell ref="D4:D5"/>
    <mergeCell ref="E4:E5"/>
    <mergeCell ref="F4:G5"/>
    <mergeCell ref="D6:D8"/>
    <mergeCell ref="E6:E8"/>
    <mergeCell ref="H4:H8"/>
    <mergeCell ref="I4:I8"/>
    <mergeCell ref="S4:S5"/>
    <mergeCell ref="T4:T8"/>
    <mergeCell ref="R6:R8"/>
    <mergeCell ref="S6:S8"/>
    <mergeCell ref="Q6:Q8"/>
    <mergeCell ref="P6:P8"/>
    <mergeCell ref="O4:O8"/>
    <mergeCell ref="P4:R5"/>
  </mergeCells>
  <phoneticPr fontId="6"/>
  <printOptions horizontalCentered="1"/>
  <pageMargins left="0.39370078740157483" right="0.39370078740157483" top="0.39370078740157483" bottom="0.39370078740157483" header="0.19685039370078741" footer="0.39370078740157483"/>
  <pageSetup paperSize="9" scale="56" firstPageNumber="0" fitToHeight="0" orientation="landscape" r:id="rId1"/>
  <headerFooter alignWithMargins="0">
    <oddHeader>&amp;R様式1-7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4</vt:i4>
      </vt:variant>
    </vt:vector>
  </HeadingPairs>
  <TitlesOfParts>
    <vt:vector size="6" baseType="lpstr">
      <vt:lpstr>Mitsubishi</vt:lpstr>
      <vt:lpstr>Mazda</vt:lpstr>
      <vt:lpstr>Mazda!Print_Area</vt:lpstr>
      <vt:lpstr>Mitsubishi!Print_Area</vt:lpstr>
      <vt:lpstr>Mazda!Print_Titles</vt:lpstr>
      <vt:lpstr>Mitsubishi!Print_Titles</vt:lpstr>
    </vt:vector>
  </TitlesOfParts>
  <Company>Mitsubishi Motors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Kamogawa Ryohei</dc:creator>
  <cp:keywords>Alliance;A-I;Alliance Internal</cp:keywords>
  <cp:lastModifiedBy>　</cp:lastModifiedBy>
  <dcterms:created xsi:type="dcterms:W3CDTF">2023-06-26T09:50:24Z</dcterms:created>
  <dcterms:modified xsi:type="dcterms:W3CDTF">2024-03-28T05:47:37Z</dcterms:modified>
  <cp:category>A-I</cp:category>
</cp:coreProperties>
</file>